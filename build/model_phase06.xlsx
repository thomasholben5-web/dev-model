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LeaseUpIncomeOffset">'Inputs'!$B$30</definedName>
    <definedName name="UnitsDeliveredPerMo">'Inputs'!$B$31</definedName>
    <definedName name="UnitsLeasedPerMo">'Inputs'!$B$32</definedName>
    <definedName name="LeaseUpRampPct">'Inputs'!$B$33</definedName>
    <definedName name="LeaseUpElevationPct">'Inputs'!$B$34</definedName>
    <definedName name="StabilizedOccupancy">'Inputs'!$B$35</definedName>
    <definedName name="LandCost">'Inputs'!$B$38</definedName>
    <definedName name="GrossAcres">'Inputs'!$B$39</definedName>
    <definedName name="NetAcres">'Inputs'!$B$40</definedName>
    <definedName name="FARRatio">'Inputs'!$B$41</definedName>
    <definedName name="EfficiencyRatio">'Inputs'!$B$42</definedName>
    <definedName name="ExistingStructureCost">'Inputs'!$B$43</definedName>
    <definedName name="TaxLevyPct">'Inputs'!$B$46</definedName>
    <definedName name="TaxAssessmentPct">'Inputs'!$B$47</definedName>
    <definedName name="TaxValueAdjFactor">'Inputs'!$B$48</definedName>
    <definedName name="TaxMethodValue">'Inputs'!$B$49</definedName>
    <definedName name="TaxYear1">'Inputs'!$B$50</definedName>
    <definedName name="ReassessOnSale">'Inputs'!$B$51</definedName>
    <definedName name="DispoTaxRatePct">'Inputs'!$B$52</definedName>
    <definedName name="FundingOrderPari">'Inputs'!$B$55</definedName>
    <definedName name="TargetLTC">'Inputs'!$B$56</definedName>
    <definedName name="OpReserveCoverage">'Inputs'!$B$57</definedName>
    <definedName name="OpReserveMinMonths">'Inputs'!$B$58</definedName>
    <definedName name="ConLoanTermMonths">'Inputs'!$B$61</definedName>
    <definedName name="ConRate">'Inputs'!$B$62</definedName>
    <definedName name="ConActual360">'Inputs'!$B$63</definedName>
    <definedName name="ConPointsPct">'Inputs'!$B$64</definedName>
    <definedName name="ConOtherCosts">'Inputs'!$B$65</definedName>
    <definedName name="ConMinDebtYield">'Inputs'!$B$66</definedName>
    <definedName name="ConMinDSCR">'Inputs'!$B$67</definedName>
    <definedName name="LenderReqReserveOverride">'Inputs'!$B$68</definedName>
    <definedName name="PermMaxLTV">'Inputs'!$B$71</definedName>
    <definedName name="PermRate">'Inputs'!$B$72</definedName>
    <definedName name="PermTermMonths">'Inputs'!$B$73</definedName>
    <definedName name="PermIOMonths">'Inputs'!$B$74</definedName>
    <definedName name="PermAmortMonths">'Inputs'!$B$75</definedName>
    <definedName name="PermActual360">'Inputs'!$B$76</definedName>
    <definedName name="PermPointsPct">'Inputs'!$B$77</definedName>
    <definedName name="PermMinDebtYield">'Inputs'!$B$78</definedName>
    <definedName name="PermMinDSCR">'Inputs'!$B$79</definedName>
    <definedName name="NoCashOut">'Inputs'!$B$80</definedName>
    <definedName name="RefiMonthOverride">'Inputs'!$B$81</definedName>
    <definedName name="DevFeePctDirect">'Inputs'!$B$84</definedName>
    <definedName name="DevFeeThirdPartySplit">'Inputs'!$B$85</definedName>
    <definedName name="SponsorDispoFeePct">'Inputs'!$B$86</definedName>
    <definedName name="RecourseFeePct">'Inputs'!$B$87</definedName>
    <definedName name="BrokerCostPct">'Inputs'!$B$90</definedName>
    <definedName name="SalesTaxPct">'Inputs'!$B$91</definedName>
    <definedName name="TaxProrationMonths">'Inputs'!$B$92</definedName>
    <definedName name="BadDebtPct">'Inputs'!$B$95</definedName>
    <definedName name="ConcessionsPct">'Inputs'!$B$96</definedName>
    <definedName name="LossToLeasePct">'Inputs'!$B$97</definedName>
    <definedName name="ModelUnits">'Inputs'!$B$98</definedName>
    <definedName name="ParkingPerUnitMo">'Inputs'!$B$99</definedName>
    <definedName name="RetailIncomeMo">'Inputs'!$B$100</definedName>
    <definedName name="UtilReimbPerUnitMo">'Inputs'!$B$101</definedName>
    <definedName name="OtherIncPerUnitMo">'Inputs'!$B$102</definedName>
    <definedName name="ExpInsurancePerUnit">'Inputs'!$B$105</definedName>
    <definedName name="ExpUtilitiesPerUnit">'Inputs'!$B$106</definedName>
    <definedName name="ExpPayrollPerUnit">'Inputs'!$B$107</definedName>
    <definedName name="ExpRMPerUnit">'Inputs'!$B$108</definedName>
    <definedName name="ExpTurnoverPerUnit">'Inputs'!$B$109</definedName>
    <definedName name="ExpContractPerUnit">'Inputs'!$B$110</definedName>
    <definedName name="ExpAdminPerUnit">'Inputs'!$B$111</definedName>
    <definedName name="ExpAdvertisingPerUnit">'Inputs'!$B$112</definedName>
    <definedName name="MgmtFeePct">'Inputs'!$B$113</definedName>
    <definedName name="CapReservePerUnit">'Inputs'!$B$114</definedName>
    <definedName name="TaxPrepPerUnit">'Inputs'!$B$115</definedName>
    <definedName name="AssetMgmtFeePct">'Inputs'!$B$116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'Budget'!$I$35</definedName>
    <definedName name="BudgetSoft">'Budget'!$I$36</definedName>
    <definedName name="BudgetHard">'Budget'!$I$37</definedName>
    <definedName name="DirectCosts">'Budget'!$I$38</definedName>
    <definedName name="DevFee">'Budget'!$I$39</definedName>
    <definedName name="BudgetTDCref">'Budget'!$I$40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RefiFlag">'Timeline'!$B$22</definedName>
    <definedName name="RefiMonth">'Timeline'!$B$23</definedName>
    <definedName name="ConPayoffMonth">'Timeline'!$B$24</definedName>
    <definedName name="Chk_CostCurve">'DevSpend'!$C$38</definedName>
    <definedName name="Chk_DevFeeCurve">'DevSpend'!$C$39</definedName>
    <definedName name="ConCostBasis">'ConLoan'!$B$4</definedName>
    <definedName name="MaxByLTC">'ConLoan'!$B$5</definedName>
    <definedName name="MaxByDebtYield">'ConLoan'!$B$6</definedName>
    <definedName name="MaxByDSCR">'ConLoan'!$B$7</definedName>
    <definedName name="ConCostCommit">'ConLoan'!$B$8</definedName>
    <definedName name="ConPoints">'ConLoan'!$B$9</definedName>
    <definedName name="RecourseFee">'ConLoan'!$B$10</definedName>
    <definedName name="ConCostExInt">'ConLoan'!$B$11</definedName>
    <definedName name="DebtShare">'ConLoan'!$B$12</definedName>
    <definedName name="EquityBudget">'ConLoan'!$B$13</definedName>
    <definedName name="ConDYtest">'ConLoan'!$B$16</definedName>
    <definedName name="ConDSCRtest">'ConLoan'!$B$17</definedName>
    <definedName name="ConRealizedLTC">'ConLoan'!$B$18</definedName>
    <definedName name="InterestReserveAccrued">'ConLoan'!$B$35</definedName>
    <definedName name="InterestReserveFunded">'ConLoan'!$B$36</definedName>
    <definedName name="ConLoanTotal">'ConLoan'!$B$37</definedName>
    <definedName name="ConPayoffBal">'ConLoan'!$B$38</definedName>
    <definedName name="TDC_Total">'ConLoan'!$B$39</definedName>
    <definedName name="EquityTotal">'ConLoan'!$B$40</definedName>
    <definedName name="LTC_Realized">'ConLoan'!$B$41</definedName>
    <definedName name="Chk_DebtDraws">'ConLoan'!$B$44</definedName>
    <definedName name="Chk_EquityDraws">'ConLoan'!$B$45</definedName>
    <definedName name="Chk_Uses">'ConLoan'!$B$46</definedName>
    <definedName name="Chk_ConBalEnd">'ConLoan'!$B$47</definedName>
    <definedName name="Chk_IntReserve">'ConLoan'!$B$48</definedName>
    <definedName name="StabLeasedTarget">'LeaseUp'!$B$3</definedName>
    <definedName name="Chk_LeaseUpReached">'LeaseUp'!$B$12</definedName>
    <definedName name="Chk_UnitsDelivered">'LeaseUp'!$B$13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mmm-yyyy"/>
    <numFmt numFmtId="165" formatCode="#,##0&quot; mo&quot;"/>
    <numFmt numFmtId="166" formatCode="0.0%"/>
    <numFmt numFmtId="167" formatCode="$#,##0;($#,##0)"/>
    <numFmt numFmtId="168" formatCode="0.00&quot;x&quot;"/>
    <numFmt numFmtId="169" formatCode="#,##0;(#,##0)"/>
    <numFmt numFmtId="170" formatCode="$#,##0.00;($#,##0.00)"/>
    <numFmt numFmtId="171" formatCode="0.0000%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69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169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5" fontId="4" fillId="0" borderId="0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9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10" fontId="9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0" fontId="9" fillId="5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inlineStr">
        <is>
          <t>2026-01-01</t>
        </is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9">
      <c r="A29" s="3" t="inlineStr">
        <is>
          <t>Unit Delivery &amp; Lease-Up</t>
        </is>
      </c>
      <c r="B29" s="4" t="n"/>
      <c r="C29" s="4" t="n"/>
    </row>
    <row r="30">
      <c r="A30" s="5" t="inlineStr">
        <is>
          <t>Lease Up Income Offset</t>
        </is>
      </c>
      <c r="B30" s="10" t="n">
        <v>1</v>
      </c>
      <c r="C30" s="2" t="inlineStr">
        <is>
          <t>1=offset lease-up income vs equity, 0=no</t>
        </is>
      </c>
    </row>
    <row r="31">
      <c r="A31" s="5" t="inlineStr">
        <is>
          <t>Units Delivered Per Mo</t>
        </is>
      </c>
      <c r="B31" s="10" t="n">
        <v>30</v>
      </c>
      <c r="C31" s="2" t="inlineStr">
        <is>
          <t>Units delivered per month</t>
        </is>
      </c>
    </row>
    <row r="32">
      <c r="A32" s="5" t="inlineStr">
        <is>
          <t>Units Leased Per Mo</t>
        </is>
      </c>
      <c r="B32" s="10" t="n">
        <v>18</v>
      </c>
      <c r="C32" s="2" t="inlineStr">
        <is>
          <t>Units absorbed (leased) per month</t>
        </is>
      </c>
    </row>
    <row r="33">
      <c r="A33" s="5" t="inlineStr">
        <is>
          <t>Lease Up Ramp Pct</t>
        </is>
      </c>
      <c r="B33" s="11" t="n">
        <v>0.6</v>
      </c>
      <c r="C33" s="2" t="inlineStr">
        <is>
          <t>Variable-opex ramp: % of stabilized during lease-up</t>
        </is>
      </c>
    </row>
    <row r="34">
      <c r="A34" s="5" t="inlineStr">
        <is>
          <t>Lease Up Elevation Pct</t>
        </is>
      </c>
      <c r="B34" s="11" t="n">
        <v>0.25</v>
      </c>
      <c r="C34" s="2" t="inlineStr">
        <is>
          <t>Elevated-opex uplift over stabilized during lease-up</t>
        </is>
      </c>
    </row>
    <row r="35">
      <c r="A35" s="5" t="inlineStr">
        <is>
          <t>Stabilized Occupancy</t>
        </is>
      </c>
      <c r="B35" s="11" t="n">
        <v>0.93</v>
      </c>
      <c r="C35" s="2" t="inlineStr">
        <is>
          <t>Physical occupancy at stabilization</t>
        </is>
      </c>
    </row>
    <row r="37">
      <c r="A37" s="3" t="inlineStr">
        <is>
          <t>Site Details</t>
        </is>
      </c>
      <c r="B37" s="4" t="n"/>
      <c r="C37" s="4" t="n"/>
    </row>
    <row r="38">
      <c r="A38" s="5" t="inlineStr">
        <is>
          <t>Land Cost</t>
        </is>
      </c>
      <c r="B38" s="12" t="n">
        <v>14000000</v>
      </c>
      <c r="C38" s="2" t="inlineStr">
        <is>
          <t>Total land cost</t>
        </is>
      </c>
    </row>
    <row r="39">
      <c r="A39" s="5" t="inlineStr">
        <is>
          <t>Gross Acres</t>
        </is>
      </c>
      <c r="B39" s="13" t="n">
        <v>9.5</v>
      </c>
      <c r="C39" s="2" t="inlineStr">
        <is>
          <t>Gross site acres</t>
        </is>
      </c>
    </row>
    <row r="40">
      <c r="A40" s="5" t="inlineStr">
        <is>
          <t>Net Acres</t>
        </is>
      </c>
      <c r="B40" s="13" t="n">
        <v>8</v>
      </c>
      <c r="C40" s="2" t="inlineStr">
        <is>
          <t>Net developable acres</t>
        </is>
      </c>
    </row>
    <row r="41">
      <c r="A41" s="5" t="inlineStr">
        <is>
          <t>FARRatio</t>
        </is>
      </c>
      <c r="B41" s="13" t="n">
        <v>1.75</v>
      </c>
      <c r="C41" s="2" t="inlineStr">
        <is>
          <t>Floor-area ratio</t>
        </is>
      </c>
    </row>
    <row r="42">
      <c r="A42" s="5" t="inlineStr">
        <is>
          <t>Efficiency Ratio</t>
        </is>
      </c>
      <c r="B42" s="11" t="n">
        <v>0.85</v>
      </c>
      <c r="C42" s="2" t="inlineStr">
        <is>
          <t>Net rentable / gross buildable</t>
        </is>
      </c>
    </row>
    <row r="43">
      <c r="A43" s="5" t="inlineStr">
        <is>
          <t>Existing Structure Cost</t>
        </is>
      </c>
      <c r="B43" s="12" t="n">
        <v>0</v>
      </c>
      <c r="C43" s="2" t="inlineStr">
        <is>
          <t>Demo / existing structure</t>
        </is>
      </c>
    </row>
    <row r="45">
      <c r="A45" s="3" t="inlineStr">
        <is>
          <t>Property Taxes</t>
        </is>
      </c>
      <c r="B45" s="4" t="n"/>
      <c r="C45" s="4" t="n"/>
    </row>
    <row r="46">
      <c r="A46" s="5" t="inlineStr">
        <is>
          <t>Tax Levy Pct</t>
        </is>
      </c>
      <c r="B46" s="9" t="n">
        <v>0.0185</v>
      </c>
      <c r="C46" s="2" t="inlineStr">
        <is>
          <t>Levy / mill rate (% of assessed)</t>
        </is>
      </c>
    </row>
    <row r="47">
      <c r="A47" s="5" t="inlineStr">
        <is>
          <t>Tax Assessment Pct</t>
        </is>
      </c>
      <c r="B47" s="11" t="n">
        <v>1</v>
      </c>
      <c r="C47" s="2" t="inlineStr">
        <is>
          <t>Assessment ratio (% of value)</t>
        </is>
      </c>
    </row>
    <row r="48">
      <c r="A48" s="5" t="inlineStr">
        <is>
          <t>Tax Value Adj Factor</t>
        </is>
      </c>
      <c r="B48" s="13" t="n">
        <v>1</v>
      </c>
      <c r="C48" s="2" t="inlineStr">
        <is>
          <t>Value-adjustment factor</t>
        </is>
      </c>
    </row>
    <row r="49">
      <c r="A49" s="5" t="inlineStr">
        <is>
          <t>Tax Method Value</t>
        </is>
      </c>
      <c r="B49" s="10" t="n">
        <v>1</v>
      </c>
      <c r="C49" s="2" t="inlineStr">
        <is>
          <t>Post-stab method: 1=value approach, 0=income approach</t>
        </is>
      </c>
    </row>
    <row r="50">
      <c r="A50" s="5" t="inlineStr">
        <is>
          <t>Tax Year1</t>
        </is>
      </c>
      <c r="B50" s="12" t="n">
        <v>650000</v>
      </c>
      <c r="C50" s="2" t="inlineStr">
        <is>
          <t>Year-1 stabilized tax (value approach)</t>
        </is>
      </c>
    </row>
    <row r="51">
      <c r="A51" s="5" t="inlineStr">
        <is>
          <t>Reassess On Sale</t>
        </is>
      </c>
      <c r="B51" s="10" t="n">
        <v>1</v>
      </c>
      <c r="C51" s="2" t="inlineStr">
        <is>
          <t>1=reassess buyer taxes on sale value, 0=in-place</t>
        </is>
      </c>
    </row>
    <row r="52">
      <c r="A52" s="5" t="inlineStr">
        <is>
          <t>Dispo Tax Rate Pct</t>
        </is>
      </c>
      <c r="B52" s="9" t="n">
        <v>0.0185</v>
      </c>
      <c r="C52" s="2" t="inlineStr">
        <is>
          <t>Disposition-period effective tax rate on value</t>
        </is>
      </c>
    </row>
    <row r="54">
      <c r="A54" s="3" t="inlineStr">
        <is>
          <t>Capitalization &amp; Funding</t>
        </is>
      </c>
      <c r="B54" s="4" t="n"/>
      <c r="C54" s="4" t="n"/>
    </row>
    <row r="55">
      <c r="A55" s="5" t="inlineStr">
        <is>
          <t>Funding Order Pari</t>
        </is>
      </c>
      <c r="B55" s="10" t="n">
        <v>0</v>
      </c>
      <c r="C55" s="2" t="inlineStr">
        <is>
          <t>1=pari-passu, 0=equity-first</t>
        </is>
      </c>
    </row>
    <row r="56">
      <c r="A56" s="5" t="inlineStr">
        <is>
          <t>Target LTC</t>
        </is>
      </c>
      <c r="B56" s="9" t="n">
        <v>0.65</v>
      </c>
      <c r="C56" s="2" t="inlineStr">
        <is>
          <t>Target construction loan-to-cost</t>
        </is>
      </c>
    </row>
    <row r="57">
      <c r="A57" s="5" t="inlineStr">
        <is>
          <t>Op Reserve Coverage</t>
        </is>
      </c>
      <c r="B57" s="14" t="n">
        <v>1.1</v>
      </c>
      <c r="C57" s="2" t="inlineStr">
        <is>
          <t>Operating reserve coverage multiple on peak shortfall</t>
        </is>
      </c>
    </row>
    <row r="58">
      <c r="A58" s="5" t="inlineStr">
        <is>
          <t>Op Reserve Min Months</t>
        </is>
      </c>
      <c r="B58" s="10" t="n">
        <v>3</v>
      </c>
      <c r="C58" s="2" t="inlineStr">
        <is>
          <t>Minimum months of stabilized opex floor for reserve</t>
        </is>
      </c>
    </row>
    <row r="60">
      <c r="A60" s="3" t="inlineStr">
        <is>
          <t>Construction Loan</t>
        </is>
      </c>
      <c r="B60" s="4" t="n"/>
      <c r="C60" s="4" t="n"/>
    </row>
    <row r="61">
      <c r="A61" s="5" t="inlineStr">
        <is>
          <t>Con Loan Term Months</t>
        </is>
      </c>
      <c r="B61" s="8" t="n">
        <v>36</v>
      </c>
      <c r="C61" s="2" t="inlineStr">
        <is>
          <t>Construction loan term</t>
        </is>
      </c>
    </row>
    <row r="62">
      <c r="A62" s="5" t="inlineStr">
        <is>
          <t>Con Rate</t>
        </is>
      </c>
      <c r="B62" s="9" t="n">
        <v>0.08500000000000001</v>
      </c>
      <c r="C62" s="2" t="inlineStr">
        <is>
          <t>Construction interest rate (annual)</t>
        </is>
      </c>
    </row>
    <row r="63">
      <c r="A63" s="5" t="inlineStr">
        <is>
          <t>Con Actual360</t>
        </is>
      </c>
      <c r="B63" s="10" t="n">
        <v>1</v>
      </c>
      <c r="C63" s="2" t="inlineStr">
        <is>
          <t>1=Actual/360, 0=30/360</t>
        </is>
      </c>
    </row>
    <row r="64">
      <c r="A64" s="5" t="inlineStr">
        <is>
          <t>Con Points Pct</t>
        </is>
      </c>
      <c r="B64" s="9" t="n">
        <v>0.01</v>
      </c>
      <c r="C64" s="2" t="inlineStr">
        <is>
          <t>Origination points</t>
        </is>
      </c>
    </row>
    <row r="65">
      <c r="A65" s="5" t="inlineStr">
        <is>
          <t>Con Other Costs</t>
        </is>
      </c>
      <c r="B65" s="12" t="n">
        <v>250000</v>
      </c>
      <c r="C65" s="2" t="inlineStr">
        <is>
          <t>Other construction loan costs</t>
        </is>
      </c>
    </row>
    <row r="66">
      <c r="A66" s="5" t="inlineStr">
        <is>
          <t>Con Min Debt Yield</t>
        </is>
      </c>
      <c r="B66" s="9" t="n">
        <v>0.07000000000000001</v>
      </c>
      <c r="C66" s="2" t="inlineStr">
        <is>
          <t>Min stabilized debt yield (sizing)</t>
        </is>
      </c>
    </row>
    <row r="67">
      <c r="A67" s="5" t="inlineStr">
        <is>
          <t>Con Min DSCR</t>
        </is>
      </c>
      <c r="B67" s="14" t="n">
        <v>1.2</v>
      </c>
      <c r="C67" s="2" t="inlineStr">
        <is>
          <t>Min DSCR at target (sizing)</t>
        </is>
      </c>
    </row>
    <row r="68">
      <c r="A68" s="5" t="inlineStr">
        <is>
          <t>Lender Req Reserve Override</t>
        </is>
      </c>
      <c r="B68" s="12" t="n">
        <v>0</v>
      </c>
      <c r="C68" s="2" t="inlineStr">
        <is>
          <t>If &gt;0, overrides computed interest reserve</t>
        </is>
      </c>
    </row>
    <row r="70">
      <c r="A70" s="3" t="inlineStr">
        <is>
          <t>Permanent Loan (Refinance)</t>
        </is>
      </c>
      <c r="B70" s="4" t="n"/>
      <c r="C70" s="4" t="n"/>
    </row>
    <row r="71">
      <c r="A71" s="5" t="inlineStr">
        <is>
          <t>Perm Max LTV</t>
        </is>
      </c>
      <c r="B71" s="9" t="n">
        <v>0.65</v>
      </c>
      <c r="C71" s="2" t="inlineStr">
        <is>
          <t>Max permanent loan-to-value</t>
        </is>
      </c>
    </row>
    <row r="72">
      <c r="A72" s="5" t="inlineStr">
        <is>
          <t>Perm Rate</t>
        </is>
      </c>
      <c r="B72" s="9" t="n">
        <v>0.0625</v>
      </c>
      <c r="C72" s="2" t="inlineStr">
        <is>
          <t>Permanent interest rate (annual)</t>
        </is>
      </c>
    </row>
    <row r="73">
      <c r="A73" s="5" t="inlineStr">
        <is>
          <t>Perm Term Months</t>
        </is>
      </c>
      <c r="B73" s="8" t="n">
        <v>360</v>
      </c>
      <c r="C73" s="2" t="inlineStr">
        <is>
          <t>Permanent loan term</t>
        </is>
      </c>
    </row>
    <row r="74">
      <c r="A74" s="5" t="inlineStr">
        <is>
          <t>Perm IOMonths</t>
        </is>
      </c>
      <c r="B74" s="8" t="n">
        <v>24</v>
      </c>
      <c r="C74" s="2" t="inlineStr">
        <is>
          <t>Permanent interest-only period</t>
        </is>
      </c>
    </row>
    <row r="75">
      <c r="A75" s="5" t="inlineStr">
        <is>
          <t>Perm Amort Months</t>
        </is>
      </c>
      <c r="B75" s="8" t="n">
        <v>360</v>
      </c>
      <c r="C75" s="2" t="inlineStr">
        <is>
          <t>Permanent amortization period</t>
        </is>
      </c>
    </row>
    <row r="76">
      <c r="A76" s="5" t="inlineStr">
        <is>
          <t>Perm Actual360</t>
        </is>
      </c>
      <c r="B76" s="10" t="n">
        <v>0</v>
      </c>
      <c r="C76" s="2" t="inlineStr">
        <is>
          <t>1=Actual/360, 0=30/360</t>
        </is>
      </c>
    </row>
    <row r="77">
      <c r="A77" s="5" t="inlineStr">
        <is>
          <t>Perm Points Pct</t>
        </is>
      </c>
      <c r="B77" s="9" t="n">
        <v>0.0075</v>
      </c>
      <c r="C77" s="2" t="inlineStr">
        <is>
          <t>Permanent loan points</t>
        </is>
      </c>
    </row>
    <row r="78">
      <c r="A78" s="5" t="inlineStr">
        <is>
          <t>Perm Min Debt Yield</t>
        </is>
      </c>
      <c r="B78" s="9" t="n">
        <v>0.08</v>
      </c>
      <c r="C78" s="2" t="inlineStr">
        <is>
          <t>Min debt yield at refi (sizing)</t>
        </is>
      </c>
    </row>
    <row r="79">
      <c r="A79" s="5" t="inlineStr">
        <is>
          <t>Perm Min DSCR</t>
        </is>
      </c>
      <c r="B79" s="14" t="n">
        <v>1.15</v>
      </c>
      <c r="C79" s="2" t="inlineStr">
        <is>
          <t>Min DSCR at refi (sizing)</t>
        </is>
      </c>
    </row>
    <row r="80">
      <c r="A80" s="5" t="inlineStr">
        <is>
          <t>No Cash Out</t>
        </is>
      </c>
      <c r="B80" s="10" t="n">
        <v>0</v>
      </c>
      <c r="C80" s="2" t="inlineStr">
        <is>
          <t>1=size perm so net cash at refi = 0</t>
        </is>
      </c>
    </row>
    <row r="81">
      <c r="A81" s="5" t="inlineStr">
        <is>
          <t>Refi Month Override</t>
        </is>
      </c>
      <c r="B81" s="10" t="n">
        <v>0</v>
      </c>
      <c r="C81" s="2" t="inlineStr">
        <is>
          <t>If &gt;0, override refi month (else = con maturity)</t>
        </is>
      </c>
    </row>
    <row r="83">
      <c r="A83" s="3" t="inlineStr">
        <is>
          <t>Sponsor Fees</t>
        </is>
      </c>
      <c r="B83" s="4" t="n"/>
      <c r="C83" s="4" t="n"/>
    </row>
    <row r="84">
      <c r="A84" s="5" t="inlineStr">
        <is>
          <t>Dev Fee Pct Direct</t>
        </is>
      </c>
      <c r="B84" s="9" t="n">
        <v>0.04</v>
      </c>
      <c r="C84" s="2" t="inlineStr">
        <is>
          <t>Development fee % of direct costs</t>
        </is>
      </c>
    </row>
    <row r="85">
      <c r="A85" s="5" t="inlineStr">
        <is>
          <t>Dev Fee Third Party Split</t>
        </is>
      </c>
      <c r="B85" s="9" t="n">
        <v>0</v>
      </c>
      <c r="C85" s="2" t="inlineStr">
        <is>
          <t>Portion of dev fee paid to 3rd party</t>
        </is>
      </c>
    </row>
    <row r="86">
      <c r="A86" s="5" t="inlineStr">
        <is>
          <t>Sponsor Dispo Fee Pct</t>
        </is>
      </c>
      <c r="B86" s="9" t="n">
        <v>0.01</v>
      </c>
      <c r="C86" s="2" t="inlineStr">
        <is>
          <t>Sponsor disposition fee % of sale</t>
        </is>
      </c>
    </row>
    <row r="87">
      <c r="A87" s="5" t="inlineStr">
        <is>
          <t>Recourse Fee Pct</t>
        </is>
      </c>
      <c r="B87" s="9" t="n">
        <v>0.0025</v>
      </c>
      <c r="C87" s="2" t="inlineStr">
        <is>
          <t>Loan recourse / indemnity fee % of loan</t>
        </is>
      </c>
    </row>
    <row r="89">
      <c r="A89" s="3" t="inlineStr">
        <is>
          <t>Disposition &amp; Sale</t>
        </is>
      </c>
      <c r="B89" s="4" t="n"/>
      <c r="C89" s="4" t="n"/>
    </row>
    <row r="90">
      <c r="A90" s="5" t="inlineStr">
        <is>
          <t>Broker Cost Pct</t>
        </is>
      </c>
      <c r="B90" s="9" t="n">
        <v>0.015</v>
      </c>
      <c r="C90" s="2" t="inlineStr">
        <is>
          <t>Broker / sale cost % of gross sale</t>
        </is>
      </c>
    </row>
    <row r="91">
      <c r="A91" s="5" t="inlineStr">
        <is>
          <t>Sales Tax Pct</t>
        </is>
      </c>
      <c r="B91" s="9" t="n">
        <v>0</v>
      </c>
      <c r="C91" s="2" t="inlineStr">
        <is>
          <t>Transfer / sales tax % of gross sale</t>
        </is>
      </c>
    </row>
    <row r="92">
      <c r="A92" s="5" t="inlineStr">
        <is>
          <t>Tax Proration Months</t>
        </is>
      </c>
      <c r="B92" s="8" t="n">
        <v>2</v>
      </c>
      <c r="C92" s="2" t="inlineStr">
        <is>
          <t>Property-tax proration at sale (months)</t>
        </is>
      </c>
    </row>
    <row r="94">
      <c r="A94" s="3" t="inlineStr">
        <is>
          <t>Stabilized Revenue (other income)</t>
        </is>
      </c>
      <c r="B94" s="4" t="n"/>
      <c r="C94" s="4" t="n"/>
    </row>
    <row r="95">
      <c r="A95" s="5" t="inlineStr">
        <is>
          <t>Bad Debt Pct</t>
        </is>
      </c>
      <c r="B95" s="9" t="n">
        <v>0.005</v>
      </c>
      <c r="C95" s="2" t="inlineStr">
        <is>
          <t>Bad debt % of GPR</t>
        </is>
      </c>
    </row>
    <row r="96">
      <c r="A96" s="5" t="inlineStr">
        <is>
          <t>Concessions Pct</t>
        </is>
      </c>
      <c r="B96" s="9" t="n">
        <v>0.01</v>
      </c>
      <c r="C96" s="2" t="inlineStr">
        <is>
          <t>Concessions % of GPR</t>
        </is>
      </c>
    </row>
    <row r="97">
      <c r="A97" s="5" t="inlineStr">
        <is>
          <t>Loss To Lease Pct</t>
        </is>
      </c>
      <c r="B97" s="9" t="n">
        <v>0.01</v>
      </c>
      <c r="C97" s="2" t="inlineStr">
        <is>
          <t>Gain/loss-to-lease % of GPR</t>
        </is>
      </c>
    </row>
    <row r="98">
      <c r="A98" s="5" t="inlineStr">
        <is>
          <t>Model Units</t>
        </is>
      </c>
      <c r="B98" s="10" t="n">
        <v>1</v>
      </c>
      <c r="C98" s="2" t="inlineStr">
        <is>
          <t>Down / model units (non-revenue)</t>
        </is>
      </c>
    </row>
    <row r="99">
      <c r="A99" s="5" t="inlineStr">
        <is>
          <t>Parking Per Unit Mo</t>
        </is>
      </c>
      <c r="B99" s="12" t="n">
        <v>35</v>
      </c>
      <c r="C99" s="2" t="inlineStr">
        <is>
          <t>Parking &amp; storage income $/unit/mo</t>
        </is>
      </c>
    </row>
    <row r="100">
      <c r="A100" s="5" t="inlineStr">
        <is>
          <t>Retail Income Mo</t>
        </is>
      </c>
      <c r="B100" s="12" t="n">
        <v>18000</v>
      </c>
      <c r="C100" s="2" t="inlineStr">
        <is>
          <t>Retail income $/mo (stabilized)</t>
        </is>
      </c>
    </row>
    <row r="101">
      <c r="A101" s="5" t="inlineStr">
        <is>
          <t>Util Reimb Per Unit Mo</t>
        </is>
      </c>
      <c r="B101" s="12" t="n">
        <v>45</v>
      </c>
      <c r="C101" s="2" t="inlineStr">
        <is>
          <t>Utility reimbursement $/unit/mo</t>
        </is>
      </c>
    </row>
    <row r="102">
      <c r="A102" s="5" t="inlineStr">
        <is>
          <t>Other Inc Per Unit Mo</t>
        </is>
      </c>
      <c r="B102" s="12" t="n">
        <v>25</v>
      </c>
      <c r="C102" s="2" t="inlineStr">
        <is>
          <t>Other income $/unit/mo</t>
        </is>
      </c>
    </row>
    <row r="104">
      <c r="A104" s="3" t="inlineStr">
        <is>
          <t>Stabilized Operating Expenses (annual)</t>
        </is>
      </c>
      <c r="B104" s="4" t="n"/>
      <c r="C104" s="4" t="n"/>
    </row>
    <row r="105">
      <c r="A105" s="5" t="inlineStr">
        <is>
          <t>Exp Insurance Per Unit</t>
        </is>
      </c>
      <c r="B105" s="12" t="n">
        <v>425</v>
      </c>
      <c r="C105" s="2" t="inlineStr">
        <is>
          <t>Insurance $/unit/yr</t>
        </is>
      </c>
    </row>
    <row r="106">
      <c r="A106" s="5" t="inlineStr">
        <is>
          <t>Exp Utilities Per Unit</t>
        </is>
      </c>
      <c r="B106" s="12" t="n">
        <v>900</v>
      </c>
      <c r="C106" s="2" t="inlineStr">
        <is>
          <t>Utilities $/unit/yr (variable)</t>
        </is>
      </c>
    </row>
    <row r="107">
      <c r="A107" s="5" t="inlineStr">
        <is>
          <t>Exp Payroll Per Unit</t>
        </is>
      </c>
      <c r="B107" s="12" t="n">
        <v>1300</v>
      </c>
      <c r="C107" s="2" t="inlineStr">
        <is>
          <t>Payroll $/unit/yr (elevated in lease-up)</t>
        </is>
      </c>
    </row>
    <row r="108">
      <c r="A108" s="5" t="inlineStr">
        <is>
          <t>Exp RMPer Unit</t>
        </is>
      </c>
      <c r="B108" s="12" t="n">
        <v>650</v>
      </c>
      <c r="C108" s="2" t="inlineStr">
        <is>
          <t>Repairs &amp; maintenance $/unit/yr (variable)</t>
        </is>
      </c>
    </row>
    <row r="109">
      <c r="A109" s="5" t="inlineStr">
        <is>
          <t>Exp Turnover Per Unit</t>
        </is>
      </c>
      <c r="B109" s="12" t="n">
        <v>250</v>
      </c>
      <c r="C109" s="2" t="inlineStr">
        <is>
          <t>Turnover $/unit/yr (variable)</t>
        </is>
      </c>
    </row>
    <row r="110">
      <c r="A110" s="5" t="inlineStr">
        <is>
          <t>Exp Contract Per Unit</t>
        </is>
      </c>
      <c r="B110" s="12" t="n">
        <v>500</v>
      </c>
      <c r="C110" s="2" t="inlineStr">
        <is>
          <t>Contract services $/unit/yr (variable)</t>
        </is>
      </c>
    </row>
    <row r="111">
      <c r="A111" s="5" t="inlineStr">
        <is>
          <t>Exp Admin Per Unit</t>
        </is>
      </c>
      <c r="B111" s="12" t="n">
        <v>300</v>
      </c>
      <c r="C111" s="2" t="inlineStr">
        <is>
          <t>Admin &amp; legal $/unit/yr</t>
        </is>
      </c>
    </row>
    <row r="112">
      <c r="A112" s="5" t="inlineStr">
        <is>
          <t>Exp Advertising Per Unit</t>
        </is>
      </c>
      <c r="B112" s="12" t="n">
        <v>200</v>
      </c>
      <c r="C112" s="2" t="inlineStr">
        <is>
          <t>Advertising $/unit/yr (elevated in lease-up)</t>
        </is>
      </c>
    </row>
    <row r="113">
      <c r="A113" s="5" t="inlineStr">
        <is>
          <t>Mgmt Fee Pct</t>
        </is>
      </c>
      <c r="B113" s="9" t="n">
        <v>0.03</v>
      </c>
      <c r="C113" s="2" t="inlineStr">
        <is>
          <t>Management fee % of EGI</t>
        </is>
      </c>
    </row>
    <row r="114">
      <c r="A114" s="5" t="inlineStr">
        <is>
          <t>Cap Reserve Per Unit</t>
        </is>
      </c>
      <c r="B114" s="12" t="n">
        <v>250</v>
      </c>
      <c r="C114" s="2" t="inlineStr">
        <is>
          <t>Capital reserves $/unit/yr (below NOI)</t>
        </is>
      </c>
    </row>
    <row r="115">
      <c r="A115" s="5" t="inlineStr">
        <is>
          <t>Tax Prep Per Unit</t>
        </is>
      </c>
      <c r="B115" s="12" t="n">
        <v>15</v>
      </c>
      <c r="C115" s="2" t="inlineStr">
        <is>
          <t>Tax prep $/unit/yr (below NOI)</t>
        </is>
      </c>
    </row>
    <row r="116">
      <c r="A116" s="5" t="inlineStr">
        <is>
          <t>Asset Mgmt Fee Pct</t>
        </is>
      </c>
      <c r="B116" s="9" t="n">
        <v>0.01</v>
      </c>
      <c r="C116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Property Taxes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700000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Insurance (Dev)</t>
        </is>
      </c>
      <c r="B14" s="5" t="inlineStr">
        <is>
          <t>Soft</t>
        </is>
      </c>
      <c r="C14" s="5" t="inlineStr">
        <is>
          <t>Soft</t>
        </is>
      </c>
      <c r="D14" s="6" t="inlineStr">
        <is>
          <t>abs</t>
        </is>
      </c>
      <c r="E14" s="29" t="n">
        <v>500000</v>
      </c>
      <c r="F14" s="6" t="inlineStr">
        <is>
          <t>Construction</t>
        </is>
      </c>
      <c r="G14" s="6" t="inlineStr">
        <is>
          <t>Straight_Line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GC Contract (Hard)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sf</t>
        </is>
      </c>
      <c r="E15" s="13" t="n">
        <v>200</v>
      </c>
      <c r="F15" s="6" t="inlineStr">
        <is>
          <t>Construction</t>
        </is>
      </c>
      <c r="G15" s="6" t="inlineStr">
        <is>
          <t>Bell_Curve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Off-Site Improvements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1200000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Utilities &amp; Hookups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900000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Builder's Risk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abs</t>
        </is>
      </c>
      <c r="E18" s="29" t="n">
        <v>350000</v>
      </c>
      <c r="F18" s="6" t="inlineStr">
        <is>
          <t>Construction</t>
        </is>
      </c>
      <c r="G18" s="6" t="inlineStr">
        <is>
          <t>Straight_Line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Hard Cost Contingency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10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GC Fee</t>
        </is>
      </c>
      <c r="B20" s="5" t="inlineStr">
        <is>
          <t>Hard</t>
        </is>
      </c>
      <c r="C20" s="5" t="inlineStr">
        <is>
          <t>Hard</t>
        </is>
      </c>
      <c r="D20" s="6" t="inlineStr">
        <is>
          <t>sf</t>
        </is>
      </c>
      <c r="E20" s="13" t="n">
        <v>12</v>
      </c>
      <c r="F20" s="6" t="inlineStr">
        <is>
          <t>Construction</t>
        </is>
      </c>
      <c r="G20" s="6" t="inlineStr">
        <is>
          <t>Bell_Curve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1 - FF&amp;E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unit</t>
        </is>
      </c>
      <c r="E21" s="13" t="n">
        <v>800</v>
      </c>
      <c r="F21" s="6" t="inlineStr">
        <is>
          <t>Pre-Construction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2 - Permits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250000</v>
      </c>
      <c r="F22" s="6" t="inlineStr">
        <is>
          <t>Entitlement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3 - Testing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120000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4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5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Soft Cost 6</t>
        </is>
      </c>
      <c r="B26" s="5" t="inlineStr">
        <is>
          <t>Soft</t>
        </is>
      </c>
      <c r="C26" s="5" t="inlineStr">
        <is>
          <t>Soft</t>
        </is>
      </c>
      <c r="D26" s="6" t="inlineStr">
        <is>
          <t>abs</t>
        </is>
      </c>
      <c r="E26" s="29" t="n">
        <v>0</v>
      </c>
      <c r="F26" s="6" t="inlineStr">
        <is>
          <t>Construction</t>
        </is>
      </c>
      <c r="G26" s="6" t="inlineStr">
        <is>
          <t>Straight_Line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1 - Landscape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650000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2 - Amenity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900000</v>
      </c>
      <c r="F28" s="6" t="inlineStr">
        <is>
          <t>Construction</t>
        </is>
      </c>
      <c r="G28" s="6" t="inlineStr">
        <is>
          <t>Bell_Curve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3 - Signage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150000</v>
      </c>
      <c r="F29" s="6" t="inlineStr">
        <is>
          <t>Construction</t>
        </is>
      </c>
      <c r="G29" s="6" t="inlineStr">
        <is>
          <t>Straight_Line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4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5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2">
      <c r="A32" s="5" t="inlineStr">
        <is>
          <t>Other Hard Cost 6</t>
        </is>
      </c>
      <c r="B32" s="5" t="inlineStr">
        <is>
          <t>Hard</t>
        </is>
      </c>
      <c r="C32" s="5" t="inlineStr">
        <is>
          <t>Hard</t>
        </is>
      </c>
      <c r="D32" s="6" t="inlineStr">
        <is>
          <t>abs</t>
        </is>
      </c>
      <c r="E32" s="29" t="n">
        <v>0</v>
      </c>
      <c r="F32" s="6" t="inlineStr">
        <is>
          <t>Construction</t>
        </is>
      </c>
      <c r="G32" s="6" t="inlineStr">
        <is>
          <t>Bell_Curve</t>
        </is>
      </c>
      <c r="H32" s="10" t="n">
        <v>0</v>
      </c>
      <c r="I32" s="18">
        <f>IF(D32="abs",E32,IF(D32="unit",E32*TotalUnits,IF(D32="sf",E32*NRSF,E32)))</f>
        <v/>
      </c>
      <c r="J32" s="18">
        <f>IF(TotalUnits=0,0,I32/TotalUnits)</f>
        <v/>
      </c>
      <c r="K32" s="19">
        <f>IF(NRSF=0,0,I32/NRSF)</f>
        <v/>
      </c>
    </row>
    <row r="34">
      <c r="A34" s="15" t="inlineStr">
        <is>
          <t>Budget Summary</t>
        </is>
      </c>
      <c r="B34" s="23" t="n"/>
      <c r="C34" s="23" t="n"/>
      <c r="D34" s="23" t="n"/>
    </row>
    <row r="35">
      <c r="A35" s="21" t="inlineStr">
        <is>
          <t>Land</t>
        </is>
      </c>
      <c r="I35" s="30">
        <f>SUMIF(B5:B32,"Land",I5:I32)</f>
        <v/>
      </c>
    </row>
    <row r="36">
      <c r="A36" s="21" t="inlineStr">
        <is>
          <t>Soft Costs</t>
        </is>
      </c>
      <c r="I36" s="30">
        <f>SUMIF(B5:B32,"Soft",I5:I32)</f>
        <v/>
      </c>
    </row>
    <row r="37">
      <c r="A37" s="21" t="inlineStr">
        <is>
          <t>Hard Costs</t>
        </is>
      </c>
      <c r="I37" s="30">
        <f>SUMIF(B5:B32,"Hard",I5:I32)</f>
        <v/>
      </c>
    </row>
    <row r="38">
      <c r="A38" s="21" t="inlineStr">
        <is>
          <t>Direct Costs (subtotal)</t>
        </is>
      </c>
      <c r="I38" s="30">
        <f>SUM(I5:I32)</f>
        <v/>
      </c>
    </row>
    <row r="39">
      <c r="A39" s="21" t="inlineStr">
        <is>
          <t>Sponsor Development Fee</t>
        </is>
      </c>
      <c r="I39" s="30">
        <f>DevFeePctDirect*DirectCosts</f>
        <v/>
      </c>
    </row>
    <row r="40">
      <c r="A40" s="21" t="inlineStr">
        <is>
          <t>Total Development Cost (per Diagnostics)</t>
        </is>
      </c>
      <c r="I40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2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Refi Flag (1=refi,0=sell)</t>
        </is>
      </c>
      <c r="B22" s="35">
        <f>IF(DispoMonth&gt;ConMaturity,1,0)</f>
        <v/>
      </c>
    </row>
    <row r="23">
      <c r="A23" s="5" t="inlineStr">
        <is>
          <t>Refi Month</t>
        </is>
      </c>
      <c r="B23" s="34">
        <f>IF(RefiFlag=1,MIN(ConMaturity,IF(RefiMonthOverride&gt;0,RefiMonthOverride,ConMaturity)),0)</f>
        <v/>
      </c>
    </row>
    <row r="24">
      <c r="A24" s="5" t="inlineStr">
        <is>
          <t>Con Payoff Month</t>
        </is>
      </c>
      <c r="B24" s="34">
        <f>IF(RefiFlag=1,RefiMonth,DispoMonth)</f>
        <v/>
      </c>
    </row>
    <row r="26">
      <c r="A26" s="3" t="inlineStr">
        <is>
          <t>Monthly Period Grid</t>
        </is>
      </c>
      <c r="B26" s="4" t="n"/>
      <c r="C26" s="4" t="n"/>
    </row>
    <row r="27">
      <c r="A27" s="36" t="inlineStr">
        <is>
          <t>Period →</t>
        </is>
      </c>
      <c r="C27" s="27" t="inlineStr">
        <is>
          <t>Total</t>
        </is>
      </c>
      <c r="D27" s="37" t="n">
        <v>1</v>
      </c>
      <c r="E27" s="37" t="n">
        <v>2</v>
      </c>
      <c r="F27" s="37" t="n">
        <v>3</v>
      </c>
      <c r="G27" s="37" t="n">
        <v>4</v>
      </c>
      <c r="H27" s="37" t="n">
        <v>5</v>
      </c>
      <c r="I27" s="37" t="n">
        <v>6</v>
      </c>
      <c r="J27" s="37" t="n">
        <v>7</v>
      </c>
      <c r="K27" s="37" t="n">
        <v>8</v>
      </c>
      <c r="L27" s="37" t="n">
        <v>9</v>
      </c>
      <c r="M27" s="37" t="n">
        <v>10</v>
      </c>
      <c r="N27" s="37" t="n">
        <v>11</v>
      </c>
      <c r="O27" s="37" t="n">
        <v>12</v>
      </c>
      <c r="P27" s="37" t="n">
        <v>13</v>
      </c>
      <c r="Q27" s="37" t="n">
        <v>14</v>
      </c>
      <c r="R27" s="37" t="n">
        <v>15</v>
      </c>
      <c r="S27" s="37" t="n">
        <v>16</v>
      </c>
      <c r="T27" s="37" t="n">
        <v>17</v>
      </c>
      <c r="U27" s="37" t="n">
        <v>18</v>
      </c>
      <c r="V27" s="37" t="n">
        <v>19</v>
      </c>
      <c r="W27" s="37" t="n">
        <v>20</v>
      </c>
      <c r="X27" s="37" t="n">
        <v>21</v>
      </c>
      <c r="Y27" s="37" t="n">
        <v>22</v>
      </c>
      <c r="Z27" s="37" t="n">
        <v>23</v>
      </c>
      <c r="AA27" s="37" t="n">
        <v>24</v>
      </c>
      <c r="AB27" s="37" t="n">
        <v>25</v>
      </c>
      <c r="AC27" s="37" t="n">
        <v>26</v>
      </c>
      <c r="AD27" s="37" t="n">
        <v>27</v>
      </c>
      <c r="AE27" s="37" t="n">
        <v>28</v>
      </c>
      <c r="AF27" s="37" t="n">
        <v>29</v>
      </c>
      <c r="AG27" s="37" t="n">
        <v>30</v>
      </c>
      <c r="AH27" s="37" t="n">
        <v>31</v>
      </c>
      <c r="AI27" s="37" t="n">
        <v>32</v>
      </c>
      <c r="AJ27" s="37" t="n">
        <v>33</v>
      </c>
      <c r="AK27" s="37" t="n">
        <v>34</v>
      </c>
      <c r="AL27" s="37" t="n">
        <v>35</v>
      </c>
      <c r="AM27" s="37" t="n">
        <v>36</v>
      </c>
      <c r="AN27" s="37" t="n">
        <v>37</v>
      </c>
      <c r="AO27" s="37" t="n">
        <v>38</v>
      </c>
      <c r="AP27" s="37" t="n">
        <v>39</v>
      </c>
      <c r="AQ27" s="37" t="n">
        <v>40</v>
      </c>
      <c r="AR27" s="37" t="n">
        <v>41</v>
      </c>
      <c r="AS27" s="37" t="n">
        <v>42</v>
      </c>
      <c r="AT27" s="37" t="n">
        <v>43</v>
      </c>
      <c r="AU27" s="37" t="n">
        <v>44</v>
      </c>
      <c r="AV27" s="37" t="n">
        <v>45</v>
      </c>
      <c r="AW27" s="37" t="n">
        <v>46</v>
      </c>
      <c r="AX27" s="37" t="n">
        <v>47</v>
      </c>
      <c r="AY27" s="37" t="n">
        <v>48</v>
      </c>
      <c r="AZ27" s="37" t="n">
        <v>49</v>
      </c>
      <c r="BA27" s="37" t="n">
        <v>50</v>
      </c>
      <c r="BB27" s="37" t="n">
        <v>51</v>
      </c>
      <c r="BC27" s="37" t="n">
        <v>52</v>
      </c>
      <c r="BD27" s="37" t="n">
        <v>53</v>
      </c>
      <c r="BE27" s="37" t="n">
        <v>54</v>
      </c>
      <c r="BF27" s="37" t="n">
        <v>55</v>
      </c>
      <c r="BG27" s="37" t="n">
        <v>56</v>
      </c>
      <c r="BH27" s="37" t="n">
        <v>57</v>
      </c>
      <c r="BI27" s="37" t="n">
        <v>58</v>
      </c>
      <c r="BJ27" s="37" t="n">
        <v>59</v>
      </c>
      <c r="BK27" s="37" t="n">
        <v>60</v>
      </c>
      <c r="BL27" s="37" t="n">
        <v>61</v>
      </c>
      <c r="BM27" s="37" t="n">
        <v>62</v>
      </c>
      <c r="BN27" s="37" t="n">
        <v>63</v>
      </c>
      <c r="BO27" s="37" t="n">
        <v>64</v>
      </c>
      <c r="BP27" s="37" t="n">
        <v>65</v>
      </c>
      <c r="BQ27" s="37" t="n">
        <v>66</v>
      </c>
      <c r="BR27" s="37" t="n">
        <v>67</v>
      </c>
      <c r="BS27" s="37" t="n">
        <v>68</v>
      </c>
      <c r="BT27" s="37" t="n">
        <v>69</v>
      </c>
      <c r="BU27" s="37" t="n">
        <v>70</v>
      </c>
      <c r="BV27" s="37" t="n">
        <v>71</v>
      </c>
      <c r="BW27" s="37" t="n">
        <v>72</v>
      </c>
      <c r="BX27" s="37" t="n">
        <v>73</v>
      </c>
      <c r="BY27" s="37" t="n">
        <v>74</v>
      </c>
      <c r="BZ27" s="37" t="n">
        <v>75</v>
      </c>
      <c r="CA27" s="37" t="n">
        <v>76</v>
      </c>
      <c r="CB27" s="37" t="n">
        <v>77</v>
      </c>
      <c r="CC27" s="37" t="n">
        <v>78</v>
      </c>
      <c r="CD27" s="37" t="n">
        <v>79</v>
      </c>
      <c r="CE27" s="37" t="n">
        <v>80</v>
      </c>
      <c r="CF27" s="37" t="n">
        <v>81</v>
      </c>
      <c r="CG27" s="37" t="n">
        <v>82</v>
      </c>
      <c r="CH27" s="37" t="n">
        <v>83</v>
      </c>
      <c r="CI27" s="37" t="n">
        <v>84</v>
      </c>
      <c r="CJ27" s="37" t="n">
        <v>85</v>
      </c>
      <c r="CK27" s="37" t="n">
        <v>86</v>
      </c>
      <c r="CL27" s="37" t="n">
        <v>87</v>
      </c>
      <c r="CM27" s="37" t="n">
        <v>88</v>
      </c>
      <c r="CN27" s="37" t="n">
        <v>89</v>
      </c>
      <c r="CO27" s="37" t="n">
        <v>90</v>
      </c>
      <c r="CP27" s="37" t="n">
        <v>91</v>
      </c>
      <c r="CQ27" s="37" t="n">
        <v>92</v>
      </c>
      <c r="CR27" s="37" t="n">
        <v>93</v>
      </c>
      <c r="CS27" s="37" t="n">
        <v>94</v>
      </c>
      <c r="CT27" s="37" t="n">
        <v>95</v>
      </c>
      <c r="CU27" s="37" t="n">
        <v>96</v>
      </c>
      <c r="CV27" s="37" t="n">
        <v>97</v>
      </c>
      <c r="CW27" s="37" t="n">
        <v>98</v>
      </c>
      <c r="CX27" s="37" t="n">
        <v>99</v>
      </c>
      <c r="CY27" s="37" t="n">
        <v>100</v>
      </c>
      <c r="CZ27" s="37" t="n">
        <v>101</v>
      </c>
      <c r="DA27" s="37" t="n">
        <v>102</v>
      </c>
      <c r="DB27" s="37" t="n">
        <v>103</v>
      </c>
      <c r="DC27" s="37" t="n">
        <v>104</v>
      </c>
      <c r="DD27" s="37" t="n">
        <v>105</v>
      </c>
      <c r="DE27" s="37" t="n">
        <v>106</v>
      </c>
      <c r="DF27" s="37" t="n">
        <v>107</v>
      </c>
      <c r="DG27" s="37" t="n">
        <v>108</v>
      </c>
      <c r="DH27" s="37" t="n">
        <v>109</v>
      </c>
      <c r="DI27" s="37" t="n">
        <v>110</v>
      </c>
      <c r="DJ27" s="37" t="n">
        <v>111</v>
      </c>
      <c r="DK27" s="37" t="n">
        <v>112</v>
      </c>
      <c r="DL27" s="37" t="n">
        <v>113</v>
      </c>
      <c r="DM27" s="37" t="n">
        <v>114</v>
      </c>
      <c r="DN27" s="37" t="n">
        <v>115</v>
      </c>
      <c r="DO27" s="37" t="n">
        <v>116</v>
      </c>
      <c r="DP27" s="37" t="n">
        <v>117</v>
      </c>
      <c r="DQ27" s="37" t="n">
        <v>118</v>
      </c>
      <c r="DR27" s="37" t="n">
        <v>119</v>
      </c>
      <c r="DS27" s="37" t="n">
        <v>120</v>
      </c>
      <c r="DT27" s="37" t="n">
        <v>121</v>
      </c>
      <c r="DU27" s="37" t="n">
        <v>122</v>
      </c>
      <c r="DV27" s="37" t="n">
        <v>123</v>
      </c>
      <c r="DW27" s="37" t="n">
        <v>124</v>
      </c>
      <c r="DX27" s="37" t="n">
        <v>125</v>
      </c>
      <c r="DY27" s="37" t="n">
        <v>126</v>
      </c>
      <c r="DZ27" s="37" t="n">
        <v>127</v>
      </c>
      <c r="EA27" s="37" t="n">
        <v>128</v>
      </c>
      <c r="EB27" s="37" t="n">
        <v>129</v>
      </c>
      <c r="EC27" s="37" t="n">
        <v>130</v>
      </c>
      <c r="ED27" s="37" t="n">
        <v>131</v>
      </c>
      <c r="EE27" s="37" t="n">
        <v>132</v>
      </c>
      <c r="EF27" s="37" t="n">
        <v>133</v>
      </c>
      <c r="EG27" s="37" t="n">
        <v>134</v>
      </c>
      <c r="EH27" s="37" t="n">
        <v>135</v>
      </c>
      <c r="EI27" s="37" t="n">
        <v>136</v>
      </c>
      <c r="EJ27" s="37" t="n">
        <v>137</v>
      </c>
      <c r="EK27" s="37" t="n">
        <v>138</v>
      </c>
      <c r="EL27" s="37" t="n">
        <v>139</v>
      </c>
      <c r="EM27" s="37" t="n">
        <v>140</v>
      </c>
      <c r="EN27" s="37" t="n">
        <v>141</v>
      </c>
      <c r="EO27" s="37" t="n">
        <v>142</v>
      </c>
      <c r="EP27" s="37" t="n">
        <v>143</v>
      </c>
      <c r="EQ27" s="37" t="n">
        <v>144</v>
      </c>
      <c r="ER27" s="37" t="n">
        <v>145</v>
      </c>
      <c r="ES27" s="37" t="n">
        <v>146</v>
      </c>
      <c r="ET27" s="37" t="n">
        <v>147</v>
      </c>
      <c r="EU27" s="37" t="n">
        <v>148</v>
      </c>
      <c r="EV27" s="37" t="n">
        <v>149</v>
      </c>
      <c r="EW27" s="37" t="n">
        <v>150</v>
      </c>
      <c r="EX27" s="37" t="n">
        <v>151</v>
      </c>
      <c r="EY27" s="37" t="n">
        <v>152</v>
      </c>
      <c r="EZ27" s="37" t="n">
        <v>153</v>
      </c>
      <c r="FA27" s="37" t="n">
        <v>154</v>
      </c>
      <c r="FB27" s="37" t="n">
        <v>155</v>
      </c>
      <c r="FC27" s="37" t="n">
        <v>156</v>
      </c>
      <c r="FD27" s="37" t="n">
        <v>157</v>
      </c>
      <c r="FE27" s="37" t="n">
        <v>158</v>
      </c>
      <c r="FF27" s="37" t="n">
        <v>159</v>
      </c>
      <c r="FG27" s="37" t="n">
        <v>160</v>
      </c>
      <c r="FH27" s="37" t="n">
        <v>161</v>
      </c>
      <c r="FI27" s="37" t="n">
        <v>162</v>
      </c>
      <c r="FJ27" s="37" t="n">
        <v>163</v>
      </c>
      <c r="FK27" s="37" t="n">
        <v>164</v>
      </c>
      <c r="FL27" s="37" t="n">
        <v>165</v>
      </c>
      <c r="FM27" s="37" t="n">
        <v>166</v>
      </c>
      <c r="FN27" s="37" t="n">
        <v>167</v>
      </c>
      <c r="FO27" s="37" t="n">
        <v>168</v>
      </c>
      <c r="FP27" s="37" t="n">
        <v>169</v>
      </c>
      <c r="FQ27" s="37" t="n">
        <v>170</v>
      </c>
      <c r="FR27" s="37" t="n">
        <v>171</v>
      </c>
      <c r="FS27" s="37" t="n">
        <v>172</v>
      </c>
      <c r="FT27" s="37" t="n">
        <v>173</v>
      </c>
      <c r="FU27" s="37" t="n">
        <v>174</v>
      </c>
      <c r="FV27" s="37" t="n">
        <v>175</v>
      </c>
      <c r="FW27" s="37" t="n">
        <v>176</v>
      </c>
      <c r="FX27" s="37" t="n">
        <v>177</v>
      </c>
      <c r="FY27" s="37" t="n">
        <v>178</v>
      </c>
      <c r="FZ27" s="37" t="n">
        <v>179</v>
      </c>
      <c r="GA27" s="37" t="n">
        <v>180</v>
      </c>
      <c r="GB27" s="37" t="n">
        <v>181</v>
      </c>
      <c r="GC27" s="37" t="n">
        <v>182</v>
      </c>
      <c r="GD27" s="37" t="n">
        <v>183</v>
      </c>
      <c r="GE27" s="37" t="n">
        <v>184</v>
      </c>
      <c r="GF27" s="37" t="n">
        <v>185</v>
      </c>
      <c r="GG27" s="37" t="n">
        <v>186</v>
      </c>
      <c r="GH27" s="37" t="n">
        <v>187</v>
      </c>
      <c r="GI27" s="37" t="n">
        <v>188</v>
      </c>
      <c r="GJ27" s="37" t="n">
        <v>189</v>
      </c>
      <c r="GK27" s="37" t="n">
        <v>190</v>
      </c>
      <c r="GL27" s="37" t="n">
        <v>191</v>
      </c>
      <c r="GM27" s="37" t="n">
        <v>192</v>
      </c>
      <c r="GN27" s="37" t="n">
        <v>193</v>
      </c>
      <c r="GO27" s="37" t="n">
        <v>194</v>
      </c>
      <c r="GP27" s="37" t="n">
        <v>195</v>
      </c>
      <c r="GQ27" s="37" t="n">
        <v>196</v>
      </c>
      <c r="GR27" s="37" t="n">
        <v>197</v>
      </c>
      <c r="GS27" s="37" t="n">
        <v>198</v>
      </c>
      <c r="GT27" s="37" t="n">
        <v>199</v>
      </c>
      <c r="GU27" s="37" t="n">
        <v>200</v>
      </c>
      <c r="GV27" s="37" t="n">
        <v>201</v>
      </c>
      <c r="GW27" s="37" t="n">
        <v>202</v>
      </c>
      <c r="GX27" s="37" t="n">
        <v>203</v>
      </c>
      <c r="GY27" s="37" t="n">
        <v>204</v>
      </c>
      <c r="GZ27" s="37" t="n">
        <v>205</v>
      </c>
      <c r="HA27" s="37" t="n">
        <v>206</v>
      </c>
      <c r="HB27" s="37" t="n">
        <v>207</v>
      </c>
      <c r="HC27" s="37" t="n">
        <v>208</v>
      </c>
      <c r="HD27" s="37" t="n">
        <v>209</v>
      </c>
      <c r="HE27" s="37" t="n">
        <v>210</v>
      </c>
      <c r="HF27" s="37" t="n">
        <v>211</v>
      </c>
      <c r="HG27" s="37" t="n">
        <v>212</v>
      </c>
      <c r="HH27" s="37" t="n">
        <v>213</v>
      </c>
      <c r="HI27" s="37" t="n">
        <v>214</v>
      </c>
      <c r="HJ27" s="37" t="n">
        <v>215</v>
      </c>
      <c r="HK27" s="37" t="n">
        <v>216</v>
      </c>
      <c r="HL27" s="37" t="n">
        <v>217</v>
      </c>
      <c r="HM27" s="37" t="n">
        <v>218</v>
      </c>
      <c r="HN27" s="37" t="n">
        <v>219</v>
      </c>
      <c r="HO27" s="37" t="n">
        <v>220</v>
      </c>
      <c r="HP27" s="37" t="n">
        <v>221</v>
      </c>
      <c r="HQ27" s="37" t="n">
        <v>222</v>
      </c>
      <c r="HR27" s="37" t="n">
        <v>223</v>
      </c>
      <c r="HS27" s="37" t="n">
        <v>224</v>
      </c>
      <c r="HT27" s="37" t="n">
        <v>225</v>
      </c>
      <c r="HU27" s="37" t="n">
        <v>226</v>
      </c>
      <c r="HV27" s="37" t="n">
        <v>227</v>
      </c>
      <c r="HW27" s="37" t="n">
        <v>228</v>
      </c>
      <c r="HX27" s="37" t="n">
        <v>229</v>
      </c>
      <c r="HY27" s="37" t="n">
        <v>230</v>
      </c>
      <c r="HZ27" s="37" t="n">
        <v>231</v>
      </c>
      <c r="IA27" s="37" t="n">
        <v>232</v>
      </c>
      <c r="IB27" s="37" t="n">
        <v>233</v>
      </c>
      <c r="IC27" s="37" t="n">
        <v>234</v>
      </c>
      <c r="ID27" s="37" t="n">
        <v>235</v>
      </c>
      <c r="IE27" s="37" t="n">
        <v>236</v>
      </c>
      <c r="IF27" s="37" t="n">
        <v>237</v>
      </c>
      <c r="IG27" s="37" t="n">
        <v>238</v>
      </c>
      <c r="IH27" s="37" t="n">
        <v>239</v>
      </c>
      <c r="II27" s="37" t="n">
        <v>240</v>
      </c>
      <c r="IJ27" s="37" t="n">
        <v>241</v>
      </c>
      <c r="IK27" s="37" t="n">
        <v>242</v>
      </c>
      <c r="IL27" s="37" t="n">
        <v>243</v>
      </c>
      <c r="IM27" s="37" t="n">
        <v>244</v>
      </c>
      <c r="IN27" s="37" t="n">
        <v>245</v>
      </c>
      <c r="IO27" s="37" t="n">
        <v>246</v>
      </c>
      <c r="IP27" s="37" t="n">
        <v>247</v>
      </c>
      <c r="IQ27" s="37" t="n">
        <v>248</v>
      </c>
      <c r="IR27" s="37" t="n">
        <v>249</v>
      </c>
      <c r="IS27" s="37" t="n">
        <v>250</v>
      </c>
      <c r="IT27" s="37" t="n">
        <v>251</v>
      </c>
      <c r="IU27" s="37" t="n">
        <v>252</v>
      </c>
      <c r="IV27" s="37" t="n">
        <v>253</v>
      </c>
      <c r="IW27" s="37" t="n">
        <v>254</v>
      </c>
      <c r="IX27" s="37" t="n">
        <v>255</v>
      </c>
      <c r="IY27" s="37" t="n">
        <v>256</v>
      </c>
      <c r="IZ27" s="37" t="n">
        <v>257</v>
      </c>
      <c r="JA27" s="37" t="n">
        <v>258</v>
      </c>
      <c r="JB27" s="37" t="n">
        <v>259</v>
      </c>
      <c r="JC27" s="37" t="n">
        <v>260</v>
      </c>
      <c r="JD27" s="37" t="n">
        <v>261</v>
      </c>
      <c r="JE27" s="37" t="n">
        <v>262</v>
      </c>
      <c r="JF27" s="37" t="n">
        <v>263</v>
      </c>
      <c r="JG27" s="37" t="n">
        <v>264</v>
      </c>
      <c r="JH27" s="37" t="n">
        <v>265</v>
      </c>
      <c r="JI27" s="37" t="n">
        <v>266</v>
      </c>
      <c r="JJ27" s="37" t="n">
        <v>267</v>
      </c>
      <c r="JK27" s="37" t="n">
        <v>268</v>
      </c>
      <c r="JL27" s="37" t="n">
        <v>269</v>
      </c>
      <c r="JM27" s="37" t="n">
        <v>270</v>
      </c>
      <c r="JN27" s="37" t="n">
        <v>271</v>
      </c>
      <c r="JO27" s="37" t="n">
        <v>272</v>
      </c>
      <c r="JP27" s="37" t="n">
        <v>273</v>
      </c>
      <c r="JQ27" s="37" t="n">
        <v>274</v>
      </c>
      <c r="JR27" s="37" t="n">
        <v>275</v>
      </c>
      <c r="JS27" s="37" t="n">
        <v>276</v>
      </c>
      <c r="JT27" s="37" t="n">
        <v>277</v>
      </c>
      <c r="JU27" s="37" t="n">
        <v>278</v>
      </c>
      <c r="JV27" s="37" t="n">
        <v>279</v>
      </c>
      <c r="JW27" s="37" t="n">
        <v>280</v>
      </c>
      <c r="JX27" s="37" t="n">
        <v>281</v>
      </c>
      <c r="JY27" s="37" t="n">
        <v>282</v>
      </c>
      <c r="JZ27" s="37" t="n">
        <v>283</v>
      </c>
      <c r="KA27" s="37" t="n">
        <v>284</v>
      </c>
      <c r="KB27" s="37" t="n">
        <v>285</v>
      </c>
      <c r="KC27" s="37" t="n">
        <v>286</v>
      </c>
      <c r="KD27" s="37" t="n">
        <v>287</v>
      </c>
      <c r="KE27" s="37" t="n">
        <v>288</v>
      </c>
      <c r="KF27" s="37" t="n">
        <v>289</v>
      </c>
      <c r="KG27" s="37" t="n">
        <v>290</v>
      </c>
      <c r="KH27" s="37" t="n">
        <v>291</v>
      </c>
      <c r="KI27" s="37" t="n">
        <v>292</v>
      </c>
      <c r="KJ27" s="37" t="n">
        <v>293</v>
      </c>
      <c r="KK27" s="37" t="n">
        <v>294</v>
      </c>
      <c r="KL27" s="37" t="n">
        <v>295</v>
      </c>
      <c r="KM27" s="37" t="n">
        <v>296</v>
      </c>
      <c r="KN27" s="37" t="n">
        <v>297</v>
      </c>
      <c r="KO27" s="37" t="n">
        <v>298</v>
      </c>
      <c r="KP27" s="37" t="n">
        <v>299</v>
      </c>
      <c r="KQ27" s="37" t="n">
        <v>300</v>
      </c>
      <c r="KR27" s="37" t="n">
        <v>301</v>
      </c>
      <c r="KS27" s="37" t="n">
        <v>302</v>
      </c>
      <c r="KT27" s="37" t="n">
        <v>303</v>
      </c>
      <c r="KU27" s="37" t="n">
        <v>304</v>
      </c>
      <c r="KV27" s="37" t="n">
        <v>305</v>
      </c>
      <c r="KW27" s="37" t="n">
        <v>306</v>
      </c>
      <c r="KX27" s="37" t="n">
        <v>307</v>
      </c>
      <c r="KY27" s="37" t="n">
        <v>308</v>
      </c>
      <c r="KZ27" s="37" t="n">
        <v>309</v>
      </c>
      <c r="LA27" s="37" t="n">
        <v>310</v>
      </c>
      <c r="LB27" s="37" t="n">
        <v>311</v>
      </c>
      <c r="LC27" s="37" t="n">
        <v>312</v>
      </c>
      <c r="LD27" s="37" t="n">
        <v>313</v>
      </c>
      <c r="LE27" s="37" t="n">
        <v>314</v>
      </c>
      <c r="LF27" s="37" t="n">
        <v>315</v>
      </c>
      <c r="LG27" s="37" t="n">
        <v>316</v>
      </c>
      <c r="LH27" s="37" t="n">
        <v>317</v>
      </c>
      <c r="LI27" s="37" t="n">
        <v>318</v>
      </c>
      <c r="LJ27" s="37" t="n">
        <v>319</v>
      </c>
      <c r="LK27" s="37" t="n">
        <v>320</v>
      </c>
      <c r="LL27" s="37" t="n">
        <v>321</v>
      </c>
      <c r="LM27" s="37" t="n">
        <v>322</v>
      </c>
      <c r="LN27" s="37" t="n">
        <v>323</v>
      </c>
      <c r="LO27" s="37" t="n">
        <v>324</v>
      </c>
      <c r="LP27" s="37" t="n">
        <v>325</v>
      </c>
      <c r="LQ27" s="37" t="n">
        <v>326</v>
      </c>
      <c r="LR27" s="37" t="n">
        <v>327</v>
      </c>
      <c r="LS27" s="37" t="n">
        <v>328</v>
      </c>
      <c r="LT27" s="37" t="n">
        <v>329</v>
      </c>
      <c r="LU27" s="37" t="n">
        <v>330</v>
      </c>
      <c r="LV27" s="37" t="n">
        <v>331</v>
      </c>
      <c r="LW27" s="37" t="n">
        <v>332</v>
      </c>
      <c r="LX27" s="37" t="n">
        <v>333</v>
      </c>
      <c r="LY27" s="37" t="n">
        <v>334</v>
      </c>
      <c r="LZ27" s="37" t="n">
        <v>335</v>
      </c>
      <c r="MA27" s="37" t="n">
        <v>336</v>
      </c>
      <c r="MB27" s="37" t="n">
        <v>337</v>
      </c>
      <c r="MC27" s="37" t="n">
        <v>338</v>
      </c>
      <c r="MD27" s="37" t="n">
        <v>339</v>
      </c>
      <c r="ME27" s="37" t="n">
        <v>340</v>
      </c>
      <c r="MF27" s="37" t="n">
        <v>341</v>
      </c>
      <c r="MG27" s="37" t="n">
        <v>342</v>
      </c>
      <c r="MH27" s="37" t="n">
        <v>343</v>
      </c>
      <c r="MI27" s="37" t="n">
        <v>344</v>
      </c>
      <c r="MJ27" s="37" t="n">
        <v>345</v>
      </c>
      <c r="MK27" s="37" t="n">
        <v>346</v>
      </c>
      <c r="ML27" s="37" t="n">
        <v>347</v>
      </c>
      <c r="MM27" s="37" t="n">
        <v>348</v>
      </c>
      <c r="MN27" s="37" t="n">
        <v>349</v>
      </c>
      <c r="MO27" s="37" t="n">
        <v>350</v>
      </c>
      <c r="MP27" s="37" t="n">
        <v>351</v>
      </c>
      <c r="MQ27" s="37" t="n">
        <v>352</v>
      </c>
      <c r="MR27" s="37" t="n">
        <v>353</v>
      </c>
      <c r="MS27" s="37" t="n">
        <v>354</v>
      </c>
      <c r="MT27" s="37" t="n">
        <v>355</v>
      </c>
      <c r="MU27" s="37" t="n">
        <v>356</v>
      </c>
      <c r="MV27" s="37" t="n">
        <v>357</v>
      </c>
      <c r="MW27" s="37" t="n">
        <v>358</v>
      </c>
      <c r="MX27" s="37" t="n">
        <v>359</v>
      </c>
      <c r="MY27" s="37" t="n">
        <v>360</v>
      </c>
      <c r="MZ27" s="37" t="n">
        <v>361</v>
      </c>
      <c r="NA27" s="37" t="n">
        <v>362</v>
      </c>
      <c r="NB27" s="37" t="n">
        <v>363</v>
      </c>
      <c r="NC27" s="37" t="n">
        <v>364</v>
      </c>
      <c r="ND27" s="37" t="n">
        <v>365</v>
      </c>
      <c r="NE27" s="37" t="n">
        <v>366</v>
      </c>
      <c r="NF27" s="37" t="n">
        <v>367</v>
      </c>
      <c r="NG27" s="37" t="n">
        <v>368</v>
      </c>
      <c r="NH27" s="37" t="n">
        <v>369</v>
      </c>
      <c r="NI27" s="37" t="n">
        <v>370</v>
      </c>
      <c r="NJ27" s="37" t="n">
        <v>371</v>
      </c>
      <c r="NK27" s="37" t="n">
        <v>372</v>
      </c>
    </row>
    <row r="28">
      <c r="A28" s="38" t="inlineStr">
        <is>
          <t>Month Start</t>
        </is>
      </c>
      <c r="D28" s="39">
        <f>EDATE(InceptionDate,0)</f>
        <v/>
      </c>
      <c r="E28" s="39">
        <f>EDATE(InceptionDate,1)</f>
        <v/>
      </c>
      <c r="F28" s="39">
        <f>EDATE(InceptionDate,2)</f>
        <v/>
      </c>
      <c r="G28" s="39">
        <f>EDATE(InceptionDate,3)</f>
        <v/>
      </c>
      <c r="H28" s="39">
        <f>EDATE(InceptionDate,4)</f>
        <v/>
      </c>
      <c r="I28" s="39">
        <f>EDATE(InceptionDate,5)</f>
        <v/>
      </c>
      <c r="J28" s="39">
        <f>EDATE(InceptionDate,6)</f>
        <v/>
      </c>
      <c r="K28" s="39">
        <f>EDATE(InceptionDate,7)</f>
        <v/>
      </c>
      <c r="L28" s="39">
        <f>EDATE(InceptionDate,8)</f>
        <v/>
      </c>
      <c r="M28" s="39">
        <f>EDATE(InceptionDate,9)</f>
        <v/>
      </c>
      <c r="N28" s="39">
        <f>EDATE(InceptionDate,10)</f>
        <v/>
      </c>
      <c r="O28" s="39">
        <f>EDATE(InceptionDate,11)</f>
        <v/>
      </c>
      <c r="P28" s="39">
        <f>EDATE(InceptionDate,12)</f>
        <v/>
      </c>
      <c r="Q28" s="39">
        <f>EDATE(InceptionDate,13)</f>
        <v/>
      </c>
      <c r="R28" s="39">
        <f>EDATE(InceptionDate,14)</f>
        <v/>
      </c>
      <c r="S28" s="39">
        <f>EDATE(InceptionDate,15)</f>
        <v/>
      </c>
      <c r="T28" s="39">
        <f>EDATE(InceptionDate,16)</f>
        <v/>
      </c>
      <c r="U28" s="39">
        <f>EDATE(InceptionDate,17)</f>
        <v/>
      </c>
      <c r="V28" s="39">
        <f>EDATE(InceptionDate,18)</f>
        <v/>
      </c>
      <c r="W28" s="39">
        <f>EDATE(InceptionDate,19)</f>
        <v/>
      </c>
      <c r="X28" s="39">
        <f>EDATE(InceptionDate,20)</f>
        <v/>
      </c>
      <c r="Y28" s="39">
        <f>EDATE(InceptionDate,21)</f>
        <v/>
      </c>
      <c r="Z28" s="39">
        <f>EDATE(InceptionDate,22)</f>
        <v/>
      </c>
      <c r="AA28" s="39">
        <f>EDATE(InceptionDate,23)</f>
        <v/>
      </c>
      <c r="AB28" s="39">
        <f>EDATE(InceptionDate,24)</f>
        <v/>
      </c>
      <c r="AC28" s="39">
        <f>EDATE(InceptionDate,25)</f>
        <v/>
      </c>
      <c r="AD28" s="39">
        <f>EDATE(InceptionDate,26)</f>
        <v/>
      </c>
      <c r="AE28" s="39">
        <f>EDATE(InceptionDate,27)</f>
        <v/>
      </c>
      <c r="AF28" s="39">
        <f>EDATE(InceptionDate,28)</f>
        <v/>
      </c>
      <c r="AG28" s="39">
        <f>EDATE(InceptionDate,29)</f>
        <v/>
      </c>
      <c r="AH28" s="39">
        <f>EDATE(InceptionDate,30)</f>
        <v/>
      </c>
      <c r="AI28" s="39">
        <f>EDATE(InceptionDate,31)</f>
        <v/>
      </c>
      <c r="AJ28" s="39">
        <f>EDATE(InceptionDate,32)</f>
        <v/>
      </c>
      <c r="AK28" s="39">
        <f>EDATE(InceptionDate,33)</f>
        <v/>
      </c>
      <c r="AL28" s="39">
        <f>EDATE(InceptionDate,34)</f>
        <v/>
      </c>
      <c r="AM28" s="39">
        <f>EDATE(InceptionDate,35)</f>
        <v/>
      </c>
      <c r="AN28" s="39">
        <f>EDATE(InceptionDate,36)</f>
        <v/>
      </c>
      <c r="AO28" s="39">
        <f>EDATE(InceptionDate,37)</f>
        <v/>
      </c>
      <c r="AP28" s="39">
        <f>EDATE(InceptionDate,38)</f>
        <v/>
      </c>
      <c r="AQ28" s="39">
        <f>EDATE(InceptionDate,39)</f>
        <v/>
      </c>
      <c r="AR28" s="39">
        <f>EDATE(InceptionDate,40)</f>
        <v/>
      </c>
      <c r="AS28" s="39">
        <f>EDATE(InceptionDate,41)</f>
        <v/>
      </c>
      <c r="AT28" s="39">
        <f>EDATE(InceptionDate,42)</f>
        <v/>
      </c>
      <c r="AU28" s="39">
        <f>EDATE(InceptionDate,43)</f>
        <v/>
      </c>
      <c r="AV28" s="39">
        <f>EDATE(InceptionDate,44)</f>
        <v/>
      </c>
      <c r="AW28" s="39">
        <f>EDATE(InceptionDate,45)</f>
        <v/>
      </c>
      <c r="AX28" s="39">
        <f>EDATE(InceptionDate,46)</f>
        <v/>
      </c>
      <c r="AY28" s="39">
        <f>EDATE(InceptionDate,47)</f>
        <v/>
      </c>
      <c r="AZ28" s="39">
        <f>EDATE(InceptionDate,48)</f>
        <v/>
      </c>
      <c r="BA28" s="39">
        <f>EDATE(InceptionDate,49)</f>
        <v/>
      </c>
      <c r="BB28" s="39">
        <f>EDATE(InceptionDate,50)</f>
        <v/>
      </c>
      <c r="BC28" s="39">
        <f>EDATE(InceptionDate,51)</f>
        <v/>
      </c>
      <c r="BD28" s="39">
        <f>EDATE(InceptionDate,52)</f>
        <v/>
      </c>
      <c r="BE28" s="39">
        <f>EDATE(InceptionDate,53)</f>
        <v/>
      </c>
      <c r="BF28" s="39">
        <f>EDATE(InceptionDate,54)</f>
        <v/>
      </c>
      <c r="BG28" s="39">
        <f>EDATE(InceptionDate,55)</f>
        <v/>
      </c>
      <c r="BH28" s="39">
        <f>EDATE(InceptionDate,56)</f>
        <v/>
      </c>
      <c r="BI28" s="39">
        <f>EDATE(InceptionDate,57)</f>
        <v/>
      </c>
      <c r="BJ28" s="39">
        <f>EDATE(InceptionDate,58)</f>
        <v/>
      </c>
      <c r="BK28" s="39">
        <f>EDATE(InceptionDate,59)</f>
        <v/>
      </c>
      <c r="BL28" s="39">
        <f>EDATE(InceptionDate,60)</f>
        <v/>
      </c>
      <c r="BM28" s="39">
        <f>EDATE(InceptionDate,61)</f>
        <v/>
      </c>
      <c r="BN28" s="39">
        <f>EDATE(InceptionDate,62)</f>
        <v/>
      </c>
      <c r="BO28" s="39">
        <f>EDATE(InceptionDate,63)</f>
        <v/>
      </c>
      <c r="BP28" s="39">
        <f>EDATE(InceptionDate,64)</f>
        <v/>
      </c>
      <c r="BQ28" s="39">
        <f>EDATE(InceptionDate,65)</f>
        <v/>
      </c>
      <c r="BR28" s="39">
        <f>EDATE(InceptionDate,66)</f>
        <v/>
      </c>
      <c r="BS28" s="39">
        <f>EDATE(InceptionDate,67)</f>
        <v/>
      </c>
      <c r="BT28" s="39">
        <f>EDATE(InceptionDate,68)</f>
        <v/>
      </c>
      <c r="BU28" s="39">
        <f>EDATE(InceptionDate,69)</f>
        <v/>
      </c>
      <c r="BV28" s="39">
        <f>EDATE(InceptionDate,70)</f>
        <v/>
      </c>
      <c r="BW28" s="39">
        <f>EDATE(InceptionDate,71)</f>
        <v/>
      </c>
      <c r="BX28" s="39">
        <f>EDATE(InceptionDate,72)</f>
        <v/>
      </c>
      <c r="BY28" s="39">
        <f>EDATE(InceptionDate,73)</f>
        <v/>
      </c>
      <c r="BZ28" s="39">
        <f>EDATE(InceptionDate,74)</f>
        <v/>
      </c>
      <c r="CA28" s="39">
        <f>EDATE(InceptionDate,75)</f>
        <v/>
      </c>
      <c r="CB28" s="39">
        <f>EDATE(InceptionDate,76)</f>
        <v/>
      </c>
      <c r="CC28" s="39">
        <f>EDATE(InceptionDate,77)</f>
        <v/>
      </c>
      <c r="CD28" s="39">
        <f>EDATE(InceptionDate,78)</f>
        <v/>
      </c>
      <c r="CE28" s="39">
        <f>EDATE(InceptionDate,79)</f>
        <v/>
      </c>
      <c r="CF28" s="39">
        <f>EDATE(InceptionDate,80)</f>
        <v/>
      </c>
      <c r="CG28" s="39">
        <f>EDATE(InceptionDate,81)</f>
        <v/>
      </c>
      <c r="CH28" s="39">
        <f>EDATE(InceptionDate,82)</f>
        <v/>
      </c>
      <c r="CI28" s="39">
        <f>EDATE(InceptionDate,83)</f>
        <v/>
      </c>
      <c r="CJ28" s="39">
        <f>EDATE(InceptionDate,84)</f>
        <v/>
      </c>
      <c r="CK28" s="39">
        <f>EDATE(InceptionDate,85)</f>
        <v/>
      </c>
      <c r="CL28" s="39">
        <f>EDATE(InceptionDate,86)</f>
        <v/>
      </c>
      <c r="CM28" s="39">
        <f>EDATE(InceptionDate,87)</f>
        <v/>
      </c>
      <c r="CN28" s="39">
        <f>EDATE(InceptionDate,88)</f>
        <v/>
      </c>
      <c r="CO28" s="39">
        <f>EDATE(InceptionDate,89)</f>
        <v/>
      </c>
      <c r="CP28" s="39">
        <f>EDATE(InceptionDate,90)</f>
        <v/>
      </c>
      <c r="CQ28" s="39">
        <f>EDATE(InceptionDate,91)</f>
        <v/>
      </c>
      <c r="CR28" s="39">
        <f>EDATE(InceptionDate,92)</f>
        <v/>
      </c>
      <c r="CS28" s="39">
        <f>EDATE(InceptionDate,93)</f>
        <v/>
      </c>
      <c r="CT28" s="39">
        <f>EDATE(InceptionDate,94)</f>
        <v/>
      </c>
      <c r="CU28" s="39">
        <f>EDATE(InceptionDate,95)</f>
        <v/>
      </c>
      <c r="CV28" s="39">
        <f>EDATE(InceptionDate,96)</f>
        <v/>
      </c>
      <c r="CW28" s="39">
        <f>EDATE(InceptionDate,97)</f>
        <v/>
      </c>
      <c r="CX28" s="39">
        <f>EDATE(InceptionDate,98)</f>
        <v/>
      </c>
      <c r="CY28" s="39">
        <f>EDATE(InceptionDate,99)</f>
        <v/>
      </c>
      <c r="CZ28" s="39">
        <f>EDATE(InceptionDate,100)</f>
        <v/>
      </c>
      <c r="DA28" s="39">
        <f>EDATE(InceptionDate,101)</f>
        <v/>
      </c>
      <c r="DB28" s="39">
        <f>EDATE(InceptionDate,102)</f>
        <v/>
      </c>
      <c r="DC28" s="39">
        <f>EDATE(InceptionDate,103)</f>
        <v/>
      </c>
      <c r="DD28" s="39">
        <f>EDATE(InceptionDate,104)</f>
        <v/>
      </c>
      <c r="DE28" s="39">
        <f>EDATE(InceptionDate,105)</f>
        <v/>
      </c>
      <c r="DF28" s="39">
        <f>EDATE(InceptionDate,106)</f>
        <v/>
      </c>
      <c r="DG28" s="39">
        <f>EDATE(InceptionDate,107)</f>
        <v/>
      </c>
      <c r="DH28" s="39">
        <f>EDATE(InceptionDate,108)</f>
        <v/>
      </c>
      <c r="DI28" s="39">
        <f>EDATE(InceptionDate,109)</f>
        <v/>
      </c>
      <c r="DJ28" s="39">
        <f>EDATE(InceptionDate,110)</f>
        <v/>
      </c>
      <c r="DK28" s="39">
        <f>EDATE(InceptionDate,111)</f>
        <v/>
      </c>
      <c r="DL28" s="39">
        <f>EDATE(InceptionDate,112)</f>
        <v/>
      </c>
      <c r="DM28" s="39">
        <f>EDATE(InceptionDate,113)</f>
        <v/>
      </c>
      <c r="DN28" s="39">
        <f>EDATE(InceptionDate,114)</f>
        <v/>
      </c>
      <c r="DO28" s="39">
        <f>EDATE(InceptionDate,115)</f>
        <v/>
      </c>
      <c r="DP28" s="39">
        <f>EDATE(InceptionDate,116)</f>
        <v/>
      </c>
      <c r="DQ28" s="39">
        <f>EDATE(InceptionDate,117)</f>
        <v/>
      </c>
      <c r="DR28" s="39">
        <f>EDATE(InceptionDate,118)</f>
        <v/>
      </c>
      <c r="DS28" s="39">
        <f>EDATE(InceptionDate,119)</f>
        <v/>
      </c>
      <c r="DT28" s="39">
        <f>EDATE(InceptionDate,120)</f>
        <v/>
      </c>
      <c r="DU28" s="39">
        <f>EDATE(InceptionDate,121)</f>
        <v/>
      </c>
      <c r="DV28" s="39">
        <f>EDATE(InceptionDate,122)</f>
        <v/>
      </c>
      <c r="DW28" s="39">
        <f>EDATE(InceptionDate,123)</f>
        <v/>
      </c>
      <c r="DX28" s="39">
        <f>EDATE(InceptionDate,124)</f>
        <v/>
      </c>
      <c r="DY28" s="39">
        <f>EDATE(InceptionDate,125)</f>
        <v/>
      </c>
      <c r="DZ28" s="39">
        <f>EDATE(InceptionDate,126)</f>
        <v/>
      </c>
      <c r="EA28" s="39">
        <f>EDATE(InceptionDate,127)</f>
        <v/>
      </c>
      <c r="EB28" s="39">
        <f>EDATE(InceptionDate,128)</f>
        <v/>
      </c>
      <c r="EC28" s="39">
        <f>EDATE(InceptionDate,129)</f>
        <v/>
      </c>
      <c r="ED28" s="39">
        <f>EDATE(InceptionDate,130)</f>
        <v/>
      </c>
      <c r="EE28" s="39">
        <f>EDATE(InceptionDate,131)</f>
        <v/>
      </c>
      <c r="EF28" s="39">
        <f>EDATE(InceptionDate,132)</f>
        <v/>
      </c>
      <c r="EG28" s="39">
        <f>EDATE(InceptionDate,133)</f>
        <v/>
      </c>
      <c r="EH28" s="39">
        <f>EDATE(InceptionDate,134)</f>
        <v/>
      </c>
      <c r="EI28" s="39">
        <f>EDATE(InceptionDate,135)</f>
        <v/>
      </c>
      <c r="EJ28" s="39">
        <f>EDATE(InceptionDate,136)</f>
        <v/>
      </c>
      <c r="EK28" s="39">
        <f>EDATE(InceptionDate,137)</f>
        <v/>
      </c>
      <c r="EL28" s="39">
        <f>EDATE(InceptionDate,138)</f>
        <v/>
      </c>
      <c r="EM28" s="39">
        <f>EDATE(InceptionDate,139)</f>
        <v/>
      </c>
      <c r="EN28" s="39">
        <f>EDATE(InceptionDate,140)</f>
        <v/>
      </c>
      <c r="EO28" s="39">
        <f>EDATE(InceptionDate,141)</f>
        <v/>
      </c>
      <c r="EP28" s="39">
        <f>EDATE(InceptionDate,142)</f>
        <v/>
      </c>
      <c r="EQ28" s="39">
        <f>EDATE(InceptionDate,143)</f>
        <v/>
      </c>
      <c r="ER28" s="39">
        <f>EDATE(InceptionDate,144)</f>
        <v/>
      </c>
      <c r="ES28" s="39">
        <f>EDATE(InceptionDate,145)</f>
        <v/>
      </c>
      <c r="ET28" s="39">
        <f>EDATE(InceptionDate,146)</f>
        <v/>
      </c>
      <c r="EU28" s="39">
        <f>EDATE(InceptionDate,147)</f>
        <v/>
      </c>
      <c r="EV28" s="39">
        <f>EDATE(InceptionDate,148)</f>
        <v/>
      </c>
      <c r="EW28" s="39">
        <f>EDATE(InceptionDate,149)</f>
        <v/>
      </c>
      <c r="EX28" s="39">
        <f>EDATE(InceptionDate,150)</f>
        <v/>
      </c>
      <c r="EY28" s="39">
        <f>EDATE(InceptionDate,151)</f>
        <v/>
      </c>
      <c r="EZ28" s="39">
        <f>EDATE(InceptionDate,152)</f>
        <v/>
      </c>
      <c r="FA28" s="39">
        <f>EDATE(InceptionDate,153)</f>
        <v/>
      </c>
      <c r="FB28" s="39">
        <f>EDATE(InceptionDate,154)</f>
        <v/>
      </c>
      <c r="FC28" s="39">
        <f>EDATE(InceptionDate,155)</f>
        <v/>
      </c>
      <c r="FD28" s="39">
        <f>EDATE(InceptionDate,156)</f>
        <v/>
      </c>
      <c r="FE28" s="39">
        <f>EDATE(InceptionDate,157)</f>
        <v/>
      </c>
      <c r="FF28" s="39">
        <f>EDATE(InceptionDate,158)</f>
        <v/>
      </c>
      <c r="FG28" s="39">
        <f>EDATE(InceptionDate,159)</f>
        <v/>
      </c>
      <c r="FH28" s="39">
        <f>EDATE(InceptionDate,160)</f>
        <v/>
      </c>
      <c r="FI28" s="39">
        <f>EDATE(InceptionDate,161)</f>
        <v/>
      </c>
      <c r="FJ28" s="39">
        <f>EDATE(InceptionDate,162)</f>
        <v/>
      </c>
      <c r="FK28" s="39">
        <f>EDATE(InceptionDate,163)</f>
        <v/>
      </c>
      <c r="FL28" s="39">
        <f>EDATE(InceptionDate,164)</f>
        <v/>
      </c>
      <c r="FM28" s="39">
        <f>EDATE(InceptionDate,165)</f>
        <v/>
      </c>
      <c r="FN28" s="39">
        <f>EDATE(InceptionDate,166)</f>
        <v/>
      </c>
      <c r="FO28" s="39">
        <f>EDATE(InceptionDate,167)</f>
        <v/>
      </c>
      <c r="FP28" s="39">
        <f>EDATE(InceptionDate,168)</f>
        <v/>
      </c>
      <c r="FQ28" s="39">
        <f>EDATE(InceptionDate,169)</f>
        <v/>
      </c>
      <c r="FR28" s="39">
        <f>EDATE(InceptionDate,170)</f>
        <v/>
      </c>
      <c r="FS28" s="39">
        <f>EDATE(InceptionDate,171)</f>
        <v/>
      </c>
      <c r="FT28" s="39">
        <f>EDATE(InceptionDate,172)</f>
        <v/>
      </c>
      <c r="FU28" s="39">
        <f>EDATE(InceptionDate,173)</f>
        <v/>
      </c>
      <c r="FV28" s="39">
        <f>EDATE(InceptionDate,174)</f>
        <v/>
      </c>
      <c r="FW28" s="39">
        <f>EDATE(InceptionDate,175)</f>
        <v/>
      </c>
      <c r="FX28" s="39">
        <f>EDATE(InceptionDate,176)</f>
        <v/>
      </c>
      <c r="FY28" s="39">
        <f>EDATE(InceptionDate,177)</f>
        <v/>
      </c>
      <c r="FZ28" s="39">
        <f>EDATE(InceptionDate,178)</f>
        <v/>
      </c>
      <c r="GA28" s="39">
        <f>EDATE(InceptionDate,179)</f>
        <v/>
      </c>
      <c r="GB28" s="39">
        <f>EDATE(InceptionDate,180)</f>
        <v/>
      </c>
      <c r="GC28" s="39">
        <f>EDATE(InceptionDate,181)</f>
        <v/>
      </c>
      <c r="GD28" s="39">
        <f>EDATE(InceptionDate,182)</f>
        <v/>
      </c>
      <c r="GE28" s="39">
        <f>EDATE(InceptionDate,183)</f>
        <v/>
      </c>
      <c r="GF28" s="39">
        <f>EDATE(InceptionDate,184)</f>
        <v/>
      </c>
      <c r="GG28" s="39">
        <f>EDATE(InceptionDate,185)</f>
        <v/>
      </c>
      <c r="GH28" s="39">
        <f>EDATE(InceptionDate,186)</f>
        <v/>
      </c>
      <c r="GI28" s="39">
        <f>EDATE(InceptionDate,187)</f>
        <v/>
      </c>
      <c r="GJ28" s="39">
        <f>EDATE(InceptionDate,188)</f>
        <v/>
      </c>
      <c r="GK28" s="39">
        <f>EDATE(InceptionDate,189)</f>
        <v/>
      </c>
      <c r="GL28" s="39">
        <f>EDATE(InceptionDate,190)</f>
        <v/>
      </c>
      <c r="GM28" s="39">
        <f>EDATE(InceptionDate,191)</f>
        <v/>
      </c>
      <c r="GN28" s="39">
        <f>EDATE(InceptionDate,192)</f>
        <v/>
      </c>
      <c r="GO28" s="39">
        <f>EDATE(InceptionDate,193)</f>
        <v/>
      </c>
      <c r="GP28" s="39">
        <f>EDATE(InceptionDate,194)</f>
        <v/>
      </c>
      <c r="GQ28" s="39">
        <f>EDATE(InceptionDate,195)</f>
        <v/>
      </c>
      <c r="GR28" s="39">
        <f>EDATE(InceptionDate,196)</f>
        <v/>
      </c>
      <c r="GS28" s="39">
        <f>EDATE(InceptionDate,197)</f>
        <v/>
      </c>
      <c r="GT28" s="39">
        <f>EDATE(InceptionDate,198)</f>
        <v/>
      </c>
      <c r="GU28" s="39">
        <f>EDATE(InceptionDate,199)</f>
        <v/>
      </c>
      <c r="GV28" s="39">
        <f>EDATE(InceptionDate,200)</f>
        <v/>
      </c>
      <c r="GW28" s="39">
        <f>EDATE(InceptionDate,201)</f>
        <v/>
      </c>
      <c r="GX28" s="39">
        <f>EDATE(InceptionDate,202)</f>
        <v/>
      </c>
      <c r="GY28" s="39">
        <f>EDATE(InceptionDate,203)</f>
        <v/>
      </c>
      <c r="GZ28" s="39">
        <f>EDATE(InceptionDate,204)</f>
        <v/>
      </c>
      <c r="HA28" s="39">
        <f>EDATE(InceptionDate,205)</f>
        <v/>
      </c>
      <c r="HB28" s="39">
        <f>EDATE(InceptionDate,206)</f>
        <v/>
      </c>
      <c r="HC28" s="39">
        <f>EDATE(InceptionDate,207)</f>
        <v/>
      </c>
      <c r="HD28" s="39">
        <f>EDATE(InceptionDate,208)</f>
        <v/>
      </c>
      <c r="HE28" s="39">
        <f>EDATE(InceptionDate,209)</f>
        <v/>
      </c>
      <c r="HF28" s="39">
        <f>EDATE(InceptionDate,210)</f>
        <v/>
      </c>
      <c r="HG28" s="39">
        <f>EDATE(InceptionDate,211)</f>
        <v/>
      </c>
      <c r="HH28" s="39">
        <f>EDATE(InceptionDate,212)</f>
        <v/>
      </c>
      <c r="HI28" s="39">
        <f>EDATE(InceptionDate,213)</f>
        <v/>
      </c>
      <c r="HJ28" s="39">
        <f>EDATE(InceptionDate,214)</f>
        <v/>
      </c>
      <c r="HK28" s="39">
        <f>EDATE(InceptionDate,215)</f>
        <v/>
      </c>
      <c r="HL28" s="39">
        <f>EDATE(InceptionDate,216)</f>
        <v/>
      </c>
      <c r="HM28" s="39">
        <f>EDATE(InceptionDate,217)</f>
        <v/>
      </c>
      <c r="HN28" s="39">
        <f>EDATE(InceptionDate,218)</f>
        <v/>
      </c>
      <c r="HO28" s="39">
        <f>EDATE(InceptionDate,219)</f>
        <v/>
      </c>
      <c r="HP28" s="39">
        <f>EDATE(InceptionDate,220)</f>
        <v/>
      </c>
      <c r="HQ28" s="39">
        <f>EDATE(InceptionDate,221)</f>
        <v/>
      </c>
      <c r="HR28" s="39">
        <f>EDATE(InceptionDate,222)</f>
        <v/>
      </c>
      <c r="HS28" s="39">
        <f>EDATE(InceptionDate,223)</f>
        <v/>
      </c>
      <c r="HT28" s="39">
        <f>EDATE(InceptionDate,224)</f>
        <v/>
      </c>
      <c r="HU28" s="39">
        <f>EDATE(InceptionDate,225)</f>
        <v/>
      </c>
      <c r="HV28" s="39">
        <f>EDATE(InceptionDate,226)</f>
        <v/>
      </c>
      <c r="HW28" s="39">
        <f>EDATE(InceptionDate,227)</f>
        <v/>
      </c>
      <c r="HX28" s="39">
        <f>EDATE(InceptionDate,228)</f>
        <v/>
      </c>
      <c r="HY28" s="39">
        <f>EDATE(InceptionDate,229)</f>
        <v/>
      </c>
      <c r="HZ28" s="39">
        <f>EDATE(InceptionDate,230)</f>
        <v/>
      </c>
      <c r="IA28" s="39">
        <f>EDATE(InceptionDate,231)</f>
        <v/>
      </c>
      <c r="IB28" s="39">
        <f>EDATE(InceptionDate,232)</f>
        <v/>
      </c>
      <c r="IC28" s="39">
        <f>EDATE(InceptionDate,233)</f>
        <v/>
      </c>
      <c r="ID28" s="39">
        <f>EDATE(InceptionDate,234)</f>
        <v/>
      </c>
      <c r="IE28" s="39">
        <f>EDATE(InceptionDate,235)</f>
        <v/>
      </c>
      <c r="IF28" s="39">
        <f>EDATE(InceptionDate,236)</f>
        <v/>
      </c>
      <c r="IG28" s="39">
        <f>EDATE(InceptionDate,237)</f>
        <v/>
      </c>
      <c r="IH28" s="39">
        <f>EDATE(InceptionDate,238)</f>
        <v/>
      </c>
      <c r="II28" s="39">
        <f>EDATE(InceptionDate,239)</f>
        <v/>
      </c>
      <c r="IJ28" s="39">
        <f>EDATE(InceptionDate,240)</f>
        <v/>
      </c>
      <c r="IK28" s="39">
        <f>EDATE(InceptionDate,241)</f>
        <v/>
      </c>
      <c r="IL28" s="39">
        <f>EDATE(InceptionDate,242)</f>
        <v/>
      </c>
      <c r="IM28" s="39">
        <f>EDATE(InceptionDate,243)</f>
        <v/>
      </c>
      <c r="IN28" s="39">
        <f>EDATE(InceptionDate,244)</f>
        <v/>
      </c>
      <c r="IO28" s="39">
        <f>EDATE(InceptionDate,245)</f>
        <v/>
      </c>
      <c r="IP28" s="39">
        <f>EDATE(InceptionDate,246)</f>
        <v/>
      </c>
      <c r="IQ28" s="39">
        <f>EDATE(InceptionDate,247)</f>
        <v/>
      </c>
      <c r="IR28" s="39">
        <f>EDATE(InceptionDate,248)</f>
        <v/>
      </c>
      <c r="IS28" s="39">
        <f>EDATE(InceptionDate,249)</f>
        <v/>
      </c>
      <c r="IT28" s="39">
        <f>EDATE(InceptionDate,250)</f>
        <v/>
      </c>
      <c r="IU28" s="39">
        <f>EDATE(InceptionDate,251)</f>
        <v/>
      </c>
      <c r="IV28" s="39">
        <f>EDATE(InceptionDate,252)</f>
        <v/>
      </c>
      <c r="IW28" s="39">
        <f>EDATE(InceptionDate,253)</f>
        <v/>
      </c>
      <c r="IX28" s="39">
        <f>EDATE(InceptionDate,254)</f>
        <v/>
      </c>
      <c r="IY28" s="39">
        <f>EDATE(InceptionDate,255)</f>
        <v/>
      </c>
      <c r="IZ28" s="39">
        <f>EDATE(InceptionDate,256)</f>
        <v/>
      </c>
      <c r="JA28" s="39">
        <f>EDATE(InceptionDate,257)</f>
        <v/>
      </c>
      <c r="JB28" s="39">
        <f>EDATE(InceptionDate,258)</f>
        <v/>
      </c>
      <c r="JC28" s="39">
        <f>EDATE(InceptionDate,259)</f>
        <v/>
      </c>
      <c r="JD28" s="39">
        <f>EDATE(InceptionDate,260)</f>
        <v/>
      </c>
      <c r="JE28" s="39">
        <f>EDATE(InceptionDate,261)</f>
        <v/>
      </c>
      <c r="JF28" s="39">
        <f>EDATE(InceptionDate,262)</f>
        <v/>
      </c>
      <c r="JG28" s="39">
        <f>EDATE(InceptionDate,263)</f>
        <v/>
      </c>
      <c r="JH28" s="39">
        <f>EDATE(InceptionDate,264)</f>
        <v/>
      </c>
      <c r="JI28" s="39">
        <f>EDATE(InceptionDate,265)</f>
        <v/>
      </c>
      <c r="JJ28" s="39">
        <f>EDATE(InceptionDate,266)</f>
        <v/>
      </c>
      <c r="JK28" s="39">
        <f>EDATE(InceptionDate,267)</f>
        <v/>
      </c>
      <c r="JL28" s="39">
        <f>EDATE(InceptionDate,268)</f>
        <v/>
      </c>
      <c r="JM28" s="39">
        <f>EDATE(InceptionDate,269)</f>
        <v/>
      </c>
      <c r="JN28" s="39">
        <f>EDATE(InceptionDate,270)</f>
        <v/>
      </c>
      <c r="JO28" s="39">
        <f>EDATE(InceptionDate,271)</f>
        <v/>
      </c>
      <c r="JP28" s="39">
        <f>EDATE(InceptionDate,272)</f>
        <v/>
      </c>
      <c r="JQ28" s="39">
        <f>EDATE(InceptionDate,273)</f>
        <v/>
      </c>
      <c r="JR28" s="39">
        <f>EDATE(InceptionDate,274)</f>
        <v/>
      </c>
      <c r="JS28" s="39">
        <f>EDATE(InceptionDate,275)</f>
        <v/>
      </c>
      <c r="JT28" s="39">
        <f>EDATE(InceptionDate,276)</f>
        <v/>
      </c>
      <c r="JU28" s="39">
        <f>EDATE(InceptionDate,277)</f>
        <v/>
      </c>
      <c r="JV28" s="39">
        <f>EDATE(InceptionDate,278)</f>
        <v/>
      </c>
      <c r="JW28" s="39">
        <f>EDATE(InceptionDate,279)</f>
        <v/>
      </c>
      <c r="JX28" s="39">
        <f>EDATE(InceptionDate,280)</f>
        <v/>
      </c>
      <c r="JY28" s="39">
        <f>EDATE(InceptionDate,281)</f>
        <v/>
      </c>
      <c r="JZ28" s="39">
        <f>EDATE(InceptionDate,282)</f>
        <v/>
      </c>
      <c r="KA28" s="39">
        <f>EDATE(InceptionDate,283)</f>
        <v/>
      </c>
      <c r="KB28" s="39">
        <f>EDATE(InceptionDate,284)</f>
        <v/>
      </c>
      <c r="KC28" s="39">
        <f>EDATE(InceptionDate,285)</f>
        <v/>
      </c>
      <c r="KD28" s="39">
        <f>EDATE(InceptionDate,286)</f>
        <v/>
      </c>
      <c r="KE28" s="39">
        <f>EDATE(InceptionDate,287)</f>
        <v/>
      </c>
      <c r="KF28" s="39">
        <f>EDATE(InceptionDate,288)</f>
        <v/>
      </c>
      <c r="KG28" s="39">
        <f>EDATE(InceptionDate,289)</f>
        <v/>
      </c>
      <c r="KH28" s="39">
        <f>EDATE(InceptionDate,290)</f>
        <v/>
      </c>
      <c r="KI28" s="39">
        <f>EDATE(InceptionDate,291)</f>
        <v/>
      </c>
      <c r="KJ28" s="39">
        <f>EDATE(InceptionDate,292)</f>
        <v/>
      </c>
      <c r="KK28" s="39">
        <f>EDATE(InceptionDate,293)</f>
        <v/>
      </c>
      <c r="KL28" s="39">
        <f>EDATE(InceptionDate,294)</f>
        <v/>
      </c>
      <c r="KM28" s="39">
        <f>EDATE(InceptionDate,295)</f>
        <v/>
      </c>
      <c r="KN28" s="39">
        <f>EDATE(InceptionDate,296)</f>
        <v/>
      </c>
      <c r="KO28" s="39">
        <f>EDATE(InceptionDate,297)</f>
        <v/>
      </c>
      <c r="KP28" s="39">
        <f>EDATE(InceptionDate,298)</f>
        <v/>
      </c>
      <c r="KQ28" s="39">
        <f>EDATE(InceptionDate,299)</f>
        <v/>
      </c>
      <c r="KR28" s="39">
        <f>EDATE(InceptionDate,300)</f>
        <v/>
      </c>
      <c r="KS28" s="39">
        <f>EDATE(InceptionDate,301)</f>
        <v/>
      </c>
      <c r="KT28" s="39">
        <f>EDATE(InceptionDate,302)</f>
        <v/>
      </c>
      <c r="KU28" s="39">
        <f>EDATE(InceptionDate,303)</f>
        <v/>
      </c>
      <c r="KV28" s="39">
        <f>EDATE(InceptionDate,304)</f>
        <v/>
      </c>
      <c r="KW28" s="39">
        <f>EDATE(InceptionDate,305)</f>
        <v/>
      </c>
      <c r="KX28" s="39">
        <f>EDATE(InceptionDate,306)</f>
        <v/>
      </c>
      <c r="KY28" s="39">
        <f>EDATE(InceptionDate,307)</f>
        <v/>
      </c>
      <c r="KZ28" s="39">
        <f>EDATE(InceptionDate,308)</f>
        <v/>
      </c>
      <c r="LA28" s="39">
        <f>EDATE(InceptionDate,309)</f>
        <v/>
      </c>
      <c r="LB28" s="39">
        <f>EDATE(InceptionDate,310)</f>
        <v/>
      </c>
      <c r="LC28" s="39">
        <f>EDATE(InceptionDate,311)</f>
        <v/>
      </c>
      <c r="LD28" s="39">
        <f>EDATE(InceptionDate,312)</f>
        <v/>
      </c>
      <c r="LE28" s="39">
        <f>EDATE(InceptionDate,313)</f>
        <v/>
      </c>
      <c r="LF28" s="39">
        <f>EDATE(InceptionDate,314)</f>
        <v/>
      </c>
      <c r="LG28" s="39">
        <f>EDATE(InceptionDate,315)</f>
        <v/>
      </c>
      <c r="LH28" s="39">
        <f>EDATE(InceptionDate,316)</f>
        <v/>
      </c>
      <c r="LI28" s="39">
        <f>EDATE(InceptionDate,317)</f>
        <v/>
      </c>
      <c r="LJ28" s="39">
        <f>EDATE(InceptionDate,318)</f>
        <v/>
      </c>
      <c r="LK28" s="39">
        <f>EDATE(InceptionDate,319)</f>
        <v/>
      </c>
      <c r="LL28" s="39">
        <f>EDATE(InceptionDate,320)</f>
        <v/>
      </c>
      <c r="LM28" s="39">
        <f>EDATE(InceptionDate,321)</f>
        <v/>
      </c>
      <c r="LN28" s="39">
        <f>EDATE(InceptionDate,322)</f>
        <v/>
      </c>
      <c r="LO28" s="39">
        <f>EDATE(InceptionDate,323)</f>
        <v/>
      </c>
      <c r="LP28" s="39">
        <f>EDATE(InceptionDate,324)</f>
        <v/>
      </c>
      <c r="LQ28" s="39">
        <f>EDATE(InceptionDate,325)</f>
        <v/>
      </c>
      <c r="LR28" s="39">
        <f>EDATE(InceptionDate,326)</f>
        <v/>
      </c>
      <c r="LS28" s="39">
        <f>EDATE(InceptionDate,327)</f>
        <v/>
      </c>
      <c r="LT28" s="39">
        <f>EDATE(InceptionDate,328)</f>
        <v/>
      </c>
      <c r="LU28" s="39">
        <f>EDATE(InceptionDate,329)</f>
        <v/>
      </c>
      <c r="LV28" s="39">
        <f>EDATE(InceptionDate,330)</f>
        <v/>
      </c>
      <c r="LW28" s="39">
        <f>EDATE(InceptionDate,331)</f>
        <v/>
      </c>
      <c r="LX28" s="39">
        <f>EDATE(InceptionDate,332)</f>
        <v/>
      </c>
      <c r="LY28" s="39">
        <f>EDATE(InceptionDate,333)</f>
        <v/>
      </c>
      <c r="LZ28" s="39">
        <f>EDATE(InceptionDate,334)</f>
        <v/>
      </c>
      <c r="MA28" s="39">
        <f>EDATE(InceptionDate,335)</f>
        <v/>
      </c>
      <c r="MB28" s="39">
        <f>EDATE(InceptionDate,336)</f>
        <v/>
      </c>
      <c r="MC28" s="39">
        <f>EDATE(InceptionDate,337)</f>
        <v/>
      </c>
      <c r="MD28" s="39">
        <f>EDATE(InceptionDate,338)</f>
        <v/>
      </c>
      <c r="ME28" s="39">
        <f>EDATE(InceptionDate,339)</f>
        <v/>
      </c>
      <c r="MF28" s="39">
        <f>EDATE(InceptionDate,340)</f>
        <v/>
      </c>
      <c r="MG28" s="39">
        <f>EDATE(InceptionDate,341)</f>
        <v/>
      </c>
      <c r="MH28" s="39">
        <f>EDATE(InceptionDate,342)</f>
        <v/>
      </c>
      <c r="MI28" s="39">
        <f>EDATE(InceptionDate,343)</f>
        <v/>
      </c>
      <c r="MJ28" s="39">
        <f>EDATE(InceptionDate,344)</f>
        <v/>
      </c>
      <c r="MK28" s="39">
        <f>EDATE(InceptionDate,345)</f>
        <v/>
      </c>
      <c r="ML28" s="39">
        <f>EDATE(InceptionDate,346)</f>
        <v/>
      </c>
      <c r="MM28" s="39">
        <f>EDATE(InceptionDate,347)</f>
        <v/>
      </c>
      <c r="MN28" s="39">
        <f>EDATE(InceptionDate,348)</f>
        <v/>
      </c>
      <c r="MO28" s="39">
        <f>EDATE(InceptionDate,349)</f>
        <v/>
      </c>
      <c r="MP28" s="39">
        <f>EDATE(InceptionDate,350)</f>
        <v/>
      </c>
      <c r="MQ28" s="39">
        <f>EDATE(InceptionDate,351)</f>
        <v/>
      </c>
      <c r="MR28" s="39">
        <f>EDATE(InceptionDate,352)</f>
        <v/>
      </c>
      <c r="MS28" s="39">
        <f>EDATE(InceptionDate,353)</f>
        <v/>
      </c>
      <c r="MT28" s="39">
        <f>EDATE(InceptionDate,354)</f>
        <v/>
      </c>
      <c r="MU28" s="39">
        <f>EDATE(InceptionDate,355)</f>
        <v/>
      </c>
      <c r="MV28" s="39">
        <f>EDATE(InceptionDate,356)</f>
        <v/>
      </c>
      <c r="MW28" s="39">
        <f>EDATE(InceptionDate,357)</f>
        <v/>
      </c>
      <c r="MX28" s="39">
        <f>EDATE(InceptionDate,358)</f>
        <v/>
      </c>
      <c r="MY28" s="39">
        <f>EDATE(InceptionDate,359)</f>
        <v/>
      </c>
      <c r="MZ28" s="39">
        <f>EDATE(InceptionDate,360)</f>
        <v/>
      </c>
      <c r="NA28" s="39">
        <f>EDATE(InceptionDate,361)</f>
        <v/>
      </c>
      <c r="NB28" s="39">
        <f>EDATE(InceptionDate,362)</f>
        <v/>
      </c>
      <c r="NC28" s="39">
        <f>EDATE(InceptionDate,363)</f>
        <v/>
      </c>
      <c r="ND28" s="39">
        <f>EDATE(InceptionDate,364)</f>
        <v/>
      </c>
      <c r="NE28" s="39">
        <f>EDATE(InceptionDate,365)</f>
        <v/>
      </c>
      <c r="NF28" s="39">
        <f>EDATE(InceptionDate,366)</f>
        <v/>
      </c>
      <c r="NG28" s="39">
        <f>EDATE(InceptionDate,367)</f>
        <v/>
      </c>
      <c r="NH28" s="39">
        <f>EDATE(InceptionDate,368)</f>
        <v/>
      </c>
      <c r="NI28" s="39">
        <f>EDATE(InceptionDate,369)</f>
        <v/>
      </c>
      <c r="NJ28" s="39">
        <f>EDATE(InceptionDate,370)</f>
        <v/>
      </c>
      <c r="NK28" s="39">
        <f>EDATE(InceptionDate,371)</f>
        <v/>
      </c>
    </row>
    <row r="29">
      <c r="A29" s="5" t="inlineStr">
        <is>
          <t>Flag: Open Escrow</t>
        </is>
      </c>
      <c r="C29" s="40" t="n"/>
      <c r="D29" s="17">
        <f>IF(AND(1&gt;=$B$4,1&lt;=$D$4),1,0)</f>
        <v/>
      </c>
      <c r="E29" s="17">
        <f>IF(AND(2&gt;=$B$4,2&lt;=$D$4),1,0)</f>
        <v/>
      </c>
      <c r="F29" s="17">
        <f>IF(AND(3&gt;=$B$4,3&lt;=$D$4),1,0)</f>
        <v/>
      </c>
      <c r="G29" s="17">
        <f>IF(AND(4&gt;=$B$4,4&lt;=$D$4),1,0)</f>
        <v/>
      </c>
      <c r="H29" s="17">
        <f>IF(AND(5&gt;=$B$4,5&lt;=$D$4),1,0)</f>
        <v/>
      </c>
      <c r="I29" s="17">
        <f>IF(AND(6&gt;=$B$4,6&lt;=$D$4),1,0)</f>
        <v/>
      </c>
      <c r="J29" s="17">
        <f>IF(AND(7&gt;=$B$4,7&lt;=$D$4),1,0)</f>
        <v/>
      </c>
      <c r="K29" s="17">
        <f>IF(AND(8&gt;=$B$4,8&lt;=$D$4),1,0)</f>
        <v/>
      </c>
      <c r="L29" s="17">
        <f>IF(AND(9&gt;=$B$4,9&lt;=$D$4),1,0)</f>
        <v/>
      </c>
      <c r="M29" s="17">
        <f>IF(AND(10&gt;=$B$4,10&lt;=$D$4),1,0)</f>
        <v/>
      </c>
      <c r="N29" s="17">
        <f>IF(AND(11&gt;=$B$4,11&lt;=$D$4),1,0)</f>
        <v/>
      </c>
      <c r="O29" s="17">
        <f>IF(AND(12&gt;=$B$4,12&lt;=$D$4),1,0)</f>
        <v/>
      </c>
      <c r="P29" s="17">
        <f>IF(AND(13&gt;=$B$4,13&lt;=$D$4),1,0)</f>
        <v/>
      </c>
      <c r="Q29" s="17">
        <f>IF(AND(14&gt;=$B$4,14&lt;=$D$4),1,0)</f>
        <v/>
      </c>
      <c r="R29" s="17">
        <f>IF(AND(15&gt;=$B$4,15&lt;=$D$4),1,0)</f>
        <v/>
      </c>
      <c r="S29" s="17">
        <f>IF(AND(16&gt;=$B$4,16&lt;=$D$4),1,0)</f>
        <v/>
      </c>
      <c r="T29" s="17">
        <f>IF(AND(17&gt;=$B$4,17&lt;=$D$4),1,0)</f>
        <v/>
      </c>
      <c r="U29" s="17">
        <f>IF(AND(18&gt;=$B$4,18&lt;=$D$4),1,0)</f>
        <v/>
      </c>
      <c r="V29" s="17">
        <f>IF(AND(19&gt;=$B$4,19&lt;=$D$4),1,0)</f>
        <v/>
      </c>
      <c r="W29" s="17">
        <f>IF(AND(20&gt;=$B$4,20&lt;=$D$4),1,0)</f>
        <v/>
      </c>
      <c r="X29" s="17">
        <f>IF(AND(21&gt;=$B$4,21&lt;=$D$4),1,0)</f>
        <v/>
      </c>
      <c r="Y29" s="17">
        <f>IF(AND(22&gt;=$B$4,22&lt;=$D$4),1,0)</f>
        <v/>
      </c>
      <c r="Z29" s="17">
        <f>IF(AND(23&gt;=$B$4,23&lt;=$D$4),1,0)</f>
        <v/>
      </c>
      <c r="AA29" s="17">
        <f>IF(AND(24&gt;=$B$4,24&lt;=$D$4),1,0)</f>
        <v/>
      </c>
      <c r="AB29" s="17">
        <f>IF(AND(25&gt;=$B$4,25&lt;=$D$4),1,0)</f>
        <v/>
      </c>
      <c r="AC29" s="17">
        <f>IF(AND(26&gt;=$B$4,26&lt;=$D$4),1,0)</f>
        <v/>
      </c>
      <c r="AD29" s="17">
        <f>IF(AND(27&gt;=$B$4,27&lt;=$D$4),1,0)</f>
        <v/>
      </c>
      <c r="AE29" s="17">
        <f>IF(AND(28&gt;=$B$4,28&lt;=$D$4),1,0)</f>
        <v/>
      </c>
      <c r="AF29" s="17">
        <f>IF(AND(29&gt;=$B$4,29&lt;=$D$4),1,0)</f>
        <v/>
      </c>
      <c r="AG29" s="17">
        <f>IF(AND(30&gt;=$B$4,30&lt;=$D$4),1,0)</f>
        <v/>
      </c>
      <c r="AH29" s="17">
        <f>IF(AND(31&gt;=$B$4,31&lt;=$D$4),1,0)</f>
        <v/>
      </c>
      <c r="AI29" s="17">
        <f>IF(AND(32&gt;=$B$4,32&lt;=$D$4),1,0)</f>
        <v/>
      </c>
      <c r="AJ29" s="17">
        <f>IF(AND(33&gt;=$B$4,33&lt;=$D$4),1,0)</f>
        <v/>
      </c>
      <c r="AK29" s="17">
        <f>IF(AND(34&gt;=$B$4,34&lt;=$D$4),1,0)</f>
        <v/>
      </c>
      <c r="AL29" s="17">
        <f>IF(AND(35&gt;=$B$4,35&lt;=$D$4),1,0)</f>
        <v/>
      </c>
      <c r="AM29" s="17">
        <f>IF(AND(36&gt;=$B$4,36&lt;=$D$4),1,0)</f>
        <v/>
      </c>
      <c r="AN29" s="17">
        <f>IF(AND(37&gt;=$B$4,37&lt;=$D$4),1,0)</f>
        <v/>
      </c>
      <c r="AO29" s="17">
        <f>IF(AND(38&gt;=$B$4,38&lt;=$D$4),1,0)</f>
        <v/>
      </c>
      <c r="AP29" s="17">
        <f>IF(AND(39&gt;=$B$4,39&lt;=$D$4),1,0)</f>
        <v/>
      </c>
      <c r="AQ29" s="17">
        <f>IF(AND(40&gt;=$B$4,40&lt;=$D$4),1,0)</f>
        <v/>
      </c>
      <c r="AR29" s="17">
        <f>IF(AND(41&gt;=$B$4,41&lt;=$D$4),1,0)</f>
        <v/>
      </c>
      <c r="AS29" s="17">
        <f>IF(AND(42&gt;=$B$4,42&lt;=$D$4),1,0)</f>
        <v/>
      </c>
      <c r="AT29" s="17">
        <f>IF(AND(43&gt;=$B$4,43&lt;=$D$4),1,0)</f>
        <v/>
      </c>
      <c r="AU29" s="17">
        <f>IF(AND(44&gt;=$B$4,44&lt;=$D$4),1,0)</f>
        <v/>
      </c>
      <c r="AV29" s="17">
        <f>IF(AND(45&gt;=$B$4,45&lt;=$D$4),1,0)</f>
        <v/>
      </c>
      <c r="AW29" s="17">
        <f>IF(AND(46&gt;=$B$4,46&lt;=$D$4),1,0)</f>
        <v/>
      </c>
      <c r="AX29" s="17">
        <f>IF(AND(47&gt;=$B$4,47&lt;=$D$4),1,0)</f>
        <v/>
      </c>
      <c r="AY29" s="17">
        <f>IF(AND(48&gt;=$B$4,48&lt;=$D$4),1,0)</f>
        <v/>
      </c>
      <c r="AZ29" s="17">
        <f>IF(AND(49&gt;=$B$4,49&lt;=$D$4),1,0)</f>
        <v/>
      </c>
      <c r="BA29" s="17">
        <f>IF(AND(50&gt;=$B$4,50&lt;=$D$4),1,0)</f>
        <v/>
      </c>
      <c r="BB29" s="17">
        <f>IF(AND(51&gt;=$B$4,51&lt;=$D$4),1,0)</f>
        <v/>
      </c>
      <c r="BC29" s="17">
        <f>IF(AND(52&gt;=$B$4,52&lt;=$D$4),1,0)</f>
        <v/>
      </c>
      <c r="BD29" s="17">
        <f>IF(AND(53&gt;=$B$4,53&lt;=$D$4),1,0)</f>
        <v/>
      </c>
      <c r="BE29" s="17">
        <f>IF(AND(54&gt;=$B$4,54&lt;=$D$4),1,0)</f>
        <v/>
      </c>
      <c r="BF29" s="17">
        <f>IF(AND(55&gt;=$B$4,55&lt;=$D$4),1,0)</f>
        <v/>
      </c>
      <c r="BG29" s="17">
        <f>IF(AND(56&gt;=$B$4,56&lt;=$D$4),1,0)</f>
        <v/>
      </c>
      <c r="BH29" s="17">
        <f>IF(AND(57&gt;=$B$4,57&lt;=$D$4),1,0)</f>
        <v/>
      </c>
      <c r="BI29" s="17">
        <f>IF(AND(58&gt;=$B$4,58&lt;=$D$4),1,0)</f>
        <v/>
      </c>
      <c r="BJ29" s="17">
        <f>IF(AND(59&gt;=$B$4,59&lt;=$D$4),1,0)</f>
        <v/>
      </c>
      <c r="BK29" s="17">
        <f>IF(AND(60&gt;=$B$4,60&lt;=$D$4),1,0)</f>
        <v/>
      </c>
      <c r="BL29" s="17">
        <f>IF(AND(61&gt;=$B$4,61&lt;=$D$4),1,0)</f>
        <v/>
      </c>
      <c r="BM29" s="17">
        <f>IF(AND(62&gt;=$B$4,62&lt;=$D$4),1,0)</f>
        <v/>
      </c>
      <c r="BN29" s="17">
        <f>IF(AND(63&gt;=$B$4,63&lt;=$D$4),1,0)</f>
        <v/>
      </c>
      <c r="BO29" s="17">
        <f>IF(AND(64&gt;=$B$4,64&lt;=$D$4),1,0)</f>
        <v/>
      </c>
      <c r="BP29" s="17">
        <f>IF(AND(65&gt;=$B$4,65&lt;=$D$4),1,0)</f>
        <v/>
      </c>
      <c r="BQ29" s="17">
        <f>IF(AND(66&gt;=$B$4,66&lt;=$D$4),1,0)</f>
        <v/>
      </c>
      <c r="BR29" s="17">
        <f>IF(AND(67&gt;=$B$4,67&lt;=$D$4),1,0)</f>
        <v/>
      </c>
      <c r="BS29" s="17">
        <f>IF(AND(68&gt;=$B$4,68&lt;=$D$4),1,0)</f>
        <v/>
      </c>
      <c r="BT29" s="17">
        <f>IF(AND(69&gt;=$B$4,69&lt;=$D$4),1,0)</f>
        <v/>
      </c>
      <c r="BU29" s="17">
        <f>IF(AND(70&gt;=$B$4,70&lt;=$D$4),1,0)</f>
        <v/>
      </c>
      <c r="BV29" s="17">
        <f>IF(AND(71&gt;=$B$4,71&lt;=$D$4),1,0)</f>
        <v/>
      </c>
      <c r="BW29" s="17">
        <f>IF(AND(72&gt;=$B$4,72&lt;=$D$4),1,0)</f>
        <v/>
      </c>
      <c r="BX29" s="17">
        <f>IF(AND(73&gt;=$B$4,73&lt;=$D$4),1,0)</f>
        <v/>
      </c>
      <c r="BY29" s="17">
        <f>IF(AND(74&gt;=$B$4,74&lt;=$D$4),1,0)</f>
        <v/>
      </c>
      <c r="BZ29" s="17">
        <f>IF(AND(75&gt;=$B$4,75&lt;=$D$4),1,0)</f>
        <v/>
      </c>
      <c r="CA29" s="17">
        <f>IF(AND(76&gt;=$B$4,76&lt;=$D$4),1,0)</f>
        <v/>
      </c>
      <c r="CB29" s="17">
        <f>IF(AND(77&gt;=$B$4,77&lt;=$D$4),1,0)</f>
        <v/>
      </c>
      <c r="CC29" s="17">
        <f>IF(AND(78&gt;=$B$4,78&lt;=$D$4),1,0)</f>
        <v/>
      </c>
      <c r="CD29" s="17">
        <f>IF(AND(79&gt;=$B$4,79&lt;=$D$4),1,0)</f>
        <v/>
      </c>
      <c r="CE29" s="17">
        <f>IF(AND(80&gt;=$B$4,80&lt;=$D$4),1,0)</f>
        <v/>
      </c>
      <c r="CF29" s="17">
        <f>IF(AND(81&gt;=$B$4,81&lt;=$D$4),1,0)</f>
        <v/>
      </c>
      <c r="CG29" s="17">
        <f>IF(AND(82&gt;=$B$4,82&lt;=$D$4),1,0)</f>
        <v/>
      </c>
      <c r="CH29" s="17">
        <f>IF(AND(83&gt;=$B$4,83&lt;=$D$4),1,0)</f>
        <v/>
      </c>
      <c r="CI29" s="17">
        <f>IF(AND(84&gt;=$B$4,84&lt;=$D$4),1,0)</f>
        <v/>
      </c>
      <c r="CJ29" s="17">
        <f>IF(AND(85&gt;=$B$4,85&lt;=$D$4),1,0)</f>
        <v/>
      </c>
      <c r="CK29" s="17">
        <f>IF(AND(86&gt;=$B$4,86&lt;=$D$4),1,0)</f>
        <v/>
      </c>
      <c r="CL29" s="17">
        <f>IF(AND(87&gt;=$B$4,87&lt;=$D$4),1,0)</f>
        <v/>
      </c>
      <c r="CM29" s="17">
        <f>IF(AND(88&gt;=$B$4,88&lt;=$D$4),1,0)</f>
        <v/>
      </c>
      <c r="CN29" s="17">
        <f>IF(AND(89&gt;=$B$4,89&lt;=$D$4),1,0)</f>
        <v/>
      </c>
      <c r="CO29" s="17">
        <f>IF(AND(90&gt;=$B$4,90&lt;=$D$4),1,0)</f>
        <v/>
      </c>
      <c r="CP29" s="17">
        <f>IF(AND(91&gt;=$B$4,91&lt;=$D$4),1,0)</f>
        <v/>
      </c>
      <c r="CQ29" s="17">
        <f>IF(AND(92&gt;=$B$4,92&lt;=$D$4),1,0)</f>
        <v/>
      </c>
      <c r="CR29" s="17">
        <f>IF(AND(93&gt;=$B$4,93&lt;=$D$4),1,0)</f>
        <v/>
      </c>
      <c r="CS29" s="17">
        <f>IF(AND(94&gt;=$B$4,94&lt;=$D$4),1,0)</f>
        <v/>
      </c>
      <c r="CT29" s="17">
        <f>IF(AND(95&gt;=$B$4,95&lt;=$D$4),1,0)</f>
        <v/>
      </c>
      <c r="CU29" s="17">
        <f>IF(AND(96&gt;=$B$4,96&lt;=$D$4),1,0)</f>
        <v/>
      </c>
      <c r="CV29" s="17">
        <f>IF(AND(97&gt;=$B$4,97&lt;=$D$4),1,0)</f>
        <v/>
      </c>
      <c r="CW29" s="17">
        <f>IF(AND(98&gt;=$B$4,98&lt;=$D$4),1,0)</f>
        <v/>
      </c>
      <c r="CX29" s="17">
        <f>IF(AND(99&gt;=$B$4,99&lt;=$D$4),1,0)</f>
        <v/>
      </c>
      <c r="CY29" s="17">
        <f>IF(AND(100&gt;=$B$4,100&lt;=$D$4),1,0)</f>
        <v/>
      </c>
      <c r="CZ29" s="17">
        <f>IF(AND(101&gt;=$B$4,101&lt;=$D$4),1,0)</f>
        <v/>
      </c>
      <c r="DA29" s="17">
        <f>IF(AND(102&gt;=$B$4,102&lt;=$D$4),1,0)</f>
        <v/>
      </c>
      <c r="DB29" s="17">
        <f>IF(AND(103&gt;=$B$4,103&lt;=$D$4),1,0)</f>
        <v/>
      </c>
      <c r="DC29" s="17">
        <f>IF(AND(104&gt;=$B$4,104&lt;=$D$4),1,0)</f>
        <v/>
      </c>
      <c r="DD29" s="17">
        <f>IF(AND(105&gt;=$B$4,105&lt;=$D$4),1,0)</f>
        <v/>
      </c>
      <c r="DE29" s="17">
        <f>IF(AND(106&gt;=$B$4,106&lt;=$D$4),1,0)</f>
        <v/>
      </c>
      <c r="DF29" s="17">
        <f>IF(AND(107&gt;=$B$4,107&lt;=$D$4),1,0)</f>
        <v/>
      </c>
      <c r="DG29" s="17">
        <f>IF(AND(108&gt;=$B$4,108&lt;=$D$4),1,0)</f>
        <v/>
      </c>
      <c r="DH29" s="17">
        <f>IF(AND(109&gt;=$B$4,109&lt;=$D$4),1,0)</f>
        <v/>
      </c>
      <c r="DI29" s="17">
        <f>IF(AND(110&gt;=$B$4,110&lt;=$D$4),1,0)</f>
        <v/>
      </c>
      <c r="DJ29" s="17">
        <f>IF(AND(111&gt;=$B$4,111&lt;=$D$4),1,0)</f>
        <v/>
      </c>
      <c r="DK29" s="17">
        <f>IF(AND(112&gt;=$B$4,112&lt;=$D$4),1,0)</f>
        <v/>
      </c>
      <c r="DL29" s="17">
        <f>IF(AND(113&gt;=$B$4,113&lt;=$D$4),1,0)</f>
        <v/>
      </c>
      <c r="DM29" s="17">
        <f>IF(AND(114&gt;=$B$4,114&lt;=$D$4),1,0)</f>
        <v/>
      </c>
      <c r="DN29" s="17">
        <f>IF(AND(115&gt;=$B$4,115&lt;=$D$4),1,0)</f>
        <v/>
      </c>
      <c r="DO29" s="17">
        <f>IF(AND(116&gt;=$B$4,116&lt;=$D$4),1,0)</f>
        <v/>
      </c>
      <c r="DP29" s="17">
        <f>IF(AND(117&gt;=$B$4,117&lt;=$D$4),1,0)</f>
        <v/>
      </c>
      <c r="DQ29" s="17">
        <f>IF(AND(118&gt;=$B$4,118&lt;=$D$4),1,0)</f>
        <v/>
      </c>
      <c r="DR29" s="17">
        <f>IF(AND(119&gt;=$B$4,119&lt;=$D$4),1,0)</f>
        <v/>
      </c>
      <c r="DS29" s="17">
        <f>IF(AND(120&gt;=$B$4,120&lt;=$D$4),1,0)</f>
        <v/>
      </c>
      <c r="DT29" s="17">
        <f>IF(AND(121&gt;=$B$4,121&lt;=$D$4),1,0)</f>
        <v/>
      </c>
      <c r="DU29" s="17">
        <f>IF(AND(122&gt;=$B$4,122&lt;=$D$4),1,0)</f>
        <v/>
      </c>
      <c r="DV29" s="17">
        <f>IF(AND(123&gt;=$B$4,123&lt;=$D$4),1,0)</f>
        <v/>
      </c>
      <c r="DW29" s="17">
        <f>IF(AND(124&gt;=$B$4,124&lt;=$D$4),1,0)</f>
        <v/>
      </c>
      <c r="DX29" s="17">
        <f>IF(AND(125&gt;=$B$4,125&lt;=$D$4),1,0)</f>
        <v/>
      </c>
      <c r="DY29" s="17">
        <f>IF(AND(126&gt;=$B$4,126&lt;=$D$4),1,0)</f>
        <v/>
      </c>
      <c r="DZ29" s="17">
        <f>IF(AND(127&gt;=$B$4,127&lt;=$D$4),1,0)</f>
        <v/>
      </c>
      <c r="EA29" s="17">
        <f>IF(AND(128&gt;=$B$4,128&lt;=$D$4),1,0)</f>
        <v/>
      </c>
      <c r="EB29" s="17">
        <f>IF(AND(129&gt;=$B$4,129&lt;=$D$4),1,0)</f>
        <v/>
      </c>
      <c r="EC29" s="17">
        <f>IF(AND(130&gt;=$B$4,130&lt;=$D$4),1,0)</f>
        <v/>
      </c>
      <c r="ED29" s="17">
        <f>IF(AND(131&gt;=$B$4,131&lt;=$D$4),1,0)</f>
        <v/>
      </c>
      <c r="EE29" s="17">
        <f>IF(AND(132&gt;=$B$4,132&lt;=$D$4),1,0)</f>
        <v/>
      </c>
      <c r="EF29" s="17">
        <f>IF(AND(133&gt;=$B$4,133&lt;=$D$4),1,0)</f>
        <v/>
      </c>
      <c r="EG29" s="17">
        <f>IF(AND(134&gt;=$B$4,134&lt;=$D$4),1,0)</f>
        <v/>
      </c>
      <c r="EH29" s="17">
        <f>IF(AND(135&gt;=$B$4,135&lt;=$D$4),1,0)</f>
        <v/>
      </c>
      <c r="EI29" s="17">
        <f>IF(AND(136&gt;=$B$4,136&lt;=$D$4),1,0)</f>
        <v/>
      </c>
      <c r="EJ29" s="17">
        <f>IF(AND(137&gt;=$B$4,137&lt;=$D$4),1,0)</f>
        <v/>
      </c>
      <c r="EK29" s="17">
        <f>IF(AND(138&gt;=$B$4,138&lt;=$D$4),1,0)</f>
        <v/>
      </c>
      <c r="EL29" s="17">
        <f>IF(AND(139&gt;=$B$4,139&lt;=$D$4),1,0)</f>
        <v/>
      </c>
      <c r="EM29" s="17">
        <f>IF(AND(140&gt;=$B$4,140&lt;=$D$4),1,0)</f>
        <v/>
      </c>
      <c r="EN29" s="17">
        <f>IF(AND(141&gt;=$B$4,141&lt;=$D$4),1,0)</f>
        <v/>
      </c>
      <c r="EO29" s="17">
        <f>IF(AND(142&gt;=$B$4,142&lt;=$D$4),1,0)</f>
        <v/>
      </c>
      <c r="EP29" s="17">
        <f>IF(AND(143&gt;=$B$4,143&lt;=$D$4),1,0)</f>
        <v/>
      </c>
      <c r="EQ29" s="17">
        <f>IF(AND(144&gt;=$B$4,144&lt;=$D$4),1,0)</f>
        <v/>
      </c>
      <c r="ER29" s="17">
        <f>IF(AND(145&gt;=$B$4,145&lt;=$D$4),1,0)</f>
        <v/>
      </c>
      <c r="ES29" s="17">
        <f>IF(AND(146&gt;=$B$4,146&lt;=$D$4),1,0)</f>
        <v/>
      </c>
      <c r="ET29" s="17">
        <f>IF(AND(147&gt;=$B$4,147&lt;=$D$4),1,0)</f>
        <v/>
      </c>
      <c r="EU29" s="17">
        <f>IF(AND(148&gt;=$B$4,148&lt;=$D$4),1,0)</f>
        <v/>
      </c>
      <c r="EV29" s="17">
        <f>IF(AND(149&gt;=$B$4,149&lt;=$D$4),1,0)</f>
        <v/>
      </c>
      <c r="EW29" s="17">
        <f>IF(AND(150&gt;=$B$4,150&lt;=$D$4),1,0)</f>
        <v/>
      </c>
      <c r="EX29" s="17">
        <f>IF(AND(151&gt;=$B$4,151&lt;=$D$4),1,0)</f>
        <v/>
      </c>
      <c r="EY29" s="17">
        <f>IF(AND(152&gt;=$B$4,152&lt;=$D$4),1,0)</f>
        <v/>
      </c>
      <c r="EZ29" s="17">
        <f>IF(AND(153&gt;=$B$4,153&lt;=$D$4),1,0)</f>
        <v/>
      </c>
      <c r="FA29" s="17">
        <f>IF(AND(154&gt;=$B$4,154&lt;=$D$4),1,0)</f>
        <v/>
      </c>
      <c r="FB29" s="17">
        <f>IF(AND(155&gt;=$B$4,155&lt;=$D$4),1,0)</f>
        <v/>
      </c>
      <c r="FC29" s="17">
        <f>IF(AND(156&gt;=$B$4,156&lt;=$D$4),1,0)</f>
        <v/>
      </c>
      <c r="FD29" s="17">
        <f>IF(AND(157&gt;=$B$4,157&lt;=$D$4),1,0)</f>
        <v/>
      </c>
      <c r="FE29" s="17">
        <f>IF(AND(158&gt;=$B$4,158&lt;=$D$4),1,0)</f>
        <v/>
      </c>
      <c r="FF29" s="17">
        <f>IF(AND(159&gt;=$B$4,159&lt;=$D$4),1,0)</f>
        <v/>
      </c>
      <c r="FG29" s="17">
        <f>IF(AND(160&gt;=$B$4,160&lt;=$D$4),1,0)</f>
        <v/>
      </c>
      <c r="FH29" s="17">
        <f>IF(AND(161&gt;=$B$4,161&lt;=$D$4),1,0)</f>
        <v/>
      </c>
      <c r="FI29" s="17">
        <f>IF(AND(162&gt;=$B$4,162&lt;=$D$4),1,0)</f>
        <v/>
      </c>
      <c r="FJ29" s="17">
        <f>IF(AND(163&gt;=$B$4,163&lt;=$D$4),1,0)</f>
        <v/>
      </c>
      <c r="FK29" s="17">
        <f>IF(AND(164&gt;=$B$4,164&lt;=$D$4),1,0)</f>
        <v/>
      </c>
      <c r="FL29" s="17">
        <f>IF(AND(165&gt;=$B$4,165&lt;=$D$4),1,0)</f>
        <v/>
      </c>
      <c r="FM29" s="17">
        <f>IF(AND(166&gt;=$B$4,166&lt;=$D$4),1,0)</f>
        <v/>
      </c>
      <c r="FN29" s="17">
        <f>IF(AND(167&gt;=$B$4,167&lt;=$D$4),1,0)</f>
        <v/>
      </c>
      <c r="FO29" s="17">
        <f>IF(AND(168&gt;=$B$4,168&lt;=$D$4),1,0)</f>
        <v/>
      </c>
      <c r="FP29" s="17">
        <f>IF(AND(169&gt;=$B$4,169&lt;=$D$4),1,0)</f>
        <v/>
      </c>
      <c r="FQ29" s="17">
        <f>IF(AND(170&gt;=$B$4,170&lt;=$D$4),1,0)</f>
        <v/>
      </c>
      <c r="FR29" s="17">
        <f>IF(AND(171&gt;=$B$4,171&lt;=$D$4),1,0)</f>
        <v/>
      </c>
      <c r="FS29" s="17">
        <f>IF(AND(172&gt;=$B$4,172&lt;=$D$4),1,0)</f>
        <v/>
      </c>
      <c r="FT29" s="17">
        <f>IF(AND(173&gt;=$B$4,173&lt;=$D$4),1,0)</f>
        <v/>
      </c>
      <c r="FU29" s="17">
        <f>IF(AND(174&gt;=$B$4,174&lt;=$D$4),1,0)</f>
        <v/>
      </c>
      <c r="FV29" s="17">
        <f>IF(AND(175&gt;=$B$4,175&lt;=$D$4),1,0)</f>
        <v/>
      </c>
      <c r="FW29" s="17">
        <f>IF(AND(176&gt;=$B$4,176&lt;=$D$4),1,0)</f>
        <v/>
      </c>
      <c r="FX29" s="17">
        <f>IF(AND(177&gt;=$B$4,177&lt;=$D$4),1,0)</f>
        <v/>
      </c>
      <c r="FY29" s="17">
        <f>IF(AND(178&gt;=$B$4,178&lt;=$D$4),1,0)</f>
        <v/>
      </c>
      <c r="FZ29" s="17">
        <f>IF(AND(179&gt;=$B$4,179&lt;=$D$4),1,0)</f>
        <v/>
      </c>
      <c r="GA29" s="17">
        <f>IF(AND(180&gt;=$B$4,180&lt;=$D$4),1,0)</f>
        <v/>
      </c>
      <c r="GB29" s="17">
        <f>IF(AND(181&gt;=$B$4,181&lt;=$D$4),1,0)</f>
        <v/>
      </c>
      <c r="GC29" s="17">
        <f>IF(AND(182&gt;=$B$4,182&lt;=$D$4),1,0)</f>
        <v/>
      </c>
      <c r="GD29" s="17">
        <f>IF(AND(183&gt;=$B$4,183&lt;=$D$4),1,0)</f>
        <v/>
      </c>
      <c r="GE29" s="17">
        <f>IF(AND(184&gt;=$B$4,184&lt;=$D$4),1,0)</f>
        <v/>
      </c>
      <c r="GF29" s="17">
        <f>IF(AND(185&gt;=$B$4,185&lt;=$D$4),1,0)</f>
        <v/>
      </c>
      <c r="GG29" s="17">
        <f>IF(AND(186&gt;=$B$4,186&lt;=$D$4),1,0)</f>
        <v/>
      </c>
      <c r="GH29" s="17">
        <f>IF(AND(187&gt;=$B$4,187&lt;=$D$4),1,0)</f>
        <v/>
      </c>
      <c r="GI29" s="17">
        <f>IF(AND(188&gt;=$B$4,188&lt;=$D$4),1,0)</f>
        <v/>
      </c>
      <c r="GJ29" s="17">
        <f>IF(AND(189&gt;=$B$4,189&lt;=$D$4),1,0)</f>
        <v/>
      </c>
      <c r="GK29" s="17">
        <f>IF(AND(190&gt;=$B$4,190&lt;=$D$4),1,0)</f>
        <v/>
      </c>
      <c r="GL29" s="17">
        <f>IF(AND(191&gt;=$B$4,191&lt;=$D$4),1,0)</f>
        <v/>
      </c>
      <c r="GM29" s="17">
        <f>IF(AND(192&gt;=$B$4,192&lt;=$D$4),1,0)</f>
        <v/>
      </c>
      <c r="GN29" s="17">
        <f>IF(AND(193&gt;=$B$4,193&lt;=$D$4),1,0)</f>
        <v/>
      </c>
      <c r="GO29" s="17">
        <f>IF(AND(194&gt;=$B$4,194&lt;=$D$4),1,0)</f>
        <v/>
      </c>
      <c r="GP29" s="17">
        <f>IF(AND(195&gt;=$B$4,195&lt;=$D$4),1,0)</f>
        <v/>
      </c>
      <c r="GQ29" s="17">
        <f>IF(AND(196&gt;=$B$4,196&lt;=$D$4),1,0)</f>
        <v/>
      </c>
      <c r="GR29" s="17">
        <f>IF(AND(197&gt;=$B$4,197&lt;=$D$4),1,0)</f>
        <v/>
      </c>
      <c r="GS29" s="17">
        <f>IF(AND(198&gt;=$B$4,198&lt;=$D$4),1,0)</f>
        <v/>
      </c>
      <c r="GT29" s="17">
        <f>IF(AND(199&gt;=$B$4,199&lt;=$D$4),1,0)</f>
        <v/>
      </c>
      <c r="GU29" s="17">
        <f>IF(AND(200&gt;=$B$4,200&lt;=$D$4),1,0)</f>
        <v/>
      </c>
      <c r="GV29" s="17">
        <f>IF(AND(201&gt;=$B$4,201&lt;=$D$4),1,0)</f>
        <v/>
      </c>
      <c r="GW29" s="17">
        <f>IF(AND(202&gt;=$B$4,202&lt;=$D$4),1,0)</f>
        <v/>
      </c>
      <c r="GX29" s="17">
        <f>IF(AND(203&gt;=$B$4,203&lt;=$D$4),1,0)</f>
        <v/>
      </c>
      <c r="GY29" s="17">
        <f>IF(AND(204&gt;=$B$4,204&lt;=$D$4),1,0)</f>
        <v/>
      </c>
      <c r="GZ29" s="17">
        <f>IF(AND(205&gt;=$B$4,205&lt;=$D$4),1,0)</f>
        <v/>
      </c>
      <c r="HA29" s="17">
        <f>IF(AND(206&gt;=$B$4,206&lt;=$D$4),1,0)</f>
        <v/>
      </c>
      <c r="HB29" s="17">
        <f>IF(AND(207&gt;=$B$4,207&lt;=$D$4),1,0)</f>
        <v/>
      </c>
      <c r="HC29" s="17">
        <f>IF(AND(208&gt;=$B$4,208&lt;=$D$4),1,0)</f>
        <v/>
      </c>
      <c r="HD29" s="17">
        <f>IF(AND(209&gt;=$B$4,209&lt;=$D$4),1,0)</f>
        <v/>
      </c>
      <c r="HE29" s="17">
        <f>IF(AND(210&gt;=$B$4,210&lt;=$D$4),1,0)</f>
        <v/>
      </c>
      <c r="HF29" s="17">
        <f>IF(AND(211&gt;=$B$4,211&lt;=$D$4),1,0)</f>
        <v/>
      </c>
      <c r="HG29" s="17">
        <f>IF(AND(212&gt;=$B$4,212&lt;=$D$4),1,0)</f>
        <v/>
      </c>
      <c r="HH29" s="17">
        <f>IF(AND(213&gt;=$B$4,213&lt;=$D$4),1,0)</f>
        <v/>
      </c>
      <c r="HI29" s="17">
        <f>IF(AND(214&gt;=$B$4,214&lt;=$D$4),1,0)</f>
        <v/>
      </c>
      <c r="HJ29" s="17">
        <f>IF(AND(215&gt;=$B$4,215&lt;=$D$4),1,0)</f>
        <v/>
      </c>
      <c r="HK29" s="17">
        <f>IF(AND(216&gt;=$B$4,216&lt;=$D$4),1,0)</f>
        <v/>
      </c>
      <c r="HL29" s="17">
        <f>IF(AND(217&gt;=$B$4,217&lt;=$D$4),1,0)</f>
        <v/>
      </c>
      <c r="HM29" s="17">
        <f>IF(AND(218&gt;=$B$4,218&lt;=$D$4),1,0)</f>
        <v/>
      </c>
      <c r="HN29" s="17">
        <f>IF(AND(219&gt;=$B$4,219&lt;=$D$4),1,0)</f>
        <v/>
      </c>
      <c r="HO29" s="17">
        <f>IF(AND(220&gt;=$B$4,220&lt;=$D$4),1,0)</f>
        <v/>
      </c>
      <c r="HP29" s="17">
        <f>IF(AND(221&gt;=$B$4,221&lt;=$D$4),1,0)</f>
        <v/>
      </c>
      <c r="HQ29" s="17">
        <f>IF(AND(222&gt;=$B$4,222&lt;=$D$4),1,0)</f>
        <v/>
      </c>
      <c r="HR29" s="17">
        <f>IF(AND(223&gt;=$B$4,223&lt;=$D$4),1,0)</f>
        <v/>
      </c>
      <c r="HS29" s="17">
        <f>IF(AND(224&gt;=$B$4,224&lt;=$D$4),1,0)</f>
        <v/>
      </c>
      <c r="HT29" s="17">
        <f>IF(AND(225&gt;=$B$4,225&lt;=$D$4),1,0)</f>
        <v/>
      </c>
      <c r="HU29" s="17">
        <f>IF(AND(226&gt;=$B$4,226&lt;=$D$4),1,0)</f>
        <v/>
      </c>
      <c r="HV29" s="17">
        <f>IF(AND(227&gt;=$B$4,227&lt;=$D$4),1,0)</f>
        <v/>
      </c>
      <c r="HW29" s="17">
        <f>IF(AND(228&gt;=$B$4,228&lt;=$D$4),1,0)</f>
        <v/>
      </c>
      <c r="HX29" s="17">
        <f>IF(AND(229&gt;=$B$4,229&lt;=$D$4),1,0)</f>
        <v/>
      </c>
      <c r="HY29" s="17">
        <f>IF(AND(230&gt;=$B$4,230&lt;=$D$4),1,0)</f>
        <v/>
      </c>
      <c r="HZ29" s="17">
        <f>IF(AND(231&gt;=$B$4,231&lt;=$D$4),1,0)</f>
        <v/>
      </c>
      <c r="IA29" s="17">
        <f>IF(AND(232&gt;=$B$4,232&lt;=$D$4),1,0)</f>
        <v/>
      </c>
      <c r="IB29" s="17">
        <f>IF(AND(233&gt;=$B$4,233&lt;=$D$4),1,0)</f>
        <v/>
      </c>
      <c r="IC29" s="17">
        <f>IF(AND(234&gt;=$B$4,234&lt;=$D$4),1,0)</f>
        <v/>
      </c>
      <c r="ID29" s="17">
        <f>IF(AND(235&gt;=$B$4,235&lt;=$D$4),1,0)</f>
        <v/>
      </c>
      <c r="IE29" s="17">
        <f>IF(AND(236&gt;=$B$4,236&lt;=$D$4),1,0)</f>
        <v/>
      </c>
      <c r="IF29" s="17">
        <f>IF(AND(237&gt;=$B$4,237&lt;=$D$4),1,0)</f>
        <v/>
      </c>
      <c r="IG29" s="17">
        <f>IF(AND(238&gt;=$B$4,238&lt;=$D$4),1,0)</f>
        <v/>
      </c>
      <c r="IH29" s="17">
        <f>IF(AND(239&gt;=$B$4,239&lt;=$D$4),1,0)</f>
        <v/>
      </c>
      <c r="II29" s="17">
        <f>IF(AND(240&gt;=$B$4,240&lt;=$D$4),1,0)</f>
        <v/>
      </c>
      <c r="IJ29" s="17">
        <f>IF(AND(241&gt;=$B$4,241&lt;=$D$4),1,0)</f>
        <v/>
      </c>
      <c r="IK29" s="17">
        <f>IF(AND(242&gt;=$B$4,242&lt;=$D$4),1,0)</f>
        <v/>
      </c>
      <c r="IL29" s="17">
        <f>IF(AND(243&gt;=$B$4,243&lt;=$D$4),1,0)</f>
        <v/>
      </c>
      <c r="IM29" s="17">
        <f>IF(AND(244&gt;=$B$4,244&lt;=$D$4),1,0)</f>
        <v/>
      </c>
      <c r="IN29" s="17">
        <f>IF(AND(245&gt;=$B$4,245&lt;=$D$4),1,0)</f>
        <v/>
      </c>
      <c r="IO29" s="17">
        <f>IF(AND(246&gt;=$B$4,246&lt;=$D$4),1,0)</f>
        <v/>
      </c>
      <c r="IP29" s="17">
        <f>IF(AND(247&gt;=$B$4,247&lt;=$D$4),1,0)</f>
        <v/>
      </c>
      <c r="IQ29" s="17">
        <f>IF(AND(248&gt;=$B$4,248&lt;=$D$4),1,0)</f>
        <v/>
      </c>
      <c r="IR29" s="17">
        <f>IF(AND(249&gt;=$B$4,249&lt;=$D$4),1,0)</f>
        <v/>
      </c>
      <c r="IS29" s="17">
        <f>IF(AND(250&gt;=$B$4,250&lt;=$D$4),1,0)</f>
        <v/>
      </c>
      <c r="IT29" s="17">
        <f>IF(AND(251&gt;=$B$4,251&lt;=$D$4),1,0)</f>
        <v/>
      </c>
      <c r="IU29" s="17">
        <f>IF(AND(252&gt;=$B$4,252&lt;=$D$4),1,0)</f>
        <v/>
      </c>
      <c r="IV29" s="17">
        <f>IF(AND(253&gt;=$B$4,253&lt;=$D$4),1,0)</f>
        <v/>
      </c>
      <c r="IW29" s="17">
        <f>IF(AND(254&gt;=$B$4,254&lt;=$D$4),1,0)</f>
        <v/>
      </c>
      <c r="IX29" s="17">
        <f>IF(AND(255&gt;=$B$4,255&lt;=$D$4),1,0)</f>
        <v/>
      </c>
      <c r="IY29" s="17">
        <f>IF(AND(256&gt;=$B$4,256&lt;=$D$4),1,0)</f>
        <v/>
      </c>
      <c r="IZ29" s="17">
        <f>IF(AND(257&gt;=$B$4,257&lt;=$D$4),1,0)</f>
        <v/>
      </c>
      <c r="JA29" s="17">
        <f>IF(AND(258&gt;=$B$4,258&lt;=$D$4),1,0)</f>
        <v/>
      </c>
      <c r="JB29" s="17">
        <f>IF(AND(259&gt;=$B$4,259&lt;=$D$4),1,0)</f>
        <v/>
      </c>
      <c r="JC29" s="17">
        <f>IF(AND(260&gt;=$B$4,260&lt;=$D$4),1,0)</f>
        <v/>
      </c>
      <c r="JD29" s="17">
        <f>IF(AND(261&gt;=$B$4,261&lt;=$D$4),1,0)</f>
        <v/>
      </c>
      <c r="JE29" s="17">
        <f>IF(AND(262&gt;=$B$4,262&lt;=$D$4),1,0)</f>
        <v/>
      </c>
      <c r="JF29" s="17">
        <f>IF(AND(263&gt;=$B$4,263&lt;=$D$4),1,0)</f>
        <v/>
      </c>
      <c r="JG29" s="17">
        <f>IF(AND(264&gt;=$B$4,264&lt;=$D$4),1,0)</f>
        <v/>
      </c>
      <c r="JH29" s="17">
        <f>IF(AND(265&gt;=$B$4,265&lt;=$D$4),1,0)</f>
        <v/>
      </c>
      <c r="JI29" s="17">
        <f>IF(AND(266&gt;=$B$4,266&lt;=$D$4),1,0)</f>
        <v/>
      </c>
      <c r="JJ29" s="17">
        <f>IF(AND(267&gt;=$B$4,267&lt;=$D$4),1,0)</f>
        <v/>
      </c>
      <c r="JK29" s="17">
        <f>IF(AND(268&gt;=$B$4,268&lt;=$D$4),1,0)</f>
        <v/>
      </c>
      <c r="JL29" s="17">
        <f>IF(AND(269&gt;=$B$4,269&lt;=$D$4),1,0)</f>
        <v/>
      </c>
      <c r="JM29" s="17">
        <f>IF(AND(270&gt;=$B$4,270&lt;=$D$4),1,0)</f>
        <v/>
      </c>
      <c r="JN29" s="17">
        <f>IF(AND(271&gt;=$B$4,271&lt;=$D$4),1,0)</f>
        <v/>
      </c>
      <c r="JO29" s="17">
        <f>IF(AND(272&gt;=$B$4,272&lt;=$D$4),1,0)</f>
        <v/>
      </c>
      <c r="JP29" s="17">
        <f>IF(AND(273&gt;=$B$4,273&lt;=$D$4),1,0)</f>
        <v/>
      </c>
      <c r="JQ29" s="17">
        <f>IF(AND(274&gt;=$B$4,274&lt;=$D$4),1,0)</f>
        <v/>
      </c>
      <c r="JR29" s="17">
        <f>IF(AND(275&gt;=$B$4,275&lt;=$D$4),1,0)</f>
        <v/>
      </c>
      <c r="JS29" s="17">
        <f>IF(AND(276&gt;=$B$4,276&lt;=$D$4),1,0)</f>
        <v/>
      </c>
      <c r="JT29" s="17">
        <f>IF(AND(277&gt;=$B$4,277&lt;=$D$4),1,0)</f>
        <v/>
      </c>
      <c r="JU29" s="17">
        <f>IF(AND(278&gt;=$B$4,278&lt;=$D$4),1,0)</f>
        <v/>
      </c>
      <c r="JV29" s="17">
        <f>IF(AND(279&gt;=$B$4,279&lt;=$D$4),1,0)</f>
        <v/>
      </c>
      <c r="JW29" s="17">
        <f>IF(AND(280&gt;=$B$4,280&lt;=$D$4),1,0)</f>
        <v/>
      </c>
      <c r="JX29" s="17">
        <f>IF(AND(281&gt;=$B$4,281&lt;=$D$4),1,0)</f>
        <v/>
      </c>
      <c r="JY29" s="17">
        <f>IF(AND(282&gt;=$B$4,282&lt;=$D$4),1,0)</f>
        <v/>
      </c>
      <c r="JZ29" s="17">
        <f>IF(AND(283&gt;=$B$4,283&lt;=$D$4),1,0)</f>
        <v/>
      </c>
      <c r="KA29" s="17">
        <f>IF(AND(284&gt;=$B$4,284&lt;=$D$4),1,0)</f>
        <v/>
      </c>
      <c r="KB29" s="17">
        <f>IF(AND(285&gt;=$B$4,285&lt;=$D$4),1,0)</f>
        <v/>
      </c>
      <c r="KC29" s="17">
        <f>IF(AND(286&gt;=$B$4,286&lt;=$D$4),1,0)</f>
        <v/>
      </c>
      <c r="KD29" s="17">
        <f>IF(AND(287&gt;=$B$4,287&lt;=$D$4),1,0)</f>
        <v/>
      </c>
      <c r="KE29" s="17">
        <f>IF(AND(288&gt;=$B$4,288&lt;=$D$4),1,0)</f>
        <v/>
      </c>
      <c r="KF29" s="17">
        <f>IF(AND(289&gt;=$B$4,289&lt;=$D$4),1,0)</f>
        <v/>
      </c>
      <c r="KG29" s="17">
        <f>IF(AND(290&gt;=$B$4,290&lt;=$D$4),1,0)</f>
        <v/>
      </c>
      <c r="KH29" s="17">
        <f>IF(AND(291&gt;=$B$4,291&lt;=$D$4),1,0)</f>
        <v/>
      </c>
      <c r="KI29" s="17">
        <f>IF(AND(292&gt;=$B$4,292&lt;=$D$4),1,0)</f>
        <v/>
      </c>
      <c r="KJ29" s="17">
        <f>IF(AND(293&gt;=$B$4,293&lt;=$D$4),1,0)</f>
        <v/>
      </c>
      <c r="KK29" s="17">
        <f>IF(AND(294&gt;=$B$4,294&lt;=$D$4),1,0)</f>
        <v/>
      </c>
      <c r="KL29" s="17">
        <f>IF(AND(295&gt;=$B$4,295&lt;=$D$4),1,0)</f>
        <v/>
      </c>
      <c r="KM29" s="17">
        <f>IF(AND(296&gt;=$B$4,296&lt;=$D$4),1,0)</f>
        <v/>
      </c>
      <c r="KN29" s="17">
        <f>IF(AND(297&gt;=$B$4,297&lt;=$D$4),1,0)</f>
        <v/>
      </c>
      <c r="KO29" s="17">
        <f>IF(AND(298&gt;=$B$4,298&lt;=$D$4),1,0)</f>
        <v/>
      </c>
      <c r="KP29" s="17">
        <f>IF(AND(299&gt;=$B$4,299&lt;=$D$4),1,0)</f>
        <v/>
      </c>
      <c r="KQ29" s="17">
        <f>IF(AND(300&gt;=$B$4,300&lt;=$D$4),1,0)</f>
        <v/>
      </c>
      <c r="KR29" s="17">
        <f>IF(AND(301&gt;=$B$4,301&lt;=$D$4),1,0)</f>
        <v/>
      </c>
      <c r="KS29" s="17">
        <f>IF(AND(302&gt;=$B$4,302&lt;=$D$4),1,0)</f>
        <v/>
      </c>
      <c r="KT29" s="17">
        <f>IF(AND(303&gt;=$B$4,303&lt;=$D$4),1,0)</f>
        <v/>
      </c>
      <c r="KU29" s="17">
        <f>IF(AND(304&gt;=$B$4,304&lt;=$D$4),1,0)</f>
        <v/>
      </c>
      <c r="KV29" s="17">
        <f>IF(AND(305&gt;=$B$4,305&lt;=$D$4),1,0)</f>
        <v/>
      </c>
      <c r="KW29" s="17">
        <f>IF(AND(306&gt;=$B$4,306&lt;=$D$4),1,0)</f>
        <v/>
      </c>
      <c r="KX29" s="17">
        <f>IF(AND(307&gt;=$B$4,307&lt;=$D$4),1,0)</f>
        <v/>
      </c>
      <c r="KY29" s="17">
        <f>IF(AND(308&gt;=$B$4,308&lt;=$D$4),1,0)</f>
        <v/>
      </c>
      <c r="KZ29" s="17">
        <f>IF(AND(309&gt;=$B$4,309&lt;=$D$4),1,0)</f>
        <v/>
      </c>
      <c r="LA29" s="17">
        <f>IF(AND(310&gt;=$B$4,310&lt;=$D$4),1,0)</f>
        <v/>
      </c>
      <c r="LB29" s="17">
        <f>IF(AND(311&gt;=$B$4,311&lt;=$D$4),1,0)</f>
        <v/>
      </c>
      <c r="LC29" s="17">
        <f>IF(AND(312&gt;=$B$4,312&lt;=$D$4),1,0)</f>
        <v/>
      </c>
      <c r="LD29" s="17">
        <f>IF(AND(313&gt;=$B$4,313&lt;=$D$4),1,0)</f>
        <v/>
      </c>
      <c r="LE29" s="17">
        <f>IF(AND(314&gt;=$B$4,314&lt;=$D$4),1,0)</f>
        <v/>
      </c>
      <c r="LF29" s="17">
        <f>IF(AND(315&gt;=$B$4,315&lt;=$D$4),1,0)</f>
        <v/>
      </c>
      <c r="LG29" s="17">
        <f>IF(AND(316&gt;=$B$4,316&lt;=$D$4),1,0)</f>
        <v/>
      </c>
      <c r="LH29" s="17">
        <f>IF(AND(317&gt;=$B$4,317&lt;=$D$4),1,0)</f>
        <v/>
      </c>
      <c r="LI29" s="17">
        <f>IF(AND(318&gt;=$B$4,318&lt;=$D$4),1,0)</f>
        <v/>
      </c>
      <c r="LJ29" s="17">
        <f>IF(AND(319&gt;=$B$4,319&lt;=$D$4),1,0)</f>
        <v/>
      </c>
      <c r="LK29" s="17">
        <f>IF(AND(320&gt;=$B$4,320&lt;=$D$4),1,0)</f>
        <v/>
      </c>
      <c r="LL29" s="17">
        <f>IF(AND(321&gt;=$B$4,321&lt;=$D$4),1,0)</f>
        <v/>
      </c>
      <c r="LM29" s="17">
        <f>IF(AND(322&gt;=$B$4,322&lt;=$D$4),1,0)</f>
        <v/>
      </c>
      <c r="LN29" s="17">
        <f>IF(AND(323&gt;=$B$4,323&lt;=$D$4),1,0)</f>
        <v/>
      </c>
      <c r="LO29" s="17">
        <f>IF(AND(324&gt;=$B$4,324&lt;=$D$4),1,0)</f>
        <v/>
      </c>
      <c r="LP29" s="17">
        <f>IF(AND(325&gt;=$B$4,325&lt;=$D$4),1,0)</f>
        <v/>
      </c>
      <c r="LQ29" s="17">
        <f>IF(AND(326&gt;=$B$4,326&lt;=$D$4),1,0)</f>
        <v/>
      </c>
      <c r="LR29" s="17">
        <f>IF(AND(327&gt;=$B$4,327&lt;=$D$4),1,0)</f>
        <v/>
      </c>
      <c r="LS29" s="17">
        <f>IF(AND(328&gt;=$B$4,328&lt;=$D$4),1,0)</f>
        <v/>
      </c>
      <c r="LT29" s="17">
        <f>IF(AND(329&gt;=$B$4,329&lt;=$D$4),1,0)</f>
        <v/>
      </c>
      <c r="LU29" s="17">
        <f>IF(AND(330&gt;=$B$4,330&lt;=$D$4),1,0)</f>
        <v/>
      </c>
      <c r="LV29" s="17">
        <f>IF(AND(331&gt;=$B$4,331&lt;=$D$4),1,0)</f>
        <v/>
      </c>
      <c r="LW29" s="17">
        <f>IF(AND(332&gt;=$B$4,332&lt;=$D$4),1,0)</f>
        <v/>
      </c>
      <c r="LX29" s="17">
        <f>IF(AND(333&gt;=$B$4,333&lt;=$D$4),1,0)</f>
        <v/>
      </c>
      <c r="LY29" s="17">
        <f>IF(AND(334&gt;=$B$4,334&lt;=$D$4),1,0)</f>
        <v/>
      </c>
      <c r="LZ29" s="17">
        <f>IF(AND(335&gt;=$B$4,335&lt;=$D$4),1,0)</f>
        <v/>
      </c>
      <c r="MA29" s="17">
        <f>IF(AND(336&gt;=$B$4,336&lt;=$D$4),1,0)</f>
        <v/>
      </c>
      <c r="MB29" s="17">
        <f>IF(AND(337&gt;=$B$4,337&lt;=$D$4),1,0)</f>
        <v/>
      </c>
      <c r="MC29" s="17">
        <f>IF(AND(338&gt;=$B$4,338&lt;=$D$4),1,0)</f>
        <v/>
      </c>
      <c r="MD29" s="17">
        <f>IF(AND(339&gt;=$B$4,339&lt;=$D$4),1,0)</f>
        <v/>
      </c>
      <c r="ME29" s="17">
        <f>IF(AND(340&gt;=$B$4,340&lt;=$D$4),1,0)</f>
        <v/>
      </c>
      <c r="MF29" s="17">
        <f>IF(AND(341&gt;=$B$4,341&lt;=$D$4),1,0)</f>
        <v/>
      </c>
      <c r="MG29" s="17">
        <f>IF(AND(342&gt;=$B$4,342&lt;=$D$4),1,0)</f>
        <v/>
      </c>
      <c r="MH29" s="17">
        <f>IF(AND(343&gt;=$B$4,343&lt;=$D$4),1,0)</f>
        <v/>
      </c>
      <c r="MI29" s="17">
        <f>IF(AND(344&gt;=$B$4,344&lt;=$D$4),1,0)</f>
        <v/>
      </c>
      <c r="MJ29" s="17">
        <f>IF(AND(345&gt;=$B$4,345&lt;=$D$4),1,0)</f>
        <v/>
      </c>
      <c r="MK29" s="17">
        <f>IF(AND(346&gt;=$B$4,346&lt;=$D$4),1,0)</f>
        <v/>
      </c>
      <c r="ML29" s="17">
        <f>IF(AND(347&gt;=$B$4,347&lt;=$D$4),1,0)</f>
        <v/>
      </c>
      <c r="MM29" s="17">
        <f>IF(AND(348&gt;=$B$4,348&lt;=$D$4),1,0)</f>
        <v/>
      </c>
      <c r="MN29" s="17">
        <f>IF(AND(349&gt;=$B$4,349&lt;=$D$4),1,0)</f>
        <v/>
      </c>
      <c r="MO29" s="17">
        <f>IF(AND(350&gt;=$B$4,350&lt;=$D$4),1,0)</f>
        <v/>
      </c>
      <c r="MP29" s="17">
        <f>IF(AND(351&gt;=$B$4,351&lt;=$D$4),1,0)</f>
        <v/>
      </c>
      <c r="MQ29" s="17">
        <f>IF(AND(352&gt;=$B$4,352&lt;=$D$4),1,0)</f>
        <v/>
      </c>
      <c r="MR29" s="17">
        <f>IF(AND(353&gt;=$B$4,353&lt;=$D$4),1,0)</f>
        <v/>
      </c>
      <c r="MS29" s="17">
        <f>IF(AND(354&gt;=$B$4,354&lt;=$D$4),1,0)</f>
        <v/>
      </c>
      <c r="MT29" s="17">
        <f>IF(AND(355&gt;=$B$4,355&lt;=$D$4),1,0)</f>
        <v/>
      </c>
      <c r="MU29" s="17">
        <f>IF(AND(356&gt;=$B$4,356&lt;=$D$4),1,0)</f>
        <v/>
      </c>
      <c r="MV29" s="17">
        <f>IF(AND(357&gt;=$B$4,357&lt;=$D$4),1,0)</f>
        <v/>
      </c>
      <c r="MW29" s="17">
        <f>IF(AND(358&gt;=$B$4,358&lt;=$D$4),1,0)</f>
        <v/>
      </c>
      <c r="MX29" s="17">
        <f>IF(AND(359&gt;=$B$4,359&lt;=$D$4),1,0)</f>
        <v/>
      </c>
      <c r="MY29" s="17">
        <f>IF(AND(360&gt;=$B$4,360&lt;=$D$4),1,0)</f>
        <v/>
      </c>
      <c r="MZ29" s="17">
        <f>IF(AND(361&gt;=$B$4,361&lt;=$D$4),1,0)</f>
        <v/>
      </c>
      <c r="NA29" s="17">
        <f>IF(AND(362&gt;=$B$4,362&lt;=$D$4),1,0)</f>
        <v/>
      </c>
      <c r="NB29" s="17">
        <f>IF(AND(363&gt;=$B$4,363&lt;=$D$4),1,0)</f>
        <v/>
      </c>
      <c r="NC29" s="17">
        <f>IF(AND(364&gt;=$B$4,364&lt;=$D$4),1,0)</f>
        <v/>
      </c>
      <c r="ND29" s="17">
        <f>IF(AND(365&gt;=$B$4,365&lt;=$D$4),1,0)</f>
        <v/>
      </c>
      <c r="NE29" s="17">
        <f>IF(AND(366&gt;=$B$4,366&lt;=$D$4),1,0)</f>
        <v/>
      </c>
      <c r="NF29" s="17">
        <f>IF(AND(367&gt;=$B$4,367&lt;=$D$4),1,0)</f>
        <v/>
      </c>
      <c r="NG29" s="17">
        <f>IF(AND(368&gt;=$B$4,368&lt;=$D$4),1,0)</f>
        <v/>
      </c>
      <c r="NH29" s="17">
        <f>IF(AND(369&gt;=$B$4,369&lt;=$D$4),1,0)</f>
        <v/>
      </c>
      <c r="NI29" s="17">
        <f>IF(AND(370&gt;=$B$4,370&lt;=$D$4),1,0)</f>
        <v/>
      </c>
      <c r="NJ29" s="17">
        <f>IF(AND(371&gt;=$B$4,371&lt;=$D$4),1,0)</f>
        <v/>
      </c>
      <c r="NK29" s="17">
        <f>IF(AND(372&gt;=$B$4,372&lt;=$D$4),1,0)</f>
        <v/>
      </c>
    </row>
    <row r="30">
      <c r="A30" s="5" t="inlineStr">
        <is>
          <t>Flag: Due Diligence</t>
        </is>
      </c>
      <c r="C30" s="40" t="n"/>
      <c r="D30" s="17">
        <f>IF(AND(1&gt;=$B$5,1&lt;=$D$5),1,0)</f>
        <v/>
      </c>
      <c r="E30" s="17">
        <f>IF(AND(2&gt;=$B$5,2&lt;=$D$5),1,0)</f>
        <v/>
      </c>
      <c r="F30" s="17">
        <f>IF(AND(3&gt;=$B$5,3&lt;=$D$5),1,0)</f>
        <v/>
      </c>
      <c r="G30" s="17">
        <f>IF(AND(4&gt;=$B$5,4&lt;=$D$5),1,0)</f>
        <v/>
      </c>
      <c r="H30" s="17">
        <f>IF(AND(5&gt;=$B$5,5&lt;=$D$5),1,0)</f>
        <v/>
      </c>
      <c r="I30" s="17">
        <f>IF(AND(6&gt;=$B$5,6&lt;=$D$5),1,0)</f>
        <v/>
      </c>
      <c r="J30" s="17">
        <f>IF(AND(7&gt;=$B$5,7&lt;=$D$5),1,0)</f>
        <v/>
      </c>
      <c r="K30" s="17">
        <f>IF(AND(8&gt;=$B$5,8&lt;=$D$5),1,0)</f>
        <v/>
      </c>
      <c r="L30" s="17">
        <f>IF(AND(9&gt;=$B$5,9&lt;=$D$5),1,0)</f>
        <v/>
      </c>
      <c r="M30" s="17">
        <f>IF(AND(10&gt;=$B$5,10&lt;=$D$5),1,0)</f>
        <v/>
      </c>
      <c r="N30" s="17">
        <f>IF(AND(11&gt;=$B$5,11&lt;=$D$5),1,0)</f>
        <v/>
      </c>
      <c r="O30" s="17">
        <f>IF(AND(12&gt;=$B$5,12&lt;=$D$5),1,0)</f>
        <v/>
      </c>
      <c r="P30" s="17">
        <f>IF(AND(13&gt;=$B$5,13&lt;=$D$5),1,0)</f>
        <v/>
      </c>
      <c r="Q30" s="17">
        <f>IF(AND(14&gt;=$B$5,14&lt;=$D$5),1,0)</f>
        <v/>
      </c>
      <c r="R30" s="17">
        <f>IF(AND(15&gt;=$B$5,15&lt;=$D$5),1,0)</f>
        <v/>
      </c>
      <c r="S30" s="17">
        <f>IF(AND(16&gt;=$B$5,16&lt;=$D$5),1,0)</f>
        <v/>
      </c>
      <c r="T30" s="17">
        <f>IF(AND(17&gt;=$B$5,17&lt;=$D$5),1,0)</f>
        <v/>
      </c>
      <c r="U30" s="17">
        <f>IF(AND(18&gt;=$B$5,18&lt;=$D$5),1,0)</f>
        <v/>
      </c>
      <c r="V30" s="17">
        <f>IF(AND(19&gt;=$B$5,19&lt;=$D$5),1,0)</f>
        <v/>
      </c>
      <c r="W30" s="17">
        <f>IF(AND(20&gt;=$B$5,20&lt;=$D$5),1,0)</f>
        <v/>
      </c>
      <c r="X30" s="17">
        <f>IF(AND(21&gt;=$B$5,21&lt;=$D$5),1,0)</f>
        <v/>
      </c>
      <c r="Y30" s="17">
        <f>IF(AND(22&gt;=$B$5,22&lt;=$D$5),1,0)</f>
        <v/>
      </c>
      <c r="Z30" s="17">
        <f>IF(AND(23&gt;=$B$5,23&lt;=$D$5),1,0)</f>
        <v/>
      </c>
      <c r="AA30" s="17">
        <f>IF(AND(24&gt;=$B$5,24&lt;=$D$5),1,0)</f>
        <v/>
      </c>
      <c r="AB30" s="17">
        <f>IF(AND(25&gt;=$B$5,25&lt;=$D$5),1,0)</f>
        <v/>
      </c>
      <c r="AC30" s="17">
        <f>IF(AND(26&gt;=$B$5,26&lt;=$D$5),1,0)</f>
        <v/>
      </c>
      <c r="AD30" s="17">
        <f>IF(AND(27&gt;=$B$5,27&lt;=$D$5),1,0)</f>
        <v/>
      </c>
      <c r="AE30" s="17">
        <f>IF(AND(28&gt;=$B$5,28&lt;=$D$5),1,0)</f>
        <v/>
      </c>
      <c r="AF30" s="17">
        <f>IF(AND(29&gt;=$B$5,29&lt;=$D$5),1,0)</f>
        <v/>
      </c>
      <c r="AG30" s="17">
        <f>IF(AND(30&gt;=$B$5,30&lt;=$D$5),1,0)</f>
        <v/>
      </c>
      <c r="AH30" s="17">
        <f>IF(AND(31&gt;=$B$5,31&lt;=$D$5),1,0)</f>
        <v/>
      </c>
      <c r="AI30" s="17">
        <f>IF(AND(32&gt;=$B$5,32&lt;=$D$5),1,0)</f>
        <v/>
      </c>
      <c r="AJ30" s="17">
        <f>IF(AND(33&gt;=$B$5,33&lt;=$D$5),1,0)</f>
        <v/>
      </c>
      <c r="AK30" s="17">
        <f>IF(AND(34&gt;=$B$5,34&lt;=$D$5),1,0)</f>
        <v/>
      </c>
      <c r="AL30" s="17">
        <f>IF(AND(35&gt;=$B$5,35&lt;=$D$5),1,0)</f>
        <v/>
      </c>
      <c r="AM30" s="17">
        <f>IF(AND(36&gt;=$B$5,36&lt;=$D$5),1,0)</f>
        <v/>
      </c>
      <c r="AN30" s="17">
        <f>IF(AND(37&gt;=$B$5,37&lt;=$D$5),1,0)</f>
        <v/>
      </c>
      <c r="AO30" s="17">
        <f>IF(AND(38&gt;=$B$5,38&lt;=$D$5),1,0)</f>
        <v/>
      </c>
      <c r="AP30" s="17">
        <f>IF(AND(39&gt;=$B$5,39&lt;=$D$5),1,0)</f>
        <v/>
      </c>
      <c r="AQ30" s="17">
        <f>IF(AND(40&gt;=$B$5,40&lt;=$D$5),1,0)</f>
        <v/>
      </c>
      <c r="AR30" s="17">
        <f>IF(AND(41&gt;=$B$5,41&lt;=$D$5),1,0)</f>
        <v/>
      </c>
      <c r="AS30" s="17">
        <f>IF(AND(42&gt;=$B$5,42&lt;=$D$5),1,0)</f>
        <v/>
      </c>
      <c r="AT30" s="17">
        <f>IF(AND(43&gt;=$B$5,43&lt;=$D$5),1,0)</f>
        <v/>
      </c>
      <c r="AU30" s="17">
        <f>IF(AND(44&gt;=$B$5,44&lt;=$D$5),1,0)</f>
        <v/>
      </c>
      <c r="AV30" s="17">
        <f>IF(AND(45&gt;=$B$5,45&lt;=$D$5),1,0)</f>
        <v/>
      </c>
      <c r="AW30" s="17">
        <f>IF(AND(46&gt;=$B$5,46&lt;=$D$5),1,0)</f>
        <v/>
      </c>
      <c r="AX30" s="17">
        <f>IF(AND(47&gt;=$B$5,47&lt;=$D$5),1,0)</f>
        <v/>
      </c>
      <c r="AY30" s="17">
        <f>IF(AND(48&gt;=$B$5,48&lt;=$D$5),1,0)</f>
        <v/>
      </c>
      <c r="AZ30" s="17">
        <f>IF(AND(49&gt;=$B$5,49&lt;=$D$5),1,0)</f>
        <v/>
      </c>
      <c r="BA30" s="17">
        <f>IF(AND(50&gt;=$B$5,50&lt;=$D$5),1,0)</f>
        <v/>
      </c>
      <c r="BB30" s="17">
        <f>IF(AND(51&gt;=$B$5,51&lt;=$D$5),1,0)</f>
        <v/>
      </c>
      <c r="BC30" s="17">
        <f>IF(AND(52&gt;=$B$5,52&lt;=$D$5),1,0)</f>
        <v/>
      </c>
      <c r="BD30" s="17">
        <f>IF(AND(53&gt;=$B$5,53&lt;=$D$5),1,0)</f>
        <v/>
      </c>
      <c r="BE30" s="17">
        <f>IF(AND(54&gt;=$B$5,54&lt;=$D$5),1,0)</f>
        <v/>
      </c>
      <c r="BF30" s="17">
        <f>IF(AND(55&gt;=$B$5,55&lt;=$D$5),1,0)</f>
        <v/>
      </c>
      <c r="BG30" s="17">
        <f>IF(AND(56&gt;=$B$5,56&lt;=$D$5),1,0)</f>
        <v/>
      </c>
      <c r="BH30" s="17">
        <f>IF(AND(57&gt;=$B$5,57&lt;=$D$5),1,0)</f>
        <v/>
      </c>
      <c r="BI30" s="17">
        <f>IF(AND(58&gt;=$B$5,58&lt;=$D$5),1,0)</f>
        <v/>
      </c>
      <c r="BJ30" s="17">
        <f>IF(AND(59&gt;=$B$5,59&lt;=$D$5),1,0)</f>
        <v/>
      </c>
      <c r="BK30" s="17">
        <f>IF(AND(60&gt;=$B$5,60&lt;=$D$5),1,0)</f>
        <v/>
      </c>
      <c r="BL30" s="17">
        <f>IF(AND(61&gt;=$B$5,61&lt;=$D$5),1,0)</f>
        <v/>
      </c>
      <c r="BM30" s="17">
        <f>IF(AND(62&gt;=$B$5,62&lt;=$D$5),1,0)</f>
        <v/>
      </c>
      <c r="BN30" s="17">
        <f>IF(AND(63&gt;=$B$5,63&lt;=$D$5),1,0)</f>
        <v/>
      </c>
      <c r="BO30" s="17">
        <f>IF(AND(64&gt;=$B$5,64&lt;=$D$5),1,0)</f>
        <v/>
      </c>
      <c r="BP30" s="17">
        <f>IF(AND(65&gt;=$B$5,65&lt;=$D$5),1,0)</f>
        <v/>
      </c>
      <c r="BQ30" s="17">
        <f>IF(AND(66&gt;=$B$5,66&lt;=$D$5),1,0)</f>
        <v/>
      </c>
      <c r="BR30" s="17">
        <f>IF(AND(67&gt;=$B$5,67&lt;=$D$5),1,0)</f>
        <v/>
      </c>
      <c r="BS30" s="17">
        <f>IF(AND(68&gt;=$B$5,68&lt;=$D$5),1,0)</f>
        <v/>
      </c>
      <c r="BT30" s="17">
        <f>IF(AND(69&gt;=$B$5,69&lt;=$D$5),1,0)</f>
        <v/>
      </c>
      <c r="BU30" s="17">
        <f>IF(AND(70&gt;=$B$5,70&lt;=$D$5),1,0)</f>
        <v/>
      </c>
      <c r="BV30" s="17">
        <f>IF(AND(71&gt;=$B$5,71&lt;=$D$5),1,0)</f>
        <v/>
      </c>
      <c r="BW30" s="17">
        <f>IF(AND(72&gt;=$B$5,72&lt;=$D$5),1,0)</f>
        <v/>
      </c>
      <c r="BX30" s="17">
        <f>IF(AND(73&gt;=$B$5,73&lt;=$D$5),1,0)</f>
        <v/>
      </c>
      <c r="BY30" s="17">
        <f>IF(AND(74&gt;=$B$5,74&lt;=$D$5),1,0)</f>
        <v/>
      </c>
      <c r="BZ30" s="17">
        <f>IF(AND(75&gt;=$B$5,75&lt;=$D$5),1,0)</f>
        <v/>
      </c>
      <c r="CA30" s="17">
        <f>IF(AND(76&gt;=$B$5,76&lt;=$D$5),1,0)</f>
        <v/>
      </c>
      <c r="CB30" s="17">
        <f>IF(AND(77&gt;=$B$5,77&lt;=$D$5),1,0)</f>
        <v/>
      </c>
      <c r="CC30" s="17">
        <f>IF(AND(78&gt;=$B$5,78&lt;=$D$5),1,0)</f>
        <v/>
      </c>
      <c r="CD30" s="17">
        <f>IF(AND(79&gt;=$B$5,79&lt;=$D$5),1,0)</f>
        <v/>
      </c>
      <c r="CE30" s="17">
        <f>IF(AND(80&gt;=$B$5,80&lt;=$D$5),1,0)</f>
        <v/>
      </c>
      <c r="CF30" s="17">
        <f>IF(AND(81&gt;=$B$5,81&lt;=$D$5),1,0)</f>
        <v/>
      </c>
      <c r="CG30" s="17">
        <f>IF(AND(82&gt;=$B$5,82&lt;=$D$5),1,0)</f>
        <v/>
      </c>
      <c r="CH30" s="17">
        <f>IF(AND(83&gt;=$B$5,83&lt;=$D$5),1,0)</f>
        <v/>
      </c>
      <c r="CI30" s="17">
        <f>IF(AND(84&gt;=$B$5,84&lt;=$D$5),1,0)</f>
        <v/>
      </c>
      <c r="CJ30" s="17">
        <f>IF(AND(85&gt;=$B$5,85&lt;=$D$5),1,0)</f>
        <v/>
      </c>
      <c r="CK30" s="17">
        <f>IF(AND(86&gt;=$B$5,86&lt;=$D$5),1,0)</f>
        <v/>
      </c>
      <c r="CL30" s="17">
        <f>IF(AND(87&gt;=$B$5,87&lt;=$D$5),1,0)</f>
        <v/>
      </c>
      <c r="CM30" s="17">
        <f>IF(AND(88&gt;=$B$5,88&lt;=$D$5),1,0)</f>
        <v/>
      </c>
      <c r="CN30" s="17">
        <f>IF(AND(89&gt;=$B$5,89&lt;=$D$5),1,0)</f>
        <v/>
      </c>
      <c r="CO30" s="17">
        <f>IF(AND(90&gt;=$B$5,90&lt;=$D$5),1,0)</f>
        <v/>
      </c>
      <c r="CP30" s="17">
        <f>IF(AND(91&gt;=$B$5,91&lt;=$D$5),1,0)</f>
        <v/>
      </c>
      <c r="CQ30" s="17">
        <f>IF(AND(92&gt;=$B$5,92&lt;=$D$5),1,0)</f>
        <v/>
      </c>
      <c r="CR30" s="17">
        <f>IF(AND(93&gt;=$B$5,93&lt;=$D$5),1,0)</f>
        <v/>
      </c>
      <c r="CS30" s="17">
        <f>IF(AND(94&gt;=$B$5,94&lt;=$D$5),1,0)</f>
        <v/>
      </c>
      <c r="CT30" s="17">
        <f>IF(AND(95&gt;=$B$5,95&lt;=$D$5),1,0)</f>
        <v/>
      </c>
      <c r="CU30" s="17">
        <f>IF(AND(96&gt;=$B$5,96&lt;=$D$5),1,0)</f>
        <v/>
      </c>
      <c r="CV30" s="17">
        <f>IF(AND(97&gt;=$B$5,97&lt;=$D$5),1,0)</f>
        <v/>
      </c>
      <c r="CW30" s="17">
        <f>IF(AND(98&gt;=$B$5,98&lt;=$D$5),1,0)</f>
        <v/>
      </c>
      <c r="CX30" s="17">
        <f>IF(AND(99&gt;=$B$5,99&lt;=$D$5),1,0)</f>
        <v/>
      </c>
      <c r="CY30" s="17">
        <f>IF(AND(100&gt;=$B$5,100&lt;=$D$5),1,0)</f>
        <v/>
      </c>
      <c r="CZ30" s="17">
        <f>IF(AND(101&gt;=$B$5,101&lt;=$D$5),1,0)</f>
        <v/>
      </c>
      <c r="DA30" s="17">
        <f>IF(AND(102&gt;=$B$5,102&lt;=$D$5),1,0)</f>
        <v/>
      </c>
      <c r="DB30" s="17">
        <f>IF(AND(103&gt;=$B$5,103&lt;=$D$5),1,0)</f>
        <v/>
      </c>
      <c r="DC30" s="17">
        <f>IF(AND(104&gt;=$B$5,104&lt;=$D$5),1,0)</f>
        <v/>
      </c>
      <c r="DD30" s="17">
        <f>IF(AND(105&gt;=$B$5,105&lt;=$D$5),1,0)</f>
        <v/>
      </c>
      <c r="DE30" s="17">
        <f>IF(AND(106&gt;=$B$5,106&lt;=$D$5),1,0)</f>
        <v/>
      </c>
      <c r="DF30" s="17">
        <f>IF(AND(107&gt;=$B$5,107&lt;=$D$5),1,0)</f>
        <v/>
      </c>
      <c r="DG30" s="17">
        <f>IF(AND(108&gt;=$B$5,108&lt;=$D$5),1,0)</f>
        <v/>
      </c>
      <c r="DH30" s="17">
        <f>IF(AND(109&gt;=$B$5,109&lt;=$D$5),1,0)</f>
        <v/>
      </c>
      <c r="DI30" s="17">
        <f>IF(AND(110&gt;=$B$5,110&lt;=$D$5),1,0)</f>
        <v/>
      </c>
      <c r="DJ30" s="17">
        <f>IF(AND(111&gt;=$B$5,111&lt;=$D$5),1,0)</f>
        <v/>
      </c>
      <c r="DK30" s="17">
        <f>IF(AND(112&gt;=$B$5,112&lt;=$D$5),1,0)</f>
        <v/>
      </c>
      <c r="DL30" s="17">
        <f>IF(AND(113&gt;=$B$5,113&lt;=$D$5),1,0)</f>
        <v/>
      </c>
      <c r="DM30" s="17">
        <f>IF(AND(114&gt;=$B$5,114&lt;=$D$5),1,0)</f>
        <v/>
      </c>
      <c r="DN30" s="17">
        <f>IF(AND(115&gt;=$B$5,115&lt;=$D$5),1,0)</f>
        <v/>
      </c>
      <c r="DO30" s="17">
        <f>IF(AND(116&gt;=$B$5,116&lt;=$D$5),1,0)</f>
        <v/>
      </c>
      <c r="DP30" s="17">
        <f>IF(AND(117&gt;=$B$5,117&lt;=$D$5),1,0)</f>
        <v/>
      </c>
      <c r="DQ30" s="17">
        <f>IF(AND(118&gt;=$B$5,118&lt;=$D$5),1,0)</f>
        <v/>
      </c>
      <c r="DR30" s="17">
        <f>IF(AND(119&gt;=$B$5,119&lt;=$D$5),1,0)</f>
        <v/>
      </c>
      <c r="DS30" s="17">
        <f>IF(AND(120&gt;=$B$5,120&lt;=$D$5),1,0)</f>
        <v/>
      </c>
      <c r="DT30" s="17">
        <f>IF(AND(121&gt;=$B$5,121&lt;=$D$5),1,0)</f>
        <v/>
      </c>
      <c r="DU30" s="17">
        <f>IF(AND(122&gt;=$B$5,122&lt;=$D$5),1,0)</f>
        <v/>
      </c>
      <c r="DV30" s="17">
        <f>IF(AND(123&gt;=$B$5,123&lt;=$D$5),1,0)</f>
        <v/>
      </c>
      <c r="DW30" s="17">
        <f>IF(AND(124&gt;=$B$5,124&lt;=$D$5),1,0)</f>
        <v/>
      </c>
      <c r="DX30" s="17">
        <f>IF(AND(125&gt;=$B$5,125&lt;=$D$5),1,0)</f>
        <v/>
      </c>
      <c r="DY30" s="17">
        <f>IF(AND(126&gt;=$B$5,126&lt;=$D$5),1,0)</f>
        <v/>
      </c>
      <c r="DZ30" s="17">
        <f>IF(AND(127&gt;=$B$5,127&lt;=$D$5),1,0)</f>
        <v/>
      </c>
      <c r="EA30" s="17">
        <f>IF(AND(128&gt;=$B$5,128&lt;=$D$5),1,0)</f>
        <v/>
      </c>
      <c r="EB30" s="17">
        <f>IF(AND(129&gt;=$B$5,129&lt;=$D$5),1,0)</f>
        <v/>
      </c>
      <c r="EC30" s="17">
        <f>IF(AND(130&gt;=$B$5,130&lt;=$D$5),1,0)</f>
        <v/>
      </c>
      <c r="ED30" s="17">
        <f>IF(AND(131&gt;=$B$5,131&lt;=$D$5),1,0)</f>
        <v/>
      </c>
      <c r="EE30" s="17">
        <f>IF(AND(132&gt;=$B$5,132&lt;=$D$5),1,0)</f>
        <v/>
      </c>
      <c r="EF30" s="17">
        <f>IF(AND(133&gt;=$B$5,133&lt;=$D$5),1,0)</f>
        <v/>
      </c>
      <c r="EG30" s="17">
        <f>IF(AND(134&gt;=$B$5,134&lt;=$D$5),1,0)</f>
        <v/>
      </c>
      <c r="EH30" s="17">
        <f>IF(AND(135&gt;=$B$5,135&lt;=$D$5),1,0)</f>
        <v/>
      </c>
      <c r="EI30" s="17">
        <f>IF(AND(136&gt;=$B$5,136&lt;=$D$5),1,0)</f>
        <v/>
      </c>
      <c r="EJ30" s="17">
        <f>IF(AND(137&gt;=$B$5,137&lt;=$D$5),1,0)</f>
        <v/>
      </c>
      <c r="EK30" s="17">
        <f>IF(AND(138&gt;=$B$5,138&lt;=$D$5),1,0)</f>
        <v/>
      </c>
      <c r="EL30" s="17">
        <f>IF(AND(139&gt;=$B$5,139&lt;=$D$5),1,0)</f>
        <v/>
      </c>
      <c r="EM30" s="17">
        <f>IF(AND(140&gt;=$B$5,140&lt;=$D$5),1,0)</f>
        <v/>
      </c>
      <c r="EN30" s="17">
        <f>IF(AND(141&gt;=$B$5,141&lt;=$D$5),1,0)</f>
        <v/>
      </c>
      <c r="EO30" s="17">
        <f>IF(AND(142&gt;=$B$5,142&lt;=$D$5),1,0)</f>
        <v/>
      </c>
      <c r="EP30" s="17">
        <f>IF(AND(143&gt;=$B$5,143&lt;=$D$5),1,0)</f>
        <v/>
      </c>
      <c r="EQ30" s="17">
        <f>IF(AND(144&gt;=$B$5,144&lt;=$D$5),1,0)</f>
        <v/>
      </c>
      <c r="ER30" s="17">
        <f>IF(AND(145&gt;=$B$5,145&lt;=$D$5),1,0)</f>
        <v/>
      </c>
      <c r="ES30" s="17">
        <f>IF(AND(146&gt;=$B$5,146&lt;=$D$5),1,0)</f>
        <v/>
      </c>
      <c r="ET30" s="17">
        <f>IF(AND(147&gt;=$B$5,147&lt;=$D$5),1,0)</f>
        <v/>
      </c>
      <c r="EU30" s="17">
        <f>IF(AND(148&gt;=$B$5,148&lt;=$D$5),1,0)</f>
        <v/>
      </c>
      <c r="EV30" s="17">
        <f>IF(AND(149&gt;=$B$5,149&lt;=$D$5),1,0)</f>
        <v/>
      </c>
      <c r="EW30" s="17">
        <f>IF(AND(150&gt;=$B$5,150&lt;=$D$5),1,0)</f>
        <v/>
      </c>
      <c r="EX30" s="17">
        <f>IF(AND(151&gt;=$B$5,151&lt;=$D$5),1,0)</f>
        <v/>
      </c>
      <c r="EY30" s="17">
        <f>IF(AND(152&gt;=$B$5,152&lt;=$D$5),1,0)</f>
        <v/>
      </c>
      <c r="EZ30" s="17">
        <f>IF(AND(153&gt;=$B$5,153&lt;=$D$5),1,0)</f>
        <v/>
      </c>
      <c r="FA30" s="17">
        <f>IF(AND(154&gt;=$B$5,154&lt;=$D$5),1,0)</f>
        <v/>
      </c>
      <c r="FB30" s="17">
        <f>IF(AND(155&gt;=$B$5,155&lt;=$D$5),1,0)</f>
        <v/>
      </c>
      <c r="FC30" s="17">
        <f>IF(AND(156&gt;=$B$5,156&lt;=$D$5),1,0)</f>
        <v/>
      </c>
      <c r="FD30" s="17">
        <f>IF(AND(157&gt;=$B$5,157&lt;=$D$5),1,0)</f>
        <v/>
      </c>
      <c r="FE30" s="17">
        <f>IF(AND(158&gt;=$B$5,158&lt;=$D$5),1,0)</f>
        <v/>
      </c>
      <c r="FF30" s="17">
        <f>IF(AND(159&gt;=$B$5,159&lt;=$D$5),1,0)</f>
        <v/>
      </c>
      <c r="FG30" s="17">
        <f>IF(AND(160&gt;=$B$5,160&lt;=$D$5),1,0)</f>
        <v/>
      </c>
      <c r="FH30" s="17">
        <f>IF(AND(161&gt;=$B$5,161&lt;=$D$5),1,0)</f>
        <v/>
      </c>
      <c r="FI30" s="17">
        <f>IF(AND(162&gt;=$B$5,162&lt;=$D$5),1,0)</f>
        <v/>
      </c>
      <c r="FJ30" s="17">
        <f>IF(AND(163&gt;=$B$5,163&lt;=$D$5),1,0)</f>
        <v/>
      </c>
      <c r="FK30" s="17">
        <f>IF(AND(164&gt;=$B$5,164&lt;=$D$5),1,0)</f>
        <v/>
      </c>
      <c r="FL30" s="17">
        <f>IF(AND(165&gt;=$B$5,165&lt;=$D$5),1,0)</f>
        <v/>
      </c>
      <c r="FM30" s="17">
        <f>IF(AND(166&gt;=$B$5,166&lt;=$D$5),1,0)</f>
        <v/>
      </c>
      <c r="FN30" s="17">
        <f>IF(AND(167&gt;=$B$5,167&lt;=$D$5),1,0)</f>
        <v/>
      </c>
      <c r="FO30" s="17">
        <f>IF(AND(168&gt;=$B$5,168&lt;=$D$5),1,0)</f>
        <v/>
      </c>
      <c r="FP30" s="17">
        <f>IF(AND(169&gt;=$B$5,169&lt;=$D$5),1,0)</f>
        <v/>
      </c>
      <c r="FQ30" s="17">
        <f>IF(AND(170&gt;=$B$5,170&lt;=$D$5),1,0)</f>
        <v/>
      </c>
      <c r="FR30" s="17">
        <f>IF(AND(171&gt;=$B$5,171&lt;=$D$5),1,0)</f>
        <v/>
      </c>
      <c r="FS30" s="17">
        <f>IF(AND(172&gt;=$B$5,172&lt;=$D$5),1,0)</f>
        <v/>
      </c>
      <c r="FT30" s="17">
        <f>IF(AND(173&gt;=$B$5,173&lt;=$D$5),1,0)</f>
        <v/>
      </c>
      <c r="FU30" s="17">
        <f>IF(AND(174&gt;=$B$5,174&lt;=$D$5),1,0)</f>
        <v/>
      </c>
      <c r="FV30" s="17">
        <f>IF(AND(175&gt;=$B$5,175&lt;=$D$5),1,0)</f>
        <v/>
      </c>
      <c r="FW30" s="17">
        <f>IF(AND(176&gt;=$B$5,176&lt;=$D$5),1,0)</f>
        <v/>
      </c>
      <c r="FX30" s="17">
        <f>IF(AND(177&gt;=$B$5,177&lt;=$D$5),1,0)</f>
        <v/>
      </c>
      <c r="FY30" s="17">
        <f>IF(AND(178&gt;=$B$5,178&lt;=$D$5),1,0)</f>
        <v/>
      </c>
      <c r="FZ30" s="17">
        <f>IF(AND(179&gt;=$B$5,179&lt;=$D$5),1,0)</f>
        <v/>
      </c>
      <c r="GA30" s="17">
        <f>IF(AND(180&gt;=$B$5,180&lt;=$D$5),1,0)</f>
        <v/>
      </c>
      <c r="GB30" s="17">
        <f>IF(AND(181&gt;=$B$5,181&lt;=$D$5),1,0)</f>
        <v/>
      </c>
      <c r="GC30" s="17">
        <f>IF(AND(182&gt;=$B$5,182&lt;=$D$5),1,0)</f>
        <v/>
      </c>
      <c r="GD30" s="17">
        <f>IF(AND(183&gt;=$B$5,183&lt;=$D$5),1,0)</f>
        <v/>
      </c>
      <c r="GE30" s="17">
        <f>IF(AND(184&gt;=$B$5,184&lt;=$D$5),1,0)</f>
        <v/>
      </c>
      <c r="GF30" s="17">
        <f>IF(AND(185&gt;=$B$5,185&lt;=$D$5),1,0)</f>
        <v/>
      </c>
      <c r="GG30" s="17">
        <f>IF(AND(186&gt;=$B$5,186&lt;=$D$5),1,0)</f>
        <v/>
      </c>
      <c r="GH30" s="17">
        <f>IF(AND(187&gt;=$B$5,187&lt;=$D$5),1,0)</f>
        <v/>
      </c>
      <c r="GI30" s="17">
        <f>IF(AND(188&gt;=$B$5,188&lt;=$D$5),1,0)</f>
        <v/>
      </c>
      <c r="GJ30" s="17">
        <f>IF(AND(189&gt;=$B$5,189&lt;=$D$5),1,0)</f>
        <v/>
      </c>
      <c r="GK30" s="17">
        <f>IF(AND(190&gt;=$B$5,190&lt;=$D$5),1,0)</f>
        <v/>
      </c>
      <c r="GL30" s="17">
        <f>IF(AND(191&gt;=$B$5,191&lt;=$D$5),1,0)</f>
        <v/>
      </c>
      <c r="GM30" s="17">
        <f>IF(AND(192&gt;=$B$5,192&lt;=$D$5),1,0)</f>
        <v/>
      </c>
      <c r="GN30" s="17">
        <f>IF(AND(193&gt;=$B$5,193&lt;=$D$5),1,0)</f>
        <v/>
      </c>
      <c r="GO30" s="17">
        <f>IF(AND(194&gt;=$B$5,194&lt;=$D$5),1,0)</f>
        <v/>
      </c>
      <c r="GP30" s="17">
        <f>IF(AND(195&gt;=$B$5,195&lt;=$D$5),1,0)</f>
        <v/>
      </c>
      <c r="GQ30" s="17">
        <f>IF(AND(196&gt;=$B$5,196&lt;=$D$5),1,0)</f>
        <v/>
      </c>
      <c r="GR30" s="17">
        <f>IF(AND(197&gt;=$B$5,197&lt;=$D$5),1,0)</f>
        <v/>
      </c>
      <c r="GS30" s="17">
        <f>IF(AND(198&gt;=$B$5,198&lt;=$D$5),1,0)</f>
        <v/>
      </c>
      <c r="GT30" s="17">
        <f>IF(AND(199&gt;=$B$5,199&lt;=$D$5),1,0)</f>
        <v/>
      </c>
      <c r="GU30" s="17">
        <f>IF(AND(200&gt;=$B$5,200&lt;=$D$5),1,0)</f>
        <v/>
      </c>
      <c r="GV30" s="17">
        <f>IF(AND(201&gt;=$B$5,201&lt;=$D$5),1,0)</f>
        <v/>
      </c>
      <c r="GW30" s="17">
        <f>IF(AND(202&gt;=$B$5,202&lt;=$D$5),1,0)</f>
        <v/>
      </c>
      <c r="GX30" s="17">
        <f>IF(AND(203&gt;=$B$5,203&lt;=$D$5),1,0)</f>
        <v/>
      </c>
      <c r="GY30" s="17">
        <f>IF(AND(204&gt;=$B$5,204&lt;=$D$5),1,0)</f>
        <v/>
      </c>
      <c r="GZ30" s="17">
        <f>IF(AND(205&gt;=$B$5,205&lt;=$D$5),1,0)</f>
        <v/>
      </c>
      <c r="HA30" s="17">
        <f>IF(AND(206&gt;=$B$5,206&lt;=$D$5),1,0)</f>
        <v/>
      </c>
      <c r="HB30" s="17">
        <f>IF(AND(207&gt;=$B$5,207&lt;=$D$5),1,0)</f>
        <v/>
      </c>
      <c r="HC30" s="17">
        <f>IF(AND(208&gt;=$B$5,208&lt;=$D$5),1,0)</f>
        <v/>
      </c>
      <c r="HD30" s="17">
        <f>IF(AND(209&gt;=$B$5,209&lt;=$D$5),1,0)</f>
        <v/>
      </c>
      <c r="HE30" s="17">
        <f>IF(AND(210&gt;=$B$5,210&lt;=$D$5),1,0)</f>
        <v/>
      </c>
      <c r="HF30" s="17">
        <f>IF(AND(211&gt;=$B$5,211&lt;=$D$5),1,0)</f>
        <v/>
      </c>
      <c r="HG30" s="17">
        <f>IF(AND(212&gt;=$B$5,212&lt;=$D$5),1,0)</f>
        <v/>
      </c>
      <c r="HH30" s="17">
        <f>IF(AND(213&gt;=$B$5,213&lt;=$D$5),1,0)</f>
        <v/>
      </c>
      <c r="HI30" s="17">
        <f>IF(AND(214&gt;=$B$5,214&lt;=$D$5),1,0)</f>
        <v/>
      </c>
      <c r="HJ30" s="17">
        <f>IF(AND(215&gt;=$B$5,215&lt;=$D$5),1,0)</f>
        <v/>
      </c>
      <c r="HK30" s="17">
        <f>IF(AND(216&gt;=$B$5,216&lt;=$D$5),1,0)</f>
        <v/>
      </c>
      <c r="HL30" s="17">
        <f>IF(AND(217&gt;=$B$5,217&lt;=$D$5),1,0)</f>
        <v/>
      </c>
      <c r="HM30" s="17">
        <f>IF(AND(218&gt;=$B$5,218&lt;=$D$5),1,0)</f>
        <v/>
      </c>
      <c r="HN30" s="17">
        <f>IF(AND(219&gt;=$B$5,219&lt;=$D$5),1,0)</f>
        <v/>
      </c>
      <c r="HO30" s="17">
        <f>IF(AND(220&gt;=$B$5,220&lt;=$D$5),1,0)</f>
        <v/>
      </c>
      <c r="HP30" s="17">
        <f>IF(AND(221&gt;=$B$5,221&lt;=$D$5),1,0)</f>
        <v/>
      </c>
      <c r="HQ30" s="17">
        <f>IF(AND(222&gt;=$B$5,222&lt;=$D$5),1,0)</f>
        <v/>
      </c>
      <c r="HR30" s="17">
        <f>IF(AND(223&gt;=$B$5,223&lt;=$D$5),1,0)</f>
        <v/>
      </c>
      <c r="HS30" s="17">
        <f>IF(AND(224&gt;=$B$5,224&lt;=$D$5),1,0)</f>
        <v/>
      </c>
      <c r="HT30" s="17">
        <f>IF(AND(225&gt;=$B$5,225&lt;=$D$5),1,0)</f>
        <v/>
      </c>
      <c r="HU30" s="17">
        <f>IF(AND(226&gt;=$B$5,226&lt;=$D$5),1,0)</f>
        <v/>
      </c>
      <c r="HV30" s="17">
        <f>IF(AND(227&gt;=$B$5,227&lt;=$D$5),1,0)</f>
        <v/>
      </c>
      <c r="HW30" s="17">
        <f>IF(AND(228&gt;=$B$5,228&lt;=$D$5),1,0)</f>
        <v/>
      </c>
      <c r="HX30" s="17">
        <f>IF(AND(229&gt;=$B$5,229&lt;=$D$5),1,0)</f>
        <v/>
      </c>
      <c r="HY30" s="17">
        <f>IF(AND(230&gt;=$B$5,230&lt;=$D$5),1,0)</f>
        <v/>
      </c>
      <c r="HZ30" s="17">
        <f>IF(AND(231&gt;=$B$5,231&lt;=$D$5),1,0)</f>
        <v/>
      </c>
      <c r="IA30" s="17">
        <f>IF(AND(232&gt;=$B$5,232&lt;=$D$5),1,0)</f>
        <v/>
      </c>
      <c r="IB30" s="17">
        <f>IF(AND(233&gt;=$B$5,233&lt;=$D$5),1,0)</f>
        <v/>
      </c>
      <c r="IC30" s="17">
        <f>IF(AND(234&gt;=$B$5,234&lt;=$D$5),1,0)</f>
        <v/>
      </c>
      <c r="ID30" s="17">
        <f>IF(AND(235&gt;=$B$5,235&lt;=$D$5),1,0)</f>
        <v/>
      </c>
      <c r="IE30" s="17">
        <f>IF(AND(236&gt;=$B$5,236&lt;=$D$5),1,0)</f>
        <v/>
      </c>
      <c r="IF30" s="17">
        <f>IF(AND(237&gt;=$B$5,237&lt;=$D$5),1,0)</f>
        <v/>
      </c>
      <c r="IG30" s="17">
        <f>IF(AND(238&gt;=$B$5,238&lt;=$D$5),1,0)</f>
        <v/>
      </c>
      <c r="IH30" s="17">
        <f>IF(AND(239&gt;=$B$5,239&lt;=$D$5),1,0)</f>
        <v/>
      </c>
      <c r="II30" s="17">
        <f>IF(AND(240&gt;=$B$5,240&lt;=$D$5),1,0)</f>
        <v/>
      </c>
      <c r="IJ30" s="17">
        <f>IF(AND(241&gt;=$B$5,241&lt;=$D$5),1,0)</f>
        <v/>
      </c>
      <c r="IK30" s="17">
        <f>IF(AND(242&gt;=$B$5,242&lt;=$D$5),1,0)</f>
        <v/>
      </c>
      <c r="IL30" s="17">
        <f>IF(AND(243&gt;=$B$5,243&lt;=$D$5),1,0)</f>
        <v/>
      </c>
      <c r="IM30" s="17">
        <f>IF(AND(244&gt;=$B$5,244&lt;=$D$5),1,0)</f>
        <v/>
      </c>
      <c r="IN30" s="17">
        <f>IF(AND(245&gt;=$B$5,245&lt;=$D$5),1,0)</f>
        <v/>
      </c>
      <c r="IO30" s="17">
        <f>IF(AND(246&gt;=$B$5,246&lt;=$D$5),1,0)</f>
        <v/>
      </c>
      <c r="IP30" s="17">
        <f>IF(AND(247&gt;=$B$5,247&lt;=$D$5),1,0)</f>
        <v/>
      </c>
      <c r="IQ30" s="17">
        <f>IF(AND(248&gt;=$B$5,248&lt;=$D$5),1,0)</f>
        <v/>
      </c>
      <c r="IR30" s="17">
        <f>IF(AND(249&gt;=$B$5,249&lt;=$D$5),1,0)</f>
        <v/>
      </c>
      <c r="IS30" s="17">
        <f>IF(AND(250&gt;=$B$5,250&lt;=$D$5),1,0)</f>
        <v/>
      </c>
      <c r="IT30" s="17">
        <f>IF(AND(251&gt;=$B$5,251&lt;=$D$5),1,0)</f>
        <v/>
      </c>
      <c r="IU30" s="17">
        <f>IF(AND(252&gt;=$B$5,252&lt;=$D$5),1,0)</f>
        <v/>
      </c>
      <c r="IV30" s="17">
        <f>IF(AND(253&gt;=$B$5,253&lt;=$D$5),1,0)</f>
        <v/>
      </c>
      <c r="IW30" s="17">
        <f>IF(AND(254&gt;=$B$5,254&lt;=$D$5),1,0)</f>
        <v/>
      </c>
      <c r="IX30" s="17">
        <f>IF(AND(255&gt;=$B$5,255&lt;=$D$5),1,0)</f>
        <v/>
      </c>
      <c r="IY30" s="17">
        <f>IF(AND(256&gt;=$B$5,256&lt;=$D$5),1,0)</f>
        <v/>
      </c>
      <c r="IZ30" s="17">
        <f>IF(AND(257&gt;=$B$5,257&lt;=$D$5),1,0)</f>
        <v/>
      </c>
      <c r="JA30" s="17">
        <f>IF(AND(258&gt;=$B$5,258&lt;=$D$5),1,0)</f>
        <v/>
      </c>
      <c r="JB30" s="17">
        <f>IF(AND(259&gt;=$B$5,259&lt;=$D$5),1,0)</f>
        <v/>
      </c>
      <c r="JC30" s="17">
        <f>IF(AND(260&gt;=$B$5,260&lt;=$D$5),1,0)</f>
        <v/>
      </c>
      <c r="JD30" s="17">
        <f>IF(AND(261&gt;=$B$5,261&lt;=$D$5),1,0)</f>
        <v/>
      </c>
      <c r="JE30" s="17">
        <f>IF(AND(262&gt;=$B$5,262&lt;=$D$5),1,0)</f>
        <v/>
      </c>
      <c r="JF30" s="17">
        <f>IF(AND(263&gt;=$B$5,263&lt;=$D$5),1,0)</f>
        <v/>
      </c>
      <c r="JG30" s="17">
        <f>IF(AND(264&gt;=$B$5,264&lt;=$D$5),1,0)</f>
        <v/>
      </c>
      <c r="JH30" s="17">
        <f>IF(AND(265&gt;=$B$5,265&lt;=$D$5),1,0)</f>
        <v/>
      </c>
      <c r="JI30" s="17">
        <f>IF(AND(266&gt;=$B$5,266&lt;=$D$5),1,0)</f>
        <v/>
      </c>
      <c r="JJ30" s="17">
        <f>IF(AND(267&gt;=$B$5,267&lt;=$D$5),1,0)</f>
        <v/>
      </c>
      <c r="JK30" s="17">
        <f>IF(AND(268&gt;=$B$5,268&lt;=$D$5),1,0)</f>
        <v/>
      </c>
      <c r="JL30" s="17">
        <f>IF(AND(269&gt;=$B$5,269&lt;=$D$5),1,0)</f>
        <v/>
      </c>
      <c r="JM30" s="17">
        <f>IF(AND(270&gt;=$B$5,270&lt;=$D$5),1,0)</f>
        <v/>
      </c>
      <c r="JN30" s="17">
        <f>IF(AND(271&gt;=$B$5,271&lt;=$D$5),1,0)</f>
        <v/>
      </c>
      <c r="JO30" s="17">
        <f>IF(AND(272&gt;=$B$5,272&lt;=$D$5),1,0)</f>
        <v/>
      </c>
      <c r="JP30" s="17">
        <f>IF(AND(273&gt;=$B$5,273&lt;=$D$5),1,0)</f>
        <v/>
      </c>
      <c r="JQ30" s="17">
        <f>IF(AND(274&gt;=$B$5,274&lt;=$D$5),1,0)</f>
        <v/>
      </c>
      <c r="JR30" s="17">
        <f>IF(AND(275&gt;=$B$5,275&lt;=$D$5),1,0)</f>
        <v/>
      </c>
      <c r="JS30" s="17">
        <f>IF(AND(276&gt;=$B$5,276&lt;=$D$5),1,0)</f>
        <v/>
      </c>
      <c r="JT30" s="17">
        <f>IF(AND(277&gt;=$B$5,277&lt;=$D$5),1,0)</f>
        <v/>
      </c>
      <c r="JU30" s="17">
        <f>IF(AND(278&gt;=$B$5,278&lt;=$D$5),1,0)</f>
        <v/>
      </c>
      <c r="JV30" s="17">
        <f>IF(AND(279&gt;=$B$5,279&lt;=$D$5),1,0)</f>
        <v/>
      </c>
      <c r="JW30" s="17">
        <f>IF(AND(280&gt;=$B$5,280&lt;=$D$5),1,0)</f>
        <v/>
      </c>
      <c r="JX30" s="17">
        <f>IF(AND(281&gt;=$B$5,281&lt;=$D$5),1,0)</f>
        <v/>
      </c>
      <c r="JY30" s="17">
        <f>IF(AND(282&gt;=$B$5,282&lt;=$D$5),1,0)</f>
        <v/>
      </c>
      <c r="JZ30" s="17">
        <f>IF(AND(283&gt;=$B$5,283&lt;=$D$5),1,0)</f>
        <v/>
      </c>
      <c r="KA30" s="17">
        <f>IF(AND(284&gt;=$B$5,284&lt;=$D$5),1,0)</f>
        <v/>
      </c>
      <c r="KB30" s="17">
        <f>IF(AND(285&gt;=$B$5,285&lt;=$D$5),1,0)</f>
        <v/>
      </c>
      <c r="KC30" s="17">
        <f>IF(AND(286&gt;=$B$5,286&lt;=$D$5),1,0)</f>
        <v/>
      </c>
      <c r="KD30" s="17">
        <f>IF(AND(287&gt;=$B$5,287&lt;=$D$5),1,0)</f>
        <v/>
      </c>
      <c r="KE30" s="17">
        <f>IF(AND(288&gt;=$B$5,288&lt;=$D$5),1,0)</f>
        <v/>
      </c>
      <c r="KF30" s="17">
        <f>IF(AND(289&gt;=$B$5,289&lt;=$D$5),1,0)</f>
        <v/>
      </c>
      <c r="KG30" s="17">
        <f>IF(AND(290&gt;=$B$5,290&lt;=$D$5),1,0)</f>
        <v/>
      </c>
      <c r="KH30" s="17">
        <f>IF(AND(291&gt;=$B$5,291&lt;=$D$5),1,0)</f>
        <v/>
      </c>
      <c r="KI30" s="17">
        <f>IF(AND(292&gt;=$B$5,292&lt;=$D$5),1,0)</f>
        <v/>
      </c>
      <c r="KJ30" s="17">
        <f>IF(AND(293&gt;=$B$5,293&lt;=$D$5),1,0)</f>
        <v/>
      </c>
      <c r="KK30" s="17">
        <f>IF(AND(294&gt;=$B$5,294&lt;=$D$5),1,0)</f>
        <v/>
      </c>
      <c r="KL30" s="17">
        <f>IF(AND(295&gt;=$B$5,295&lt;=$D$5),1,0)</f>
        <v/>
      </c>
      <c r="KM30" s="17">
        <f>IF(AND(296&gt;=$B$5,296&lt;=$D$5),1,0)</f>
        <v/>
      </c>
      <c r="KN30" s="17">
        <f>IF(AND(297&gt;=$B$5,297&lt;=$D$5),1,0)</f>
        <v/>
      </c>
      <c r="KO30" s="17">
        <f>IF(AND(298&gt;=$B$5,298&lt;=$D$5),1,0)</f>
        <v/>
      </c>
      <c r="KP30" s="17">
        <f>IF(AND(299&gt;=$B$5,299&lt;=$D$5),1,0)</f>
        <v/>
      </c>
      <c r="KQ30" s="17">
        <f>IF(AND(300&gt;=$B$5,300&lt;=$D$5),1,0)</f>
        <v/>
      </c>
      <c r="KR30" s="17">
        <f>IF(AND(301&gt;=$B$5,301&lt;=$D$5),1,0)</f>
        <v/>
      </c>
      <c r="KS30" s="17">
        <f>IF(AND(302&gt;=$B$5,302&lt;=$D$5),1,0)</f>
        <v/>
      </c>
      <c r="KT30" s="17">
        <f>IF(AND(303&gt;=$B$5,303&lt;=$D$5),1,0)</f>
        <v/>
      </c>
      <c r="KU30" s="17">
        <f>IF(AND(304&gt;=$B$5,304&lt;=$D$5),1,0)</f>
        <v/>
      </c>
      <c r="KV30" s="17">
        <f>IF(AND(305&gt;=$B$5,305&lt;=$D$5),1,0)</f>
        <v/>
      </c>
      <c r="KW30" s="17">
        <f>IF(AND(306&gt;=$B$5,306&lt;=$D$5),1,0)</f>
        <v/>
      </c>
      <c r="KX30" s="17">
        <f>IF(AND(307&gt;=$B$5,307&lt;=$D$5),1,0)</f>
        <v/>
      </c>
      <c r="KY30" s="17">
        <f>IF(AND(308&gt;=$B$5,308&lt;=$D$5),1,0)</f>
        <v/>
      </c>
      <c r="KZ30" s="17">
        <f>IF(AND(309&gt;=$B$5,309&lt;=$D$5),1,0)</f>
        <v/>
      </c>
      <c r="LA30" s="17">
        <f>IF(AND(310&gt;=$B$5,310&lt;=$D$5),1,0)</f>
        <v/>
      </c>
      <c r="LB30" s="17">
        <f>IF(AND(311&gt;=$B$5,311&lt;=$D$5),1,0)</f>
        <v/>
      </c>
      <c r="LC30" s="17">
        <f>IF(AND(312&gt;=$B$5,312&lt;=$D$5),1,0)</f>
        <v/>
      </c>
      <c r="LD30" s="17">
        <f>IF(AND(313&gt;=$B$5,313&lt;=$D$5),1,0)</f>
        <v/>
      </c>
      <c r="LE30" s="17">
        <f>IF(AND(314&gt;=$B$5,314&lt;=$D$5),1,0)</f>
        <v/>
      </c>
      <c r="LF30" s="17">
        <f>IF(AND(315&gt;=$B$5,315&lt;=$D$5),1,0)</f>
        <v/>
      </c>
      <c r="LG30" s="17">
        <f>IF(AND(316&gt;=$B$5,316&lt;=$D$5),1,0)</f>
        <v/>
      </c>
      <c r="LH30" s="17">
        <f>IF(AND(317&gt;=$B$5,317&lt;=$D$5),1,0)</f>
        <v/>
      </c>
      <c r="LI30" s="17">
        <f>IF(AND(318&gt;=$B$5,318&lt;=$D$5),1,0)</f>
        <v/>
      </c>
      <c r="LJ30" s="17">
        <f>IF(AND(319&gt;=$B$5,319&lt;=$D$5),1,0)</f>
        <v/>
      </c>
      <c r="LK30" s="17">
        <f>IF(AND(320&gt;=$B$5,320&lt;=$D$5),1,0)</f>
        <v/>
      </c>
      <c r="LL30" s="17">
        <f>IF(AND(321&gt;=$B$5,321&lt;=$D$5),1,0)</f>
        <v/>
      </c>
      <c r="LM30" s="17">
        <f>IF(AND(322&gt;=$B$5,322&lt;=$D$5),1,0)</f>
        <v/>
      </c>
      <c r="LN30" s="17">
        <f>IF(AND(323&gt;=$B$5,323&lt;=$D$5),1,0)</f>
        <v/>
      </c>
      <c r="LO30" s="17">
        <f>IF(AND(324&gt;=$B$5,324&lt;=$D$5),1,0)</f>
        <v/>
      </c>
      <c r="LP30" s="17">
        <f>IF(AND(325&gt;=$B$5,325&lt;=$D$5),1,0)</f>
        <v/>
      </c>
      <c r="LQ30" s="17">
        <f>IF(AND(326&gt;=$B$5,326&lt;=$D$5),1,0)</f>
        <v/>
      </c>
      <c r="LR30" s="17">
        <f>IF(AND(327&gt;=$B$5,327&lt;=$D$5),1,0)</f>
        <v/>
      </c>
      <c r="LS30" s="17">
        <f>IF(AND(328&gt;=$B$5,328&lt;=$D$5),1,0)</f>
        <v/>
      </c>
      <c r="LT30" s="17">
        <f>IF(AND(329&gt;=$B$5,329&lt;=$D$5),1,0)</f>
        <v/>
      </c>
      <c r="LU30" s="17">
        <f>IF(AND(330&gt;=$B$5,330&lt;=$D$5),1,0)</f>
        <v/>
      </c>
      <c r="LV30" s="17">
        <f>IF(AND(331&gt;=$B$5,331&lt;=$D$5),1,0)</f>
        <v/>
      </c>
      <c r="LW30" s="17">
        <f>IF(AND(332&gt;=$B$5,332&lt;=$D$5),1,0)</f>
        <v/>
      </c>
      <c r="LX30" s="17">
        <f>IF(AND(333&gt;=$B$5,333&lt;=$D$5),1,0)</f>
        <v/>
      </c>
      <c r="LY30" s="17">
        <f>IF(AND(334&gt;=$B$5,334&lt;=$D$5),1,0)</f>
        <v/>
      </c>
      <c r="LZ30" s="17">
        <f>IF(AND(335&gt;=$B$5,335&lt;=$D$5),1,0)</f>
        <v/>
      </c>
      <c r="MA30" s="17">
        <f>IF(AND(336&gt;=$B$5,336&lt;=$D$5),1,0)</f>
        <v/>
      </c>
      <c r="MB30" s="17">
        <f>IF(AND(337&gt;=$B$5,337&lt;=$D$5),1,0)</f>
        <v/>
      </c>
      <c r="MC30" s="17">
        <f>IF(AND(338&gt;=$B$5,338&lt;=$D$5),1,0)</f>
        <v/>
      </c>
      <c r="MD30" s="17">
        <f>IF(AND(339&gt;=$B$5,339&lt;=$D$5),1,0)</f>
        <v/>
      </c>
      <c r="ME30" s="17">
        <f>IF(AND(340&gt;=$B$5,340&lt;=$D$5),1,0)</f>
        <v/>
      </c>
      <c r="MF30" s="17">
        <f>IF(AND(341&gt;=$B$5,341&lt;=$D$5),1,0)</f>
        <v/>
      </c>
      <c r="MG30" s="17">
        <f>IF(AND(342&gt;=$B$5,342&lt;=$D$5),1,0)</f>
        <v/>
      </c>
      <c r="MH30" s="17">
        <f>IF(AND(343&gt;=$B$5,343&lt;=$D$5),1,0)</f>
        <v/>
      </c>
      <c r="MI30" s="17">
        <f>IF(AND(344&gt;=$B$5,344&lt;=$D$5),1,0)</f>
        <v/>
      </c>
      <c r="MJ30" s="17">
        <f>IF(AND(345&gt;=$B$5,345&lt;=$D$5),1,0)</f>
        <v/>
      </c>
      <c r="MK30" s="17">
        <f>IF(AND(346&gt;=$B$5,346&lt;=$D$5),1,0)</f>
        <v/>
      </c>
      <c r="ML30" s="17">
        <f>IF(AND(347&gt;=$B$5,347&lt;=$D$5),1,0)</f>
        <v/>
      </c>
      <c r="MM30" s="17">
        <f>IF(AND(348&gt;=$B$5,348&lt;=$D$5),1,0)</f>
        <v/>
      </c>
      <c r="MN30" s="17">
        <f>IF(AND(349&gt;=$B$5,349&lt;=$D$5),1,0)</f>
        <v/>
      </c>
      <c r="MO30" s="17">
        <f>IF(AND(350&gt;=$B$5,350&lt;=$D$5),1,0)</f>
        <v/>
      </c>
      <c r="MP30" s="17">
        <f>IF(AND(351&gt;=$B$5,351&lt;=$D$5),1,0)</f>
        <v/>
      </c>
      <c r="MQ30" s="17">
        <f>IF(AND(352&gt;=$B$5,352&lt;=$D$5),1,0)</f>
        <v/>
      </c>
      <c r="MR30" s="17">
        <f>IF(AND(353&gt;=$B$5,353&lt;=$D$5),1,0)</f>
        <v/>
      </c>
      <c r="MS30" s="17">
        <f>IF(AND(354&gt;=$B$5,354&lt;=$D$5),1,0)</f>
        <v/>
      </c>
      <c r="MT30" s="17">
        <f>IF(AND(355&gt;=$B$5,355&lt;=$D$5),1,0)</f>
        <v/>
      </c>
      <c r="MU30" s="17">
        <f>IF(AND(356&gt;=$B$5,356&lt;=$D$5),1,0)</f>
        <v/>
      </c>
      <c r="MV30" s="17">
        <f>IF(AND(357&gt;=$B$5,357&lt;=$D$5),1,0)</f>
        <v/>
      </c>
      <c r="MW30" s="17">
        <f>IF(AND(358&gt;=$B$5,358&lt;=$D$5),1,0)</f>
        <v/>
      </c>
      <c r="MX30" s="17">
        <f>IF(AND(359&gt;=$B$5,359&lt;=$D$5),1,0)</f>
        <v/>
      </c>
      <c r="MY30" s="17">
        <f>IF(AND(360&gt;=$B$5,360&lt;=$D$5),1,0)</f>
        <v/>
      </c>
      <c r="MZ30" s="17">
        <f>IF(AND(361&gt;=$B$5,361&lt;=$D$5),1,0)</f>
        <v/>
      </c>
      <c r="NA30" s="17">
        <f>IF(AND(362&gt;=$B$5,362&lt;=$D$5),1,0)</f>
        <v/>
      </c>
      <c r="NB30" s="17">
        <f>IF(AND(363&gt;=$B$5,363&lt;=$D$5),1,0)</f>
        <v/>
      </c>
      <c r="NC30" s="17">
        <f>IF(AND(364&gt;=$B$5,364&lt;=$D$5),1,0)</f>
        <v/>
      </c>
      <c r="ND30" s="17">
        <f>IF(AND(365&gt;=$B$5,365&lt;=$D$5),1,0)</f>
        <v/>
      </c>
      <c r="NE30" s="17">
        <f>IF(AND(366&gt;=$B$5,366&lt;=$D$5),1,0)</f>
        <v/>
      </c>
      <c r="NF30" s="17">
        <f>IF(AND(367&gt;=$B$5,367&lt;=$D$5),1,0)</f>
        <v/>
      </c>
      <c r="NG30" s="17">
        <f>IF(AND(368&gt;=$B$5,368&lt;=$D$5),1,0)</f>
        <v/>
      </c>
      <c r="NH30" s="17">
        <f>IF(AND(369&gt;=$B$5,369&lt;=$D$5),1,0)</f>
        <v/>
      </c>
      <c r="NI30" s="17">
        <f>IF(AND(370&gt;=$B$5,370&lt;=$D$5),1,0)</f>
        <v/>
      </c>
      <c r="NJ30" s="17">
        <f>IF(AND(371&gt;=$B$5,371&lt;=$D$5),1,0)</f>
        <v/>
      </c>
      <c r="NK30" s="17">
        <f>IF(AND(372&gt;=$B$5,372&lt;=$D$5),1,0)</f>
        <v/>
      </c>
    </row>
    <row r="31">
      <c r="A31" s="5" t="inlineStr">
        <is>
          <t>Flag: Entitlement</t>
        </is>
      </c>
      <c r="C31" s="40" t="n"/>
      <c r="D31" s="17">
        <f>IF(AND(1&gt;=$B$6,1&lt;=$D$6),1,0)</f>
        <v/>
      </c>
      <c r="E31" s="17">
        <f>IF(AND(2&gt;=$B$6,2&lt;=$D$6),1,0)</f>
        <v/>
      </c>
      <c r="F31" s="17">
        <f>IF(AND(3&gt;=$B$6,3&lt;=$D$6),1,0)</f>
        <v/>
      </c>
      <c r="G31" s="17">
        <f>IF(AND(4&gt;=$B$6,4&lt;=$D$6),1,0)</f>
        <v/>
      </c>
      <c r="H31" s="17">
        <f>IF(AND(5&gt;=$B$6,5&lt;=$D$6),1,0)</f>
        <v/>
      </c>
      <c r="I31" s="17">
        <f>IF(AND(6&gt;=$B$6,6&lt;=$D$6),1,0)</f>
        <v/>
      </c>
      <c r="J31" s="17">
        <f>IF(AND(7&gt;=$B$6,7&lt;=$D$6),1,0)</f>
        <v/>
      </c>
      <c r="K31" s="17">
        <f>IF(AND(8&gt;=$B$6,8&lt;=$D$6),1,0)</f>
        <v/>
      </c>
      <c r="L31" s="17">
        <f>IF(AND(9&gt;=$B$6,9&lt;=$D$6),1,0)</f>
        <v/>
      </c>
      <c r="M31" s="17">
        <f>IF(AND(10&gt;=$B$6,10&lt;=$D$6),1,0)</f>
        <v/>
      </c>
      <c r="N31" s="17">
        <f>IF(AND(11&gt;=$B$6,11&lt;=$D$6),1,0)</f>
        <v/>
      </c>
      <c r="O31" s="17">
        <f>IF(AND(12&gt;=$B$6,12&lt;=$D$6),1,0)</f>
        <v/>
      </c>
      <c r="P31" s="17">
        <f>IF(AND(13&gt;=$B$6,13&lt;=$D$6),1,0)</f>
        <v/>
      </c>
      <c r="Q31" s="17">
        <f>IF(AND(14&gt;=$B$6,14&lt;=$D$6),1,0)</f>
        <v/>
      </c>
      <c r="R31" s="17">
        <f>IF(AND(15&gt;=$B$6,15&lt;=$D$6),1,0)</f>
        <v/>
      </c>
      <c r="S31" s="17">
        <f>IF(AND(16&gt;=$B$6,16&lt;=$D$6),1,0)</f>
        <v/>
      </c>
      <c r="T31" s="17">
        <f>IF(AND(17&gt;=$B$6,17&lt;=$D$6),1,0)</f>
        <v/>
      </c>
      <c r="U31" s="17">
        <f>IF(AND(18&gt;=$B$6,18&lt;=$D$6),1,0)</f>
        <v/>
      </c>
      <c r="V31" s="17">
        <f>IF(AND(19&gt;=$B$6,19&lt;=$D$6),1,0)</f>
        <v/>
      </c>
      <c r="W31" s="17">
        <f>IF(AND(20&gt;=$B$6,20&lt;=$D$6),1,0)</f>
        <v/>
      </c>
      <c r="X31" s="17">
        <f>IF(AND(21&gt;=$B$6,21&lt;=$D$6),1,0)</f>
        <v/>
      </c>
      <c r="Y31" s="17">
        <f>IF(AND(22&gt;=$B$6,22&lt;=$D$6),1,0)</f>
        <v/>
      </c>
      <c r="Z31" s="17">
        <f>IF(AND(23&gt;=$B$6,23&lt;=$D$6),1,0)</f>
        <v/>
      </c>
      <c r="AA31" s="17">
        <f>IF(AND(24&gt;=$B$6,24&lt;=$D$6),1,0)</f>
        <v/>
      </c>
      <c r="AB31" s="17">
        <f>IF(AND(25&gt;=$B$6,25&lt;=$D$6),1,0)</f>
        <v/>
      </c>
      <c r="AC31" s="17">
        <f>IF(AND(26&gt;=$B$6,26&lt;=$D$6),1,0)</f>
        <v/>
      </c>
      <c r="AD31" s="17">
        <f>IF(AND(27&gt;=$B$6,27&lt;=$D$6),1,0)</f>
        <v/>
      </c>
      <c r="AE31" s="17">
        <f>IF(AND(28&gt;=$B$6,28&lt;=$D$6),1,0)</f>
        <v/>
      </c>
      <c r="AF31" s="17">
        <f>IF(AND(29&gt;=$B$6,29&lt;=$D$6),1,0)</f>
        <v/>
      </c>
      <c r="AG31" s="17">
        <f>IF(AND(30&gt;=$B$6,30&lt;=$D$6),1,0)</f>
        <v/>
      </c>
      <c r="AH31" s="17">
        <f>IF(AND(31&gt;=$B$6,31&lt;=$D$6),1,0)</f>
        <v/>
      </c>
      <c r="AI31" s="17">
        <f>IF(AND(32&gt;=$B$6,32&lt;=$D$6),1,0)</f>
        <v/>
      </c>
      <c r="AJ31" s="17">
        <f>IF(AND(33&gt;=$B$6,33&lt;=$D$6),1,0)</f>
        <v/>
      </c>
      <c r="AK31" s="17">
        <f>IF(AND(34&gt;=$B$6,34&lt;=$D$6),1,0)</f>
        <v/>
      </c>
      <c r="AL31" s="17">
        <f>IF(AND(35&gt;=$B$6,35&lt;=$D$6),1,0)</f>
        <v/>
      </c>
      <c r="AM31" s="17">
        <f>IF(AND(36&gt;=$B$6,36&lt;=$D$6),1,0)</f>
        <v/>
      </c>
      <c r="AN31" s="17">
        <f>IF(AND(37&gt;=$B$6,37&lt;=$D$6),1,0)</f>
        <v/>
      </c>
      <c r="AO31" s="17">
        <f>IF(AND(38&gt;=$B$6,38&lt;=$D$6),1,0)</f>
        <v/>
      </c>
      <c r="AP31" s="17">
        <f>IF(AND(39&gt;=$B$6,39&lt;=$D$6),1,0)</f>
        <v/>
      </c>
      <c r="AQ31" s="17">
        <f>IF(AND(40&gt;=$B$6,40&lt;=$D$6),1,0)</f>
        <v/>
      </c>
      <c r="AR31" s="17">
        <f>IF(AND(41&gt;=$B$6,41&lt;=$D$6),1,0)</f>
        <v/>
      </c>
      <c r="AS31" s="17">
        <f>IF(AND(42&gt;=$B$6,42&lt;=$D$6),1,0)</f>
        <v/>
      </c>
      <c r="AT31" s="17">
        <f>IF(AND(43&gt;=$B$6,43&lt;=$D$6),1,0)</f>
        <v/>
      </c>
      <c r="AU31" s="17">
        <f>IF(AND(44&gt;=$B$6,44&lt;=$D$6),1,0)</f>
        <v/>
      </c>
      <c r="AV31" s="17">
        <f>IF(AND(45&gt;=$B$6,45&lt;=$D$6),1,0)</f>
        <v/>
      </c>
      <c r="AW31" s="17">
        <f>IF(AND(46&gt;=$B$6,46&lt;=$D$6),1,0)</f>
        <v/>
      </c>
      <c r="AX31" s="17">
        <f>IF(AND(47&gt;=$B$6,47&lt;=$D$6),1,0)</f>
        <v/>
      </c>
      <c r="AY31" s="17">
        <f>IF(AND(48&gt;=$B$6,48&lt;=$D$6),1,0)</f>
        <v/>
      </c>
      <c r="AZ31" s="17">
        <f>IF(AND(49&gt;=$B$6,49&lt;=$D$6),1,0)</f>
        <v/>
      </c>
      <c r="BA31" s="17">
        <f>IF(AND(50&gt;=$B$6,50&lt;=$D$6),1,0)</f>
        <v/>
      </c>
      <c r="BB31" s="17">
        <f>IF(AND(51&gt;=$B$6,51&lt;=$D$6),1,0)</f>
        <v/>
      </c>
      <c r="BC31" s="17">
        <f>IF(AND(52&gt;=$B$6,52&lt;=$D$6),1,0)</f>
        <v/>
      </c>
      <c r="BD31" s="17">
        <f>IF(AND(53&gt;=$B$6,53&lt;=$D$6),1,0)</f>
        <v/>
      </c>
      <c r="BE31" s="17">
        <f>IF(AND(54&gt;=$B$6,54&lt;=$D$6),1,0)</f>
        <v/>
      </c>
      <c r="BF31" s="17">
        <f>IF(AND(55&gt;=$B$6,55&lt;=$D$6),1,0)</f>
        <v/>
      </c>
      <c r="BG31" s="17">
        <f>IF(AND(56&gt;=$B$6,56&lt;=$D$6),1,0)</f>
        <v/>
      </c>
      <c r="BH31" s="17">
        <f>IF(AND(57&gt;=$B$6,57&lt;=$D$6),1,0)</f>
        <v/>
      </c>
      <c r="BI31" s="17">
        <f>IF(AND(58&gt;=$B$6,58&lt;=$D$6),1,0)</f>
        <v/>
      </c>
      <c r="BJ31" s="17">
        <f>IF(AND(59&gt;=$B$6,59&lt;=$D$6),1,0)</f>
        <v/>
      </c>
      <c r="BK31" s="17">
        <f>IF(AND(60&gt;=$B$6,60&lt;=$D$6),1,0)</f>
        <v/>
      </c>
      <c r="BL31" s="17">
        <f>IF(AND(61&gt;=$B$6,61&lt;=$D$6),1,0)</f>
        <v/>
      </c>
      <c r="BM31" s="17">
        <f>IF(AND(62&gt;=$B$6,62&lt;=$D$6),1,0)</f>
        <v/>
      </c>
      <c r="BN31" s="17">
        <f>IF(AND(63&gt;=$B$6,63&lt;=$D$6),1,0)</f>
        <v/>
      </c>
      <c r="BO31" s="17">
        <f>IF(AND(64&gt;=$B$6,64&lt;=$D$6),1,0)</f>
        <v/>
      </c>
      <c r="BP31" s="17">
        <f>IF(AND(65&gt;=$B$6,65&lt;=$D$6),1,0)</f>
        <v/>
      </c>
      <c r="BQ31" s="17">
        <f>IF(AND(66&gt;=$B$6,66&lt;=$D$6),1,0)</f>
        <v/>
      </c>
      <c r="BR31" s="17">
        <f>IF(AND(67&gt;=$B$6,67&lt;=$D$6),1,0)</f>
        <v/>
      </c>
      <c r="BS31" s="17">
        <f>IF(AND(68&gt;=$B$6,68&lt;=$D$6),1,0)</f>
        <v/>
      </c>
      <c r="BT31" s="17">
        <f>IF(AND(69&gt;=$B$6,69&lt;=$D$6),1,0)</f>
        <v/>
      </c>
      <c r="BU31" s="17">
        <f>IF(AND(70&gt;=$B$6,70&lt;=$D$6),1,0)</f>
        <v/>
      </c>
      <c r="BV31" s="17">
        <f>IF(AND(71&gt;=$B$6,71&lt;=$D$6),1,0)</f>
        <v/>
      </c>
      <c r="BW31" s="17">
        <f>IF(AND(72&gt;=$B$6,72&lt;=$D$6),1,0)</f>
        <v/>
      </c>
      <c r="BX31" s="17">
        <f>IF(AND(73&gt;=$B$6,73&lt;=$D$6),1,0)</f>
        <v/>
      </c>
      <c r="BY31" s="17">
        <f>IF(AND(74&gt;=$B$6,74&lt;=$D$6),1,0)</f>
        <v/>
      </c>
      <c r="BZ31" s="17">
        <f>IF(AND(75&gt;=$B$6,75&lt;=$D$6),1,0)</f>
        <v/>
      </c>
      <c r="CA31" s="17">
        <f>IF(AND(76&gt;=$B$6,76&lt;=$D$6),1,0)</f>
        <v/>
      </c>
      <c r="CB31" s="17">
        <f>IF(AND(77&gt;=$B$6,77&lt;=$D$6),1,0)</f>
        <v/>
      </c>
      <c r="CC31" s="17">
        <f>IF(AND(78&gt;=$B$6,78&lt;=$D$6),1,0)</f>
        <v/>
      </c>
      <c r="CD31" s="17">
        <f>IF(AND(79&gt;=$B$6,79&lt;=$D$6),1,0)</f>
        <v/>
      </c>
      <c r="CE31" s="17">
        <f>IF(AND(80&gt;=$B$6,80&lt;=$D$6),1,0)</f>
        <v/>
      </c>
      <c r="CF31" s="17">
        <f>IF(AND(81&gt;=$B$6,81&lt;=$D$6),1,0)</f>
        <v/>
      </c>
      <c r="CG31" s="17">
        <f>IF(AND(82&gt;=$B$6,82&lt;=$D$6),1,0)</f>
        <v/>
      </c>
      <c r="CH31" s="17">
        <f>IF(AND(83&gt;=$B$6,83&lt;=$D$6),1,0)</f>
        <v/>
      </c>
      <c r="CI31" s="17">
        <f>IF(AND(84&gt;=$B$6,84&lt;=$D$6),1,0)</f>
        <v/>
      </c>
      <c r="CJ31" s="17">
        <f>IF(AND(85&gt;=$B$6,85&lt;=$D$6),1,0)</f>
        <v/>
      </c>
      <c r="CK31" s="17">
        <f>IF(AND(86&gt;=$B$6,86&lt;=$D$6),1,0)</f>
        <v/>
      </c>
      <c r="CL31" s="17">
        <f>IF(AND(87&gt;=$B$6,87&lt;=$D$6),1,0)</f>
        <v/>
      </c>
      <c r="CM31" s="17">
        <f>IF(AND(88&gt;=$B$6,88&lt;=$D$6),1,0)</f>
        <v/>
      </c>
      <c r="CN31" s="17">
        <f>IF(AND(89&gt;=$B$6,89&lt;=$D$6),1,0)</f>
        <v/>
      </c>
      <c r="CO31" s="17">
        <f>IF(AND(90&gt;=$B$6,90&lt;=$D$6),1,0)</f>
        <v/>
      </c>
      <c r="CP31" s="17">
        <f>IF(AND(91&gt;=$B$6,91&lt;=$D$6),1,0)</f>
        <v/>
      </c>
      <c r="CQ31" s="17">
        <f>IF(AND(92&gt;=$B$6,92&lt;=$D$6),1,0)</f>
        <v/>
      </c>
      <c r="CR31" s="17">
        <f>IF(AND(93&gt;=$B$6,93&lt;=$D$6),1,0)</f>
        <v/>
      </c>
      <c r="CS31" s="17">
        <f>IF(AND(94&gt;=$B$6,94&lt;=$D$6),1,0)</f>
        <v/>
      </c>
      <c r="CT31" s="17">
        <f>IF(AND(95&gt;=$B$6,95&lt;=$D$6),1,0)</f>
        <v/>
      </c>
      <c r="CU31" s="17">
        <f>IF(AND(96&gt;=$B$6,96&lt;=$D$6),1,0)</f>
        <v/>
      </c>
      <c r="CV31" s="17">
        <f>IF(AND(97&gt;=$B$6,97&lt;=$D$6),1,0)</f>
        <v/>
      </c>
      <c r="CW31" s="17">
        <f>IF(AND(98&gt;=$B$6,98&lt;=$D$6),1,0)</f>
        <v/>
      </c>
      <c r="CX31" s="17">
        <f>IF(AND(99&gt;=$B$6,99&lt;=$D$6),1,0)</f>
        <v/>
      </c>
      <c r="CY31" s="17">
        <f>IF(AND(100&gt;=$B$6,100&lt;=$D$6),1,0)</f>
        <v/>
      </c>
      <c r="CZ31" s="17">
        <f>IF(AND(101&gt;=$B$6,101&lt;=$D$6),1,0)</f>
        <v/>
      </c>
      <c r="DA31" s="17">
        <f>IF(AND(102&gt;=$B$6,102&lt;=$D$6),1,0)</f>
        <v/>
      </c>
      <c r="DB31" s="17">
        <f>IF(AND(103&gt;=$B$6,103&lt;=$D$6),1,0)</f>
        <v/>
      </c>
      <c r="DC31" s="17">
        <f>IF(AND(104&gt;=$B$6,104&lt;=$D$6),1,0)</f>
        <v/>
      </c>
      <c r="DD31" s="17">
        <f>IF(AND(105&gt;=$B$6,105&lt;=$D$6),1,0)</f>
        <v/>
      </c>
      <c r="DE31" s="17">
        <f>IF(AND(106&gt;=$B$6,106&lt;=$D$6),1,0)</f>
        <v/>
      </c>
      <c r="DF31" s="17">
        <f>IF(AND(107&gt;=$B$6,107&lt;=$D$6),1,0)</f>
        <v/>
      </c>
      <c r="DG31" s="17">
        <f>IF(AND(108&gt;=$B$6,108&lt;=$D$6),1,0)</f>
        <v/>
      </c>
      <c r="DH31" s="17">
        <f>IF(AND(109&gt;=$B$6,109&lt;=$D$6),1,0)</f>
        <v/>
      </c>
      <c r="DI31" s="17">
        <f>IF(AND(110&gt;=$B$6,110&lt;=$D$6),1,0)</f>
        <v/>
      </c>
      <c r="DJ31" s="17">
        <f>IF(AND(111&gt;=$B$6,111&lt;=$D$6),1,0)</f>
        <v/>
      </c>
      <c r="DK31" s="17">
        <f>IF(AND(112&gt;=$B$6,112&lt;=$D$6),1,0)</f>
        <v/>
      </c>
      <c r="DL31" s="17">
        <f>IF(AND(113&gt;=$B$6,113&lt;=$D$6),1,0)</f>
        <v/>
      </c>
      <c r="DM31" s="17">
        <f>IF(AND(114&gt;=$B$6,114&lt;=$D$6),1,0)</f>
        <v/>
      </c>
      <c r="DN31" s="17">
        <f>IF(AND(115&gt;=$B$6,115&lt;=$D$6),1,0)</f>
        <v/>
      </c>
      <c r="DO31" s="17">
        <f>IF(AND(116&gt;=$B$6,116&lt;=$D$6),1,0)</f>
        <v/>
      </c>
      <c r="DP31" s="17">
        <f>IF(AND(117&gt;=$B$6,117&lt;=$D$6),1,0)</f>
        <v/>
      </c>
      <c r="DQ31" s="17">
        <f>IF(AND(118&gt;=$B$6,118&lt;=$D$6),1,0)</f>
        <v/>
      </c>
      <c r="DR31" s="17">
        <f>IF(AND(119&gt;=$B$6,119&lt;=$D$6),1,0)</f>
        <v/>
      </c>
      <c r="DS31" s="17">
        <f>IF(AND(120&gt;=$B$6,120&lt;=$D$6),1,0)</f>
        <v/>
      </c>
      <c r="DT31" s="17">
        <f>IF(AND(121&gt;=$B$6,121&lt;=$D$6),1,0)</f>
        <v/>
      </c>
      <c r="DU31" s="17">
        <f>IF(AND(122&gt;=$B$6,122&lt;=$D$6),1,0)</f>
        <v/>
      </c>
      <c r="DV31" s="17">
        <f>IF(AND(123&gt;=$B$6,123&lt;=$D$6),1,0)</f>
        <v/>
      </c>
      <c r="DW31" s="17">
        <f>IF(AND(124&gt;=$B$6,124&lt;=$D$6),1,0)</f>
        <v/>
      </c>
      <c r="DX31" s="17">
        <f>IF(AND(125&gt;=$B$6,125&lt;=$D$6),1,0)</f>
        <v/>
      </c>
      <c r="DY31" s="17">
        <f>IF(AND(126&gt;=$B$6,126&lt;=$D$6),1,0)</f>
        <v/>
      </c>
      <c r="DZ31" s="17">
        <f>IF(AND(127&gt;=$B$6,127&lt;=$D$6),1,0)</f>
        <v/>
      </c>
      <c r="EA31" s="17">
        <f>IF(AND(128&gt;=$B$6,128&lt;=$D$6),1,0)</f>
        <v/>
      </c>
      <c r="EB31" s="17">
        <f>IF(AND(129&gt;=$B$6,129&lt;=$D$6),1,0)</f>
        <v/>
      </c>
      <c r="EC31" s="17">
        <f>IF(AND(130&gt;=$B$6,130&lt;=$D$6),1,0)</f>
        <v/>
      </c>
      <c r="ED31" s="17">
        <f>IF(AND(131&gt;=$B$6,131&lt;=$D$6),1,0)</f>
        <v/>
      </c>
      <c r="EE31" s="17">
        <f>IF(AND(132&gt;=$B$6,132&lt;=$D$6),1,0)</f>
        <v/>
      </c>
      <c r="EF31" s="17">
        <f>IF(AND(133&gt;=$B$6,133&lt;=$D$6),1,0)</f>
        <v/>
      </c>
      <c r="EG31" s="17">
        <f>IF(AND(134&gt;=$B$6,134&lt;=$D$6),1,0)</f>
        <v/>
      </c>
      <c r="EH31" s="17">
        <f>IF(AND(135&gt;=$B$6,135&lt;=$D$6),1,0)</f>
        <v/>
      </c>
      <c r="EI31" s="17">
        <f>IF(AND(136&gt;=$B$6,136&lt;=$D$6),1,0)</f>
        <v/>
      </c>
      <c r="EJ31" s="17">
        <f>IF(AND(137&gt;=$B$6,137&lt;=$D$6),1,0)</f>
        <v/>
      </c>
      <c r="EK31" s="17">
        <f>IF(AND(138&gt;=$B$6,138&lt;=$D$6),1,0)</f>
        <v/>
      </c>
      <c r="EL31" s="17">
        <f>IF(AND(139&gt;=$B$6,139&lt;=$D$6),1,0)</f>
        <v/>
      </c>
      <c r="EM31" s="17">
        <f>IF(AND(140&gt;=$B$6,140&lt;=$D$6),1,0)</f>
        <v/>
      </c>
      <c r="EN31" s="17">
        <f>IF(AND(141&gt;=$B$6,141&lt;=$D$6),1,0)</f>
        <v/>
      </c>
      <c r="EO31" s="17">
        <f>IF(AND(142&gt;=$B$6,142&lt;=$D$6),1,0)</f>
        <v/>
      </c>
      <c r="EP31" s="17">
        <f>IF(AND(143&gt;=$B$6,143&lt;=$D$6),1,0)</f>
        <v/>
      </c>
      <c r="EQ31" s="17">
        <f>IF(AND(144&gt;=$B$6,144&lt;=$D$6),1,0)</f>
        <v/>
      </c>
      <c r="ER31" s="17">
        <f>IF(AND(145&gt;=$B$6,145&lt;=$D$6),1,0)</f>
        <v/>
      </c>
      <c r="ES31" s="17">
        <f>IF(AND(146&gt;=$B$6,146&lt;=$D$6),1,0)</f>
        <v/>
      </c>
      <c r="ET31" s="17">
        <f>IF(AND(147&gt;=$B$6,147&lt;=$D$6),1,0)</f>
        <v/>
      </c>
      <c r="EU31" s="17">
        <f>IF(AND(148&gt;=$B$6,148&lt;=$D$6),1,0)</f>
        <v/>
      </c>
      <c r="EV31" s="17">
        <f>IF(AND(149&gt;=$B$6,149&lt;=$D$6),1,0)</f>
        <v/>
      </c>
      <c r="EW31" s="17">
        <f>IF(AND(150&gt;=$B$6,150&lt;=$D$6),1,0)</f>
        <v/>
      </c>
      <c r="EX31" s="17">
        <f>IF(AND(151&gt;=$B$6,151&lt;=$D$6),1,0)</f>
        <v/>
      </c>
      <c r="EY31" s="17">
        <f>IF(AND(152&gt;=$B$6,152&lt;=$D$6),1,0)</f>
        <v/>
      </c>
      <c r="EZ31" s="17">
        <f>IF(AND(153&gt;=$B$6,153&lt;=$D$6),1,0)</f>
        <v/>
      </c>
      <c r="FA31" s="17">
        <f>IF(AND(154&gt;=$B$6,154&lt;=$D$6),1,0)</f>
        <v/>
      </c>
      <c r="FB31" s="17">
        <f>IF(AND(155&gt;=$B$6,155&lt;=$D$6),1,0)</f>
        <v/>
      </c>
      <c r="FC31" s="17">
        <f>IF(AND(156&gt;=$B$6,156&lt;=$D$6),1,0)</f>
        <v/>
      </c>
      <c r="FD31" s="17">
        <f>IF(AND(157&gt;=$B$6,157&lt;=$D$6),1,0)</f>
        <v/>
      </c>
      <c r="FE31" s="17">
        <f>IF(AND(158&gt;=$B$6,158&lt;=$D$6),1,0)</f>
        <v/>
      </c>
      <c r="FF31" s="17">
        <f>IF(AND(159&gt;=$B$6,159&lt;=$D$6),1,0)</f>
        <v/>
      </c>
      <c r="FG31" s="17">
        <f>IF(AND(160&gt;=$B$6,160&lt;=$D$6),1,0)</f>
        <v/>
      </c>
      <c r="FH31" s="17">
        <f>IF(AND(161&gt;=$B$6,161&lt;=$D$6),1,0)</f>
        <v/>
      </c>
      <c r="FI31" s="17">
        <f>IF(AND(162&gt;=$B$6,162&lt;=$D$6),1,0)</f>
        <v/>
      </c>
      <c r="FJ31" s="17">
        <f>IF(AND(163&gt;=$B$6,163&lt;=$D$6),1,0)</f>
        <v/>
      </c>
      <c r="FK31" s="17">
        <f>IF(AND(164&gt;=$B$6,164&lt;=$D$6),1,0)</f>
        <v/>
      </c>
      <c r="FL31" s="17">
        <f>IF(AND(165&gt;=$B$6,165&lt;=$D$6),1,0)</f>
        <v/>
      </c>
      <c r="FM31" s="17">
        <f>IF(AND(166&gt;=$B$6,166&lt;=$D$6),1,0)</f>
        <v/>
      </c>
      <c r="FN31" s="17">
        <f>IF(AND(167&gt;=$B$6,167&lt;=$D$6),1,0)</f>
        <v/>
      </c>
      <c r="FO31" s="17">
        <f>IF(AND(168&gt;=$B$6,168&lt;=$D$6),1,0)</f>
        <v/>
      </c>
      <c r="FP31" s="17">
        <f>IF(AND(169&gt;=$B$6,169&lt;=$D$6),1,0)</f>
        <v/>
      </c>
      <c r="FQ31" s="17">
        <f>IF(AND(170&gt;=$B$6,170&lt;=$D$6),1,0)</f>
        <v/>
      </c>
      <c r="FR31" s="17">
        <f>IF(AND(171&gt;=$B$6,171&lt;=$D$6),1,0)</f>
        <v/>
      </c>
      <c r="FS31" s="17">
        <f>IF(AND(172&gt;=$B$6,172&lt;=$D$6),1,0)</f>
        <v/>
      </c>
      <c r="FT31" s="17">
        <f>IF(AND(173&gt;=$B$6,173&lt;=$D$6),1,0)</f>
        <v/>
      </c>
      <c r="FU31" s="17">
        <f>IF(AND(174&gt;=$B$6,174&lt;=$D$6),1,0)</f>
        <v/>
      </c>
      <c r="FV31" s="17">
        <f>IF(AND(175&gt;=$B$6,175&lt;=$D$6),1,0)</f>
        <v/>
      </c>
      <c r="FW31" s="17">
        <f>IF(AND(176&gt;=$B$6,176&lt;=$D$6),1,0)</f>
        <v/>
      </c>
      <c r="FX31" s="17">
        <f>IF(AND(177&gt;=$B$6,177&lt;=$D$6),1,0)</f>
        <v/>
      </c>
      <c r="FY31" s="17">
        <f>IF(AND(178&gt;=$B$6,178&lt;=$D$6),1,0)</f>
        <v/>
      </c>
      <c r="FZ31" s="17">
        <f>IF(AND(179&gt;=$B$6,179&lt;=$D$6),1,0)</f>
        <v/>
      </c>
      <c r="GA31" s="17">
        <f>IF(AND(180&gt;=$B$6,180&lt;=$D$6),1,0)</f>
        <v/>
      </c>
      <c r="GB31" s="17">
        <f>IF(AND(181&gt;=$B$6,181&lt;=$D$6),1,0)</f>
        <v/>
      </c>
      <c r="GC31" s="17">
        <f>IF(AND(182&gt;=$B$6,182&lt;=$D$6),1,0)</f>
        <v/>
      </c>
      <c r="GD31" s="17">
        <f>IF(AND(183&gt;=$B$6,183&lt;=$D$6),1,0)</f>
        <v/>
      </c>
      <c r="GE31" s="17">
        <f>IF(AND(184&gt;=$B$6,184&lt;=$D$6),1,0)</f>
        <v/>
      </c>
      <c r="GF31" s="17">
        <f>IF(AND(185&gt;=$B$6,185&lt;=$D$6),1,0)</f>
        <v/>
      </c>
      <c r="GG31" s="17">
        <f>IF(AND(186&gt;=$B$6,186&lt;=$D$6),1,0)</f>
        <v/>
      </c>
      <c r="GH31" s="17">
        <f>IF(AND(187&gt;=$B$6,187&lt;=$D$6),1,0)</f>
        <v/>
      </c>
      <c r="GI31" s="17">
        <f>IF(AND(188&gt;=$B$6,188&lt;=$D$6),1,0)</f>
        <v/>
      </c>
      <c r="GJ31" s="17">
        <f>IF(AND(189&gt;=$B$6,189&lt;=$D$6),1,0)</f>
        <v/>
      </c>
      <c r="GK31" s="17">
        <f>IF(AND(190&gt;=$B$6,190&lt;=$D$6),1,0)</f>
        <v/>
      </c>
      <c r="GL31" s="17">
        <f>IF(AND(191&gt;=$B$6,191&lt;=$D$6),1,0)</f>
        <v/>
      </c>
      <c r="GM31" s="17">
        <f>IF(AND(192&gt;=$B$6,192&lt;=$D$6),1,0)</f>
        <v/>
      </c>
      <c r="GN31" s="17">
        <f>IF(AND(193&gt;=$B$6,193&lt;=$D$6),1,0)</f>
        <v/>
      </c>
      <c r="GO31" s="17">
        <f>IF(AND(194&gt;=$B$6,194&lt;=$D$6),1,0)</f>
        <v/>
      </c>
      <c r="GP31" s="17">
        <f>IF(AND(195&gt;=$B$6,195&lt;=$D$6),1,0)</f>
        <v/>
      </c>
      <c r="GQ31" s="17">
        <f>IF(AND(196&gt;=$B$6,196&lt;=$D$6),1,0)</f>
        <v/>
      </c>
      <c r="GR31" s="17">
        <f>IF(AND(197&gt;=$B$6,197&lt;=$D$6),1,0)</f>
        <v/>
      </c>
      <c r="GS31" s="17">
        <f>IF(AND(198&gt;=$B$6,198&lt;=$D$6),1,0)</f>
        <v/>
      </c>
      <c r="GT31" s="17">
        <f>IF(AND(199&gt;=$B$6,199&lt;=$D$6),1,0)</f>
        <v/>
      </c>
      <c r="GU31" s="17">
        <f>IF(AND(200&gt;=$B$6,200&lt;=$D$6),1,0)</f>
        <v/>
      </c>
      <c r="GV31" s="17">
        <f>IF(AND(201&gt;=$B$6,201&lt;=$D$6),1,0)</f>
        <v/>
      </c>
      <c r="GW31" s="17">
        <f>IF(AND(202&gt;=$B$6,202&lt;=$D$6),1,0)</f>
        <v/>
      </c>
      <c r="GX31" s="17">
        <f>IF(AND(203&gt;=$B$6,203&lt;=$D$6),1,0)</f>
        <v/>
      </c>
      <c r="GY31" s="17">
        <f>IF(AND(204&gt;=$B$6,204&lt;=$D$6),1,0)</f>
        <v/>
      </c>
      <c r="GZ31" s="17">
        <f>IF(AND(205&gt;=$B$6,205&lt;=$D$6),1,0)</f>
        <v/>
      </c>
      <c r="HA31" s="17">
        <f>IF(AND(206&gt;=$B$6,206&lt;=$D$6),1,0)</f>
        <v/>
      </c>
      <c r="HB31" s="17">
        <f>IF(AND(207&gt;=$B$6,207&lt;=$D$6),1,0)</f>
        <v/>
      </c>
      <c r="HC31" s="17">
        <f>IF(AND(208&gt;=$B$6,208&lt;=$D$6),1,0)</f>
        <v/>
      </c>
      <c r="HD31" s="17">
        <f>IF(AND(209&gt;=$B$6,209&lt;=$D$6),1,0)</f>
        <v/>
      </c>
      <c r="HE31" s="17">
        <f>IF(AND(210&gt;=$B$6,210&lt;=$D$6),1,0)</f>
        <v/>
      </c>
      <c r="HF31" s="17">
        <f>IF(AND(211&gt;=$B$6,211&lt;=$D$6),1,0)</f>
        <v/>
      </c>
      <c r="HG31" s="17">
        <f>IF(AND(212&gt;=$B$6,212&lt;=$D$6),1,0)</f>
        <v/>
      </c>
      <c r="HH31" s="17">
        <f>IF(AND(213&gt;=$B$6,213&lt;=$D$6),1,0)</f>
        <v/>
      </c>
      <c r="HI31" s="17">
        <f>IF(AND(214&gt;=$B$6,214&lt;=$D$6),1,0)</f>
        <v/>
      </c>
      <c r="HJ31" s="17">
        <f>IF(AND(215&gt;=$B$6,215&lt;=$D$6),1,0)</f>
        <v/>
      </c>
      <c r="HK31" s="17">
        <f>IF(AND(216&gt;=$B$6,216&lt;=$D$6),1,0)</f>
        <v/>
      </c>
      <c r="HL31" s="17">
        <f>IF(AND(217&gt;=$B$6,217&lt;=$D$6),1,0)</f>
        <v/>
      </c>
      <c r="HM31" s="17">
        <f>IF(AND(218&gt;=$B$6,218&lt;=$D$6),1,0)</f>
        <v/>
      </c>
      <c r="HN31" s="17">
        <f>IF(AND(219&gt;=$B$6,219&lt;=$D$6),1,0)</f>
        <v/>
      </c>
      <c r="HO31" s="17">
        <f>IF(AND(220&gt;=$B$6,220&lt;=$D$6),1,0)</f>
        <v/>
      </c>
      <c r="HP31" s="17">
        <f>IF(AND(221&gt;=$B$6,221&lt;=$D$6),1,0)</f>
        <v/>
      </c>
      <c r="HQ31" s="17">
        <f>IF(AND(222&gt;=$B$6,222&lt;=$D$6),1,0)</f>
        <v/>
      </c>
      <c r="HR31" s="17">
        <f>IF(AND(223&gt;=$B$6,223&lt;=$D$6),1,0)</f>
        <v/>
      </c>
      <c r="HS31" s="17">
        <f>IF(AND(224&gt;=$B$6,224&lt;=$D$6),1,0)</f>
        <v/>
      </c>
      <c r="HT31" s="17">
        <f>IF(AND(225&gt;=$B$6,225&lt;=$D$6),1,0)</f>
        <v/>
      </c>
      <c r="HU31" s="17">
        <f>IF(AND(226&gt;=$B$6,226&lt;=$D$6),1,0)</f>
        <v/>
      </c>
      <c r="HV31" s="17">
        <f>IF(AND(227&gt;=$B$6,227&lt;=$D$6),1,0)</f>
        <v/>
      </c>
      <c r="HW31" s="17">
        <f>IF(AND(228&gt;=$B$6,228&lt;=$D$6),1,0)</f>
        <v/>
      </c>
      <c r="HX31" s="17">
        <f>IF(AND(229&gt;=$B$6,229&lt;=$D$6),1,0)</f>
        <v/>
      </c>
      <c r="HY31" s="17">
        <f>IF(AND(230&gt;=$B$6,230&lt;=$D$6),1,0)</f>
        <v/>
      </c>
      <c r="HZ31" s="17">
        <f>IF(AND(231&gt;=$B$6,231&lt;=$D$6),1,0)</f>
        <v/>
      </c>
      <c r="IA31" s="17">
        <f>IF(AND(232&gt;=$B$6,232&lt;=$D$6),1,0)</f>
        <v/>
      </c>
      <c r="IB31" s="17">
        <f>IF(AND(233&gt;=$B$6,233&lt;=$D$6),1,0)</f>
        <v/>
      </c>
      <c r="IC31" s="17">
        <f>IF(AND(234&gt;=$B$6,234&lt;=$D$6),1,0)</f>
        <v/>
      </c>
      <c r="ID31" s="17">
        <f>IF(AND(235&gt;=$B$6,235&lt;=$D$6),1,0)</f>
        <v/>
      </c>
      <c r="IE31" s="17">
        <f>IF(AND(236&gt;=$B$6,236&lt;=$D$6),1,0)</f>
        <v/>
      </c>
      <c r="IF31" s="17">
        <f>IF(AND(237&gt;=$B$6,237&lt;=$D$6),1,0)</f>
        <v/>
      </c>
      <c r="IG31" s="17">
        <f>IF(AND(238&gt;=$B$6,238&lt;=$D$6),1,0)</f>
        <v/>
      </c>
      <c r="IH31" s="17">
        <f>IF(AND(239&gt;=$B$6,239&lt;=$D$6),1,0)</f>
        <v/>
      </c>
      <c r="II31" s="17">
        <f>IF(AND(240&gt;=$B$6,240&lt;=$D$6),1,0)</f>
        <v/>
      </c>
      <c r="IJ31" s="17">
        <f>IF(AND(241&gt;=$B$6,241&lt;=$D$6),1,0)</f>
        <v/>
      </c>
      <c r="IK31" s="17">
        <f>IF(AND(242&gt;=$B$6,242&lt;=$D$6),1,0)</f>
        <v/>
      </c>
      <c r="IL31" s="17">
        <f>IF(AND(243&gt;=$B$6,243&lt;=$D$6),1,0)</f>
        <v/>
      </c>
      <c r="IM31" s="17">
        <f>IF(AND(244&gt;=$B$6,244&lt;=$D$6),1,0)</f>
        <v/>
      </c>
      <c r="IN31" s="17">
        <f>IF(AND(245&gt;=$B$6,245&lt;=$D$6),1,0)</f>
        <v/>
      </c>
      <c r="IO31" s="17">
        <f>IF(AND(246&gt;=$B$6,246&lt;=$D$6),1,0)</f>
        <v/>
      </c>
      <c r="IP31" s="17">
        <f>IF(AND(247&gt;=$B$6,247&lt;=$D$6),1,0)</f>
        <v/>
      </c>
      <c r="IQ31" s="17">
        <f>IF(AND(248&gt;=$B$6,248&lt;=$D$6),1,0)</f>
        <v/>
      </c>
      <c r="IR31" s="17">
        <f>IF(AND(249&gt;=$B$6,249&lt;=$D$6),1,0)</f>
        <v/>
      </c>
      <c r="IS31" s="17">
        <f>IF(AND(250&gt;=$B$6,250&lt;=$D$6),1,0)</f>
        <v/>
      </c>
      <c r="IT31" s="17">
        <f>IF(AND(251&gt;=$B$6,251&lt;=$D$6),1,0)</f>
        <v/>
      </c>
      <c r="IU31" s="17">
        <f>IF(AND(252&gt;=$B$6,252&lt;=$D$6),1,0)</f>
        <v/>
      </c>
      <c r="IV31" s="17">
        <f>IF(AND(253&gt;=$B$6,253&lt;=$D$6),1,0)</f>
        <v/>
      </c>
      <c r="IW31" s="17">
        <f>IF(AND(254&gt;=$B$6,254&lt;=$D$6),1,0)</f>
        <v/>
      </c>
      <c r="IX31" s="17">
        <f>IF(AND(255&gt;=$B$6,255&lt;=$D$6),1,0)</f>
        <v/>
      </c>
      <c r="IY31" s="17">
        <f>IF(AND(256&gt;=$B$6,256&lt;=$D$6),1,0)</f>
        <v/>
      </c>
      <c r="IZ31" s="17">
        <f>IF(AND(257&gt;=$B$6,257&lt;=$D$6),1,0)</f>
        <v/>
      </c>
      <c r="JA31" s="17">
        <f>IF(AND(258&gt;=$B$6,258&lt;=$D$6),1,0)</f>
        <v/>
      </c>
      <c r="JB31" s="17">
        <f>IF(AND(259&gt;=$B$6,259&lt;=$D$6),1,0)</f>
        <v/>
      </c>
      <c r="JC31" s="17">
        <f>IF(AND(260&gt;=$B$6,260&lt;=$D$6),1,0)</f>
        <v/>
      </c>
      <c r="JD31" s="17">
        <f>IF(AND(261&gt;=$B$6,261&lt;=$D$6),1,0)</f>
        <v/>
      </c>
      <c r="JE31" s="17">
        <f>IF(AND(262&gt;=$B$6,262&lt;=$D$6),1,0)</f>
        <v/>
      </c>
      <c r="JF31" s="17">
        <f>IF(AND(263&gt;=$B$6,263&lt;=$D$6),1,0)</f>
        <v/>
      </c>
      <c r="JG31" s="17">
        <f>IF(AND(264&gt;=$B$6,264&lt;=$D$6),1,0)</f>
        <v/>
      </c>
      <c r="JH31" s="17">
        <f>IF(AND(265&gt;=$B$6,265&lt;=$D$6),1,0)</f>
        <v/>
      </c>
      <c r="JI31" s="17">
        <f>IF(AND(266&gt;=$B$6,266&lt;=$D$6),1,0)</f>
        <v/>
      </c>
      <c r="JJ31" s="17">
        <f>IF(AND(267&gt;=$B$6,267&lt;=$D$6),1,0)</f>
        <v/>
      </c>
      <c r="JK31" s="17">
        <f>IF(AND(268&gt;=$B$6,268&lt;=$D$6),1,0)</f>
        <v/>
      </c>
      <c r="JL31" s="17">
        <f>IF(AND(269&gt;=$B$6,269&lt;=$D$6),1,0)</f>
        <v/>
      </c>
      <c r="JM31" s="17">
        <f>IF(AND(270&gt;=$B$6,270&lt;=$D$6),1,0)</f>
        <v/>
      </c>
      <c r="JN31" s="17">
        <f>IF(AND(271&gt;=$B$6,271&lt;=$D$6),1,0)</f>
        <v/>
      </c>
      <c r="JO31" s="17">
        <f>IF(AND(272&gt;=$B$6,272&lt;=$D$6),1,0)</f>
        <v/>
      </c>
      <c r="JP31" s="17">
        <f>IF(AND(273&gt;=$B$6,273&lt;=$D$6),1,0)</f>
        <v/>
      </c>
      <c r="JQ31" s="17">
        <f>IF(AND(274&gt;=$B$6,274&lt;=$D$6),1,0)</f>
        <v/>
      </c>
      <c r="JR31" s="17">
        <f>IF(AND(275&gt;=$B$6,275&lt;=$D$6),1,0)</f>
        <v/>
      </c>
      <c r="JS31" s="17">
        <f>IF(AND(276&gt;=$B$6,276&lt;=$D$6),1,0)</f>
        <v/>
      </c>
      <c r="JT31" s="17">
        <f>IF(AND(277&gt;=$B$6,277&lt;=$D$6),1,0)</f>
        <v/>
      </c>
      <c r="JU31" s="17">
        <f>IF(AND(278&gt;=$B$6,278&lt;=$D$6),1,0)</f>
        <v/>
      </c>
      <c r="JV31" s="17">
        <f>IF(AND(279&gt;=$B$6,279&lt;=$D$6),1,0)</f>
        <v/>
      </c>
      <c r="JW31" s="17">
        <f>IF(AND(280&gt;=$B$6,280&lt;=$D$6),1,0)</f>
        <v/>
      </c>
      <c r="JX31" s="17">
        <f>IF(AND(281&gt;=$B$6,281&lt;=$D$6),1,0)</f>
        <v/>
      </c>
      <c r="JY31" s="17">
        <f>IF(AND(282&gt;=$B$6,282&lt;=$D$6),1,0)</f>
        <v/>
      </c>
      <c r="JZ31" s="17">
        <f>IF(AND(283&gt;=$B$6,283&lt;=$D$6),1,0)</f>
        <v/>
      </c>
      <c r="KA31" s="17">
        <f>IF(AND(284&gt;=$B$6,284&lt;=$D$6),1,0)</f>
        <v/>
      </c>
      <c r="KB31" s="17">
        <f>IF(AND(285&gt;=$B$6,285&lt;=$D$6),1,0)</f>
        <v/>
      </c>
      <c r="KC31" s="17">
        <f>IF(AND(286&gt;=$B$6,286&lt;=$D$6),1,0)</f>
        <v/>
      </c>
      <c r="KD31" s="17">
        <f>IF(AND(287&gt;=$B$6,287&lt;=$D$6),1,0)</f>
        <v/>
      </c>
      <c r="KE31" s="17">
        <f>IF(AND(288&gt;=$B$6,288&lt;=$D$6),1,0)</f>
        <v/>
      </c>
      <c r="KF31" s="17">
        <f>IF(AND(289&gt;=$B$6,289&lt;=$D$6),1,0)</f>
        <v/>
      </c>
      <c r="KG31" s="17">
        <f>IF(AND(290&gt;=$B$6,290&lt;=$D$6),1,0)</f>
        <v/>
      </c>
      <c r="KH31" s="17">
        <f>IF(AND(291&gt;=$B$6,291&lt;=$D$6),1,0)</f>
        <v/>
      </c>
      <c r="KI31" s="17">
        <f>IF(AND(292&gt;=$B$6,292&lt;=$D$6),1,0)</f>
        <v/>
      </c>
      <c r="KJ31" s="17">
        <f>IF(AND(293&gt;=$B$6,293&lt;=$D$6),1,0)</f>
        <v/>
      </c>
      <c r="KK31" s="17">
        <f>IF(AND(294&gt;=$B$6,294&lt;=$D$6),1,0)</f>
        <v/>
      </c>
      <c r="KL31" s="17">
        <f>IF(AND(295&gt;=$B$6,295&lt;=$D$6),1,0)</f>
        <v/>
      </c>
      <c r="KM31" s="17">
        <f>IF(AND(296&gt;=$B$6,296&lt;=$D$6),1,0)</f>
        <v/>
      </c>
      <c r="KN31" s="17">
        <f>IF(AND(297&gt;=$B$6,297&lt;=$D$6),1,0)</f>
        <v/>
      </c>
      <c r="KO31" s="17">
        <f>IF(AND(298&gt;=$B$6,298&lt;=$D$6),1,0)</f>
        <v/>
      </c>
      <c r="KP31" s="17">
        <f>IF(AND(299&gt;=$B$6,299&lt;=$D$6),1,0)</f>
        <v/>
      </c>
      <c r="KQ31" s="17">
        <f>IF(AND(300&gt;=$B$6,300&lt;=$D$6),1,0)</f>
        <v/>
      </c>
      <c r="KR31" s="17">
        <f>IF(AND(301&gt;=$B$6,301&lt;=$D$6),1,0)</f>
        <v/>
      </c>
      <c r="KS31" s="17">
        <f>IF(AND(302&gt;=$B$6,302&lt;=$D$6),1,0)</f>
        <v/>
      </c>
      <c r="KT31" s="17">
        <f>IF(AND(303&gt;=$B$6,303&lt;=$D$6),1,0)</f>
        <v/>
      </c>
      <c r="KU31" s="17">
        <f>IF(AND(304&gt;=$B$6,304&lt;=$D$6),1,0)</f>
        <v/>
      </c>
      <c r="KV31" s="17">
        <f>IF(AND(305&gt;=$B$6,305&lt;=$D$6),1,0)</f>
        <v/>
      </c>
      <c r="KW31" s="17">
        <f>IF(AND(306&gt;=$B$6,306&lt;=$D$6),1,0)</f>
        <v/>
      </c>
      <c r="KX31" s="17">
        <f>IF(AND(307&gt;=$B$6,307&lt;=$D$6),1,0)</f>
        <v/>
      </c>
      <c r="KY31" s="17">
        <f>IF(AND(308&gt;=$B$6,308&lt;=$D$6),1,0)</f>
        <v/>
      </c>
      <c r="KZ31" s="17">
        <f>IF(AND(309&gt;=$B$6,309&lt;=$D$6),1,0)</f>
        <v/>
      </c>
      <c r="LA31" s="17">
        <f>IF(AND(310&gt;=$B$6,310&lt;=$D$6),1,0)</f>
        <v/>
      </c>
      <c r="LB31" s="17">
        <f>IF(AND(311&gt;=$B$6,311&lt;=$D$6),1,0)</f>
        <v/>
      </c>
      <c r="LC31" s="17">
        <f>IF(AND(312&gt;=$B$6,312&lt;=$D$6),1,0)</f>
        <v/>
      </c>
      <c r="LD31" s="17">
        <f>IF(AND(313&gt;=$B$6,313&lt;=$D$6),1,0)</f>
        <v/>
      </c>
      <c r="LE31" s="17">
        <f>IF(AND(314&gt;=$B$6,314&lt;=$D$6),1,0)</f>
        <v/>
      </c>
      <c r="LF31" s="17">
        <f>IF(AND(315&gt;=$B$6,315&lt;=$D$6),1,0)</f>
        <v/>
      </c>
      <c r="LG31" s="17">
        <f>IF(AND(316&gt;=$B$6,316&lt;=$D$6),1,0)</f>
        <v/>
      </c>
      <c r="LH31" s="17">
        <f>IF(AND(317&gt;=$B$6,317&lt;=$D$6),1,0)</f>
        <v/>
      </c>
      <c r="LI31" s="17">
        <f>IF(AND(318&gt;=$B$6,318&lt;=$D$6),1,0)</f>
        <v/>
      </c>
      <c r="LJ31" s="17">
        <f>IF(AND(319&gt;=$B$6,319&lt;=$D$6),1,0)</f>
        <v/>
      </c>
      <c r="LK31" s="17">
        <f>IF(AND(320&gt;=$B$6,320&lt;=$D$6),1,0)</f>
        <v/>
      </c>
      <c r="LL31" s="17">
        <f>IF(AND(321&gt;=$B$6,321&lt;=$D$6),1,0)</f>
        <v/>
      </c>
      <c r="LM31" s="17">
        <f>IF(AND(322&gt;=$B$6,322&lt;=$D$6),1,0)</f>
        <v/>
      </c>
      <c r="LN31" s="17">
        <f>IF(AND(323&gt;=$B$6,323&lt;=$D$6),1,0)</f>
        <v/>
      </c>
      <c r="LO31" s="17">
        <f>IF(AND(324&gt;=$B$6,324&lt;=$D$6),1,0)</f>
        <v/>
      </c>
      <c r="LP31" s="17">
        <f>IF(AND(325&gt;=$B$6,325&lt;=$D$6),1,0)</f>
        <v/>
      </c>
      <c r="LQ31" s="17">
        <f>IF(AND(326&gt;=$B$6,326&lt;=$D$6),1,0)</f>
        <v/>
      </c>
      <c r="LR31" s="17">
        <f>IF(AND(327&gt;=$B$6,327&lt;=$D$6),1,0)</f>
        <v/>
      </c>
      <c r="LS31" s="17">
        <f>IF(AND(328&gt;=$B$6,328&lt;=$D$6),1,0)</f>
        <v/>
      </c>
      <c r="LT31" s="17">
        <f>IF(AND(329&gt;=$B$6,329&lt;=$D$6),1,0)</f>
        <v/>
      </c>
      <c r="LU31" s="17">
        <f>IF(AND(330&gt;=$B$6,330&lt;=$D$6),1,0)</f>
        <v/>
      </c>
      <c r="LV31" s="17">
        <f>IF(AND(331&gt;=$B$6,331&lt;=$D$6),1,0)</f>
        <v/>
      </c>
      <c r="LW31" s="17">
        <f>IF(AND(332&gt;=$B$6,332&lt;=$D$6),1,0)</f>
        <v/>
      </c>
      <c r="LX31" s="17">
        <f>IF(AND(333&gt;=$B$6,333&lt;=$D$6),1,0)</f>
        <v/>
      </c>
      <c r="LY31" s="17">
        <f>IF(AND(334&gt;=$B$6,334&lt;=$D$6),1,0)</f>
        <v/>
      </c>
      <c r="LZ31" s="17">
        <f>IF(AND(335&gt;=$B$6,335&lt;=$D$6),1,0)</f>
        <v/>
      </c>
      <c r="MA31" s="17">
        <f>IF(AND(336&gt;=$B$6,336&lt;=$D$6),1,0)</f>
        <v/>
      </c>
      <c r="MB31" s="17">
        <f>IF(AND(337&gt;=$B$6,337&lt;=$D$6),1,0)</f>
        <v/>
      </c>
      <c r="MC31" s="17">
        <f>IF(AND(338&gt;=$B$6,338&lt;=$D$6),1,0)</f>
        <v/>
      </c>
      <c r="MD31" s="17">
        <f>IF(AND(339&gt;=$B$6,339&lt;=$D$6),1,0)</f>
        <v/>
      </c>
      <c r="ME31" s="17">
        <f>IF(AND(340&gt;=$B$6,340&lt;=$D$6),1,0)</f>
        <v/>
      </c>
      <c r="MF31" s="17">
        <f>IF(AND(341&gt;=$B$6,341&lt;=$D$6),1,0)</f>
        <v/>
      </c>
      <c r="MG31" s="17">
        <f>IF(AND(342&gt;=$B$6,342&lt;=$D$6),1,0)</f>
        <v/>
      </c>
      <c r="MH31" s="17">
        <f>IF(AND(343&gt;=$B$6,343&lt;=$D$6),1,0)</f>
        <v/>
      </c>
      <c r="MI31" s="17">
        <f>IF(AND(344&gt;=$B$6,344&lt;=$D$6),1,0)</f>
        <v/>
      </c>
      <c r="MJ31" s="17">
        <f>IF(AND(345&gt;=$B$6,345&lt;=$D$6),1,0)</f>
        <v/>
      </c>
      <c r="MK31" s="17">
        <f>IF(AND(346&gt;=$B$6,346&lt;=$D$6),1,0)</f>
        <v/>
      </c>
      <c r="ML31" s="17">
        <f>IF(AND(347&gt;=$B$6,347&lt;=$D$6),1,0)</f>
        <v/>
      </c>
      <c r="MM31" s="17">
        <f>IF(AND(348&gt;=$B$6,348&lt;=$D$6),1,0)</f>
        <v/>
      </c>
      <c r="MN31" s="17">
        <f>IF(AND(349&gt;=$B$6,349&lt;=$D$6),1,0)</f>
        <v/>
      </c>
      <c r="MO31" s="17">
        <f>IF(AND(350&gt;=$B$6,350&lt;=$D$6),1,0)</f>
        <v/>
      </c>
      <c r="MP31" s="17">
        <f>IF(AND(351&gt;=$B$6,351&lt;=$D$6),1,0)</f>
        <v/>
      </c>
      <c r="MQ31" s="17">
        <f>IF(AND(352&gt;=$B$6,352&lt;=$D$6),1,0)</f>
        <v/>
      </c>
      <c r="MR31" s="17">
        <f>IF(AND(353&gt;=$B$6,353&lt;=$D$6),1,0)</f>
        <v/>
      </c>
      <c r="MS31" s="17">
        <f>IF(AND(354&gt;=$B$6,354&lt;=$D$6),1,0)</f>
        <v/>
      </c>
      <c r="MT31" s="17">
        <f>IF(AND(355&gt;=$B$6,355&lt;=$D$6),1,0)</f>
        <v/>
      </c>
      <c r="MU31" s="17">
        <f>IF(AND(356&gt;=$B$6,356&lt;=$D$6),1,0)</f>
        <v/>
      </c>
      <c r="MV31" s="17">
        <f>IF(AND(357&gt;=$B$6,357&lt;=$D$6),1,0)</f>
        <v/>
      </c>
      <c r="MW31" s="17">
        <f>IF(AND(358&gt;=$B$6,358&lt;=$D$6),1,0)</f>
        <v/>
      </c>
      <c r="MX31" s="17">
        <f>IF(AND(359&gt;=$B$6,359&lt;=$D$6),1,0)</f>
        <v/>
      </c>
      <c r="MY31" s="17">
        <f>IF(AND(360&gt;=$B$6,360&lt;=$D$6),1,0)</f>
        <v/>
      </c>
      <c r="MZ31" s="17">
        <f>IF(AND(361&gt;=$B$6,361&lt;=$D$6),1,0)</f>
        <v/>
      </c>
      <c r="NA31" s="17">
        <f>IF(AND(362&gt;=$B$6,362&lt;=$D$6),1,0)</f>
        <v/>
      </c>
      <c r="NB31" s="17">
        <f>IF(AND(363&gt;=$B$6,363&lt;=$D$6),1,0)</f>
        <v/>
      </c>
      <c r="NC31" s="17">
        <f>IF(AND(364&gt;=$B$6,364&lt;=$D$6),1,0)</f>
        <v/>
      </c>
      <c r="ND31" s="17">
        <f>IF(AND(365&gt;=$B$6,365&lt;=$D$6),1,0)</f>
        <v/>
      </c>
      <c r="NE31" s="17">
        <f>IF(AND(366&gt;=$B$6,366&lt;=$D$6),1,0)</f>
        <v/>
      </c>
      <c r="NF31" s="17">
        <f>IF(AND(367&gt;=$B$6,367&lt;=$D$6),1,0)</f>
        <v/>
      </c>
      <c r="NG31" s="17">
        <f>IF(AND(368&gt;=$B$6,368&lt;=$D$6),1,0)</f>
        <v/>
      </c>
      <c r="NH31" s="17">
        <f>IF(AND(369&gt;=$B$6,369&lt;=$D$6),1,0)</f>
        <v/>
      </c>
      <c r="NI31" s="17">
        <f>IF(AND(370&gt;=$B$6,370&lt;=$D$6),1,0)</f>
        <v/>
      </c>
      <c r="NJ31" s="17">
        <f>IF(AND(371&gt;=$B$6,371&lt;=$D$6),1,0)</f>
        <v/>
      </c>
      <c r="NK31" s="17">
        <f>IF(AND(372&gt;=$B$6,372&lt;=$D$6),1,0)</f>
        <v/>
      </c>
    </row>
    <row r="32">
      <c r="A32" s="5" t="inlineStr">
        <is>
          <t>Flag: Pre-Construction</t>
        </is>
      </c>
      <c r="C32" s="40" t="n"/>
      <c r="D32" s="17">
        <f>IF(AND(1&gt;=$B$7,1&lt;=$D$7),1,0)</f>
        <v/>
      </c>
      <c r="E32" s="17">
        <f>IF(AND(2&gt;=$B$7,2&lt;=$D$7),1,0)</f>
        <v/>
      </c>
      <c r="F32" s="17">
        <f>IF(AND(3&gt;=$B$7,3&lt;=$D$7),1,0)</f>
        <v/>
      </c>
      <c r="G32" s="17">
        <f>IF(AND(4&gt;=$B$7,4&lt;=$D$7),1,0)</f>
        <v/>
      </c>
      <c r="H32" s="17">
        <f>IF(AND(5&gt;=$B$7,5&lt;=$D$7),1,0)</f>
        <v/>
      </c>
      <c r="I32" s="17">
        <f>IF(AND(6&gt;=$B$7,6&lt;=$D$7),1,0)</f>
        <v/>
      </c>
      <c r="J32" s="17">
        <f>IF(AND(7&gt;=$B$7,7&lt;=$D$7),1,0)</f>
        <v/>
      </c>
      <c r="K32" s="17">
        <f>IF(AND(8&gt;=$B$7,8&lt;=$D$7),1,0)</f>
        <v/>
      </c>
      <c r="L32" s="17">
        <f>IF(AND(9&gt;=$B$7,9&lt;=$D$7),1,0)</f>
        <v/>
      </c>
      <c r="M32" s="17">
        <f>IF(AND(10&gt;=$B$7,10&lt;=$D$7),1,0)</f>
        <v/>
      </c>
      <c r="N32" s="17">
        <f>IF(AND(11&gt;=$B$7,11&lt;=$D$7),1,0)</f>
        <v/>
      </c>
      <c r="O32" s="17">
        <f>IF(AND(12&gt;=$B$7,12&lt;=$D$7),1,0)</f>
        <v/>
      </c>
      <c r="P32" s="17">
        <f>IF(AND(13&gt;=$B$7,13&lt;=$D$7),1,0)</f>
        <v/>
      </c>
      <c r="Q32" s="17">
        <f>IF(AND(14&gt;=$B$7,14&lt;=$D$7),1,0)</f>
        <v/>
      </c>
      <c r="R32" s="17">
        <f>IF(AND(15&gt;=$B$7,15&lt;=$D$7),1,0)</f>
        <v/>
      </c>
      <c r="S32" s="17">
        <f>IF(AND(16&gt;=$B$7,16&lt;=$D$7),1,0)</f>
        <v/>
      </c>
      <c r="T32" s="17">
        <f>IF(AND(17&gt;=$B$7,17&lt;=$D$7),1,0)</f>
        <v/>
      </c>
      <c r="U32" s="17">
        <f>IF(AND(18&gt;=$B$7,18&lt;=$D$7),1,0)</f>
        <v/>
      </c>
      <c r="V32" s="17">
        <f>IF(AND(19&gt;=$B$7,19&lt;=$D$7),1,0)</f>
        <v/>
      </c>
      <c r="W32" s="17">
        <f>IF(AND(20&gt;=$B$7,20&lt;=$D$7),1,0)</f>
        <v/>
      </c>
      <c r="X32" s="17">
        <f>IF(AND(21&gt;=$B$7,21&lt;=$D$7),1,0)</f>
        <v/>
      </c>
      <c r="Y32" s="17">
        <f>IF(AND(22&gt;=$B$7,22&lt;=$D$7),1,0)</f>
        <v/>
      </c>
      <c r="Z32" s="17">
        <f>IF(AND(23&gt;=$B$7,23&lt;=$D$7),1,0)</f>
        <v/>
      </c>
      <c r="AA32" s="17">
        <f>IF(AND(24&gt;=$B$7,24&lt;=$D$7),1,0)</f>
        <v/>
      </c>
      <c r="AB32" s="17">
        <f>IF(AND(25&gt;=$B$7,25&lt;=$D$7),1,0)</f>
        <v/>
      </c>
      <c r="AC32" s="17">
        <f>IF(AND(26&gt;=$B$7,26&lt;=$D$7),1,0)</f>
        <v/>
      </c>
      <c r="AD32" s="17">
        <f>IF(AND(27&gt;=$B$7,27&lt;=$D$7),1,0)</f>
        <v/>
      </c>
      <c r="AE32" s="17">
        <f>IF(AND(28&gt;=$B$7,28&lt;=$D$7),1,0)</f>
        <v/>
      </c>
      <c r="AF32" s="17">
        <f>IF(AND(29&gt;=$B$7,29&lt;=$D$7),1,0)</f>
        <v/>
      </c>
      <c r="AG32" s="17">
        <f>IF(AND(30&gt;=$B$7,30&lt;=$D$7),1,0)</f>
        <v/>
      </c>
      <c r="AH32" s="17">
        <f>IF(AND(31&gt;=$B$7,31&lt;=$D$7),1,0)</f>
        <v/>
      </c>
      <c r="AI32" s="17">
        <f>IF(AND(32&gt;=$B$7,32&lt;=$D$7),1,0)</f>
        <v/>
      </c>
      <c r="AJ32" s="17">
        <f>IF(AND(33&gt;=$B$7,33&lt;=$D$7),1,0)</f>
        <v/>
      </c>
      <c r="AK32" s="17">
        <f>IF(AND(34&gt;=$B$7,34&lt;=$D$7),1,0)</f>
        <v/>
      </c>
      <c r="AL32" s="17">
        <f>IF(AND(35&gt;=$B$7,35&lt;=$D$7),1,0)</f>
        <v/>
      </c>
      <c r="AM32" s="17">
        <f>IF(AND(36&gt;=$B$7,36&lt;=$D$7),1,0)</f>
        <v/>
      </c>
      <c r="AN32" s="17">
        <f>IF(AND(37&gt;=$B$7,37&lt;=$D$7),1,0)</f>
        <v/>
      </c>
      <c r="AO32" s="17">
        <f>IF(AND(38&gt;=$B$7,38&lt;=$D$7),1,0)</f>
        <v/>
      </c>
      <c r="AP32" s="17">
        <f>IF(AND(39&gt;=$B$7,39&lt;=$D$7),1,0)</f>
        <v/>
      </c>
      <c r="AQ32" s="17">
        <f>IF(AND(40&gt;=$B$7,40&lt;=$D$7),1,0)</f>
        <v/>
      </c>
      <c r="AR32" s="17">
        <f>IF(AND(41&gt;=$B$7,41&lt;=$D$7),1,0)</f>
        <v/>
      </c>
      <c r="AS32" s="17">
        <f>IF(AND(42&gt;=$B$7,42&lt;=$D$7),1,0)</f>
        <v/>
      </c>
      <c r="AT32" s="17">
        <f>IF(AND(43&gt;=$B$7,43&lt;=$D$7),1,0)</f>
        <v/>
      </c>
      <c r="AU32" s="17">
        <f>IF(AND(44&gt;=$B$7,44&lt;=$D$7),1,0)</f>
        <v/>
      </c>
      <c r="AV32" s="17">
        <f>IF(AND(45&gt;=$B$7,45&lt;=$D$7),1,0)</f>
        <v/>
      </c>
      <c r="AW32" s="17">
        <f>IF(AND(46&gt;=$B$7,46&lt;=$D$7),1,0)</f>
        <v/>
      </c>
      <c r="AX32" s="17">
        <f>IF(AND(47&gt;=$B$7,47&lt;=$D$7),1,0)</f>
        <v/>
      </c>
      <c r="AY32" s="17">
        <f>IF(AND(48&gt;=$B$7,48&lt;=$D$7),1,0)</f>
        <v/>
      </c>
      <c r="AZ32" s="17">
        <f>IF(AND(49&gt;=$B$7,49&lt;=$D$7),1,0)</f>
        <v/>
      </c>
      <c r="BA32" s="17">
        <f>IF(AND(50&gt;=$B$7,50&lt;=$D$7),1,0)</f>
        <v/>
      </c>
      <c r="BB32" s="17">
        <f>IF(AND(51&gt;=$B$7,51&lt;=$D$7),1,0)</f>
        <v/>
      </c>
      <c r="BC32" s="17">
        <f>IF(AND(52&gt;=$B$7,52&lt;=$D$7),1,0)</f>
        <v/>
      </c>
      <c r="BD32" s="17">
        <f>IF(AND(53&gt;=$B$7,53&lt;=$D$7),1,0)</f>
        <v/>
      </c>
      <c r="BE32" s="17">
        <f>IF(AND(54&gt;=$B$7,54&lt;=$D$7),1,0)</f>
        <v/>
      </c>
      <c r="BF32" s="17">
        <f>IF(AND(55&gt;=$B$7,55&lt;=$D$7),1,0)</f>
        <v/>
      </c>
      <c r="BG32" s="17">
        <f>IF(AND(56&gt;=$B$7,56&lt;=$D$7),1,0)</f>
        <v/>
      </c>
      <c r="BH32" s="17">
        <f>IF(AND(57&gt;=$B$7,57&lt;=$D$7),1,0)</f>
        <v/>
      </c>
      <c r="BI32" s="17">
        <f>IF(AND(58&gt;=$B$7,58&lt;=$D$7),1,0)</f>
        <v/>
      </c>
      <c r="BJ32" s="17">
        <f>IF(AND(59&gt;=$B$7,59&lt;=$D$7),1,0)</f>
        <v/>
      </c>
      <c r="BK32" s="17">
        <f>IF(AND(60&gt;=$B$7,60&lt;=$D$7),1,0)</f>
        <v/>
      </c>
      <c r="BL32" s="17">
        <f>IF(AND(61&gt;=$B$7,61&lt;=$D$7),1,0)</f>
        <v/>
      </c>
      <c r="BM32" s="17">
        <f>IF(AND(62&gt;=$B$7,62&lt;=$D$7),1,0)</f>
        <v/>
      </c>
      <c r="BN32" s="17">
        <f>IF(AND(63&gt;=$B$7,63&lt;=$D$7),1,0)</f>
        <v/>
      </c>
      <c r="BO32" s="17">
        <f>IF(AND(64&gt;=$B$7,64&lt;=$D$7),1,0)</f>
        <v/>
      </c>
      <c r="BP32" s="17">
        <f>IF(AND(65&gt;=$B$7,65&lt;=$D$7),1,0)</f>
        <v/>
      </c>
      <c r="BQ32" s="17">
        <f>IF(AND(66&gt;=$B$7,66&lt;=$D$7),1,0)</f>
        <v/>
      </c>
      <c r="BR32" s="17">
        <f>IF(AND(67&gt;=$B$7,67&lt;=$D$7),1,0)</f>
        <v/>
      </c>
      <c r="BS32" s="17">
        <f>IF(AND(68&gt;=$B$7,68&lt;=$D$7),1,0)</f>
        <v/>
      </c>
      <c r="BT32" s="17">
        <f>IF(AND(69&gt;=$B$7,69&lt;=$D$7),1,0)</f>
        <v/>
      </c>
      <c r="BU32" s="17">
        <f>IF(AND(70&gt;=$B$7,70&lt;=$D$7),1,0)</f>
        <v/>
      </c>
      <c r="BV32" s="17">
        <f>IF(AND(71&gt;=$B$7,71&lt;=$D$7),1,0)</f>
        <v/>
      </c>
      <c r="BW32" s="17">
        <f>IF(AND(72&gt;=$B$7,72&lt;=$D$7),1,0)</f>
        <v/>
      </c>
      <c r="BX32" s="17">
        <f>IF(AND(73&gt;=$B$7,73&lt;=$D$7),1,0)</f>
        <v/>
      </c>
      <c r="BY32" s="17">
        <f>IF(AND(74&gt;=$B$7,74&lt;=$D$7),1,0)</f>
        <v/>
      </c>
      <c r="BZ32" s="17">
        <f>IF(AND(75&gt;=$B$7,75&lt;=$D$7),1,0)</f>
        <v/>
      </c>
      <c r="CA32" s="17">
        <f>IF(AND(76&gt;=$B$7,76&lt;=$D$7),1,0)</f>
        <v/>
      </c>
      <c r="CB32" s="17">
        <f>IF(AND(77&gt;=$B$7,77&lt;=$D$7),1,0)</f>
        <v/>
      </c>
      <c r="CC32" s="17">
        <f>IF(AND(78&gt;=$B$7,78&lt;=$D$7),1,0)</f>
        <v/>
      </c>
      <c r="CD32" s="17">
        <f>IF(AND(79&gt;=$B$7,79&lt;=$D$7),1,0)</f>
        <v/>
      </c>
      <c r="CE32" s="17">
        <f>IF(AND(80&gt;=$B$7,80&lt;=$D$7),1,0)</f>
        <v/>
      </c>
      <c r="CF32" s="17">
        <f>IF(AND(81&gt;=$B$7,81&lt;=$D$7),1,0)</f>
        <v/>
      </c>
      <c r="CG32" s="17">
        <f>IF(AND(82&gt;=$B$7,82&lt;=$D$7),1,0)</f>
        <v/>
      </c>
      <c r="CH32" s="17">
        <f>IF(AND(83&gt;=$B$7,83&lt;=$D$7),1,0)</f>
        <v/>
      </c>
      <c r="CI32" s="17">
        <f>IF(AND(84&gt;=$B$7,84&lt;=$D$7),1,0)</f>
        <v/>
      </c>
      <c r="CJ32" s="17">
        <f>IF(AND(85&gt;=$B$7,85&lt;=$D$7),1,0)</f>
        <v/>
      </c>
      <c r="CK32" s="17">
        <f>IF(AND(86&gt;=$B$7,86&lt;=$D$7),1,0)</f>
        <v/>
      </c>
      <c r="CL32" s="17">
        <f>IF(AND(87&gt;=$B$7,87&lt;=$D$7),1,0)</f>
        <v/>
      </c>
      <c r="CM32" s="17">
        <f>IF(AND(88&gt;=$B$7,88&lt;=$D$7),1,0)</f>
        <v/>
      </c>
      <c r="CN32" s="17">
        <f>IF(AND(89&gt;=$B$7,89&lt;=$D$7),1,0)</f>
        <v/>
      </c>
      <c r="CO32" s="17">
        <f>IF(AND(90&gt;=$B$7,90&lt;=$D$7),1,0)</f>
        <v/>
      </c>
      <c r="CP32" s="17">
        <f>IF(AND(91&gt;=$B$7,91&lt;=$D$7),1,0)</f>
        <v/>
      </c>
      <c r="CQ32" s="17">
        <f>IF(AND(92&gt;=$B$7,92&lt;=$D$7),1,0)</f>
        <v/>
      </c>
      <c r="CR32" s="17">
        <f>IF(AND(93&gt;=$B$7,93&lt;=$D$7),1,0)</f>
        <v/>
      </c>
      <c r="CS32" s="17">
        <f>IF(AND(94&gt;=$B$7,94&lt;=$D$7),1,0)</f>
        <v/>
      </c>
      <c r="CT32" s="17">
        <f>IF(AND(95&gt;=$B$7,95&lt;=$D$7),1,0)</f>
        <v/>
      </c>
      <c r="CU32" s="17">
        <f>IF(AND(96&gt;=$B$7,96&lt;=$D$7),1,0)</f>
        <v/>
      </c>
      <c r="CV32" s="17">
        <f>IF(AND(97&gt;=$B$7,97&lt;=$D$7),1,0)</f>
        <v/>
      </c>
      <c r="CW32" s="17">
        <f>IF(AND(98&gt;=$B$7,98&lt;=$D$7),1,0)</f>
        <v/>
      </c>
      <c r="CX32" s="17">
        <f>IF(AND(99&gt;=$B$7,99&lt;=$D$7),1,0)</f>
        <v/>
      </c>
      <c r="CY32" s="17">
        <f>IF(AND(100&gt;=$B$7,100&lt;=$D$7),1,0)</f>
        <v/>
      </c>
      <c r="CZ32" s="17">
        <f>IF(AND(101&gt;=$B$7,101&lt;=$D$7),1,0)</f>
        <v/>
      </c>
      <c r="DA32" s="17">
        <f>IF(AND(102&gt;=$B$7,102&lt;=$D$7),1,0)</f>
        <v/>
      </c>
      <c r="DB32" s="17">
        <f>IF(AND(103&gt;=$B$7,103&lt;=$D$7),1,0)</f>
        <v/>
      </c>
      <c r="DC32" s="17">
        <f>IF(AND(104&gt;=$B$7,104&lt;=$D$7),1,0)</f>
        <v/>
      </c>
      <c r="DD32" s="17">
        <f>IF(AND(105&gt;=$B$7,105&lt;=$D$7),1,0)</f>
        <v/>
      </c>
      <c r="DE32" s="17">
        <f>IF(AND(106&gt;=$B$7,106&lt;=$D$7),1,0)</f>
        <v/>
      </c>
      <c r="DF32" s="17">
        <f>IF(AND(107&gt;=$B$7,107&lt;=$D$7),1,0)</f>
        <v/>
      </c>
      <c r="DG32" s="17">
        <f>IF(AND(108&gt;=$B$7,108&lt;=$D$7),1,0)</f>
        <v/>
      </c>
      <c r="DH32" s="17">
        <f>IF(AND(109&gt;=$B$7,109&lt;=$D$7),1,0)</f>
        <v/>
      </c>
      <c r="DI32" s="17">
        <f>IF(AND(110&gt;=$B$7,110&lt;=$D$7),1,0)</f>
        <v/>
      </c>
      <c r="DJ32" s="17">
        <f>IF(AND(111&gt;=$B$7,111&lt;=$D$7),1,0)</f>
        <v/>
      </c>
      <c r="DK32" s="17">
        <f>IF(AND(112&gt;=$B$7,112&lt;=$D$7),1,0)</f>
        <v/>
      </c>
      <c r="DL32" s="17">
        <f>IF(AND(113&gt;=$B$7,113&lt;=$D$7),1,0)</f>
        <v/>
      </c>
      <c r="DM32" s="17">
        <f>IF(AND(114&gt;=$B$7,114&lt;=$D$7),1,0)</f>
        <v/>
      </c>
      <c r="DN32" s="17">
        <f>IF(AND(115&gt;=$B$7,115&lt;=$D$7),1,0)</f>
        <v/>
      </c>
      <c r="DO32" s="17">
        <f>IF(AND(116&gt;=$B$7,116&lt;=$D$7),1,0)</f>
        <v/>
      </c>
      <c r="DP32" s="17">
        <f>IF(AND(117&gt;=$B$7,117&lt;=$D$7),1,0)</f>
        <v/>
      </c>
      <c r="DQ32" s="17">
        <f>IF(AND(118&gt;=$B$7,118&lt;=$D$7),1,0)</f>
        <v/>
      </c>
      <c r="DR32" s="17">
        <f>IF(AND(119&gt;=$B$7,119&lt;=$D$7),1,0)</f>
        <v/>
      </c>
      <c r="DS32" s="17">
        <f>IF(AND(120&gt;=$B$7,120&lt;=$D$7),1,0)</f>
        <v/>
      </c>
      <c r="DT32" s="17">
        <f>IF(AND(121&gt;=$B$7,121&lt;=$D$7),1,0)</f>
        <v/>
      </c>
      <c r="DU32" s="17">
        <f>IF(AND(122&gt;=$B$7,122&lt;=$D$7),1,0)</f>
        <v/>
      </c>
      <c r="DV32" s="17">
        <f>IF(AND(123&gt;=$B$7,123&lt;=$D$7),1,0)</f>
        <v/>
      </c>
      <c r="DW32" s="17">
        <f>IF(AND(124&gt;=$B$7,124&lt;=$D$7),1,0)</f>
        <v/>
      </c>
      <c r="DX32" s="17">
        <f>IF(AND(125&gt;=$B$7,125&lt;=$D$7),1,0)</f>
        <v/>
      </c>
      <c r="DY32" s="17">
        <f>IF(AND(126&gt;=$B$7,126&lt;=$D$7),1,0)</f>
        <v/>
      </c>
      <c r="DZ32" s="17">
        <f>IF(AND(127&gt;=$B$7,127&lt;=$D$7),1,0)</f>
        <v/>
      </c>
      <c r="EA32" s="17">
        <f>IF(AND(128&gt;=$B$7,128&lt;=$D$7),1,0)</f>
        <v/>
      </c>
      <c r="EB32" s="17">
        <f>IF(AND(129&gt;=$B$7,129&lt;=$D$7),1,0)</f>
        <v/>
      </c>
      <c r="EC32" s="17">
        <f>IF(AND(130&gt;=$B$7,130&lt;=$D$7),1,0)</f>
        <v/>
      </c>
      <c r="ED32" s="17">
        <f>IF(AND(131&gt;=$B$7,131&lt;=$D$7),1,0)</f>
        <v/>
      </c>
      <c r="EE32" s="17">
        <f>IF(AND(132&gt;=$B$7,132&lt;=$D$7),1,0)</f>
        <v/>
      </c>
      <c r="EF32" s="17">
        <f>IF(AND(133&gt;=$B$7,133&lt;=$D$7),1,0)</f>
        <v/>
      </c>
      <c r="EG32" s="17">
        <f>IF(AND(134&gt;=$B$7,134&lt;=$D$7),1,0)</f>
        <v/>
      </c>
      <c r="EH32" s="17">
        <f>IF(AND(135&gt;=$B$7,135&lt;=$D$7),1,0)</f>
        <v/>
      </c>
      <c r="EI32" s="17">
        <f>IF(AND(136&gt;=$B$7,136&lt;=$D$7),1,0)</f>
        <v/>
      </c>
      <c r="EJ32" s="17">
        <f>IF(AND(137&gt;=$B$7,137&lt;=$D$7),1,0)</f>
        <v/>
      </c>
      <c r="EK32" s="17">
        <f>IF(AND(138&gt;=$B$7,138&lt;=$D$7),1,0)</f>
        <v/>
      </c>
      <c r="EL32" s="17">
        <f>IF(AND(139&gt;=$B$7,139&lt;=$D$7),1,0)</f>
        <v/>
      </c>
      <c r="EM32" s="17">
        <f>IF(AND(140&gt;=$B$7,140&lt;=$D$7),1,0)</f>
        <v/>
      </c>
      <c r="EN32" s="17">
        <f>IF(AND(141&gt;=$B$7,141&lt;=$D$7),1,0)</f>
        <v/>
      </c>
      <c r="EO32" s="17">
        <f>IF(AND(142&gt;=$B$7,142&lt;=$D$7),1,0)</f>
        <v/>
      </c>
      <c r="EP32" s="17">
        <f>IF(AND(143&gt;=$B$7,143&lt;=$D$7),1,0)</f>
        <v/>
      </c>
      <c r="EQ32" s="17">
        <f>IF(AND(144&gt;=$B$7,144&lt;=$D$7),1,0)</f>
        <v/>
      </c>
      <c r="ER32" s="17">
        <f>IF(AND(145&gt;=$B$7,145&lt;=$D$7),1,0)</f>
        <v/>
      </c>
      <c r="ES32" s="17">
        <f>IF(AND(146&gt;=$B$7,146&lt;=$D$7),1,0)</f>
        <v/>
      </c>
      <c r="ET32" s="17">
        <f>IF(AND(147&gt;=$B$7,147&lt;=$D$7),1,0)</f>
        <v/>
      </c>
      <c r="EU32" s="17">
        <f>IF(AND(148&gt;=$B$7,148&lt;=$D$7),1,0)</f>
        <v/>
      </c>
      <c r="EV32" s="17">
        <f>IF(AND(149&gt;=$B$7,149&lt;=$D$7),1,0)</f>
        <v/>
      </c>
      <c r="EW32" s="17">
        <f>IF(AND(150&gt;=$B$7,150&lt;=$D$7),1,0)</f>
        <v/>
      </c>
      <c r="EX32" s="17">
        <f>IF(AND(151&gt;=$B$7,151&lt;=$D$7),1,0)</f>
        <v/>
      </c>
      <c r="EY32" s="17">
        <f>IF(AND(152&gt;=$B$7,152&lt;=$D$7),1,0)</f>
        <v/>
      </c>
      <c r="EZ32" s="17">
        <f>IF(AND(153&gt;=$B$7,153&lt;=$D$7),1,0)</f>
        <v/>
      </c>
      <c r="FA32" s="17">
        <f>IF(AND(154&gt;=$B$7,154&lt;=$D$7),1,0)</f>
        <v/>
      </c>
      <c r="FB32" s="17">
        <f>IF(AND(155&gt;=$B$7,155&lt;=$D$7),1,0)</f>
        <v/>
      </c>
      <c r="FC32" s="17">
        <f>IF(AND(156&gt;=$B$7,156&lt;=$D$7),1,0)</f>
        <v/>
      </c>
      <c r="FD32" s="17">
        <f>IF(AND(157&gt;=$B$7,157&lt;=$D$7),1,0)</f>
        <v/>
      </c>
      <c r="FE32" s="17">
        <f>IF(AND(158&gt;=$B$7,158&lt;=$D$7),1,0)</f>
        <v/>
      </c>
      <c r="FF32" s="17">
        <f>IF(AND(159&gt;=$B$7,159&lt;=$D$7),1,0)</f>
        <v/>
      </c>
      <c r="FG32" s="17">
        <f>IF(AND(160&gt;=$B$7,160&lt;=$D$7),1,0)</f>
        <v/>
      </c>
      <c r="FH32" s="17">
        <f>IF(AND(161&gt;=$B$7,161&lt;=$D$7),1,0)</f>
        <v/>
      </c>
      <c r="FI32" s="17">
        <f>IF(AND(162&gt;=$B$7,162&lt;=$D$7),1,0)</f>
        <v/>
      </c>
      <c r="FJ32" s="17">
        <f>IF(AND(163&gt;=$B$7,163&lt;=$D$7),1,0)</f>
        <v/>
      </c>
      <c r="FK32" s="17">
        <f>IF(AND(164&gt;=$B$7,164&lt;=$D$7),1,0)</f>
        <v/>
      </c>
      <c r="FL32" s="17">
        <f>IF(AND(165&gt;=$B$7,165&lt;=$D$7),1,0)</f>
        <v/>
      </c>
      <c r="FM32" s="17">
        <f>IF(AND(166&gt;=$B$7,166&lt;=$D$7),1,0)</f>
        <v/>
      </c>
      <c r="FN32" s="17">
        <f>IF(AND(167&gt;=$B$7,167&lt;=$D$7),1,0)</f>
        <v/>
      </c>
      <c r="FO32" s="17">
        <f>IF(AND(168&gt;=$B$7,168&lt;=$D$7),1,0)</f>
        <v/>
      </c>
      <c r="FP32" s="17">
        <f>IF(AND(169&gt;=$B$7,169&lt;=$D$7),1,0)</f>
        <v/>
      </c>
      <c r="FQ32" s="17">
        <f>IF(AND(170&gt;=$B$7,170&lt;=$D$7),1,0)</f>
        <v/>
      </c>
      <c r="FR32" s="17">
        <f>IF(AND(171&gt;=$B$7,171&lt;=$D$7),1,0)</f>
        <v/>
      </c>
      <c r="FS32" s="17">
        <f>IF(AND(172&gt;=$B$7,172&lt;=$D$7),1,0)</f>
        <v/>
      </c>
      <c r="FT32" s="17">
        <f>IF(AND(173&gt;=$B$7,173&lt;=$D$7),1,0)</f>
        <v/>
      </c>
      <c r="FU32" s="17">
        <f>IF(AND(174&gt;=$B$7,174&lt;=$D$7),1,0)</f>
        <v/>
      </c>
      <c r="FV32" s="17">
        <f>IF(AND(175&gt;=$B$7,175&lt;=$D$7),1,0)</f>
        <v/>
      </c>
      <c r="FW32" s="17">
        <f>IF(AND(176&gt;=$B$7,176&lt;=$D$7),1,0)</f>
        <v/>
      </c>
      <c r="FX32" s="17">
        <f>IF(AND(177&gt;=$B$7,177&lt;=$D$7),1,0)</f>
        <v/>
      </c>
      <c r="FY32" s="17">
        <f>IF(AND(178&gt;=$B$7,178&lt;=$D$7),1,0)</f>
        <v/>
      </c>
      <c r="FZ32" s="17">
        <f>IF(AND(179&gt;=$B$7,179&lt;=$D$7),1,0)</f>
        <v/>
      </c>
      <c r="GA32" s="17">
        <f>IF(AND(180&gt;=$B$7,180&lt;=$D$7),1,0)</f>
        <v/>
      </c>
      <c r="GB32" s="17">
        <f>IF(AND(181&gt;=$B$7,181&lt;=$D$7),1,0)</f>
        <v/>
      </c>
      <c r="GC32" s="17">
        <f>IF(AND(182&gt;=$B$7,182&lt;=$D$7),1,0)</f>
        <v/>
      </c>
      <c r="GD32" s="17">
        <f>IF(AND(183&gt;=$B$7,183&lt;=$D$7),1,0)</f>
        <v/>
      </c>
      <c r="GE32" s="17">
        <f>IF(AND(184&gt;=$B$7,184&lt;=$D$7),1,0)</f>
        <v/>
      </c>
      <c r="GF32" s="17">
        <f>IF(AND(185&gt;=$B$7,185&lt;=$D$7),1,0)</f>
        <v/>
      </c>
      <c r="GG32" s="17">
        <f>IF(AND(186&gt;=$B$7,186&lt;=$D$7),1,0)</f>
        <v/>
      </c>
      <c r="GH32" s="17">
        <f>IF(AND(187&gt;=$B$7,187&lt;=$D$7),1,0)</f>
        <v/>
      </c>
      <c r="GI32" s="17">
        <f>IF(AND(188&gt;=$B$7,188&lt;=$D$7),1,0)</f>
        <v/>
      </c>
      <c r="GJ32" s="17">
        <f>IF(AND(189&gt;=$B$7,189&lt;=$D$7),1,0)</f>
        <v/>
      </c>
      <c r="GK32" s="17">
        <f>IF(AND(190&gt;=$B$7,190&lt;=$D$7),1,0)</f>
        <v/>
      </c>
      <c r="GL32" s="17">
        <f>IF(AND(191&gt;=$B$7,191&lt;=$D$7),1,0)</f>
        <v/>
      </c>
      <c r="GM32" s="17">
        <f>IF(AND(192&gt;=$B$7,192&lt;=$D$7),1,0)</f>
        <v/>
      </c>
      <c r="GN32" s="17">
        <f>IF(AND(193&gt;=$B$7,193&lt;=$D$7),1,0)</f>
        <v/>
      </c>
      <c r="GO32" s="17">
        <f>IF(AND(194&gt;=$B$7,194&lt;=$D$7),1,0)</f>
        <v/>
      </c>
      <c r="GP32" s="17">
        <f>IF(AND(195&gt;=$B$7,195&lt;=$D$7),1,0)</f>
        <v/>
      </c>
      <c r="GQ32" s="17">
        <f>IF(AND(196&gt;=$B$7,196&lt;=$D$7),1,0)</f>
        <v/>
      </c>
      <c r="GR32" s="17">
        <f>IF(AND(197&gt;=$B$7,197&lt;=$D$7),1,0)</f>
        <v/>
      </c>
      <c r="GS32" s="17">
        <f>IF(AND(198&gt;=$B$7,198&lt;=$D$7),1,0)</f>
        <v/>
      </c>
      <c r="GT32" s="17">
        <f>IF(AND(199&gt;=$B$7,199&lt;=$D$7),1,0)</f>
        <v/>
      </c>
      <c r="GU32" s="17">
        <f>IF(AND(200&gt;=$B$7,200&lt;=$D$7),1,0)</f>
        <v/>
      </c>
      <c r="GV32" s="17">
        <f>IF(AND(201&gt;=$B$7,201&lt;=$D$7),1,0)</f>
        <v/>
      </c>
      <c r="GW32" s="17">
        <f>IF(AND(202&gt;=$B$7,202&lt;=$D$7),1,0)</f>
        <v/>
      </c>
      <c r="GX32" s="17">
        <f>IF(AND(203&gt;=$B$7,203&lt;=$D$7),1,0)</f>
        <v/>
      </c>
      <c r="GY32" s="17">
        <f>IF(AND(204&gt;=$B$7,204&lt;=$D$7),1,0)</f>
        <v/>
      </c>
      <c r="GZ32" s="17">
        <f>IF(AND(205&gt;=$B$7,205&lt;=$D$7),1,0)</f>
        <v/>
      </c>
      <c r="HA32" s="17">
        <f>IF(AND(206&gt;=$B$7,206&lt;=$D$7),1,0)</f>
        <v/>
      </c>
      <c r="HB32" s="17">
        <f>IF(AND(207&gt;=$B$7,207&lt;=$D$7),1,0)</f>
        <v/>
      </c>
      <c r="HC32" s="17">
        <f>IF(AND(208&gt;=$B$7,208&lt;=$D$7),1,0)</f>
        <v/>
      </c>
      <c r="HD32" s="17">
        <f>IF(AND(209&gt;=$B$7,209&lt;=$D$7),1,0)</f>
        <v/>
      </c>
      <c r="HE32" s="17">
        <f>IF(AND(210&gt;=$B$7,210&lt;=$D$7),1,0)</f>
        <v/>
      </c>
      <c r="HF32" s="17">
        <f>IF(AND(211&gt;=$B$7,211&lt;=$D$7),1,0)</f>
        <v/>
      </c>
      <c r="HG32" s="17">
        <f>IF(AND(212&gt;=$B$7,212&lt;=$D$7),1,0)</f>
        <v/>
      </c>
      <c r="HH32" s="17">
        <f>IF(AND(213&gt;=$B$7,213&lt;=$D$7),1,0)</f>
        <v/>
      </c>
      <c r="HI32" s="17">
        <f>IF(AND(214&gt;=$B$7,214&lt;=$D$7),1,0)</f>
        <v/>
      </c>
      <c r="HJ32" s="17">
        <f>IF(AND(215&gt;=$B$7,215&lt;=$D$7),1,0)</f>
        <v/>
      </c>
      <c r="HK32" s="17">
        <f>IF(AND(216&gt;=$B$7,216&lt;=$D$7),1,0)</f>
        <v/>
      </c>
      <c r="HL32" s="17">
        <f>IF(AND(217&gt;=$B$7,217&lt;=$D$7),1,0)</f>
        <v/>
      </c>
      <c r="HM32" s="17">
        <f>IF(AND(218&gt;=$B$7,218&lt;=$D$7),1,0)</f>
        <v/>
      </c>
      <c r="HN32" s="17">
        <f>IF(AND(219&gt;=$B$7,219&lt;=$D$7),1,0)</f>
        <v/>
      </c>
      <c r="HO32" s="17">
        <f>IF(AND(220&gt;=$B$7,220&lt;=$D$7),1,0)</f>
        <v/>
      </c>
      <c r="HP32" s="17">
        <f>IF(AND(221&gt;=$B$7,221&lt;=$D$7),1,0)</f>
        <v/>
      </c>
      <c r="HQ32" s="17">
        <f>IF(AND(222&gt;=$B$7,222&lt;=$D$7),1,0)</f>
        <v/>
      </c>
      <c r="HR32" s="17">
        <f>IF(AND(223&gt;=$B$7,223&lt;=$D$7),1,0)</f>
        <v/>
      </c>
      <c r="HS32" s="17">
        <f>IF(AND(224&gt;=$B$7,224&lt;=$D$7),1,0)</f>
        <v/>
      </c>
      <c r="HT32" s="17">
        <f>IF(AND(225&gt;=$B$7,225&lt;=$D$7),1,0)</f>
        <v/>
      </c>
      <c r="HU32" s="17">
        <f>IF(AND(226&gt;=$B$7,226&lt;=$D$7),1,0)</f>
        <v/>
      </c>
      <c r="HV32" s="17">
        <f>IF(AND(227&gt;=$B$7,227&lt;=$D$7),1,0)</f>
        <v/>
      </c>
      <c r="HW32" s="17">
        <f>IF(AND(228&gt;=$B$7,228&lt;=$D$7),1,0)</f>
        <v/>
      </c>
      <c r="HX32" s="17">
        <f>IF(AND(229&gt;=$B$7,229&lt;=$D$7),1,0)</f>
        <v/>
      </c>
      <c r="HY32" s="17">
        <f>IF(AND(230&gt;=$B$7,230&lt;=$D$7),1,0)</f>
        <v/>
      </c>
      <c r="HZ32" s="17">
        <f>IF(AND(231&gt;=$B$7,231&lt;=$D$7),1,0)</f>
        <v/>
      </c>
      <c r="IA32" s="17">
        <f>IF(AND(232&gt;=$B$7,232&lt;=$D$7),1,0)</f>
        <v/>
      </c>
      <c r="IB32" s="17">
        <f>IF(AND(233&gt;=$B$7,233&lt;=$D$7),1,0)</f>
        <v/>
      </c>
      <c r="IC32" s="17">
        <f>IF(AND(234&gt;=$B$7,234&lt;=$D$7),1,0)</f>
        <v/>
      </c>
      <c r="ID32" s="17">
        <f>IF(AND(235&gt;=$B$7,235&lt;=$D$7),1,0)</f>
        <v/>
      </c>
      <c r="IE32" s="17">
        <f>IF(AND(236&gt;=$B$7,236&lt;=$D$7),1,0)</f>
        <v/>
      </c>
      <c r="IF32" s="17">
        <f>IF(AND(237&gt;=$B$7,237&lt;=$D$7),1,0)</f>
        <v/>
      </c>
      <c r="IG32" s="17">
        <f>IF(AND(238&gt;=$B$7,238&lt;=$D$7),1,0)</f>
        <v/>
      </c>
      <c r="IH32" s="17">
        <f>IF(AND(239&gt;=$B$7,239&lt;=$D$7),1,0)</f>
        <v/>
      </c>
      <c r="II32" s="17">
        <f>IF(AND(240&gt;=$B$7,240&lt;=$D$7),1,0)</f>
        <v/>
      </c>
      <c r="IJ32" s="17">
        <f>IF(AND(241&gt;=$B$7,241&lt;=$D$7),1,0)</f>
        <v/>
      </c>
      <c r="IK32" s="17">
        <f>IF(AND(242&gt;=$B$7,242&lt;=$D$7),1,0)</f>
        <v/>
      </c>
      <c r="IL32" s="17">
        <f>IF(AND(243&gt;=$B$7,243&lt;=$D$7),1,0)</f>
        <v/>
      </c>
      <c r="IM32" s="17">
        <f>IF(AND(244&gt;=$B$7,244&lt;=$D$7),1,0)</f>
        <v/>
      </c>
      <c r="IN32" s="17">
        <f>IF(AND(245&gt;=$B$7,245&lt;=$D$7),1,0)</f>
        <v/>
      </c>
      <c r="IO32" s="17">
        <f>IF(AND(246&gt;=$B$7,246&lt;=$D$7),1,0)</f>
        <v/>
      </c>
      <c r="IP32" s="17">
        <f>IF(AND(247&gt;=$B$7,247&lt;=$D$7),1,0)</f>
        <v/>
      </c>
      <c r="IQ32" s="17">
        <f>IF(AND(248&gt;=$B$7,248&lt;=$D$7),1,0)</f>
        <v/>
      </c>
      <c r="IR32" s="17">
        <f>IF(AND(249&gt;=$B$7,249&lt;=$D$7),1,0)</f>
        <v/>
      </c>
      <c r="IS32" s="17">
        <f>IF(AND(250&gt;=$B$7,250&lt;=$D$7),1,0)</f>
        <v/>
      </c>
      <c r="IT32" s="17">
        <f>IF(AND(251&gt;=$B$7,251&lt;=$D$7),1,0)</f>
        <v/>
      </c>
      <c r="IU32" s="17">
        <f>IF(AND(252&gt;=$B$7,252&lt;=$D$7),1,0)</f>
        <v/>
      </c>
      <c r="IV32" s="17">
        <f>IF(AND(253&gt;=$B$7,253&lt;=$D$7),1,0)</f>
        <v/>
      </c>
      <c r="IW32" s="17">
        <f>IF(AND(254&gt;=$B$7,254&lt;=$D$7),1,0)</f>
        <v/>
      </c>
      <c r="IX32" s="17">
        <f>IF(AND(255&gt;=$B$7,255&lt;=$D$7),1,0)</f>
        <v/>
      </c>
      <c r="IY32" s="17">
        <f>IF(AND(256&gt;=$B$7,256&lt;=$D$7),1,0)</f>
        <v/>
      </c>
      <c r="IZ32" s="17">
        <f>IF(AND(257&gt;=$B$7,257&lt;=$D$7),1,0)</f>
        <v/>
      </c>
      <c r="JA32" s="17">
        <f>IF(AND(258&gt;=$B$7,258&lt;=$D$7),1,0)</f>
        <v/>
      </c>
      <c r="JB32" s="17">
        <f>IF(AND(259&gt;=$B$7,259&lt;=$D$7),1,0)</f>
        <v/>
      </c>
      <c r="JC32" s="17">
        <f>IF(AND(260&gt;=$B$7,260&lt;=$D$7),1,0)</f>
        <v/>
      </c>
      <c r="JD32" s="17">
        <f>IF(AND(261&gt;=$B$7,261&lt;=$D$7),1,0)</f>
        <v/>
      </c>
      <c r="JE32" s="17">
        <f>IF(AND(262&gt;=$B$7,262&lt;=$D$7),1,0)</f>
        <v/>
      </c>
      <c r="JF32" s="17">
        <f>IF(AND(263&gt;=$B$7,263&lt;=$D$7),1,0)</f>
        <v/>
      </c>
      <c r="JG32" s="17">
        <f>IF(AND(264&gt;=$B$7,264&lt;=$D$7),1,0)</f>
        <v/>
      </c>
      <c r="JH32" s="17">
        <f>IF(AND(265&gt;=$B$7,265&lt;=$D$7),1,0)</f>
        <v/>
      </c>
      <c r="JI32" s="17">
        <f>IF(AND(266&gt;=$B$7,266&lt;=$D$7),1,0)</f>
        <v/>
      </c>
      <c r="JJ32" s="17">
        <f>IF(AND(267&gt;=$B$7,267&lt;=$D$7),1,0)</f>
        <v/>
      </c>
      <c r="JK32" s="17">
        <f>IF(AND(268&gt;=$B$7,268&lt;=$D$7),1,0)</f>
        <v/>
      </c>
      <c r="JL32" s="17">
        <f>IF(AND(269&gt;=$B$7,269&lt;=$D$7),1,0)</f>
        <v/>
      </c>
      <c r="JM32" s="17">
        <f>IF(AND(270&gt;=$B$7,270&lt;=$D$7),1,0)</f>
        <v/>
      </c>
      <c r="JN32" s="17">
        <f>IF(AND(271&gt;=$B$7,271&lt;=$D$7),1,0)</f>
        <v/>
      </c>
      <c r="JO32" s="17">
        <f>IF(AND(272&gt;=$B$7,272&lt;=$D$7),1,0)</f>
        <v/>
      </c>
      <c r="JP32" s="17">
        <f>IF(AND(273&gt;=$B$7,273&lt;=$D$7),1,0)</f>
        <v/>
      </c>
      <c r="JQ32" s="17">
        <f>IF(AND(274&gt;=$B$7,274&lt;=$D$7),1,0)</f>
        <v/>
      </c>
      <c r="JR32" s="17">
        <f>IF(AND(275&gt;=$B$7,275&lt;=$D$7),1,0)</f>
        <v/>
      </c>
      <c r="JS32" s="17">
        <f>IF(AND(276&gt;=$B$7,276&lt;=$D$7),1,0)</f>
        <v/>
      </c>
      <c r="JT32" s="17">
        <f>IF(AND(277&gt;=$B$7,277&lt;=$D$7),1,0)</f>
        <v/>
      </c>
      <c r="JU32" s="17">
        <f>IF(AND(278&gt;=$B$7,278&lt;=$D$7),1,0)</f>
        <v/>
      </c>
      <c r="JV32" s="17">
        <f>IF(AND(279&gt;=$B$7,279&lt;=$D$7),1,0)</f>
        <v/>
      </c>
      <c r="JW32" s="17">
        <f>IF(AND(280&gt;=$B$7,280&lt;=$D$7),1,0)</f>
        <v/>
      </c>
      <c r="JX32" s="17">
        <f>IF(AND(281&gt;=$B$7,281&lt;=$D$7),1,0)</f>
        <v/>
      </c>
      <c r="JY32" s="17">
        <f>IF(AND(282&gt;=$B$7,282&lt;=$D$7),1,0)</f>
        <v/>
      </c>
      <c r="JZ32" s="17">
        <f>IF(AND(283&gt;=$B$7,283&lt;=$D$7),1,0)</f>
        <v/>
      </c>
      <c r="KA32" s="17">
        <f>IF(AND(284&gt;=$B$7,284&lt;=$D$7),1,0)</f>
        <v/>
      </c>
      <c r="KB32" s="17">
        <f>IF(AND(285&gt;=$B$7,285&lt;=$D$7),1,0)</f>
        <v/>
      </c>
      <c r="KC32" s="17">
        <f>IF(AND(286&gt;=$B$7,286&lt;=$D$7),1,0)</f>
        <v/>
      </c>
      <c r="KD32" s="17">
        <f>IF(AND(287&gt;=$B$7,287&lt;=$D$7),1,0)</f>
        <v/>
      </c>
      <c r="KE32" s="17">
        <f>IF(AND(288&gt;=$B$7,288&lt;=$D$7),1,0)</f>
        <v/>
      </c>
      <c r="KF32" s="17">
        <f>IF(AND(289&gt;=$B$7,289&lt;=$D$7),1,0)</f>
        <v/>
      </c>
      <c r="KG32" s="17">
        <f>IF(AND(290&gt;=$B$7,290&lt;=$D$7),1,0)</f>
        <v/>
      </c>
      <c r="KH32" s="17">
        <f>IF(AND(291&gt;=$B$7,291&lt;=$D$7),1,0)</f>
        <v/>
      </c>
      <c r="KI32" s="17">
        <f>IF(AND(292&gt;=$B$7,292&lt;=$D$7),1,0)</f>
        <v/>
      </c>
      <c r="KJ32" s="17">
        <f>IF(AND(293&gt;=$B$7,293&lt;=$D$7),1,0)</f>
        <v/>
      </c>
      <c r="KK32" s="17">
        <f>IF(AND(294&gt;=$B$7,294&lt;=$D$7),1,0)</f>
        <v/>
      </c>
      <c r="KL32" s="17">
        <f>IF(AND(295&gt;=$B$7,295&lt;=$D$7),1,0)</f>
        <v/>
      </c>
      <c r="KM32" s="17">
        <f>IF(AND(296&gt;=$B$7,296&lt;=$D$7),1,0)</f>
        <v/>
      </c>
      <c r="KN32" s="17">
        <f>IF(AND(297&gt;=$B$7,297&lt;=$D$7),1,0)</f>
        <v/>
      </c>
      <c r="KO32" s="17">
        <f>IF(AND(298&gt;=$B$7,298&lt;=$D$7),1,0)</f>
        <v/>
      </c>
      <c r="KP32" s="17">
        <f>IF(AND(299&gt;=$B$7,299&lt;=$D$7),1,0)</f>
        <v/>
      </c>
      <c r="KQ32" s="17">
        <f>IF(AND(300&gt;=$B$7,300&lt;=$D$7),1,0)</f>
        <v/>
      </c>
      <c r="KR32" s="17">
        <f>IF(AND(301&gt;=$B$7,301&lt;=$D$7),1,0)</f>
        <v/>
      </c>
      <c r="KS32" s="17">
        <f>IF(AND(302&gt;=$B$7,302&lt;=$D$7),1,0)</f>
        <v/>
      </c>
      <c r="KT32" s="17">
        <f>IF(AND(303&gt;=$B$7,303&lt;=$D$7),1,0)</f>
        <v/>
      </c>
      <c r="KU32" s="17">
        <f>IF(AND(304&gt;=$B$7,304&lt;=$D$7),1,0)</f>
        <v/>
      </c>
      <c r="KV32" s="17">
        <f>IF(AND(305&gt;=$B$7,305&lt;=$D$7),1,0)</f>
        <v/>
      </c>
      <c r="KW32" s="17">
        <f>IF(AND(306&gt;=$B$7,306&lt;=$D$7),1,0)</f>
        <v/>
      </c>
      <c r="KX32" s="17">
        <f>IF(AND(307&gt;=$B$7,307&lt;=$D$7),1,0)</f>
        <v/>
      </c>
      <c r="KY32" s="17">
        <f>IF(AND(308&gt;=$B$7,308&lt;=$D$7),1,0)</f>
        <v/>
      </c>
      <c r="KZ32" s="17">
        <f>IF(AND(309&gt;=$B$7,309&lt;=$D$7),1,0)</f>
        <v/>
      </c>
      <c r="LA32" s="17">
        <f>IF(AND(310&gt;=$B$7,310&lt;=$D$7),1,0)</f>
        <v/>
      </c>
      <c r="LB32" s="17">
        <f>IF(AND(311&gt;=$B$7,311&lt;=$D$7),1,0)</f>
        <v/>
      </c>
      <c r="LC32" s="17">
        <f>IF(AND(312&gt;=$B$7,312&lt;=$D$7),1,0)</f>
        <v/>
      </c>
      <c r="LD32" s="17">
        <f>IF(AND(313&gt;=$B$7,313&lt;=$D$7),1,0)</f>
        <v/>
      </c>
      <c r="LE32" s="17">
        <f>IF(AND(314&gt;=$B$7,314&lt;=$D$7),1,0)</f>
        <v/>
      </c>
      <c r="LF32" s="17">
        <f>IF(AND(315&gt;=$B$7,315&lt;=$D$7),1,0)</f>
        <v/>
      </c>
      <c r="LG32" s="17">
        <f>IF(AND(316&gt;=$B$7,316&lt;=$D$7),1,0)</f>
        <v/>
      </c>
      <c r="LH32" s="17">
        <f>IF(AND(317&gt;=$B$7,317&lt;=$D$7),1,0)</f>
        <v/>
      </c>
      <c r="LI32" s="17">
        <f>IF(AND(318&gt;=$B$7,318&lt;=$D$7),1,0)</f>
        <v/>
      </c>
      <c r="LJ32" s="17">
        <f>IF(AND(319&gt;=$B$7,319&lt;=$D$7),1,0)</f>
        <v/>
      </c>
      <c r="LK32" s="17">
        <f>IF(AND(320&gt;=$B$7,320&lt;=$D$7),1,0)</f>
        <v/>
      </c>
      <c r="LL32" s="17">
        <f>IF(AND(321&gt;=$B$7,321&lt;=$D$7),1,0)</f>
        <v/>
      </c>
      <c r="LM32" s="17">
        <f>IF(AND(322&gt;=$B$7,322&lt;=$D$7),1,0)</f>
        <v/>
      </c>
      <c r="LN32" s="17">
        <f>IF(AND(323&gt;=$B$7,323&lt;=$D$7),1,0)</f>
        <v/>
      </c>
      <c r="LO32" s="17">
        <f>IF(AND(324&gt;=$B$7,324&lt;=$D$7),1,0)</f>
        <v/>
      </c>
      <c r="LP32" s="17">
        <f>IF(AND(325&gt;=$B$7,325&lt;=$D$7),1,0)</f>
        <v/>
      </c>
      <c r="LQ32" s="17">
        <f>IF(AND(326&gt;=$B$7,326&lt;=$D$7),1,0)</f>
        <v/>
      </c>
      <c r="LR32" s="17">
        <f>IF(AND(327&gt;=$B$7,327&lt;=$D$7),1,0)</f>
        <v/>
      </c>
      <c r="LS32" s="17">
        <f>IF(AND(328&gt;=$B$7,328&lt;=$D$7),1,0)</f>
        <v/>
      </c>
      <c r="LT32" s="17">
        <f>IF(AND(329&gt;=$B$7,329&lt;=$D$7),1,0)</f>
        <v/>
      </c>
      <c r="LU32" s="17">
        <f>IF(AND(330&gt;=$B$7,330&lt;=$D$7),1,0)</f>
        <v/>
      </c>
      <c r="LV32" s="17">
        <f>IF(AND(331&gt;=$B$7,331&lt;=$D$7),1,0)</f>
        <v/>
      </c>
      <c r="LW32" s="17">
        <f>IF(AND(332&gt;=$B$7,332&lt;=$D$7),1,0)</f>
        <v/>
      </c>
      <c r="LX32" s="17">
        <f>IF(AND(333&gt;=$B$7,333&lt;=$D$7),1,0)</f>
        <v/>
      </c>
      <c r="LY32" s="17">
        <f>IF(AND(334&gt;=$B$7,334&lt;=$D$7),1,0)</f>
        <v/>
      </c>
      <c r="LZ32" s="17">
        <f>IF(AND(335&gt;=$B$7,335&lt;=$D$7),1,0)</f>
        <v/>
      </c>
      <c r="MA32" s="17">
        <f>IF(AND(336&gt;=$B$7,336&lt;=$D$7),1,0)</f>
        <v/>
      </c>
      <c r="MB32" s="17">
        <f>IF(AND(337&gt;=$B$7,337&lt;=$D$7),1,0)</f>
        <v/>
      </c>
      <c r="MC32" s="17">
        <f>IF(AND(338&gt;=$B$7,338&lt;=$D$7),1,0)</f>
        <v/>
      </c>
      <c r="MD32" s="17">
        <f>IF(AND(339&gt;=$B$7,339&lt;=$D$7),1,0)</f>
        <v/>
      </c>
      <c r="ME32" s="17">
        <f>IF(AND(340&gt;=$B$7,340&lt;=$D$7),1,0)</f>
        <v/>
      </c>
      <c r="MF32" s="17">
        <f>IF(AND(341&gt;=$B$7,341&lt;=$D$7),1,0)</f>
        <v/>
      </c>
      <c r="MG32" s="17">
        <f>IF(AND(342&gt;=$B$7,342&lt;=$D$7),1,0)</f>
        <v/>
      </c>
      <c r="MH32" s="17">
        <f>IF(AND(343&gt;=$B$7,343&lt;=$D$7),1,0)</f>
        <v/>
      </c>
      <c r="MI32" s="17">
        <f>IF(AND(344&gt;=$B$7,344&lt;=$D$7),1,0)</f>
        <v/>
      </c>
      <c r="MJ32" s="17">
        <f>IF(AND(345&gt;=$B$7,345&lt;=$D$7),1,0)</f>
        <v/>
      </c>
      <c r="MK32" s="17">
        <f>IF(AND(346&gt;=$B$7,346&lt;=$D$7),1,0)</f>
        <v/>
      </c>
      <c r="ML32" s="17">
        <f>IF(AND(347&gt;=$B$7,347&lt;=$D$7),1,0)</f>
        <v/>
      </c>
      <c r="MM32" s="17">
        <f>IF(AND(348&gt;=$B$7,348&lt;=$D$7),1,0)</f>
        <v/>
      </c>
      <c r="MN32" s="17">
        <f>IF(AND(349&gt;=$B$7,349&lt;=$D$7),1,0)</f>
        <v/>
      </c>
      <c r="MO32" s="17">
        <f>IF(AND(350&gt;=$B$7,350&lt;=$D$7),1,0)</f>
        <v/>
      </c>
      <c r="MP32" s="17">
        <f>IF(AND(351&gt;=$B$7,351&lt;=$D$7),1,0)</f>
        <v/>
      </c>
      <c r="MQ32" s="17">
        <f>IF(AND(352&gt;=$B$7,352&lt;=$D$7),1,0)</f>
        <v/>
      </c>
      <c r="MR32" s="17">
        <f>IF(AND(353&gt;=$B$7,353&lt;=$D$7),1,0)</f>
        <v/>
      </c>
      <c r="MS32" s="17">
        <f>IF(AND(354&gt;=$B$7,354&lt;=$D$7),1,0)</f>
        <v/>
      </c>
      <c r="MT32" s="17">
        <f>IF(AND(355&gt;=$B$7,355&lt;=$D$7),1,0)</f>
        <v/>
      </c>
      <c r="MU32" s="17">
        <f>IF(AND(356&gt;=$B$7,356&lt;=$D$7),1,0)</f>
        <v/>
      </c>
      <c r="MV32" s="17">
        <f>IF(AND(357&gt;=$B$7,357&lt;=$D$7),1,0)</f>
        <v/>
      </c>
      <c r="MW32" s="17">
        <f>IF(AND(358&gt;=$B$7,358&lt;=$D$7),1,0)</f>
        <v/>
      </c>
      <c r="MX32" s="17">
        <f>IF(AND(359&gt;=$B$7,359&lt;=$D$7),1,0)</f>
        <v/>
      </c>
      <c r="MY32" s="17">
        <f>IF(AND(360&gt;=$B$7,360&lt;=$D$7),1,0)</f>
        <v/>
      </c>
      <c r="MZ32" s="17">
        <f>IF(AND(361&gt;=$B$7,361&lt;=$D$7),1,0)</f>
        <v/>
      </c>
      <c r="NA32" s="17">
        <f>IF(AND(362&gt;=$B$7,362&lt;=$D$7),1,0)</f>
        <v/>
      </c>
      <c r="NB32" s="17">
        <f>IF(AND(363&gt;=$B$7,363&lt;=$D$7),1,0)</f>
        <v/>
      </c>
      <c r="NC32" s="17">
        <f>IF(AND(364&gt;=$B$7,364&lt;=$D$7),1,0)</f>
        <v/>
      </c>
      <c r="ND32" s="17">
        <f>IF(AND(365&gt;=$B$7,365&lt;=$D$7),1,0)</f>
        <v/>
      </c>
      <c r="NE32" s="17">
        <f>IF(AND(366&gt;=$B$7,366&lt;=$D$7),1,0)</f>
        <v/>
      </c>
      <c r="NF32" s="17">
        <f>IF(AND(367&gt;=$B$7,367&lt;=$D$7),1,0)</f>
        <v/>
      </c>
      <c r="NG32" s="17">
        <f>IF(AND(368&gt;=$B$7,368&lt;=$D$7),1,0)</f>
        <v/>
      </c>
      <c r="NH32" s="17">
        <f>IF(AND(369&gt;=$B$7,369&lt;=$D$7),1,0)</f>
        <v/>
      </c>
      <c r="NI32" s="17">
        <f>IF(AND(370&gt;=$B$7,370&lt;=$D$7),1,0)</f>
        <v/>
      </c>
      <c r="NJ32" s="17">
        <f>IF(AND(371&gt;=$B$7,371&lt;=$D$7),1,0)</f>
        <v/>
      </c>
      <c r="NK32" s="17">
        <f>IF(AND(372&gt;=$B$7,372&lt;=$D$7),1,0)</f>
        <v/>
      </c>
    </row>
    <row r="33">
      <c r="A33" s="5" t="inlineStr">
        <is>
          <t>Flag: Initial Closing</t>
        </is>
      </c>
      <c r="C33" s="40" t="n"/>
      <c r="D33" s="17">
        <f>IF(AND(1&gt;=$B$8,1&lt;=$D$8),1,0)</f>
        <v/>
      </c>
      <c r="E33" s="17">
        <f>IF(AND(2&gt;=$B$8,2&lt;=$D$8),1,0)</f>
        <v/>
      </c>
      <c r="F33" s="17">
        <f>IF(AND(3&gt;=$B$8,3&lt;=$D$8),1,0)</f>
        <v/>
      </c>
      <c r="G33" s="17">
        <f>IF(AND(4&gt;=$B$8,4&lt;=$D$8),1,0)</f>
        <v/>
      </c>
      <c r="H33" s="17">
        <f>IF(AND(5&gt;=$B$8,5&lt;=$D$8),1,0)</f>
        <v/>
      </c>
      <c r="I33" s="17">
        <f>IF(AND(6&gt;=$B$8,6&lt;=$D$8),1,0)</f>
        <v/>
      </c>
      <c r="J33" s="17">
        <f>IF(AND(7&gt;=$B$8,7&lt;=$D$8),1,0)</f>
        <v/>
      </c>
      <c r="K33" s="17">
        <f>IF(AND(8&gt;=$B$8,8&lt;=$D$8),1,0)</f>
        <v/>
      </c>
      <c r="L33" s="17">
        <f>IF(AND(9&gt;=$B$8,9&lt;=$D$8),1,0)</f>
        <v/>
      </c>
      <c r="M33" s="17">
        <f>IF(AND(10&gt;=$B$8,10&lt;=$D$8),1,0)</f>
        <v/>
      </c>
      <c r="N33" s="17">
        <f>IF(AND(11&gt;=$B$8,11&lt;=$D$8),1,0)</f>
        <v/>
      </c>
      <c r="O33" s="17">
        <f>IF(AND(12&gt;=$B$8,12&lt;=$D$8),1,0)</f>
        <v/>
      </c>
      <c r="P33" s="17">
        <f>IF(AND(13&gt;=$B$8,13&lt;=$D$8),1,0)</f>
        <v/>
      </c>
      <c r="Q33" s="17">
        <f>IF(AND(14&gt;=$B$8,14&lt;=$D$8),1,0)</f>
        <v/>
      </c>
      <c r="R33" s="17">
        <f>IF(AND(15&gt;=$B$8,15&lt;=$D$8),1,0)</f>
        <v/>
      </c>
      <c r="S33" s="17">
        <f>IF(AND(16&gt;=$B$8,16&lt;=$D$8),1,0)</f>
        <v/>
      </c>
      <c r="T33" s="17">
        <f>IF(AND(17&gt;=$B$8,17&lt;=$D$8),1,0)</f>
        <v/>
      </c>
      <c r="U33" s="17">
        <f>IF(AND(18&gt;=$B$8,18&lt;=$D$8),1,0)</f>
        <v/>
      </c>
      <c r="V33" s="17">
        <f>IF(AND(19&gt;=$B$8,19&lt;=$D$8),1,0)</f>
        <v/>
      </c>
      <c r="W33" s="17">
        <f>IF(AND(20&gt;=$B$8,20&lt;=$D$8),1,0)</f>
        <v/>
      </c>
      <c r="X33" s="17">
        <f>IF(AND(21&gt;=$B$8,21&lt;=$D$8),1,0)</f>
        <v/>
      </c>
      <c r="Y33" s="17">
        <f>IF(AND(22&gt;=$B$8,22&lt;=$D$8),1,0)</f>
        <v/>
      </c>
      <c r="Z33" s="17">
        <f>IF(AND(23&gt;=$B$8,23&lt;=$D$8),1,0)</f>
        <v/>
      </c>
      <c r="AA33" s="17">
        <f>IF(AND(24&gt;=$B$8,24&lt;=$D$8),1,0)</f>
        <v/>
      </c>
      <c r="AB33" s="17">
        <f>IF(AND(25&gt;=$B$8,25&lt;=$D$8),1,0)</f>
        <v/>
      </c>
      <c r="AC33" s="17">
        <f>IF(AND(26&gt;=$B$8,26&lt;=$D$8),1,0)</f>
        <v/>
      </c>
      <c r="AD33" s="17">
        <f>IF(AND(27&gt;=$B$8,27&lt;=$D$8),1,0)</f>
        <v/>
      </c>
      <c r="AE33" s="17">
        <f>IF(AND(28&gt;=$B$8,28&lt;=$D$8),1,0)</f>
        <v/>
      </c>
      <c r="AF33" s="17">
        <f>IF(AND(29&gt;=$B$8,29&lt;=$D$8),1,0)</f>
        <v/>
      </c>
      <c r="AG33" s="17">
        <f>IF(AND(30&gt;=$B$8,30&lt;=$D$8),1,0)</f>
        <v/>
      </c>
      <c r="AH33" s="17">
        <f>IF(AND(31&gt;=$B$8,31&lt;=$D$8),1,0)</f>
        <v/>
      </c>
      <c r="AI33" s="17">
        <f>IF(AND(32&gt;=$B$8,32&lt;=$D$8),1,0)</f>
        <v/>
      </c>
      <c r="AJ33" s="17">
        <f>IF(AND(33&gt;=$B$8,33&lt;=$D$8),1,0)</f>
        <v/>
      </c>
      <c r="AK33" s="17">
        <f>IF(AND(34&gt;=$B$8,34&lt;=$D$8),1,0)</f>
        <v/>
      </c>
      <c r="AL33" s="17">
        <f>IF(AND(35&gt;=$B$8,35&lt;=$D$8),1,0)</f>
        <v/>
      </c>
      <c r="AM33" s="17">
        <f>IF(AND(36&gt;=$B$8,36&lt;=$D$8),1,0)</f>
        <v/>
      </c>
      <c r="AN33" s="17">
        <f>IF(AND(37&gt;=$B$8,37&lt;=$D$8),1,0)</f>
        <v/>
      </c>
      <c r="AO33" s="17">
        <f>IF(AND(38&gt;=$B$8,38&lt;=$D$8),1,0)</f>
        <v/>
      </c>
      <c r="AP33" s="17">
        <f>IF(AND(39&gt;=$B$8,39&lt;=$D$8),1,0)</f>
        <v/>
      </c>
      <c r="AQ33" s="17">
        <f>IF(AND(40&gt;=$B$8,40&lt;=$D$8),1,0)</f>
        <v/>
      </c>
      <c r="AR33" s="17">
        <f>IF(AND(41&gt;=$B$8,41&lt;=$D$8),1,0)</f>
        <v/>
      </c>
      <c r="AS33" s="17">
        <f>IF(AND(42&gt;=$B$8,42&lt;=$D$8),1,0)</f>
        <v/>
      </c>
      <c r="AT33" s="17">
        <f>IF(AND(43&gt;=$B$8,43&lt;=$D$8),1,0)</f>
        <v/>
      </c>
      <c r="AU33" s="17">
        <f>IF(AND(44&gt;=$B$8,44&lt;=$D$8),1,0)</f>
        <v/>
      </c>
      <c r="AV33" s="17">
        <f>IF(AND(45&gt;=$B$8,45&lt;=$D$8),1,0)</f>
        <v/>
      </c>
      <c r="AW33" s="17">
        <f>IF(AND(46&gt;=$B$8,46&lt;=$D$8),1,0)</f>
        <v/>
      </c>
      <c r="AX33" s="17">
        <f>IF(AND(47&gt;=$B$8,47&lt;=$D$8),1,0)</f>
        <v/>
      </c>
      <c r="AY33" s="17">
        <f>IF(AND(48&gt;=$B$8,48&lt;=$D$8),1,0)</f>
        <v/>
      </c>
      <c r="AZ33" s="17">
        <f>IF(AND(49&gt;=$B$8,49&lt;=$D$8),1,0)</f>
        <v/>
      </c>
      <c r="BA33" s="17">
        <f>IF(AND(50&gt;=$B$8,50&lt;=$D$8),1,0)</f>
        <v/>
      </c>
      <c r="BB33" s="17">
        <f>IF(AND(51&gt;=$B$8,51&lt;=$D$8),1,0)</f>
        <v/>
      </c>
      <c r="BC33" s="17">
        <f>IF(AND(52&gt;=$B$8,52&lt;=$D$8),1,0)</f>
        <v/>
      </c>
      <c r="BD33" s="17">
        <f>IF(AND(53&gt;=$B$8,53&lt;=$D$8),1,0)</f>
        <v/>
      </c>
      <c r="BE33" s="17">
        <f>IF(AND(54&gt;=$B$8,54&lt;=$D$8),1,0)</f>
        <v/>
      </c>
      <c r="BF33" s="17">
        <f>IF(AND(55&gt;=$B$8,55&lt;=$D$8),1,0)</f>
        <v/>
      </c>
      <c r="BG33" s="17">
        <f>IF(AND(56&gt;=$B$8,56&lt;=$D$8),1,0)</f>
        <v/>
      </c>
      <c r="BH33" s="17">
        <f>IF(AND(57&gt;=$B$8,57&lt;=$D$8),1,0)</f>
        <v/>
      </c>
      <c r="BI33" s="17">
        <f>IF(AND(58&gt;=$B$8,58&lt;=$D$8),1,0)</f>
        <v/>
      </c>
      <c r="BJ33" s="17">
        <f>IF(AND(59&gt;=$B$8,59&lt;=$D$8),1,0)</f>
        <v/>
      </c>
      <c r="BK33" s="17">
        <f>IF(AND(60&gt;=$B$8,60&lt;=$D$8),1,0)</f>
        <v/>
      </c>
      <c r="BL33" s="17">
        <f>IF(AND(61&gt;=$B$8,61&lt;=$D$8),1,0)</f>
        <v/>
      </c>
      <c r="BM33" s="17">
        <f>IF(AND(62&gt;=$B$8,62&lt;=$D$8),1,0)</f>
        <v/>
      </c>
      <c r="BN33" s="17">
        <f>IF(AND(63&gt;=$B$8,63&lt;=$D$8),1,0)</f>
        <v/>
      </c>
      <c r="BO33" s="17">
        <f>IF(AND(64&gt;=$B$8,64&lt;=$D$8),1,0)</f>
        <v/>
      </c>
      <c r="BP33" s="17">
        <f>IF(AND(65&gt;=$B$8,65&lt;=$D$8),1,0)</f>
        <v/>
      </c>
      <c r="BQ33" s="17">
        <f>IF(AND(66&gt;=$B$8,66&lt;=$D$8),1,0)</f>
        <v/>
      </c>
      <c r="BR33" s="17">
        <f>IF(AND(67&gt;=$B$8,67&lt;=$D$8),1,0)</f>
        <v/>
      </c>
      <c r="BS33" s="17">
        <f>IF(AND(68&gt;=$B$8,68&lt;=$D$8),1,0)</f>
        <v/>
      </c>
      <c r="BT33" s="17">
        <f>IF(AND(69&gt;=$B$8,69&lt;=$D$8),1,0)</f>
        <v/>
      </c>
      <c r="BU33" s="17">
        <f>IF(AND(70&gt;=$B$8,70&lt;=$D$8),1,0)</f>
        <v/>
      </c>
      <c r="BV33" s="17">
        <f>IF(AND(71&gt;=$B$8,71&lt;=$D$8),1,0)</f>
        <v/>
      </c>
      <c r="BW33" s="17">
        <f>IF(AND(72&gt;=$B$8,72&lt;=$D$8),1,0)</f>
        <v/>
      </c>
      <c r="BX33" s="17">
        <f>IF(AND(73&gt;=$B$8,73&lt;=$D$8),1,0)</f>
        <v/>
      </c>
      <c r="BY33" s="17">
        <f>IF(AND(74&gt;=$B$8,74&lt;=$D$8),1,0)</f>
        <v/>
      </c>
      <c r="BZ33" s="17">
        <f>IF(AND(75&gt;=$B$8,75&lt;=$D$8),1,0)</f>
        <v/>
      </c>
      <c r="CA33" s="17">
        <f>IF(AND(76&gt;=$B$8,76&lt;=$D$8),1,0)</f>
        <v/>
      </c>
      <c r="CB33" s="17">
        <f>IF(AND(77&gt;=$B$8,77&lt;=$D$8),1,0)</f>
        <v/>
      </c>
      <c r="CC33" s="17">
        <f>IF(AND(78&gt;=$B$8,78&lt;=$D$8),1,0)</f>
        <v/>
      </c>
      <c r="CD33" s="17">
        <f>IF(AND(79&gt;=$B$8,79&lt;=$D$8),1,0)</f>
        <v/>
      </c>
      <c r="CE33" s="17">
        <f>IF(AND(80&gt;=$B$8,80&lt;=$D$8),1,0)</f>
        <v/>
      </c>
      <c r="CF33" s="17">
        <f>IF(AND(81&gt;=$B$8,81&lt;=$D$8),1,0)</f>
        <v/>
      </c>
      <c r="CG33" s="17">
        <f>IF(AND(82&gt;=$B$8,82&lt;=$D$8),1,0)</f>
        <v/>
      </c>
      <c r="CH33" s="17">
        <f>IF(AND(83&gt;=$B$8,83&lt;=$D$8),1,0)</f>
        <v/>
      </c>
      <c r="CI33" s="17">
        <f>IF(AND(84&gt;=$B$8,84&lt;=$D$8),1,0)</f>
        <v/>
      </c>
      <c r="CJ33" s="17">
        <f>IF(AND(85&gt;=$B$8,85&lt;=$D$8),1,0)</f>
        <v/>
      </c>
      <c r="CK33" s="17">
        <f>IF(AND(86&gt;=$B$8,86&lt;=$D$8),1,0)</f>
        <v/>
      </c>
      <c r="CL33" s="17">
        <f>IF(AND(87&gt;=$B$8,87&lt;=$D$8),1,0)</f>
        <v/>
      </c>
      <c r="CM33" s="17">
        <f>IF(AND(88&gt;=$B$8,88&lt;=$D$8),1,0)</f>
        <v/>
      </c>
      <c r="CN33" s="17">
        <f>IF(AND(89&gt;=$B$8,89&lt;=$D$8),1,0)</f>
        <v/>
      </c>
      <c r="CO33" s="17">
        <f>IF(AND(90&gt;=$B$8,90&lt;=$D$8),1,0)</f>
        <v/>
      </c>
      <c r="CP33" s="17">
        <f>IF(AND(91&gt;=$B$8,91&lt;=$D$8),1,0)</f>
        <v/>
      </c>
      <c r="CQ33" s="17">
        <f>IF(AND(92&gt;=$B$8,92&lt;=$D$8),1,0)</f>
        <v/>
      </c>
      <c r="CR33" s="17">
        <f>IF(AND(93&gt;=$B$8,93&lt;=$D$8),1,0)</f>
        <v/>
      </c>
      <c r="CS33" s="17">
        <f>IF(AND(94&gt;=$B$8,94&lt;=$D$8),1,0)</f>
        <v/>
      </c>
      <c r="CT33" s="17">
        <f>IF(AND(95&gt;=$B$8,95&lt;=$D$8),1,0)</f>
        <v/>
      </c>
      <c r="CU33" s="17">
        <f>IF(AND(96&gt;=$B$8,96&lt;=$D$8),1,0)</f>
        <v/>
      </c>
      <c r="CV33" s="17">
        <f>IF(AND(97&gt;=$B$8,97&lt;=$D$8),1,0)</f>
        <v/>
      </c>
      <c r="CW33" s="17">
        <f>IF(AND(98&gt;=$B$8,98&lt;=$D$8),1,0)</f>
        <v/>
      </c>
      <c r="CX33" s="17">
        <f>IF(AND(99&gt;=$B$8,99&lt;=$D$8),1,0)</f>
        <v/>
      </c>
      <c r="CY33" s="17">
        <f>IF(AND(100&gt;=$B$8,100&lt;=$D$8),1,0)</f>
        <v/>
      </c>
      <c r="CZ33" s="17">
        <f>IF(AND(101&gt;=$B$8,101&lt;=$D$8),1,0)</f>
        <v/>
      </c>
      <c r="DA33" s="17">
        <f>IF(AND(102&gt;=$B$8,102&lt;=$D$8),1,0)</f>
        <v/>
      </c>
      <c r="DB33" s="17">
        <f>IF(AND(103&gt;=$B$8,103&lt;=$D$8),1,0)</f>
        <v/>
      </c>
      <c r="DC33" s="17">
        <f>IF(AND(104&gt;=$B$8,104&lt;=$D$8),1,0)</f>
        <v/>
      </c>
      <c r="DD33" s="17">
        <f>IF(AND(105&gt;=$B$8,105&lt;=$D$8),1,0)</f>
        <v/>
      </c>
      <c r="DE33" s="17">
        <f>IF(AND(106&gt;=$B$8,106&lt;=$D$8),1,0)</f>
        <v/>
      </c>
      <c r="DF33" s="17">
        <f>IF(AND(107&gt;=$B$8,107&lt;=$D$8),1,0)</f>
        <v/>
      </c>
      <c r="DG33" s="17">
        <f>IF(AND(108&gt;=$B$8,108&lt;=$D$8),1,0)</f>
        <v/>
      </c>
      <c r="DH33" s="17">
        <f>IF(AND(109&gt;=$B$8,109&lt;=$D$8),1,0)</f>
        <v/>
      </c>
      <c r="DI33" s="17">
        <f>IF(AND(110&gt;=$B$8,110&lt;=$D$8),1,0)</f>
        <v/>
      </c>
      <c r="DJ33" s="17">
        <f>IF(AND(111&gt;=$B$8,111&lt;=$D$8),1,0)</f>
        <v/>
      </c>
      <c r="DK33" s="17">
        <f>IF(AND(112&gt;=$B$8,112&lt;=$D$8),1,0)</f>
        <v/>
      </c>
      <c r="DL33" s="17">
        <f>IF(AND(113&gt;=$B$8,113&lt;=$D$8),1,0)</f>
        <v/>
      </c>
      <c r="DM33" s="17">
        <f>IF(AND(114&gt;=$B$8,114&lt;=$D$8),1,0)</f>
        <v/>
      </c>
      <c r="DN33" s="17">
        <f>IF(AND(115&gt;=$B$8,115&lt;=$D$8),1,0)</f>
        <v/>
      </c>
      <c r="DO33" s="17">
        <f>IF(AND(116&gt;=$B$8,116&lt;=$D$8),1,0)</f>
        <v/>
      </c>
      <c r="DP33" s="17">
        <f>IF(AND(117&gt;=$B$8,117&lt;=$D$8),1,0)</f>
        <v/>
      </c>
      <c r="DQ33" s="17">
        <f>IF(AND(118&gt;=$B$8,118&lt;=$D$8),1,0)</f>
        <v/>
      </c>
      <c r="DR33" s="17">
        <f>IF(AND(119&gt;=$B$8,119&lt;=$D$8),1,0)</f>
        <v/>
      </c>
      <c r="DS33" s="17">
        <f>IF(AND(120&gt;=$B$8,120&lt;=$D$8),1,0)</f>
        <v/>
      </c>
      <c r="DT33" s="17">
        <f>IF(AND(121&gt;=$B$8,121&lt;=$D$8),1,0)</f>
        <v/>
      </c>
      <c r="DU33" s="17">
        <f>IF(AND(122&gt;=$B$8,122&lt;=$D$8),1,0)</f>
        <v/>
      </c>
      <c r="DV33" s="17">
        <f>IF(AND(123&gt;=$B$8,123&lt;=$D$8),1,0)</f>
        <v/>
      </c>
      <c r="DW33" s="17">
        <f>IF(AND(124&gt;=$B$8,124&lt;=$D$8),1,0)</f>
        <v/>
      </c>
      <c r="DX33" s="17">
        <f>IF(AND(125&gt;=$B$8,125&lt;=$D$8),1,0)</f>
        <v/>
      </c>
      <c r="DY33" s="17">
        <f>IF(AND(126&gt;=$B$8,126&lt;=$D$8),1,0)</f>
        <v/>
      </c>
      <c r="DZ33" s="17">
        <f>IF(AND(127&gt;=$B$8,127&lt;=$D$8),1,0)</f>
        <v/>
      </c>
      <c r="EA33" s="17">
        <f>IF(AND(128&gt;=$B$8,128&lt;=$D$8),1,0)</f>
        <v/>
      </c>
      <c r="EB33" s="17">
        <f>IF(AND(129&gt;=$B$8,129&lt;=$D$8),1,0)</f>
        <v/>
      </c>
      <c r="EC33" s="17">
        <f>IF(AND(130&gt;=$B$8,130&lt;=$D$8),1,0)</f>
        <v/>
      </c>
      <c r="ED33" s="17">
        <f>IF(AND(131&gt;=$B$8,131&lt;=$D$8),1,0)</f>
        <v/>
      </c>
      <c r="EE33" s="17">
        <f>IF(AND(132&gt;=$B$8,132&lt;=$D$8),1,0)</f>
        <v/>
      </c>
      <c r="EF33" s="17">
        <f>IF(AND(133&gt;=$B$8,133&lt;=$D$8),1,0)</f>
        <v/>
      </c>
      <c r="EG33" s="17">
        <f>IF(AND(134&gt;=$B$8,134&lt;=$D$8),1,0)</f>
        <v/>
      </c>
      <c r="EH33" s="17">
        <f>IF(AND(135&gt;=$B$8,135&lt;=$D$8),1,0)</f>
        <v/>
      </c>
      <c r="EI33" s="17">
        <f>IF(AND(136&gt;=$B$8,136&lt;=$D$8),1,0)</f>
        <v/>
      </c>
      <c r="EJ33" s="17">
        <f>IF(AND(137&gt;=$B$8,137&lt;=$D$8),1,0)</f>
        <v/>
      </c>
      <c r="EK33" s="17">
        <f>IF(AND(138&gt;=$B$8,138&lt;=$D$8),1,0)</f>
        <v/>
      </c>
      <c r="EL33" s="17">
        <f>IF(AND(139&gt;=$B$8,139&lt;=$D$8),1,0)</f>
        <v/>
      </c>
      <c r="EM33" s="17">
        <f>IF(AND(140&gt;=$B$8,140&lt;=$D$8),1,0)</f>
        <v/>
      </c>
      <c r="EN33" s="17">
        <f>IF(AND(141&gt;=$B$8,141&lt;=$D$8),1,0)</f>
        <v/>
      </c>
      <c r="EO33" s="17">
        <f>IF(AND(142&gt;=$B$8,142&lt;=$D$8),1,0)</f>
        <v/>
      </c>
      <c r="EP33" s="17">
        <f>IF(AND(143&gt;=$B$8,143&lt;=$D$8),1,0)</f>
        <v/>
      </c>
      <c r="EQ33" s="17">
        <f>IF(AND(144&gt;=$B$8,144&lt;=$D$8),1,0)</f>
        <v/>
      </c>
      <c r="ER33" s="17">
        <f>IF(AND(145&gt;=$B$8,145&lt;=$D$8),1,0)</f>
        <v/>
      </c>
      <c r="ES33" s="17">
        <f>IF(AND(146&gt;=$B$8,146&lt;=$D$8),1,0)</f>
        <v/>
      </c>
      <c r="ET33" s="17">
        <f>IF(AND(147&gt;=$B$8,147&lt;=$D$8),1,0)</f>
        <v/>
      </c>
      <c r="EU33" s="17">
        <f>IF(AND(148&gt;=$B$8,148&lt;=$D$8),1,0)</f>
        <v/>
      </c>
      <c r="EV33" s="17">
        <f>IF(AND(149&gt;=$B$8,149&lt;=$D$8),1,0)</f>
        <v/>
      </c>
      <c r="EW33" s="17">
        <f>IF(AND(150&gt;=$B$8,150&lt;=$D$8),1,0)</f>
        <v/>
      </c>
      <c r="EX33" s="17">
        <f>IF(AND(151&gt;=$B$8,151&lt;=$D$8),1,0)</f>
        <v/>
      </c>
      <c r="EY33" s="17">
        <f>IF(AND(152&gt;=$B$8,152&lt;=$D$8),1,0)</f>
        <v/>
      </c>
      <c r="EZ33" s="17">
        <f>IF(AND(153&gt;=$B$8,153&lt;=$D$8),1,0)</f>
        <v/>
      </c>
      <c r="FA33" s="17">
        <f>IF(AND(154&gt;=$B$8,154&lt;=$D$8),1,0)</f>
        <v/>
      </c>
      <c r="FB33" s="17">
        <f>IF(AND(155&gt;=$B$8,155&lt;=$D$8),1,0)</f>
        <v/>
      </c>
      <c r="FC33" s="17">
        <f>IF(AND(156&gt;=$B$8,156&lt;=$D$8),1,0)</f>
        <v/>
      </c>
      <c r="FD33" s="17">
        <f>IF(AND(157&gt;=$B$8,157&lt;=$D$8),1,0)</f>
        <v/>
      </c>
      <c r="FE33" s="17">
        <f>IF(AND(158&gt;=$B$8,158&lt;=$D$8),1,0)</f>
        <v/>
      </c>
      <c r="FF33" s="17">
        <f>IF(AND(159&gt;=$B$8,159&lt;=$D$8),1,0)</f>
        <v/>
      </c>
      <c r="FG33" s="17">
        <f>IF(AND(160&gt;=$B$8,160&lt;=$D$8),1,0)</f>
        <v/>
      </c>
      <c r="FH33" s="17">
        <f>IF(AND(161&gt;=$B$8,161&lt;=$D$8),1,0)</f>
        <v/>
      </c>
      <c r="FI33" s="17">
        <f>IF(AND(162&gt;=$B$8,162&lt;=$D$8),1,0)</f>
        <v/>
      </c>
      <c r="FJ33" s="17">
        <f>IF(AND(163&gt;=$B$8,163&lt;=$D$8),1,0)</f>
        <v/>
      </c>
      <c r="FK33" s="17">
        <f>IF(AND(164&gt;=$B$8,164&lt;=$D$8),1,0)</f>
        <v/>
      </c>
      <c r="FL33" s="17">
        <f>IF(AND(165&gt;=$B$8,165&lt;=$D$8),1,0)</f>
        <v/>
      </c>
      <c r="FM33" s="17">
        <f>IF(AND(166&gt;=$B$8,166&lt;=$D$8),1,0)</f>
        <v/>
      </c>
      <c r="FN33" s="17">
        <f>IF(AND(167&gt;=$B$8,167&lt;=$D$8),1,0)</f>
        <v/>
      </c>
      <c r="FO33" s="17">
        <f>IF(AND(168&gt;=$B$8,168&lt;=$D$8),1,0)</f>
        <v/>
      </c>
      <c r="FP33" s="17">
        <f>IF(AND(169&gt;=$B$8,169&lt;=$D$8),1,0)</f>
        <v/>
      </c>
      <c r="FQ33" s="17">
        <f>IF(AND(170&gt;=$B$8,170&lt;=$D$8),1,0)</f>
        <v/>
      </c>
      <c r="FR33" s="17">
        <f>IF(AND(171&gt;=$B$8,171&lt;=$D$8),1,0)</f>
        <v/>
      </c>
      <c r="FS33" s="17">
        <f>IF(AND(172&gt;=$B$8,172&lt;=$D$8),1,0)</f>
        <v/>
      </c>
      <c r="FT33" s="17">
        <f>IF(AND(173&gt;=$B$8,173&lt;=$D$8),1,0)</f>
        <v/>
      </c>
      <c r="FU33" s="17">
        <f>IF(AND(174&gt;=$B$8,174&lt;=$D$8),1,0)</f>
        <v/>
      </c>
      <c r="FV33" s="17">
        <f>IF(AND(175&gt;=$B$8,175&lt;=$D$8),1,0)</f>
        <v/>
      </c>
      <c r="FW33" s="17">
        <f>IF(AND(176&gt;=$B$8,176&lt;=$D$8),1,0)</f>
        <v/>
      </c>
      <c r="FX33" s="17">
        <f>IF(AND(177&gt;=$B$8,177&lt;=$D$8),1,0)</f>
        <v/>
      </c>
      <c r="FY33" s="17">
        <f>IF(AND(178&gt;=$B$8,178&lt;=$D$8),1,0)</f>
        <v/>
      </c>
      <c r="FZ33" s="17">
        <f>IF(AND(179&gt;=$B$8,179&lt;=$D$8),1,0)</f>
        <v/>
      </c>
      <c r="GA33" s="17">
        <f>IF(AND(180&gt;=$B$8,180&lt;=$D$8),1,0)</f>
        <v/>
      </c>
      <c r="GB33" s="17">
        <f>IF(AND(181&gt;=$B$8,181&lt;=$D$8),1,0)</f>
        <v/>
      </c>
      <c r="GC33" s="17">
        <f>IF(AND(182&gt;=$B$8,182&lt;=$D$8),1,0)</f>
        <v/>
      </c>
      <c r="GD33" s="17">
        <f>IF(AND(183&gt;=$B$8,183&lt;=$D$8),1,0)</f>
        <v/>
      </c>
      <c r="GE33" s="17">
        <f>IF(AND(184&gt;=$B$8,184&lt;=$D$8),1,0)</f>
        <v/>
      </c>
      <c r="GF33" s="17">
        <f>IF(AND(185&gt;=$B$8,185&lt;=$D$8),1,0)</f>
        <v/>
      </c>
      <c r="GG33" s="17">
        <f>IF(AND(186&gt;=$B$8,186&lt;=$D$8),1,0)</f>
        <v/>
      </c>
      <c r="GH33" s="17">
        <f>IF(AND(187&gt;=$B$8,187&lt;=$D$8),1,0)</f>
        <v/>
      </c>
      <c r="GI33" s="17">
        <f>IF(AND(188&gt;=$B$8,188&lt;=$D$8),1,0)</f>
        <v/>
      </c>
      <c r="GJ33" s="17">
        <f>IF(AND(189&gt;=$B$8,189&lt;=$D$8),1,0)</f>
        <v/>
      </c>
      <c r="GK33" s="17">
        <f>IF(AND(190&gt;=$B$8,190&lt;=$D$8),1,0)</f>
        <v/>
      </c>
      <c r="GL33" s="17">
        <f>IF(AND(191&gt;=$B$8,191&lt;=$D$8),1,0)</f>
        <v/>
      </c>
      <c r="GM33" s="17">
        <f>IF(AND(192&gt;=$B$8,192&lt;=$D$8),1,0)</f>
        <v/>
      </c>
      <c r="GN33" s="17">
        <f>IF(AND(193&gt;=$B$8,193&lt;=$D$8),1,0)</f>
        <v/>
      </c>
      <c r="GO33" s="17">
        <f>IF(AND(194&gt;=$B$8,194&lt;=$D$8),1,0)</f>
        <v/>
      </c>
      <c r="GP33" s="17">
        <f>IF(AND(195&gt;=$B$8,195&lt;=$D$8),1,0)</f>
        <v/>
      </c>
      <c r="GQ33" s="17">
        <f>IF(AND(196&gt;=$B$8,196&lt;=$D$8),1,0)</f>
        <v/>
      </c>
      <c r="GR33" s="17">
        <f>IF(AND(197&gt;=$B$8,197&lt;=$D$8),1,0)</f>
        <v/>
      </c>
      <c r="GS33" s="17">
        <f>IF(AND(198&gt;=$B$8,198&lt;=$D$8),1,0)</f>
        <v/>
      </c>
      <c r="GT33" s="17">
        <f>IF(AND(199&gt;=$B$8,199&lt;=$D$8),1,0)</f>
        <v/>
      </c>
      <c r="GU33" s="17">
        <f>IF(AND(200&gt;=$B$8,200&lt;=$D$8),1,0)</f>
        <v/>
      </c>
      <c r="GV33" s="17">
        <f>IF(AND(201&gt;=$B$8,201&lt;=$D$8),1,0)</f>
        <v/>
      </c>
      <c r="GW33" s="17">
        <f>IF(AND(202&gt;=$B$8,202&lt;=$D$8),1,0)</f>
        <v/>
      </c>
      <c r="GX33" s="17">
        <f>IF(AND(203&gt;=$B$8,203&lt;=$D$8),1,0)</f>
        <v/>
      </c>
      <c r="GY33" s="17">
        <f>IF(AND(204&gt;=$B$8,204&lt;=$D$8),1,0)</f>
        <v/>
      </c>
      <c r="GZ33" s="17">
        <f>IF(AND(205&gt;=$B$8,205&lt;=$D$8),1,0)</f>
        <v/>
      </c>
      <c r="HA33" s="17">
        <f>IF(AND(206&gt;=$B$8,206&lt;=$D$8),1,0)</f>
        <v/>
      </c>
      <c r="HB33" s="17">
        <f>IF(AND(207&gt;=$B$8,207&lt;=$D$8),1,0)</f>
        <v/>
      </c>
      <c r="HC33" s="17">
        <f>IF(AND(208&gt;=$B$8,208&lt;=$D$8),1,0)</f>
        <v/>
      </c>
      <c r="HD33" s="17">
        <f>IF(AND(209&gt;=$B$8,209&lt;=$D$8),1,0)</f>
        <v/>
      </c>
      <c r="HE33" s="17">
        <f>IF(AND(210&gt;=$B$8,210&lt;=$D$8),1,0)</f>
        <v/>
      </c>
      <c r="HF33" s="17">
        <f>IF(AND(211&gt;=$B$8,211&lt;=$D$8),1,0)</f>
        <v/>
      </c>
      <c r="HG33" s="17">
        <f>IF(AND(212&gt;=$B$8,212&lt;=$D$8),1,0)</f>
        <v/>
      </c>
      <c r="HH33" s="17">
        <f>IF(AND(213&gt;=$B$8,213&lt;=$D$8),1,0)</f>
        <v/>
      </c>
      <c r="HI33" s="17">
        <f>IF(AND(214&gt;=$B$8,214&lt;=$D$8),1,0)</f>
        <v/>
      </c>
      <c r="HJ33" s="17">
        <f>IF(AND(215&gt;=$B$8,215&lt;=$D$8),1,0)</f>
        <v/>
      </c>
      <c r="HK33" s="17">
        <f>IF(AND(216&gt;=$B$8,216&lt;=$D$8),1,0)</f>
        <v/>
      </c>
      <c r="HL33" s="17">
        <f>IF(AND(217&gt;=$B$8,217&lt;=$D$8),1,0)</f>
        <v/>
      </c>
      <c r="HM33" s="17">
        <f>IF(AND(218&gt;=$B$8,218&lt;=$D$8),1,0)</f>
        <v/>
      </c>
      <c r="HN33" s="17">
        <f>IF(AND(219&gt;=$B$8,219&lt;=$D$8),1,0)</f>
        <v/>
      </c>
      <c r="HO33" s="17">
        <f>IF(AND(220&gt;=$B$8,220&lt;=$D$8),1,0)</f>
        <v/>
      </c>
      <c r="HP33" s="17">
        <f>IF(AND(221&gt;=$B$8,221&lt;=$D$8),1,0)</f>
        <v/>
      </c>
      <c r="HQ33" s="17">
        <f>IF(AND(222&gt;=$B$8,222&lt;=$D$8),1,0)</f>
        <v/>
      </c>
      <c r="HR33" s="17">
        <f>IF(AND(223&gt;=$B$8,223&lt;=$D$8),1,0)</f>
        <v/>
      </c>
      <c r="HS33" s="17">
        <f>IF(AND(224&gt;=$B$8,224&lt;=$D$8),1,0)</f>
        <v/>
      </c>
      <c r="HT33" s="17">
        <f>IF(AND(225&gt;=$B$8,225&lt;=$D$8),1,0)</f>
        <v/>
      </c>
      <c r="HU33" s="17">
        <f>IF(AND(226&gt;=$B$8,226&lt;=$D$8),1,0)</f>
        <v/>
      </c>
      <c r="HV33" s="17">
        <f>IF(AND(227&gt;=$B$8,227&lt;=$D$8),1,0)</f>
        <v/>
      </c>
      <c r="HW33" s="17">
        <f>IF(AND(228&gt;=$B$8,228&lt;=$D$8),1,0)</f>
        <v/>
      </c>
      <c r="HX33" s="17">
        <f>IF(AND(229&gt;=$B$8,229&lt;=$D$8),1,0)</f>
        <v/>
      </c>
      <c r="HY33" s="17">
        <f>IF(AND(230&gt;=$B$8,230&lt;=$D$8),1,0)</f>
        <v/>
      </c>
      <c r="HZ33" s="17">
        <f>IF(AND(231&gt;=$B$8,231&lt;=$D$8),1,0)</f>
        <v/>
      </c>
      <c r="IA33" s="17">
        <f>IF(AND(232&gt;=$B$8,232&lt;=$D$8),1,0)</f>
        <v/>
      </c>
      <c r="IB33" s="17">
        <f>IF(AND(233&gt;=$B$8,233&lt;=$D$8),1,0)</f>
        <v/>
      </c>
      <c r="IC33" s="17">
        <f>IF(AND(234&gt;=$B$8,234&lt;=$D$8),1,0)</f>
        <v/>
      </c>
      <c r="ID33" s="17">
        <f>IF(AND(235&gt;=$B$8,235&lt;=$D$8),1,0)</f>
        <v/>
      </c>
      <c r="IE33" s="17">
        <f>IF(AND(236&gt;=$B$8,236&lt;=$D$8),1,0)</f>
        <v/>
      </c>
      <c r="IF33" s="17">
        <f>IF(AND(237&gt;=$B$8,237&lt;=$D$8),1,0)</f>
        <v/>
      </c>
      <c r="IG33" s="17">
        <f>IF(AND(238&gt;=$B$8,238&lt;=$D$8),1,0)</f>
        <v/>
      </c>
      <c r="IH33" s="17">
        <f>IF(AND(239&gt;=$B$8,239&lt;=$D$8),1,0)</f>
        <v/>
      </c>
      <c r="II33" s="17">
        <f>IF(AND(240&gt;=$B$8,240&lt;=$D$8),1,0)</f>
        <v/>
      </c>
      <c r="IJ33" s="17">
        <f>IF(AND(241&gt;=$B$8,241&lt;=$D$8),1,0)</f>
        <v/>
      </c>
      <c r="IK33" s="17">
        <f>IF(AND(242&gt;=$B$8,242&lt;=$D$8),1,0)</f>
        <v/>
      </c>
      <c r="IL33" s="17">
        <f>IF(AND(243&gt;=$B$8,243&lt;=$D$8),1,0)</f>
        <v/>
      </c>
      <c r="IM33" s="17">
        <f>IF(AND(244&gt;=$B$8,244&lt;=$D$8),1,0)</f>
        <v/>
      </c>
      <c r="IN33" s="17">
        <f>IF(AND(245&gt;=$B$8,245&lt;=$D$8),1,0)</f>
        <v/>
      </c>
      <c r="IO33" s="17">
        <f>IF(AND(246&gt;=$B$8,246&lt;=$D$8),1,0)</f>
        <v/>
      </c>
      <c r="IP33" s="17">
        <f>IF(AND(247&gt;=$B$8,247&lt;=$D$8),1,0)</f>
        <v/>
      </c>
      <c r="IQ33" s="17">
        <f>IF(AND(248&gt;=$B$8,248&lt;=$D$8),1,0)</f>
        <v/>
      </c>
      <c r="IR33" s="17">
        <f>IF(AND(249&gt;=$B$8,249&lt;=$D$8),1,0)</f>
        <v/>
      </c>
      <c r="IS33" s="17">
        <f>IF(AND(250&gt;=$B$8,250&lt;=$D$8),1,0)</f>
        <v/>
      </c>
      <c r="IT33" s="17">
        <f>IF(AND(251&gt;=$B$8,251&lt;=$D$8),1,0)</f>
        <v/>
      </c>
      <c r="IU33" s="17">
        <f>IF(AND(252&gt;=$B$8,252&lt;=$D$8),1,0)</f>
        <v/>
      </c>
      <c r="IV33" s="17">
        <f>IF(AND(253&gt;=$B$8,253&lt;=$D$8),1,0)</f>
        <v/>
      </c>
      <c r="IW33" s="17">
        <f>IF(AND(254&gt;=$B$8,254&lt;=$D$8),1,0)</f>
        <v/>
      </c>
      <c r="IX33" s="17">
        <f>IF(AND(255&gt;=$B$8,255&lt;=$D$8),1,0)</f>
        <v/>
      </c>
      <c r="IY33" s="17">
        <f>IF(AND(256&gt;=$B$8,256&lt;=$D$8),1,0)</f>
        <v/>
      </c>
      <c r="IZ33" s="17">
        <f>IF(AND(257&gt;=$B$8,257&lt;=$D$8),1,0)</f>
        <v/>
      </c>
      <c r="JA33" s="17">
        <f>IF(AND(258&gt;=$B$8,258&lt;=$D$8),1,0)</f>
        <v/>
      </c>
      <c r="JB33" s="17">
        <f>IF(AND(259&gt;=$B$8,259&lt;=$D$8),1,0)</f>
        <v/>
      </c>
      <c r="JC33" s="17">
        <f>IF(AND(260&gt;=$B$8,260&lt;=$D$8),1,0)</f>
        <v/>
      </c>
      <c r="JD33" s="17">
        <f>IF(AND(261&gt;=$B$8,261&lt;=$D$8),1,0)</f>
        <v/>
      </c>
      <c r="JE33" s="17">
        <f>IF(AND(262&gt;=$B$8,262&lt;=$D$8),1,0)</f>
        <v/>
      </c>
      <c r="JF33" s="17">
        <f>IF(AND(263&gt;=$B$8,263&lt;=$D$8),1,0)</f>
        <v/>
      </c>
      <c r="JG33" s="17">
        <f>IF(AND(264&gt;=$B$8,264&lt;=$D$8),1,0)</f>
        <v/>
      </c>
      <c r="JH33" s="17">
        <f>IF(AND(265&gt;=$B$8,265&lt;=$D$8),1,0)</f>
        <v/>
      </c>
      <c r="JI33" s="17">
        <f>IF(AND(266&gt;=$B$8,266&lt;=$D$8),1,0)</f>
        <v/>
      </c>
      <c r="JJ33" s="17">
        <f>IF(AND(267&gt;=$B$8,267&lt;=$D$8),1,0)</f>
        <v/>
      </c>
      <c r="JK33" s="17">
        <f>IF(AND(268&gt;=$B$8,268&lt;=$D$8),1,0)</f>
        <v/>
      </c>
      <c r="JL33" s="17">
        <f>IF(AND(269&gt;=$B$8,269&lt;=$D$8),1,0)</f>
        <v/>
      </c>
      <c r="JM33" s="17">
        <f>IF(AND(270&gt;=$B$8,270&lt;=$D$8),1,0)</f>
        <v/>
      </c>
      <c r="JN33" s="17">
        <f>IF(AND(271&gt;=$B$8,271&lt;=$D$8),1,0)</f>
        <v/>
      </c>
      <c r="JO33" s="17">
        <f>IF(AND(272&gt;=$B$8,272&lt;=$D$8),1,0)</f>
        <v/>
      </c>
      <c r="JP33" s="17">
        <f>IF(AND(273&gt;=$B$8,273&lt;=$D$8),1,0)</f>
        <v/>
      </c>
      <c r="JQ33" s="17">
        <f>IF(AND(274&gt;=$B$8,274&lt;=$D$8),1,0)</f>
        <v/>
      </c>
      <c r="JR33" s="17">
        <f>IF(AND(275&gt;=$B$8,275&lt;=$D$8),1,0)</f>
        <v/>
      </c>
      <c r="JS33" s="17">
        <f>IF(AND(276&gt;=$B$8,276&lt;=$D$8),1,0)</f>
        <v/>
      </c>
      <c r="JT33" s="17">
        <f>IF(AND(277&gt;=$B$8,277&lt;=$D$8),1,0)</f>
        <v/>
      </c>
      <c r="JU33" s="17">
        <f>IF(AND(278&gt;=$B$8,278&lt;=$D$8),1,0)</f>
        <v/>
      </c>
      <c r="JV33" s="17">
        <f>IF(AND(279&gt;=$B$8,279&lt;=$D$8),1,0)</f>
        <v/>
      </c>
      <c r="JW33" s="17">
        <f>IF(AND(280&gt;=$B$8,280&lt;=$D$8),1,0)</f>
        <v/>
      </c>
      <c r="JX33" s="17">
        <f>IF(AND(281&gt;=$B$8,281&lt;=$D$8),1,0)</f>
        <v/>
      </c>
      <c r="JY33" s="17">
        <f>IF(AND(282&gt;=$B$8,282&lt;=$D$8),1,0)</f>
        <v/>
      </c>
      <c r="JZ33" s="17">
        <f>IF(AND(283&gt;=$B$8,283&lt;=$D$8),1,0)</f>
        <v/>
      </c>
      <c r="KA33" s="17">
        <f>IF(AND(284&gt;=$B$8,284&lt;=$D$8),1,0)</f>
        <v/>
      </c>
      <c r="KB33" s="17">
        <f>IF(AND(285&gt;=$B$8,285&lt;=$D$8),1,0)</f>
        <v/>
      </c>
      <c r="KC33" s="17">
        <f>IF(AND(286&gt;=$B$8,286&lt;=$D$8),1,0)</f>
        <v/>
      </c>
      <c r="KD33" s="17">
        <f>IF(AND(287&gt;=$B$8,287&lt;=$D$8),1,0)</f>
        <v/>
      </c>
      <c r="KE33" s="17">
        <f>IF(AND(288&gt;=$B$8,288&lt;=$D$8),1,0)</f>
        <v/>
      </c>
      <c r="KF33" s="17">
        <f>IF(AND(289&gt;=$B$8,289&lt;=$D$8),1,0)</f>
        <v/>
      </c>
      <c r="KG33" s="17">
        <f>IF(AND(290&gt;=$B$8,290&lt;=$D$8),1,0)</f>
        <v/>
      </c>
      <c r="KH33" s="17">
        <f>IF(AND(291&gt;=$B$8,291&lt;=$D$8),1,0)</f>
        <v/>
      </c>
      <c r="KI33" s="17">
        <f>IF(AND(292&gt;=$B$8,292&lt;=$D$8),1,0)</f>
        <v/>
      </c>
      <c r="KJ33" s="17">
        <f>IF(AND(293&gt;=$B$8,293&lt;=$D$8),1,0)</f>
        <v/>
      </c>
      <c r="KK33" s="17">
        <f>IF(AND(294&gt;=$B$8,294&lt;=$D$8),1,0)</f>
        <v/>
      </c>
      <c r="KL33" s="17">
        <f>IF(AND(295&gt;=$B$8,295&lt;=$D$8),1,0)</f>
        <v/>
      </c>
      <c r="KM33" s="17">
        <f>IF(AND(296&gt;=$B$8,296&lt;=$D$8),1,0)</f>
        <v/>
      </c>
      <c r="KN33" s="17">
        <f>IF(AND(297&gt;=$B$8,297&lt;=$D$8),1,0)</f>
        <v/>
      </c>
      <c r="KO33" s="17">
        <f>IF(AND(298&gt;=$B$8,298&lt;=$D$8),1,0)</f>
        <v/>
      </c>
      <c r="KP33" s="17">
        <f>IF(AND(299&gt;=$B$8,299&lt;=$D$8),1,0)</f>
        <v/>
      </c>
      <c r="KQ33" s="17">
        <f>IF(AND(300&gt;=$B$8,300&lt;=$D$8),1,0)</f>
        <v/>
      </c>
      <c r="KR33" s="17">
        <f>IF(AND(301&gt;=$B$8,301&lt;=$D$8),1,0)</f>
        <v/>
      </c>
      <c r="KS33" s="17">
        <f>IF(AND(302&gt;=$B$8,302&lt;=$D$8),1,0)</f>
        <v/>
      </c>
      <c r="KT33" s="17">
        <f>IF(AND(303&gt;=$B$8,303&lt;=$D$8),1,0)</f>
        <v/>
      </c>
      <c r="KU33" s="17">
        <f>IF(AND(304&gt;=$B$8,304&lt;=$D$8),1,0)</f>
        <v/>
      </c>
      <c r="KV33" s="17">
        <f>IF(AND(305&gt;=$B$8,305&lt;=$D$8),1,0)</f>
        <v/>
      </c>
      <c r="KW33" s="17">
        <f>IF(AND(306&gt;=$B$8,306&lt;=$D$8),1,0)</f>
        <v/>
      </c>
      <c r="KX33" s="17">
        <f>IF(AND(307&gt;=$B$8,307&lt;=$D$8),1,0)</f>
        <v/>
      </c>
      <c r="KY33" s="17">
        <f>IF(AND(308&gt;=$B$8,308&lt;=$D$8),1,0)</f>
        <v/>
      </c>
      <c r="KZ33" s="17">
        <f>IF(AND(309&gt;=$B$8,309&lt;=$D$8),1,0)</f>
        <v/>
      </c>
      <c r="LA33" s="17">
        <f>IF(AND(310&gt;=$B$8,310&lt;=$D$8),1,0)</f>
        <v/>
      </c>
      <c r="LB33" s="17">
        <f>IF(AND(311&gt;=$B$8,311&lt;=$D$8),1,0)</f>
        <v/>
      </c>
      <c r="LC33" s="17">
        <f>IF(AND(312&gt;=$B$8,312&lt;=$D$8),1,0)</f>
        <v/>
      </c>
      <c r="LD33" s="17">
        <f>IF(AND(313&gt;=$B$8,313&lt;=$D$8),1,0)</f>
        <v/>
      </c>
      <c r="LE33" s="17">
        <f>IF(AND(314&gt;=$B$8,314&lt;=$D$8),1,0)</f>
        <v/>
      </c>
      <c r="LF33" s="17">
        <f>IF(AND(315&gt;=$B$8,315&lt;=$D$8),1,0)</f>
        <v/>
      </c>
      <c r="LG33" s="17">
        <f>IF(AND(316&gt;=$B$8,316&lt;=$D$8),1,0)</f>
        <v/>
      </c>
      <c r="LH33" s="17">
        <f>IF(AND(317&gt;=$B$8,317&lt;=$D$8),1,0)</f>
        <v/>
      </c>
      <c r="LI33" s="17">
        <f>IF(AND(318&gt;=$B$8,318&lt;=$D$8),1,0)</f>
        <v/>
      </c>
      <c r="LJ33" s="17">
        <f>IF(AND(319&gt;=$B$8,319&lt;=$D$8),1,0)</f>
        <v/>
      </c>
      <c r="LK33" s="17">
        <f>IF(AND(320&gt;=$B$8,320&lt;=$D$8),1,0)</f>
        <v/>
      </c>
      <c r="LL33" s="17">
        <f>IF(AND(321&gt;=$B$8,321&lt;=$D$8),1,0)</f>
        <v/>
      </c>
      <c r="LM33" s="17">
        <f>IF(AND(322&gt;=$B$8,322&lt;=$D$8),1,0)</f>
        <v/>
      </c>
      <c r="LN33" s="17">
        <f>IF(AND(323&gt;=$B$8,323&lt;=$D$8),1,0)</f>
        <v/>
      </c>
      <c r="LO33" s="17">
        <f>IF(AND(324&gt;=$B$8,324&lt;=$D$8),1,0)</f>
        <v/>
      </c>
      <c r="LP33" s="17">
        <f>IF(AND(325&gt;=$B$8,325&lt;=$D$8),1,0)</f>
        <v/>
      </c>
      <c r="LQ33" s="17">
        <f>IF(AND(326&gt;=$B$8,326&lt;=$D$8),1,0)</f>
        <v/>
      </c>
      <c r="LR33" s="17">
        <f>IF(AND(327&gt;=$B$8,327&lt;=$D$8),1,0)</f>
        <v/>
      </c>
      <c r="LS33" s="17">
        <f>IF(AND(328&gt;=$B$8,328&lt;=$D$8),1,0)</f>
        <v/>
      </c>
      <c r="LT33" s="17">
        <f>IF(AND(329&gt;=$B$8,329&lt;=$D$8),1,0)</f>
        <v/>
      </c>
      <c r="LU33" s="17">
        <f>IF(AND(330&gt;=$B$8,330&lt;=$D$8),1,0)</f>
        <v/>
      </c>
      <c r="LV33" s="17">
        <f>IF(AND(331&gt;=$B$8,331&lt;=$D$8),1,0)</f>
        <v/>
      </c>
      <c r="LW33" s="17">
        <f>IF(AND(332&gt;=$B$8,332&lt;=$D$8),1,0)</f>
        <v/>
      </c>
      <c r="LX33" s="17">
        <f>IF(AND(333&gt;=$B$8,333&lt;=$D$8),1,0)</f>
        <v/>
      </c>
      <c r="LY33" s="17">
        <f>IF(AND(334&gt;=$B$8,334&lt;=$D$8),1,0)</f>
        <v/>
      </c>
      <c r="LZ33" s="17">
        <f>IF(AND(335&gt;=$B$8,335&lt;=$D$8),1,0)</f>
        <v/>
      </c>
      <c r="MA33" s="17">
        <f>IF(AND(336&gt;=$B$8,336&lt;=$D$8),1,0)</f>
        <v/>
      </c>
      <c r="MB33" s="17">
        <f>IF(AND(337&gt;=$B$8,337&lt;=$D$8),1,0)</f>
        <v/>
      </c>
      <c r="MC33" s="17">
        <f>IF(AND(338&gt;=$B$8,338&lt;=$D$8),1,0)</f>
        <v/>
      </c>
      <c r="MD33" s="17">
        <f>IF(AND(339&gt;=$B$8,339&lt;=$D$8),1,0)</f>
        <v/>
      </c>
      <c r="ME33" s="17">
        <f>IF(AND(340&gt;=$B$8,340&lt;=$D$8),1,0)</f>
        <v/>
      </c>
      <c r="MF33" s="17">
        <f>IF(AND(341&gt;=$B$8,341&lt;=$D$8),1,0)</f>
        <v/>
      </c>
      <c r="MG33" s="17">
        <f>IF(AND(342&gt;=$B$8,342&lt;=$D$8),1,0)</f>
        <v/>
      </c>
      <c r="MH33" s="17">
        <f>IF(AND(343&gt;=$B$8,343&lt;=$D$8),1,0)</f>
        <v/>
      </c>
      <c r="MI33" s="17">
        <f>IF(AND(344&gt;=$B$8,344&lt;=$D$8),1,0)</f>
        <v/>
      </c>
      <c r="MJ33" s="17">
        <f>IF(AND(345&gt;=$B$8,345&lt;=$D$8),1,0)</f>
        <v/>
      </c>
      <c r="MK33" s="17">
        <f>IF(AND(346&gt;=$B$8,346&lt;=$D$8),1,0)</f>
        <v/>
      </c>
      <c r="ML33" s="17">
        <f>IF(AND(347&gt;=$B$8,347&lt;=$D$8),1,0)</f>
        <v/>
      </c>
      <c r="MM33" s="17">
        <f>IF(AND(348&gt;=$B$8,348&lt;=$D$8),1,0)</f>
        <v/>
      </c>
      <c r="MN33" s="17">
        <f>IF(AND(349&gt;=$B$8,349&lt;=$D$8),1,0)</f>
        <v/>
      </c>
      <c r="MO33" s="17">
        <f>IF(AND(350&gt;=$B$8,350&lt;=$D$8),1,0)</f>
        <v/>
      </c>
      <c r="MP33" s="17">
        <f>IF(AND(351&gt;=$B$8,351&lt;=$D$8),1,0)</f>
        <v/>
      </c>
      <c r="MQ33" s="17">
        <f>IF(AND(352&gt;=$B$8,352&lt;=$D$8),1,0)</f>
        <v/>
      </c>
      <c r="MR33" s="17">
        <f>IF(AND(353&gt;=$B$8,353&lt;=$D$8),1,0)</f>
        <v/>
      </c>
      <c r="MS33" s="17">
        <f>IF(AND(354&gt;=$B$8,354&lt;=$D$8),1,0)</f>
        <v/>
      </c>
      <c r="MT33" s="17">
        <f>IF(AND(355&gt;=$B$8,355&lt;=$D$8),1,0)</f>
        <v/>
      </c>
      <c r="MU33" s="17">
        <f>IF(AND(356&gt;=$B$8,356&lt;=$D$8),1,0)</f>
        <v/>
      </c>
      <c r="MV33" s="17">
        <f>IF(AND(357&gt;=$B$8,357&lt;=$D$8),1,0)</f>
        <v/>
      </c>
      <c r="MW33" s="17">
        <f>IF(AND(358&gt;=$B$8,358&lt;=$D$8),1,0)</f>
        <v/>
      </c>
      <c r="MX33" s="17">
        <f>IF(AND(359&gt;=$B$8,359&lt;=$D$8),1,0)</f>
        <v/>
      </c>
      <c r="MY33" s="17">
        <f>IF(AND(360&gt;=$B$8,360&lt;=$D$8),1,0)</f>
        <v/>
      </c>
      <c r="MZ33" s="17">
        <f>IF(AND(361&gt;=$B$8,361&lt;=$D$8),1,0)</f>
        <v/>
      </c>
      <c r="NA33" s="17">
        <f>IF(AND(362&gt;=$B$8,362&lt;=$D$8),1,0)</f>
        <v/>
      </c>
      <c r="NB33" s="17">
        <f>IF(AND(363&gt;=$B$8,363&lt;=$D$8),1,0)</f>
        <v/>
      </c>
      <c r="NC33" s="17">
        <f>IF(AND(364&gt;=$B$8,364&lt;=$D$8),1,0)</f>
        <v/>
      </c>
      <c r="ND33" s="17">
        <f>IF(AND(365&gt;=$B$8,365&lt;=$D$8),1,0)</f>
        <v/>
      </c>
      <c r="NE33" s="17">
        <f>IF(AND(366&gt;=$B$8,366&lt;=$D$8),1,0)</f>
        <v/>
      </c>
      <c r="NF33" s="17">
        <f>IF(AND(367&gt;=$B$8,367&lt;=$D$8),1,0)</f>
        <v/>
      </c>
      <c r="NG33" s="17">
        <f>IF(AND(368&gt;=$B$8,368&lt;=$D$8),1,0)</f>
        <v/>
      </c>
      <c r="NH33" s="17">
        <f>IF(AND(369&gt;=$B$8,369&lt;=$D$8),1,0)</f>
        <v/>
      </c>
      <c r="NI33" s="17">
        <f>IF(AND(370&gt;=$B$8,370&lt;=$D$8),1,0)</f>
        <v/>
      </c>
      <c r="NJ33" s="17">
        <f>IF(AND(371&gt;=$B$8,371&lt;=$D$8),1,0)</f>
        <v/>
      </c>
      <c r="NK33" s="17">
        <f>IF(AND(372&gt;=$B$8,372&lt;=$D$8),1,0)</f>
        <v/>
      </c>
    </row>
    <row r="34">
      <c r="A34" s="5" t="inlineStr">
        <is>
          <t>Flag: Construction</t>
        </is>
      </c>
      <c r="C34" s="40" t="n"/>
      <c r="D34" s="17">
        <f>IF(AND(1&gt;=$B$9,1&lt;=$D$9),1,0)</f>
        <v/>
      </c>
      <c r="E34" s="17">
        <f>IF(AND(2&gt;=$B$9,2&lt;=$D$9),1,0)</f>
        <v/>
      </c>
      <c r="F34" s="17">
        <f>IF(AND(3&gt;=$B$9,3&lt;=$D$9),1,0)</f>
        <v/>
      </c>
      <c r="G34" s="17">
        <f>IF(AND(4&gt;=$B$9,4&lt;=$D$9),1,0)</f>
        <v/>
      </c>
      <c r="H34" s="17">
        <f>IF(AND(5&gt;=$B$9,5&lt;=$D$9),1,0)</f>
        <v/>
      </c>
      <c r="I34" s="17">
        <f>IF(AND(6&gt;=$B$9,6&lt;=$D$9),1,0)</f>
        <v/>
      </c>
      <c r="J34" s="17">
        <f>IF(AND(7&gt;=$B$9,7&lt;=$D$9),1,0)</f>
        <v/>
      </c>
      <c r="K34" s="17">
        <f>IF(AND(8&gt;=$B$9,8&lt;=$D$9),1,0)</f>
        <v/>
      </c>
      <c r="L34" s="17">
        <f>IF(AND(9&gt;=$B$9,9&lt;=$D$9),1,0)</f>
        <v/>
      </c>
      <c r="M34" s="17">
        <f>IF(AND(10&gt;=$B$9,10&lt;=$D$9),1,0)</f>
        <v/>
      </c>
      <c r="N34" s="17">
        <f>IF(AND(11&gt;=$B$9,11&lt;=$D$9),1,0)</f>
        <v/>
      </c>
      <c r="O34" s="17">
        <f>IF(AND(12&gt;=$B$9,12&lt;=$D$9),1,0)</f>
        <v/>
      </c>
      <c r="P34" s="17">
        <f>IF(AND(13&gt;=$B$9,13&lt;=$D$9),1,0)</f>
        <v/>
      </c>
      <c r="Q34" s="17">
        <f>IF(AND(14&gt;=$B$9,14&lt;=$D$9),1,0)</f>
        <v/>
      </c>
      <c r="R34" s="17">
        <f>IF(AND(15&gt;=$B$9,15&lt;=$D$9),1,0)</f>
        <v/>
      </c>
      <c r="S34" s="17">
        <f>IF(AND(16&gt;=$B$9,16&lt;=$D$9),1,0)</f>
        <v/>
      </c>
      <c r="T34" s="17">
        <f>IF(AND(17&gt;=$B$9,17&lt;=$D$9),1,0)</f>
        <v/>
      </c>
      <c r="U34" s="17">
        <f>IF(AND(18&gt;=$B$9,18&lt;=$D$9),1,0)</f>
        <v/>
      </c>
      <c r="V34" s="17">
        <f>IF(AND(19&gt;=$B$9,19&lt;=$D$9),1,0)</f>
        <v/>
      </c>
      <c r="W34" s="17">
        <f>IF(AND(20&gt;=$B$9,20&lt;=$D$9),1,0)</f>
        <v/>
      </c>
      <c r="X34" s="17">
        <f>IF(AND(21&gt;=$B$9,21&lt;=$D$9),1,0)</f>
        <v/>
      </c>
      <c r="Y34" s="17">
        <f>IF(AND(22&gt;=$B$9,22&lt;=$D$9),1,0)</f>
        <v/>
      </c>
      <c r="Z34" s="17">
        <f>IF(AND(23&gt;=$B$9,23&lt;=$D$9),1,0)</f>
        <v/>
      </c>
      <c r="AA34" s="17">
        <f>IF(AND(24&gt;=$B$9,24&lt;=$D$9),1,0)</f>
        <v/>
      </c>
      <c r="AB34" s="17">
        <f>IF(AND(25&gt;=$B$9,25&lt;=$D$9),1,0)</f>
        <v/>
      </c>
      <c r="AC34" s="17">
        <f>IF(AND(26&gt;=$B$9,26&lt;=$D$9),1,0)</f>
        <v/>
      </c>
      <c r="AD34" s="17">
        <f>IF(AND(27&gt;=$B$9,27&lt;=$D$9),1,0)</f>
        <v/>
      </c>
      <c r="AE34" s="17">
        <f>IF(AND(28&gt;=$B$9,28&lt;=$D$9),1,0)</f>
        <v/>
      </c>
      <c r="AF34" s="17">
        <f>IF(AND(29&gt;=$B$9,29&lt;=$D$9),1,0)</f>
        <v/>
      </c>
      <c r="AG34" s="17">
        <f>IF(AND(30&gt;=$B$9,30&lt;=$D$9),1,0)</f>
        <v/>
      </c>
      <c r="AH34" s="17">
        <f>IF(AND(31&gt;=$B$9,31&lt;=$D$9),1,0)</f>
        <v/>
      </c>
      <c r="AI34" s="17">
        <f>IF(AND(32&gt;=$B$9,32&lt;=$D$9),1,0)</f>
        <v/>
      </c>
      <c r="AJ34" s="17">
        <f>IF(AND(33&gt;=$B$9,33&lt;=$D$9),1,0)</f>
        <v/>
      </c>
      <c r="AK34" s="17">
        <f>IF(AND(34&gt;=$B$9,34&lt;=$D$9),1,0)</f>
        <v/>
      </c>
      <c r="AL34" s="17">
        <f>IF(AND(35&gt;=$B$9,35&lt;=$D$9),1,0)</f>
        <v/>
      </c>
      <c r="AM34" s="17">
        <f>IF(AND(36&gt;=$B$9,36&lt;=$D$9),1,0)</f>
        <v/>
      </c>
      <c r="AN34" s="17">
        <f>IF(AND(37&gt;=$B$9,37&lt;=$D$9),1,0)</f>
        <v/>
      </c>
      <c r="AO34" s="17">
        <f>IF(AND(38&gt;=$B$9,38&lt;=$D$9),1,0)</f>
        <v/>
      </c>
      <c r="AP34" s="17">
        <f>IF(AND(39&gt;=$B$9,39&lt;=$D$9),1,0)</f>
        <v/>
      </c>
      <c r="AQ34" s="17">
        <f>IF(AND(40&gt;=$B$9,40&lt;=$D$9),1,0)</f>
        <v/>
      </c>
      <c r="AR34" s="17">
        <f>IF(AND(41&gt;=$B$9,41&lt;=$D$9),1,0)</f>
        <v/>
      </c>
      <c r="AS34" s="17">
        <f>IF(AND(42&gt;=$B$9,42&lt;=$D$9),1,0)</f>
        <v/>
      </c>
      <c r="AT34" s="17">
        <f>IF(AND(43&gt;=$B$9,43&lt;=$D$9),1,0)</f>
        <v/>
      </c>
      <c r="AU34" s="17">
        <f>IF(AND(44&gt;=$B$9,44&lt;=$D$9),1,0)</f>
        <v/>
      </c>
      <c r="AV34" s="17">
        <f>IF(AND(45&gt;=$B$9,45&lt;=$D$9),1,0)</f>
        <v/>
      </c>
      <c r="AW34" s="17">
        <f>IF(AND(46&gt;=$B$9,46&lt;=$D$9),1,0)</f>
        <v/>
      </c>
      <c r="AX34" s="17">
        <f>IF(AND(47&gt;=$B$9,47&lt;=$D$9),1,0)</f>
        <v/>
      </c>
      <c r="AY34" s="17">
        <f>IF(AND(48&gt;=$B$9,48&lt;=$D$9),1,0)</f>
        <v/>
      </c>
      <c r="AZ34" s="17">
        <f>IF(AND(49&gt;=$B$9,49&lt;=$D$9),1,0)</f>
        <v/>
      </c>
      <c r="BA34" s="17">
        <f>IF(AND(50&gt;=$B$9,50&lt;=$D$9),1,0)</f>
        <v/>
      </c>
      <c r="BB34" s="17">
        <f>IF(AND(51&gt;=$B$9,51&lt;=$D$9),1,0)</f>
        <v/>
      </c>
      <c r="BC34" s="17">
        <f>IF(AND(52&gt;=$B$9,52&lt;=$D$9),1,0)</f>
        <v/>
      </c>
      <c r="BD34" s="17">
        <f>IF(AND(53&gt;=$B$9,53&lt;=$D$9),1,0)</f>
        <v/>
      </c>
      <c r="BE34" s="17">
        <f>IF(AND(54&gt;=$B$9,54&lt;=$D$9),1,0)</f>
        <v/>
      </c>
      <c r="BF34" s="17">
        <f>IF(AND(55&gt;=$B$9,55&lt;=$D$9),1,0)</f>
        <v/>
      </c>
      <c r="BG34" s="17">
        <f>IF(AND(56&gt;=$B$9,56&lt;=$D$9),1,0)</f>
        <v/>
      </c>
      <c r="BH34" s="17">
        <f>IF(AND(57&gt;=$B$9,57&lt;=$D$9),1,0)</f>
        <v/>
      </c>
      <c r="BI34" s="17">
        <f>IF(AND(58&gt;=$B$9,58&lt;=$D$9),1,0)</f>
        <v/>
      </c>
      <c r="BJ34" s="17">
        <f>IF(AND(59&gt;=$B$9,59&lt;=$D$9),1,0)</f>
        <v/>
      </c>
      <c r="BK34" s="17">
        <f>IF(AND(60&gt;=$B$9,60&lt;=$D$9),1,0)</f>
        <v/>
      </c>
      <c r="BL34" s="17">
        <f>IF(AND(61&gt;=$B$9,61&lt;=$D$9),1,0)</f>
        <v/>
      </c>
      <c r="BM34" s="17">
        <f>IF(AND(62&gt;=$B$9,62&lt;=$D$9),1,0)</f>
        <v/>
      </c>
      <c r="BN34" s="17">
        <f>IF(AND(63&gt;=$B$9,63&lt;=$D$9),1,0)</f>
        <v/>
      </c>
      <c r="BO34" s="17">
        <f>IF(AND(64&gt;=$B$9,64&lt;=$D$9),1,0)</f>
        <v/>
      </c>
      <c r="BP34" s="17">
        <f>IF(AND(65&gt;=$B$9,65&lt;=$D$9),1,0)</f>
        <v/>
      </c>
      <c r="BQ34" s="17">
        <f>IF(AND(66&gt;=$B$9,66&lt;=$D$9),1,0)</f>
        <v/>
      </c>
      <c r="BR34" s="17">
        <f>IF(AND(67&gt;=$B$9,67&lt;=$D$9),1,0)</f>
        <v/>
      </c>
      <c r="BS34" s="17">
        <f>IF(AND(68&gt;=$B$9,68&lt;=$D$9),1,0)</f>
        <v/>
      </c>
      <c r="BT34" s="17">
        <f>IF(AND(69&gt;=$B$9,69&lt;=$D$9),1,0)</f>
        <v/>
      </c>
      <c r="BU34" s="17">
        <f>IF(AND(70&gt;=$B$9,70&lt;=$D$9),1,0)</f>
        <v/>
      </c>
      <c r="BV34" s="17">
        <f>IF(AND(71&gt;=$B$9,71&lt;=$D$9),1,0)</f>
        <v/>
      </c>
      <c r="BW34" s="17">
        <f>IF(AND(72&gt;=$B$9,72&lt;=$D$9),1,0)</f>
        <v/>
      </c>
      <c r="BX34" s="17">
        <f>IF(AND(73&gt;=$B$9,73&lt;=$D$9),1,0)</f>
        <v/>
      </c>
      <c r="BY34" s="17">
        <f>IF(AND(74&gt;=$B$9,74&lt;=$D$9),1,0)</f>
        <v/>
      </c>
      <c r="BZ34" s="17">
        <f>IF(AND(75&gt;=$B$9,75&lt;=$D$9),1,0)</f>
        <v/>
      </c>
      <c r="CA34" s="17">
        <f>IF(AND(76&gt;=$B$9,76&lt;=$D$9),1,0)</f>
        <v/>
      </c>
      <c r="CB34" s="17">
        <f>IF(AND(77&gt;=$B$9,77&lt;=$D$9),1,0)</f>
        <v/>
      </c>
      <c r="CC34" s="17">
        <f>IF(AND(78&gt;=$B$9,78&lt;=$D$9),1,0)</f>
        <v/>
      </c>
      <c r="CD34" s="17">
        <f>IF(AND(79&gt;=$B$9,79&lt;=$D$9),1,0)</f>
        <v/>
      </c>
      <c r="CE34" s="17">
        <f>IF(AND(80&gt;=$B$9,80&lt;=$D$9),1,0)</f>
        <v/>
      </c>
      <c r="CF34" s="17">
        <f>IF(AND(81&gt;=$B$9,81&lt;=$D$9),1,0)</f>
        <v/>
      </c>
      <c r="CG34" s="17">
        <f>IF(AND(82&gt;=$B$9,82&lt;=$D$9),1,0)</f>
        <v/>
      </c>
      <c r="CH34" s="17">
        <f>IF(AND(83&gt;=$B$9,83&lt;=$D$9),1,0)</f>
        <v/>
      </c>
      <c r="CI34" s="17">
        <f>IF(AND(84&gt;=$B$9,84&lt;=$D$9),1,0)</f>
        <v/>
      </c>
      <c r="CJ34" s="17">
        <f>IF(AND(85&gt;=$B$9,85&lt;=$D$9),1,0)</f>
        <v/>
      </c>
      <c r="CK34" s="17">
        <f>IF(AND(86&gt;=$B$9,86&lt;=$D$9),1,0)</f>
        <v/>
      </c>
      <c r="CL34" s="17">
        <f>IF(AND(87&gt;=$B$9,87&lt;=$D$9),1,0)</f>
        <v/>
      </c>
      <c r="CM34" s="17">
        <f>IF(AND(88&gt;=$B$9,88&lt;=$D$9),1,0)</f>
        <v/>
      </c>
      <c r="CN34" s="17">
        <f>IF(AND(89&gt;=$B$9,89&lt;=$D$9),1,0)</f>
        <v/>
      </c>
      <c r="CO34" s="17">
        <f>IF(AND(90&gt;=$B$9,90&lt;=$D$9),1,0)</f>
        <v/>
      </c>
      <c r="CP34" s="17">
        <f>IF(AND(91&gt;=$B$9,91&lt;=$D$9),1,0)</f>
        <v/>
      </c>
      <c r="CQ34" s="17">
        <f>IF(AND(92&gt;=$B$9,92&lt;=$D$9),1,0)</f>
        <v/>
      </c>
      <c r="CR34" s="17">
        <f>IF(AND(93&gt;=$B$9,93&lt;=$D$9),1,0)</f>
        <v/>
      </c>
      <c r="CS34" s="17">
        <f>IF(AND(94&gt;=$B$9,94&lt;=$D$9),1,0)</f>
        <v/>
      </c>
      <c r="CT34" s="17">
        <f>IF(AND(95&gt;=$B$9,95&lt;=$D$9),1,0)</f>
        <v/>
      </c>
      <c r="CU34" s="17">
        <f>IF(AND(96&gt;=$B$9,96&lt;=$D$9),1,0)</f>
        <v/>
      </c>
      <c r="CV34" s="17">
        <f>IF(AND(97&gt;=$B$9,97&lt;=$D$9),1,0)</f>
        <v/>
      </c>
      <c r="CW34" s="17">
        <f>IF(AND(98&gt;=$B$9,98&lt;=$D$9),1,0)</f>
        <v/>
      </c>
      <c r="CX34" s="17">
        <f>IF(AND(99&gt;=$B$9,99&lt;=$D$9),1,0)</f>
        <v/>
      </c>
      <c r="CY34" s="17">
        <f>IF(AND(100&gt;=$B$9,100&lt;=$D$9),1,0)</f>
        <v/>
      </c>
      <c r="CZ34" s="17">
        <f>IF(AND(101&gt;=$B$9,101&lt;=$D$9),1,0)</f>
        <v/>
      </c>
      <c r="DA34" s="17">
        <f>IF(AND(102&gt;=$B$9,102&lt;=$D$9),1,0)</f>
        <v/>
      </c>
      <c r="DB34" s="17">
        <f>IF(AND(103&gt;=$B$9,103&lt;=$D$9),1,0)</f>
        <v/>
      </c>
      <c r="DC34" s="17">
        <f>IF(AND(104&gt;=$B$9,104&lt;=$D$9),1,0)</f>
        <v/>
      </c>
      <c r="DD34" s="17">
        <f>IF(AND(105&gt;=$B$9,105&lt;=$D$9),1,0)</f>
        <v/>
      </c>
      <c r="DE34" s="17">
        <f>IF(AND(106&gt;=$B$9,106&lt;=$D$9),1,0)</f>
        <v/>
      </c>
      <c r="DF34" s="17">
        <f>IF(AND(107&gt;=$B$9,107&lt;=$D$9),1,0)</f>
        <v/>
      </c>
      <c r="DG34" s="17">
        <f>IF(AND(108&gt;=$B$9,108&lt;=$D$9),1,0)</f>
        <v/>
      </c>
      <c r="DH34" s="17">
        <f>IF(AND(109&gt;=$B$9,109&lt;=$D$9),1,0)</f>
        <v/>
      </c>
      <c r="DI34" s="17">
        <f>IF(AND(110&gt;=$B$9,110&lt;=$D$9),1,0)</f>
        <v/>
      </c>
      <c r="DJ34" s="17">
        <f>IF(AND(111&gt;=$B$9,111&lt;=$D$9),1,0)</f>
        <v/>
      </c>
      <c r="DK34" s="17">
        <f>IF(AND(112&gt;=$B$9,112&lt;=$D$9),1,0)</f>
        <v/>
      </c>
      <c r="DL34" s="17">
        <f>IF(AND(113&gt;=$B$9,113&lt;=$D$9),1,0)</f>
        <v/>
      </c>
      <c r="DM34" s="17">
        <f>IF(AND(114&gt;=$B$9,114&lt;=$D$9),1,0)</f>
        <v/>
      </c>
      <c r="DN34" s="17">
        <f>IF(AND(115&gt;=$B$9,115&lt;=$D$9),1,0)</f>
        <v/>
      </c>
      <c r="DO34" s="17">
        <f>IF(AND(116&gt;=$B$9,116&lt;=$D$9),1,0)</f>
        <v/>
      </c>
      <c r="DP34" s="17">
        <f>IF(AND(117&gt;=$B$9,117&lt;=$D$9),1,0)</f>
        <v/>
      </c>
      <c r="DQ34" s="17">
        <f>IF(AND(118&gt;=$B$9,118&lt;=$D$9),1,0)</f>
        <v/>
      </c>
      <c r="DR34" s="17">
        <f>IF(AND(119&gt;=$B$9,119&lt;=$D$9),1,0)</f>
        <v/>
      </c>
      <c r="DS34" s="17">
        <f>IF(AND(120&gt;=$B$9,120&lt;=$D$9),1,0)</f>
        <v/>
      </c>
      <c r="DT34" s="17">
        <f>IF(AND(121&gt;=$B$9,121&lt;=$D$9),1,0)</f>
        <v/>
      </c>
      <c r="DU34" s="17">
        <f>IF(AND(122&gt;=$B$9,122&lt;=$D$9),1,0)</f>
        <v/>
      </c>
      <c r="DV34" s="17">
        <f>IF(AND(123&gt;=$B$9,123&lt;=$D$9),1,0)</f>
        <v/>
      </c>
      <c r="DW34" s="17">
        <f>IF(AND(124&gt;=$B$9,124&lt;=$D$9),1,0)</f>
        <v/>
      </c>
      <c r="DX34" s="17">
        <f>IF(AND(125&gt;=$B$9,125&lt;=$D$9),1,0)</f>
        <v/>
      </c>
      <c r="DY34" s="17">
        <f>IF(AND(126&gt;=$B$9,126&lt;=$D$9),1,0)</f>
        <v/>
      </c>
      <c r="DZ34" s="17">
        <f>IF(AND(127&gt;=$B$9,127&lt;=$D$9),1,0)</f>
        <v/>
      </c>
      <c r="EA34" s="17">
        <f>IF(AND(128&gt;=$B$9,128&lt;=$D$9),1,0)</f>
        <v/>
      </c>
      <c r="EB34" s="17">
        <f>IF(AND(129&gt;=$B$9,129&lt;=$D$9),1,0)</f>
        <v/>
      </c>
      <c r="EC34" s="17">
        <f>IF(AND(130&gt;=$B$9,130&lt;=$D$9),1,0)</f>
        <v/>
      </c>
      <c r="ED34" s="17">
        <f>IF(AND(131&gt;=$B$9,131&lt;=$D$9),1,0)</f>
        <v/>
      </c>
      <c r="EE34" s="17">
        <f>IF(AND(132&gt;=$B$9,132&lt;=$D$9),1,0)</f>
        <v/>
      </c>
      <c r="EF34" s="17">
        <f>IF(AND(133&gt;=$B$9,133&lt;=$D$9),1,0)</f>
        <v/>
      </c>
      <c r="EG34" s="17">
        <f>IF(AND(134&gt;=$B$9,134&lt;=$D$9),1,0)</f>
        <v/>
      </c>
      <c r="EH34" s="17">
        <f>IF(AND(135&gt;=$B$9,135&lt;=$D$9),1,0)</f>
        <v/>
      </c>
      <c r="EI34" s="17">
        <f>IF(AND(136&gt;=$B$9,136&lt;=$D$9),1,0)</f>
        <v/>
      </c>
      <c r="EJ34" s="17">
        <f>IF(AND(137&gt;=$B$9,137&lt;=$D$9),1,0)</f>
        <v/>
      </c>
      <c r="EK34" s="17">
        <f>IF(AND(138&gt;=$B$9,138&lt;=$D$9),1,0)</f>
        <v/>
      </c>
      <c r="EL34" s="17">
        <f>IF(AND(139&gt;=$B$9,139&lt;=$D$9),1,0)</f>
        <v/>
      </c>
      <c r="EM34" s="17">
        <f>IF(AND(140&gt;=$B$9,140&lt;=$D$9),1,0)</f>
        <v/>
      </c>
      <c r="EN34" s="17">
        <f>IF(AND(141&gt;=$B$9,141&lt;=$D$9),1,0)</f>
        <v/>
      </c>
      <c r="EO34" s="17">
        <f>IF(AND(142&gt;=$B$9,142&lt;=$D$9),1,0)</f>
        <v/>
      </c>
      <c r="EP34" s="17">
        <f>IF(AND(143&gt;=$B$9,143&lt;=$D$9),1,0)</f>
        <v/>
      </c>
      <c r="EQ34" s="17">
        <f>IF(AND(144&gt;=$B$9,144&lt;=$D$9),1,0)</f>
        <v/>
      </c>
      <c r="ER34" s="17">
        <f>IF(AND(145&gt;=$B$9,145&lt;=$D$9),1,0)</f>
        <v/>
      </c>
      <c r="ES34" s="17">
        <f>IF(AND(146&gt;=$B$9,146&lt;=$D$9),1,0)</f>
        <v/>
      </c>
      <c r="ET34" s="17">
        <f>IF(AND(147&gt;=$B$9,147&lt;=$D$9),1,0)</f>
        <v/>
      </c>
      <c r="EU34" s="17">
        <f>IF(AND(148&gt;=$B$9,148&lt;=$D$9),1,0)</f>
        <v/>
      </c>
      <c r="EV34" s="17">
        <f>IF(AND(149&gt;=$B$9,149&lt;=$D$9),1,0)</f>
        <v/>
      </c>
      <c r="EW34" s="17">
        <f>IF(AND(150&gt;=$B$9,150&lt;=$D$9),1,0)</f>
        <v/>
      </c>
      <c r="EX34" s="17">
        <f>IF(AND(151&gt;=$B$9,151&lt;=$D$9),1,0)</f>
        <v/>
      </c>
      <c r="EY34" s="17">
        <f>IF(AND(152&gt;=$B$9,152&lt;=$D$9),1,0)</f>
        <v/>
      </c>
      <c r="EZ34" s="17">
        <f>IF(AND(153&gt;=$B$9,153&lt;=$D$9),1,0)</f>
        <v/>
      </c>
      <c r="FA34" s="17">
        <f>IF(AND(154&gt;=$B$9,154&lt;=$D$9),1,0)</f>
        <v/>
      </c>
      <c r="FB34" s="17">
        <f>IF(AND(155&gt;=$B$9,155&lt;=$D$9),1,0)</f>
        <v/>
      </c>
      <c r="FC34" s="17">
        <f>IF(AND(156&gt;=$B$9,156&lt;=$D$9),1,0)</f>
        <v/>
      </c>
      <c r="FD34" s="17">
        <f>IF(AND(157&gt;=$B$9,157&lt;=$D$9),1,0)</f>
        <v/>
      </c>
      <c r="FE34" s="17">
        <f>IF(AND(158&gt;=$B$9,158&lt;=$D$9),1,0)</f>
        <v/>
      </c>
      <c r="FF34" s="17">
        <f>IF(AND(159&gt;=$B$9,159&lt;=$D$9),1,0)</f>
        <v/>
      </c>
      <c r="FG34" s="17">
        <f>IF(AND(160&gt;=$B$9,160&lt;=$D$9),1,0)</f>
        <v/>
      </c>
      <c r="FH34" s="17">
        <f>IF(AND(161&gt;=$B$9,161&lt;=$D$9),1,0)</f>
        <v/>
      </c>
      <c r="FI34" s="17">
        <f>IF(AND(162&gt;=$B$9,162&lt;=$D$9),1,0)</f>
        <v/>
      </c>
      <c r="FJ34" s="17">
        <f>IF(AND(163&gt;=$B$9,163&lt;=$D$9),1,0)</f>
        <v/>
      </c>
      <c r="FK34" s="17">
        <f>IF(AND(164&gt;=$B$9,164&lt;=$D$9),1,0)</f>
        <v/>
      </c>
      <c r="FL34" s="17">
        <f>IF(AND(165&gt;=$B$9,165&lt;=$D$9),1,0)</f>
        <v/>
      </c>
      <c r="FM34" s="17">
        <f>IF(AND(166&gt;=$B$9,166&lt;=$D$9),1,0)</f>
        <v/>
      </c>
      <c r="FN34" s="17">
        <f>IF(AND(167&gt;=$B$9,167&lt;=$D$9),1,0)</f>
        <v/>
      </c>
      <c r="FO34" s="17">
        <f>IF(AND(168&gt;=$B$9,168&lt;=$D$9),1,0)</f>
        <v/>
      </c>
      <c r="FP34" s="17">
        <f>IF(AND(169&gt;=$B$9,169&lt;=$D$9),1,0)</f>
        <v/>
      </c>
      <c r="FQ34" s="17">
        <f>IF(AND(170&gt;=$B$9,170&lt;=$D$9),1,0)</f>
        <v/>
      </c>
      <c r="FR34" s="17">
        <f>IF(AND(171&gt;=$B$9,171&lt;=$D$9),1,0)</f>
        <v/>
      </c>
      <c r="FS34" s="17">
        <f>IF(AND(172&gt;=$B$9,172&lt;=$D$9),1,0)</f>
        <v/>
      </c>
      <c r="FT34" s="17">
        <f>IF(AND(173&gt;=$B$9,173&lt;=$D$9),1,0)</f>
        <v/>
      </c>
      <c r="FU34" s="17">
        <f>IF(AND(174&gt;=$B$9,174&lt;=$D$9),1,0)</f>
        <v/>
      </c>
      <c r="FV34" s="17">
        <f>IF(AND(175&gt;=$B$9,175&lt;=$D$9),1,0)</f>
        <v/>
      </c>
      <c r="FW34" s="17">
        <f>IF(AND(176&gt;=$B$9,176&lt;=$D$9),1,0)</f>
        <v/>
      </c>
      <c r="FX34" s="17">
        <f>IF(AND(177&gt;=$B$9,177&lt;=$D$9),1,0)</f>
        <v/>
      </c>
      <c r="FY34" s="17">
        <f>IF(AND(178&gt;=$B$9,178&lt;=$D$9),1,0)</f>
        <v/>
      </c>
      <c r="FZ34" s="17">
        <f>IF(AND(179&gt;=$B$9,179&lt;=$D$9),1,0)</f>
        <v/>
      </c>
      <c r="GA34" s="17">
        <f>IF(AND(180&gt;=$B$9,180&lt;=$D$9),1,0)</f>
        <v/>
      </c>
      <c r="GB34" s="17">
        <f>IF(AND(181&gt;=$B$9,181&lt;=$D$9),1,0)</f>
        <v/>
      </c>
      <c r="GC34" s="17">
        <f>IF(AND(182&gt;=$B$9,182&lt;=$D$9),1,0)</f>
        <v/>
      </c>
      <c r="GD34" s="17">
        <f>IF(AND(183&gt;=$B$9,183&lt;=$D$9),1,0)</f>
        <v/>
      </c>
      <c r="GE34" s="17">
        <f>IF(AND(184&gt;=$B$9,184&lt;=$D$9),1,0)</f>
        <v/>
      </c>
      <c r="GF34" s="17">
        <f>IF(AND(185&gt;=$B$9,185&lt;=$D$9),1,0)</f>
        <v/>
      </c>
      <c r="GG34" s="17">
        <f>IF(AND(186&gt;=$B$9,186&lt;=$D$9),1,0)</f>
        <v/>
      </c>
      <c r="GH34" s="17">
        <f>IF(AND(187&gt;=$B$9,187&lt;=$D$9),1,0)</f>
        <v/>
      </c>
      <c r="GI34" s="17">
        <f>IF(AND(188&gt;=$B$9,188&lt;=$D$9),1,0)</f>
        <v/>
      </c>
      <c r="GJ34" s="17">
        <f>IF(AND(189&gt;=$B$9,189&lt;=$D$9),1,0)</f>
        <v/>
      </c>
      <c r="GK34" s="17">
        <f>IF(AND(190&gt;=$B$9,190&lt;=$D$9),1,0)</f>
        <v/>
      </c>
      <c r="GL34" s="17">
        <f>IF(AND(191&gt;=$B$9,191&lt;=$D$9),1,0)</f>
        <v/>
      </c>
      <c r="GM34" s="17">
        <f>IF(AND(192&gt;=$B$9,192&lt;=$D$9),1,0)</f>
        <v/>
      </c>
      <c r="GN34" s="17">
        <f>IF(AND(193&gt;=$B$9,193&lt;=$D$9),1,0)</f>
        <v/>
      </c>
      <c r="GO34" s="17">
        <f>IF(AND(194&gt;=$B$9,194&lt;=$D$9),1,0)</f>
        <v/>
      </c>
      <c r="GP34" s="17">
        <f>IF(AND(195&gt;=$B$9,195&lt;=$D$9),1,0)</f>
        <v/>
      </c>
      <c r="GQ34" s="17">
        <f>IF(AND(196&gt;=$B$9,196&lt;=$D$9),1,0)</f>
        <v/>
      </c>
      <c r="GR34" s="17">
        <f>IF(AND(197&gt;=$B$9,197&lt;=$D$9),1,0)</f>
        <v/>
      </c>
      <c r="GS34" s="17">
        <f>IF(AND(198&gt;=$B$9,198&lt;=$D$9),1,0)</f>
        <v/>
      </c>
      <c r="GT34" s="17">
        <f>IF(AND(199&gt;=$B$9,199&lt;=$D$9),1,0)</f>
        <v/>
      </c>
      <c r="GU34" s="17">
        <f>IF(AND(200&gt;=$B$9,200&lt;=$D$9),1,0)</f>
        <v/>
      </c>
      <c r="GV34" s="17">
        <f>IF(AND(201&gt;=$B$9,201&lt;=$D$9),1,0)</f>
        <v/>
      </c>
      <c r="GW34" s="17">
        <f>IF(AND(202&gt;=$B$9,202&lt;=$D$9),1,0)</f>
        <v/>
      </c>
      <c r="GX34" s="17">
        <f>IF(AND(203&gt;=$B$9,203&lt;=$D$9),1,0)</f>
        <v/>
      </c>
      <c r="GY34" s="17">
        <f>IF(AND(204&gt;=$B$9,204&lt;=$D$9),1,0)</f>
        <v/>
      </c>
      <c r="GZ34" s="17">
        <f>IF(AND(205&gt;=$B$9,205&lt;=$D$9),1,0)</f>
        <v/>
      </c>
      <c r="HA34" s="17">
        <f>IF(AND(206&gt;=$B$9,206&lt;=$D$9),1,0)</f>
        <v/>
      </c>
      <c r="HB34" s="17">
        <f>IF(AND(207&gt;=$B$9,207&lt;=$D$9),1,0)</f>
        <v/>
      </c>
      <c r="HC34" s="17">
        <f>IF(AND(208&gt;=$B$9,208&lt;=$D$9),1,0)</f>
        <v/>
      </c>
      <c r="HD34" s="17">
        <f>IF(AND(209&gt;=$B$9,209&lt;=$D$9),1,0)</f>
        <v/>
      </c>
      <c r="HE34" s="17">
        <f>IF(AND(210&gt;=$B$9,210&lt;=$D$9),1,0)</f>
        <v/>
      </c>
      <c r="HF34" s="17">
        <f>IF(AND(211&gt;=$B$9,211&lt;=$D$9),1,0)</f>
        <v/>
      </c>
      <c r="HG34" s="17">
        <f>IF(AND(212&gt;=$B$9,212&lt;=$D$9),1,0)</f>
        <v/>
      </c>
      <c r="HH34" s="17">
        <f>IF(AND(213&gt;=$B$9,213&lt;=$D$9),1,0)</f>
        <v/>
      </c>
      <c r="HI34" s="17">
        <f>IF(AND(214&gt;=$B$9,214&lt;=$D$9),1,0)</f>
        <v/>
      </c>
      <c r="HJ34" s="17">
        <f>IF(AND(215&gt;=$B$9,215&lt;=$D$9),1,0)</f>
        <v/>
      </c>
      <c r="HK34" s="17">
        <f>IF(AND(216&gt;=$B$9,216&lt;=$D$9),1,0)</f>
        <v/>
      </c>
      <c r="HL34" s="17">
        <f>IF(AND(217&gt;=$B$9,217&lt;=$D$9),1,0)</f>
        <v/>
      </c>
      <c r="HM34" s="17">
        <f>IF(AND(218&gt;=$B$9,218&lt;=$D$9),1,0)</f>
        <v/>
      </c>
      <c r="HN34" s="17">
        <f>IF(AND(219&gt;=$B$9,219&lt;=$D$9),1,0)</f>
        <v/>
      </c>
      <c r="HO34" s="17">
        <f>IF(AND(220&gt;=$B$9,220&lt;=$D$9),1,0)</f>
        <v/>
      </c>
      <c r="HP34" s="17">
        <f>IF(AND(221&gt;=$B$9,221&lt;=$D$9),1,0)</f>
        <v/>
      </c>
      <c r="HQ34" s="17">
        <f>IF(AND(222&gt;=$B$9,222&lt;=$D$9),1,0)</f>
        <v/>
      </c>
      <c r="HR34" s="17">
        <f>IF(AND(223&gt;=$B$9,223&lt;=$D$9),1,0)</f>
        <v/>
      </c>
      <c r="HS34" s="17">
        <f>IF(AND(224&gt;=$B$9,224&lt;=$D$9),1,0)</f>
        <v/>
      </c>
      <c r="HT34" s="17">
        <f>IF(AND(225&gt;=$B$9,225&lt;=$D$9),1,0)</f>
        <v/>
      </c>
      <c r="HU34" s="17">
        <f>IF(AND(226&gt;=$B$9,226&lt;=$D$9),1,0)</f>
        <v/>
      </c>
      <c r="HV34" s="17">
        <f>IF(AND(227&gt;=$B$9,227&lt;=$D$9),1,0)</f>
        <v/>
      </c>
      <c r="HW34" s="17">
        <f>IF(AND(228&gt;=$B$9,228&lt;=$D$9),1,0)</f>
        <v/>
      </c>
      <c r="HX34" s="17">
        <f>IF(AND(229&gt;=$B$9,229&lt;=$D$9),1,0)</f>
        <v/>
      </c>
      <c r="HY34" s="17">
        <f>IF(AND(230&gt;=$B$9,230&lt;=$D$9),1,0)</f>
        <v/>
      </c>
      <c r="HZ34" s="17">
        <f>IF(AND(231&gt;=$B$9,231&lt;=$D$9),1,0)</f>
        <v/>
      </c>
      <c r="IA34" s="17">
        <f>IF(AND(232&gt;=$B$9,232&lt;=$D$9),1,0)</f>
        <v/>
      </c>
      <c r="IB34" s="17">
        <f>IF(AND(233&gt;=$B$9,233&lt;=$D$9),1,0)</f>
        <v/>
      </c>
      <c r="IC34" s="17">
        <f>IF(AND(234&gt;=$B$9,234&lt;=$D$9),1,0)</f>
        <v/>
      </c>
      <c r="ID34" s="17">
        <f>IF(AND(235&gt;=$B$9,235&lt;=$D$9),1,0)</f>
        <v/>
      </c>
      <c r="IE34" s="17">
        <f>IF(AND(236&gt;=$B$9,236&lt;=$D$9),1,0)</f>
        <v/>
      </c>
      <c r="IF34" s="17">
        <f>IF(AND(237&gt;=$B$9,237&lt;=$D$9),1,0)</f>
        <v/>
      </c>
      <c r="IG34" s="17">
        <f>IF(AND(238&gt;=$B$9,238&lt;=$D$9),1,0)</f>
        <v/>
      </c>
      <c r="IH34" s="17">
        <f>IF(AND(239&gt;=$B$9,239&lt;=$D$9),1,0)</f>
        <v/>
      </c>
      <c r="II34" s="17">
        <f>IF(AND(240&gt;=$B$9,240&lt;=$D$9),1,0)</f>
        <v/>
      </c>
      <c r="IJ34" s="17">
        <f>IF(AND(241&gt;=$B$9,241&lt;=$D$9),1,0)</f>
        <v/>
      </c>
      <c r="IK34" s="17">
        <f>IF(AND(242&gt;=$B$9,242&lt;=$D$9),1,0)</f>
        <v/>
      </c>
      <c r="IL34" s="17">
        <f>IF(AND(243&gt;=$B$9,243&lt;=$D$9),1,0)</f>
        <v/>
      </c>
      <c r="IM34" s="17">
        <f>IF(AND(244&gt;=$B$9,244&lt;=$D$9),1,0)</f>
        <v/>
      </c>
      <c r="IN34" s="17">
        <f>IF(AND(245&gt;=$B$9,245&lt;=$D$9),1,0)</f>
        <v/>
      </c>
      <c r="IO34" s="17">
        <f>IF(AND(246&gt;=$B$9,246&lt;=$D$9),1,0)</f>
        <v/>
      </c>
      <c r="IP34" s="17">
        <f>IF(AND(247&gt;=$B$9,247&lt;=$D$9),1,0)</f>
        <v/>
      </c>
      <c r="IQ34" s="17">
        <f>IF(AND(248&gt;=$B$9,248&lt;=$D$9),1,0)</f>
        <v/>
      </c>
      <c r="IR34" s="17">
        <f>IF(AND(249&gt;=$B$9,249&lt;=$D$9),1,0)</f>
        <v/>
      </c>
      <c r="IS34" s="17">
        <f>IF(AND(250&gt;=$B$9,250&lt;=$D$9),1,0)</f>
        <v/>
      </c>
      <c r="IT34" s="17">
        <f>IF(AND(251&gt;=$B$9,251&lt;=$D$9),1,0)</f>
        <v/>
      </c>
      <c r="IU34" s="17">
        <f>IF(AND(252&gt;=$B$9,252&lt;=$D$9),1,0)</f>
        <v/>
      </c>
      <c r="IV34" s="17">
        <f>IF(AND(253&gt;=$B$9,253&lt;=$D$9),1,0)</f>
        <v/>
      </c>
      <c r="IW34" s="17">
        <f>IF(AND(254&gt;=$B$9,254&lt;=$D$9),1,0)</f>
        <v/>
      </c>
      <c r="IX34" s="17">
        <f>IF(AND(255&gt;=$B$9,255&lt;=$D$9),1,0)</f>
        <v/>
      </c>
      <c r="IY34" s="17">
        <f>IF(AND(256&gt;=$B$9,256&lt;=$D$9),1,0)</f>
        <v/>
      </c>
      <c r="IZ34" s="17">
        <f>IF(AND(257&gt;=$B$9,257&lt;=$D$9),1,0)</f>
        <v/>
      </c>
      <c r="JA34" s="17">
        <f>IF(AND(258&gt;=$B$9,258&lt;=$D$9),1,0)</f>
        <v/>
      </c>
      <c r="JB34" s="17">
        <f>IF(AND(259&gt;=$B$9,259&lt;=$D$9),1,0)</f>
        <v/>
      </c>
      <c r="JC34" s="17">
        <f>IF(AND(260&gt;=$B$9,260&lt;=$D$9),1,0)</f>
        <v/>
      </c>
      <c r="JD34" s="17">
        <f>IF(AND(261&gt;=$B$9,261&lt;=$D$9),1,0)</f>
        <v/>
      </c>
      <c r="JE34" s="17">
        <f>IF(AND(262&gt;=$B$9,262&lt;=$D$9),1,0)</f>
        <v/>
      </c>
      <c r="JF34" s="17">
        <f>IF(AND(263&gt;=$B$9,263&lt;=$D$9),1,0)</f>
        <v/>
      </c>
      <c r="JG34" s="17">
        <f>IF(AND(264&gt;=$B$9,264&lt;=$D$9),1,0)</f>
        <v/>
      </c>
      <c r="JH34" s="17">
        <f>IF(AND(265&gt;=$B$9,265&lt;=$D$9),1,0)</f>
        <v/>
      </c>
      <c r="JI34" s="17">
        <f>IF(AND(266&gt;=$B$9,266&lt;=$D$9),1,0)</f>
        <v/>
      </c>
      <c r="JJ34" s="17">
        <f>IF(AND(267&gt;=$B$9,267&lt;=$D$9),1,0)</f>
        <v/>
      </c>
      <c r="JK34" s="17">
        <f>IF(AND(268&gt;=$B$9,268&lt;=$D$9),1,0)</f>
        <v/>
      </c>
      <c r="JL34" s="17">
        <f>IF(AND(269&gt;=$B$9,269&lt;=$D$9),1,0)</f>
        <v/>
      </c>
      <c r="JM34" s="17">
        <f>IF(AND(270&gt;=$B$9,270&lt;=$D$9),1,0)</f>
        <v/>
      </c>
      <c r="JN34" s="17">
        <f>IF(AND(271&gt;=$B$9,271&lt;=$D$9),1,0)</f>
        <v/>
      </c>
      <c r="JO34" s="17">
        <f>IF(AND(272&gt;=$B$9,272&lt;=$D$9),1,0)</f>
        <v/>
      </c>
      <c r="JP34" s="17">
        <f>IF(AND(273&gt;=$B$9,273&lt;=$D$9),1,0)</f>
        <v/>
      </c>
      <c r="JQ34" s="17">
        <f>IF(AND(274&gt;=$B$9,274&lt;=$D$9),1,0)</f>
        <v/>
      </c>
      <c r="JR34" s="17">
        <f>IF(AND(275&gt;=$B$9,275&lt;=$D$9),1,0)</f>
        <v/>
      </c>
      <c r="JS34" s="17">
        <f>IF(AND(276&gt;=$B$9,276&lt;=$D$9),1,0)</f>
        <v/>
      </c>
      <c r="JT34" s="17">
        <f>IF(AND(277&gt;=$B$9,277&lt;=$D$9),1,0)</f>
        <v/>
      </c>
      <c r="JU34" s="17">
        <f>IF(AND(278&gt;=$B$9,278&lt;=$D$9),1,0)</f>
        <v/>
      </c>
      <c r="JV34" s="17">
        <f>IF(AND(279&gt;=$B$9,279&lt;=$D$9),1,0)</f>
        <v/>
      </c>
      <c r="JW34" s="17">
        <f>IF(AND(280&gt;=$B$9,280&lt;=$D$9),1,0)</f>
        <v/>
      </c>
      <c r="JX34" s="17">
        <f>IF(AND(281&gt;=$B$9,281&lt;=$D$9),1,0)</f>
        <v/>
      </c>
      <c r="JY34" s="17">
        <f>IF(AND(282&gt;=$B$9,282&lt;=$D$9),1,0)</f>
        <v/>
      </c>
      <c r="JZ34" s="17">
        <f>IF(AND(283&gt;=$B$9,283&lt;=$D$9),1,0)</f>
        <v/>
      </c>
      <c r="KA34" s="17">
        <f>IF(AND(284&gt;=$B$9,284&lt;=$D$9),1,0)</f>
        <v/>
      </c>
      <c r="KB34" s="17">
        <f>IF(AND(285&gt;=$B$9,285&lt;=$D$9),1,0)</f>
        <v/>
      </c>
      <c r="KC34" s="17">
        <f>IF(AND(286&gt;=$B$9,286&lt;=$D$9),1,0)</f>
        <v/>
      </c>
      <c r="KD34" s="17">
        <f>IF(AND(287&gt;=$B$9,287&lt;=$D$9),1,0)</f>
        <v/>
      </c>
      <c r="KE34" s="17">
        <f>IF(AND(288&gt;=$B$9,288&lt;=$D$9),1,0)</f>
        <v/>
      </c>
      <c r="KF34" s="17">
        <f>IF(AND(289&gt;=$B$9,289&lt;=$D$9),1,0)</f>
        <v/>
      </c>
      <c r="KG34" s="17">
        <f>IF(AND(290&gt;=$B$9,290&lt;=$D$9),1,0)</f>
        <v/>
      </c>
      <c r="KH34" s="17">
        <f>IF(AND(291&gt;=$B$9,291&lt;=$D$9),1,0)</f>
        <v/>
      </c>
      <c r="KI34" s="17">
        <f>IF(AND(292&gt;=$B$9,292&lt;=$D$9),1,0)</f>
        <v/>
      </c>
      <c r="KJ34" s="17">
        <f>IF(AND(293&gt;=$B$9,293&lt;=$D$9),1,0)</f>
        <v/>
      </c>
      <c r="KK34" s="17">
        <f>IF(AND(294&gt;=$B$9,294&lt;=$D$9),1,0)</f>
        <v/>
      </c>
      <c r="KL34" s="17">
        <f>IF(AND(295&gt;=$B$9,295&lt;=$D$9),1,0)</f>
        <v/>
      </c>
      <c r="KM34" s="17">
        <f>IF(AND(296&gt;=$B$9,296&lt;=$D$9),1,0)</f>
        <v/>
      </c>
      <c r="KN34" s="17">
        <f>IF(AND(297&gt;=$B$9,297&lt;=$D$9),1,0)</f>
        <v/>
      </c>
      <c r="KO34" s="17">
        <f>IF(AND(298&gt;=$B$9,298&lt;=$D$9),1,0)</f>
        <v/>
      </c>
      <c r="KP34" s="17">
        <f>IF(AND(299&gt;=$B$9,299&lt;=$D$9),1,0)</f>
        <v/>
      </c>
      <c r="KQ34" s="17">
        <f>IF(AND(300&gt;=$B$9,300&lt;=$D$9),1,0)</f>
        <v/>
      </c>
      <c r="KR34" s="17">
        <f>IF(AND(301&gt;=$B$9,301&lt;=$D$9),1,0)</f>
        <v/>
      </c>
      <c r="KS34" s="17">
        <f>IF(AND(302&gt;=$B$9,302&lt;=$D$9),1,0)</f>
        <v/>
      </c>
      <c r="KT34" s="17">
        <f>IF(AND(303&gt;=$B$9,303&lt;=$D$9),1,0)</f>
        <v/>
      </c>
      <c r="KU34" s="17">
        <f>IF(AND(304&gt;=$B$9,304&lt;=$D$9),1,0)</f>
        <v/>
      </c>
      <c r="KV34" s="17">
        <f>IF(AND(305&gt;=$B$9,305&lt;=$D$9),1,0)</f>
        <v/>
      </c>
      <c r="KW34" s="17">
        <f>IF(AND(306&gt;=$B$9,306&lt;=$D$9),1,0)</f>
        <v/>
      </c>
      <c r="KX34" s="17">
        <f>IF(AND(307&gt;=$B$9,307&lt;=$D$9),1,0)</f>
        <v/>
      </c>
      <c r="KY34" s="17">
        <f>IF(AND(308&gt;=$B$9,308&lt;=$D$9),1,0)</f>
        <v/>
      </c>
      <c r="KZ34" s="17">
        <f>IF(AND(309&gt;=$B$9,309&lt;=$D$9),1,0)</f>
        <v/>
      </c>
      <c r="LA34" s="17">
        <f>IF(AND(310&gt;=$B$9,310&lt;=$D$9),1,0)</f>
        <v/>
      </c>
      <c r="LB34" s="17">
        <f>IF(AND(311&gt;=$B$9,311&lt;=$D$9),1,0)</f>
        <v/>
      </c>
      <c r="LC34" s="17">
        <f>IF(AND(312&gt;=$B$9,312&lt;=$D$9),1,0)</f>
        <v/>
      </c>
      <c r="LD34" s="17">
        <f>IF(AND(313&gt;=$B$9,313&lt;=$D$9),1,0)</f>
        <v/>
      </c>
      <c r="LE34" s="17">
        <f>IF(AND(314&gt;=$B$9,314&lt;=$D$9),1,0)</f>
        <v/>
      </c>
      <c r="LF34" s="17">
        <f>IF(AND(315&gt;=$B$9,315&lt;=$D$9),1,0)</f>
        <v/>
      </c>
      <c r="LG34" s="17">
        <f>IF(AND(316&gt;=$B$9,316&lt;=$D$9),1,0)</f>
        <v/>
      </c>
      <c r="LH34" s="17">
        <f>IF(AND(317&gt;=$B$9,317&lt;=$D$9),1,0)</f>
        <v/>
      </c>
      <c r="LI34" s="17">
        <f>IF(AND(318&gt;=$B$9,318&lt;=$D$9),1,0)</f>
        <v/>
      </c>
      <c r="LJ34" s="17">
        <f>IF(AND(319&gt;=$B$9,319&lt;=$D$9),1,0)</f>
        <v/>
      </c>
      <c r="LK34" s="17">
        <f>IF(AND(320&gt;=$B$9,320&lt;=$D$9),1,0)</f>
        <v/>
      </c>
      <c r="LL34" s="17">
        <f>IF(AND(321&gt;=$B$9,321&lt;=$D$9),1,0)</f>
        <v/>
      </c>
      <c r="LM34" s="17">
        <f>IF(AND(322&gt;=$B$9,322&lt;=$D$9),1,0)</f>
        <v/>
      </c>
      <c r="LN34" s="17">
        <f>IF(AND(323&gt;=$B$9,323&lt;=$D$9),1,0)</f>
        <v/>
      </c>
      <c r="LO34" s="17">
        <f>IF(AND(324&gt;=$B$9,324&lt;=$D$9),1,0)</f>
        <v/>
      </c>
      <c r="LP34" s="17">
        <f>IF(AND(325&gt;=$B$9,325&lt;=$D$9),1,0)</f>
        <v/>
      </c>
      <c r="LQ34" s="17">
        <f>IF(AND(326&gt;=$B$9,326&lt;=$D$9),1,0)</f>
        <v/>
      </c>
      <c r="LR34" s="17">
        <f>IF(AND(327&gt;=$B$9,327&lt;=$D$9),1,0)</f>
        <v/>
      </c>
      <c r="LS34" s="17">
        <f>IF(AND(328&gt;=$B$9,328&lt;=$D$9),1,0)</f>
        <v/>
      </c>
      <c r="LT34" s="17">
        <f>IF(AND(329&gt;=$B$9,329&lt;=$D$9),1,0)</f>
        <v/>
      </c>
      <c r="LU34" s="17">
        <f>IF(AND(330&gt;=$B$9,330&lt;=$D$9),1,0)</f>
        <v/>
      </c>
      <c r="LV34" s="17">
        <f>IF(AND(331&gt;=$B$9,331&lt;=$D$9),1,0)</f>
        <v/>
      </c>
      <c r="LW34" s="17">
        <f>IF(AND(332&gt;=$B$9,332&lt;=$D$9),1,0)</f>
        <v/>
      </c>
      <c r="LX34" s="17">
        <f>IF(AND(333&gt;=$B$9,333&lt;=$D$9),1,0)</f>
        <v/>
      </c>
      <c r="LY34" s="17">
        <f>IF(AND(334&gt;=$B$9,334&lt;=$D$9),1,0)</f>
        <v/>
      </c>
      <c r="LZ34" s="17">
        <f>IF(AND(335&gt;=$B$9,335&lt;=$D$9),1,0)</f>
        <v/>
      </c>
      <c r="MA34" s="17">
        <f>IF(AND(336&gt;=$B$9,336&lt;=$D$9),1,0)</f>
        <v/>
      </c>
      <c r="MB34" s="17">
        <f>IF(AND(337&gt;=$B$9,337&lt;=$D$9),1,0)</f>
        <v/>
      </c>
      <c r="MC34" s="17">
        <f>IF(AND(338&gt;=$B$9,338&lt;=$D$9),1,0)</f>
        <v/>
      </c>
      <c r="MD34" s="17">
        <f>IF(AND(339&gt;=$B$9,339&lt;=$D$9),1,0)</f>
        <v/>
      </c>
      <c r="ME34" s="17">
        <f>IF(AND(340&gt;=$B$9,340&lt;=$D$9),1,0)</f>
        <v/>
      </c>
      <c r="MF34" s="17">
        <f>IF(AND(341&gt;=$B$9,341&lt;=$D$9),1,0)</f>
        <v/>
      </c>
      <c r="MG34" s="17">
        <f>IF(AND(342&gt;=$B$9,342&lt;=$D$9),1,0)</f>
        <v/>
      </c>
      <c r="MH34" s="17">
        <f>IF(AND(343&gt;=$B$9,343&lt;=$D$9),1,0)</f>
        <v/>
      </c>
      <c r="MI34" s="17">
        <f>IF(AND(344&gt;=$B$9,344&lt;=$D$9),1,0)</f>
        <v/>
      </c>
      <c r="MJ34" s="17">
        <f>IF(AND(345&gt;=$B$9,345&lt;=$D$9),1,0)</f>
        <v/>
      </c>
      <c r="MK34" s="17">
        <f>IF(AND(346&gt;=$B$9,346&lt;=$D$9),1,0)</f>
        <v/>
      </c>
      <c r="ML34" s="17">
        <f>IF(AND(347&gt;=$B$9,347&lt;=$D$9),1,0)</f>
        <v/>
      </c>
      <c r="MM34" s="17">
        <f>IF(AND(348&gt;=$B$9,348&lt;=$D$9),1,0)</f>
        <v/>
      </c>
      <c r="MN34" s="17">
        <f>IF(AND(349&gt;=$B$9,349&lt;=$D$9),1,0)</f>
        <v/>
      </c>
      <c r="MO34" s="17">
        <f>IF(AND(350&gt;=$B$9,350&lt;=$D$9),1,0)</f>
        <v/>
      </c>
      <c r="MP34" s="17">
        <f>IF(AND(351&gt;=$B$9,351&lt;=$D$9),1,0)</f>
        <v/>
      </c>
      <c r="MQ34" s="17">
        <f>IF(AND(352&gt;=$B$9,352&lt;=$D$9),1,0)</f>
        <v/>
      </c>
      <c r="MR34" s="17">
        <f>IF(AND(353&gt;=$B$9,353&lt;=$D$9),1,0)</f>
        <v/>
      </c>
      <c r="MS34" s="17">
        <f>IF(AND(354&gt;=$B$9,354&lt;=$D$9),1,0)</f>
        <v/>
      </c>
      <c r="MT34" s="17">
        <f>IF(AND(355&gt;=$B$9,355&lt;=$D$9),1,0)</f>
        <v/>
      </c>
      <c r="MU34" s="17">
        <f>IF(AND(356&gt;=$B$9,356&lt;=$D$9),1,0)</f>
        <v/>
      </c>
      <c r="MV34" s="17">
        <f>IF(AND(357&gt;=$B$9,357&lt;=$D$9),1,0)</f>
        <v/>
      </c>
      <c r="MW34" s="17">
        <f>IF(AND(358&gt;=$B$9,358&lt;=$D$9),1,0)</f>
        <v/>
      </c>
      <c r="MX34" s="17">
        <f>IF(AND(359&gt;=$B$9,359&lt;=$D$9),1,0)</f>
        <v/>
      </c>
      <c r="MY34" s="17">
        <f>IF(AND(360&gt;=$B$9,360&lt;=$D$9),1,0)</f>
        <v/>
      </c>
      <c r="MZ34" s="17">
        <f>IF(AND(361&gt;=$B$9,361&lt;=$D$9),1,0)</f>
        <v/>
      </c>
      <c r="NA34" s="17">
        <f>IF(AND(362&gt;=$B$9,362&lt;=$D$9),1,0)</f>
        <v/>
      </c>
      <c r="NB34" s="17">
        <f>IF(AND(363&gt;=$B$9,363&lt;=$D$9),1,0)</f>
        <v/>
      </c>
      <c r="NC34" s="17">
        <f>IF(AND(364&gt;=$B$9,364&lt;=$D$9),1,0)</f>
        <v/>
      </c>
      <c r="ND34" s="17">
        <f>IF(AND(365&gt;=$B$9,365&lt;=$D$9),1,0)</f>
        <v/>
      </c>
      <c r="NE34" s="17">
        <f>IF(AND(366&gt;=$B$9,366&lt;=$D$9),1,0)</f>
        <v/>
      </c>
      <c r="NF34" s="17">
        <f>IF(AND(367&gt;=$B$9,367&lt;=$D$9),1,0)</f>
        <v/>
      </c>
      <c r="NG34" s="17">
        <f>IF(AND(368&gt;=$B$9,368&lt;=$D$9),1,0)</f>
        <v/>
      </c>
      <c r="NH34" s="17">
        <f>IF(AND(369&gt;=$B$9,369&lt;=$D$9),1,0)</f>
        <v/>
      </c>
      <c r="NI34" s="17">
        <f>IF(AND(370&gt;=$B$9,370&lt;=$D$9),1,0)</f>
        <v/>
      </c>
      <c r="NJ34" s="17">
        <f>IF(AND(371&gt;=$B$9,371&lt;=$D$9),1,0)</f>
        <v/>
      </c>
      <c r="NK34" s="17">
        <f>IF(AND(372&gt;=$B$9,372&lt;=$D$9),1,0)</f>
        <v/>
      </c>
    </row>
    <row r="35">
      <c r="A35" s="5" t="inlineStr">
        <is>
          <t>Flag: 1st Unit Delivery</t>
        </is>
      </c>
      <c r="C35" s="40" t="n"/>
      <c r="D35" s="17">
        <f>IF(AND(1&gt;=$B$10,1&lt;=$D$10),1,0)</f>
        <v/>
      </c>
      <c r="E35" s="17">
        <f>IF(AND(2&gt;=$B$10,2&lt;=$D$10),1,0)</f>
        <v/>
      </c>
      <c r="F35" s="17">
        <f>IF(AND(3&gt;=$B$10,3&lt;=$D$10),1,0)</f>
        <v/>
      </c>
      <c r="G35" s="17">
        <f>IF(AND(4&gt;=$B$10,4&lt;=$D$10),1,0)</f>
        <v/>
      </c>
      <c r="H35" s="17">
        <f>IF(AND(5&gt;=$B$10,5&lt;=$D$10),1,0)</f>
        <v/>
      </c>
      <c r="I35" s="17">
        <f>IF(AND(6&gt;=$B$10,6&lt;=$D$10),1,0)</f>
        <v/>
      </c>
      <c r="J35" s="17">
        <f>IF(AND(7&gt;=$B$10,7&lt;=$D$10),1,0)</f>
        <v/>
      </c>
      <c r="K35" s="17">
        <f>IF(AND(8&gt;=$B$10,8&lt;=$D$10),1,0)</f>
        <v/>
      </c>
      <c r="L35" s="17">
        <f>IF(AND(9&gt;=$B$10,9&lt;=$D$10),1,0)</f>
        <v/>
      </c>
      <c r="M35" s="17">
        <f>IF(AND(10&gt;=$B$10,10&lt;=$D$10),1,0)</f>
        <v/>
      </c>
      <c r="N35" s="17">
        <f>IF(AND(11&gt;=$B$10,11&lt;=$D$10),1,0)</f>
        <v/>
      </c>
      <c r="O35" s="17">
        <f>IF(AND(12&gt;=$B$10,12&lt;=$D$10),1,0)</f>
        <v/>
      </c>
      <c r="P35" s="17">
        <f>IF(AND(13&gt;=$B$10,13&lt;=$D$10),1,0)</f>
        <v/>
      </c>
      <c r="Q35" s="17">
        <f>IF(AND(14&gt;=$B$10,14&lt;=$D$10),1,0)</f>
        <v/>
      </c>
      <c r="R35" s="17">
        <f>IF(AND(15&gt;=$B$10,15&lt;=$D$10),1,0)</f>
        <v/>
      </c>
      <c r="S35" s="17">
        <f>IF(AND(16&gt;=$B$10,16&lt;=$D$10),1,0)</f>
        <v/>
      </c>
      <c r="T35" s="17">
        <f>IF(AND(17&gt;=$B$10,17&lt;=$D$10),1,0)</f>
        <v/>
      </c>
      <c r="U35" s="17">
        <f>IF(AND(18&gt;=$B$10,18&lt;=$D$10),1,0)</f>
        <v/>
      </c>
      <c r="V35" s="17">
        <f>IF(AND(19&gt;=$B$10,19&lt;=$D$10),1,0)</f>
        <v/>
      </c>
      <c r="W35" s="17">
        <f>IF(AND(20&gt;=$B$10,20&lt;=$D$10),1,0)</f>
        <v/>
      </c>
      <c r="X35" s="17">
        <f>IF(AND(21&gt;=$B$10,21&lt;=$D$10),1,0)</f>
        <v/>
      </c>
      <c r="Y35" s="17">
        <f>IF(AND(22&gt;=$B$10,22&lt;=$D$10),1,0)</f>
        <v/>
      </c>
      <c r="Z35" s="17">
        <f>IF(AND(23&gt;=$B$10,23&lt;=$D$10),1,0)</f>
        <v/>
      </c>
      <c r="AA35" s="17">
        <f>IF(AND(24&gt;=$B$10,24&lt;=$D$10),1,0)</f>
        <v/>
      </c>
      <c r="AB35" s="17">
        <f>IF(AND(25&gt;=$B$10,25&lt;=$D$10),1,0)</f>
        <v/>
      </c>
      <c r="AC35" s="17">
        <f>IF(AND(26&gt;=$B$10,26&lt;=$D$10),1,0)</f>
        <v/>
      </c>
      <c r="AD35" s="17">
        <f>IF(AND(27&gt;=$B$10,27&lt;=$D$10),1,0)</f>
        <v/>
      </c>
      <c r="AE35" s="17">
        <f>IF(AND(28&gt;=$B$10,28&lt;=$D$10),1,0)</f>
        <v/>
      </c>
      <c r="AF35" s="17">
        <f>IF(AND(29&gt;=$B$10,29&lt;=$D$10),1,0)</f>
        <v/>
      </c>
      <c r="AG35" s="17">
        <f>IF(AND(30&gt;=$B$10,30&lt;=$D$10),1,0)</f>
        <v/>
      </c>
      <c r="AH35" s="17">
        <f>IF(AND(31&gt;=$B$10,31&lt;=$D$10),1,0)</f>
        <v/>
      </c>
      <c r="AI35" s="17">
        <f>IF(AND(32&gt;=$B$10,32&lt;=$D$10),1,0)</f>
        <v/>
      </c>
      <c r="AJ35" s="17">
        <f>IF(AND(33&gt;=$B$10,33&lt;=$D$10),1,0)</f>
        <v/>
      </c>
      <c r="AK35" s="17">
        <f>IF(AND(34&gt;=$B$10,34&lt;=$D$10),1,0)</f>
        <v/>
      </c>
      <c r="AL35" s="17">
        <f>IF(AND(35&gt;=$B$10,35&lt;=$D$10),1,0)</f>
        <v/>
      </c>
      <c r="AM35" s="17">
        <f>IF(AND(36&gt;=$B$10,36&lt;=$D$10),1,0)</f>
        <v/>
      </c>
      <c r="AN35" s="17">
        <f>IF(AND(37&gt;=$B$10,37&lt;=$D$10),1,0)</f>
        <v/>
      </c>
      <c r="AO35" s="17">
        <f>IF(AND(38&gt;=$B$10,38&lt;=$D$10),1,0)</f>
        <v/>
      </c>
      <c r="AP35" s="17">
        <f>IF(AND(39&gt;=$B$10,39&lt;=$D$10),1,0)</f>
        <v/>
      </c>
      <c r="AQ35" s="17">
        <f>IF(AND(40&gt;=$B$10,40&lt;=$D$10),1,0)</f>
        <v/>
      </c>
      <c r="AR35" s="17">
        <f>IF(AND(41&gt;=$B$10,41&lt;=$D$10),1,0)</f>
        <v/>
      </c>
      <c r="AS35" s="17">
        <f>IF(AND(42&gt;=$B$10,42&lt;=$D$10),1,0)</f>
        <v/>
      </c>
      <c r="AT35" s="17">
        <f>IF(AND(43&gt;=$B$10,43&lt;=$D$10),1,0)</f>
        <v/>
      </c>
      <c r="AU35" s="17">
        <f>IF(AND(44&gt;=$B$10,44&lt;=$D$10),1,0)</f>
        <v/>
      </c>
      <c r="AV35" s="17">
        <f>IF(AND(45&gt;=$B$10,45&lt;=$D$10),1,0)</f>
        <v/>
      </c>
      <c r="AW35" s="17">
        <f>IF(AND(46&gt;=$B$10,46&lt;=$D$10),1,0)</f>
        <v/>
      </c>
      <c r="AX35" s="17">
        <f>IF(AND(47&gt;=$B$10,47&lt;=$D$10),1,0)</f>
        <v/>
      </c>
      <c r="AY35" s="17">
        <f>IF(AND(48&gt;=$B$10,48&lt;=$D$10),1,0)</f>
        <v/>
      </c>
      <c r="AZ35" s="17">
        <f>IF(AND(49&gt;=$B$10,49&lt;=$D$10),1,0)</f>
        <v/>
      </c>
      <c r="BA35" s="17">
        <f>IF(AND(50&gt;=$B$10,50&lt;=$D$10),1,0)</f>
        <v/>
      </c>
      <c r="BB35" s="17">
        <f>IF(AND(51&gt;=$B$10,51&lt;=$D$10),1,0)</f>
        <v/>
      </c>
      <c r="BC35" s="17">
        <f>IF(AND(52&gt;=$B$10,52&lt;=$D$10),1,0)</f>
        <v/>
      </c>
      <c r="BD35" s="17">
        <f>IF(AND(53&gt;=$B$10,53&lt;=$D$10),1,0)</f>
        <v/>
      </c>
      <c r="BE35" s="17">
        <f>IF(AND(54&gt;=$B$10,54&lt;=$D$10),1,0)</f>
        <v/>
      </c>
      <c r="BF35" s="17">
        <f>IF(AND(55&gt;=$B$10,55&lt;=$D$10),1,0)</f>
        <v/>
      </c>
      <c r="BG35" s="17">
        <f>IF(AND(56&gt;=$B$10,56&lt;=$D$10),1,0)</f>
        <v/>
      </c>
      <c r="BH35" s="17">
        <f>IF(AND(57&gt;=$B$10,57&lt;=$D$10),1,0)</f>
        <v/>
      </c>
      <c r="BI35" s="17">
        <f>IF(AND(58&gt;=$B$10,58&lt;=$D$10),1,0)</f>
        <v/>
      </c>
      <c r="BJ35" s="17">
        <f>IF(AND(59&gt;=$B$10,59&lt;=$D$10),1,0)</f>
        <v/>
      </c>
      <c r="BK35" s="17">
        <f>IF(AND(60&gt;=$B$10,60&lt;=$D$10),1,0)</f>
        <v/>
      </c>
      <c r="BL35" s="17">
        <f>IF(AND(61&gt;=$B$10,61&lt;=$D$10),1,0)</f>
        <v/>
      </c>
      <c r="BM35" s="17">
        <f>IF(AND(62&gt;=$B$10,62&lt;=$D$10),1,0)</f>
        <v/>
      </c>
      <c r="BN35" s="17">
        <f>IF(AND(63&gt;=$B$10,63&lt;=$D$10),1,0)</f>
        <v/>
      </c>
      <c r="BO35" s="17">
        <f>IF(AND(64&gt;=$B$10,64&lt;=$D$10),1,0)</f>
        <v/>
      </c>
      <c r="BP35" s="17">
        <f>IF(AND(65&gt;=$B$10,65&lt;=$D$10),1,0)</f>
        <v/>
      </c>
      <c r="BQ35" s="17">
        <f>IF(AND(66&gt;=$B$10,66&lt;=$D$10),1,0)</f>
        <v/>
      </c>
      <c r="BR35" s="17">
        <f>IF(AND(67&gt;=$B$10,67&lt;=$D$10),1,0)</f>
        <v/>
      </c>
      <c r="BS35" s="17">
        <f>IF(AND(68&gt;=$B$10,68&lt;=$D$10),1,0)</f>
        <v/>
      </c>
      <c r="BT35" s="17">
        <f>IF(AND(69&gt;=$B$10,69&lt;=$D$10),1,0)</f>
        <v/>
      </c>
      <c r="BU35" s="17">
        <f>IF(AND(70&gt;=$B$10,70&lt;=$D$10),1,0)</f>
        <v/>
      </c>
      <c r="BV35" s="17">
        <f>IF(AND(71&gt;=$B$10,71&lt;=$D$10),1,0)</f>
        <v/>
      </c>
      <c r="BW35" s="17">
        <f>IF(AND(72&gt;=$B$10,72&lt;=$D$10),1,0)</f>
        <v/>
      </c>
      <c r="BX35" s="17">
        <f>IF(AND(73&gt;=$B$10,73&lt;=$D$10),1,0)</f>
        <v/>
      </c>
      <c r="BY35" s="17">
        <f>IF(AND(74&gt;=$B$10,74&lt;=$D$10),1,0)</f>
        <v/>
      </c>
      <c r="BZ35" s="17">
        <f>IF(AND(75&gt;=$B$10,75&lt;=$D$10),1,0)</f>
        <v/>
      </c>
      <c r="CA35" s="17">
        <f>IF(AND(76&gt;=$B$10,76&lt;=$D$10),1,0)</f>
        <v/>
      </c>
      <c r="CB35" s="17">
        <f>IF(AND(77&gt;=$B$10,77&lt;=$D$10),1,0)</f>
        <v/>
      </c>
      <c r="CC35" s="17">
        <f>IF(AND(78&gt;=$B$10,78&lt;=$D$10),1,0)</f>
        <v/>
      </c>
      <c r="CD35" s="17">
        <f>IF(AND(79&gt;=$B$10,79&lt;=$D$10),1,0)</f>
        <v/>
      </c>
      <c r="CE35" s="17">
        <f>IF(AND(80&gt;=$B$10,80&lt;=$D$10),1,0)</f>
        <v/>
      </c>
      <c r="CF35" s="17">
        <f>IF(AND(81&gt;=$B$10,81&lt;=$D$10),1,0)</f>
        <v/>
      </c>
      <c r="CG35" s="17">
        <f>IF(AND(82&gt;=$B$10,82&lt;=$D$10),1,0)</f>
        <v/>
      </c>
      <c r="CH35" s="17">
        <f>IF(AND(83&gt;=$B$10,83&lt;=$D$10),1,0)</f>
        <v/>
      </c>
      <c r="CI35" s="17">
        <f>IF(AND(84&gt;=$B$10,84&lt;=$D$10),1,0)</f>
        <v/>
      </c>
      <c r="CJ35" s="17">
        <f>IF(AND(85&gt;=$B$10,85&lt;=$D$10),1,0)</f>
        <v/>
      </c>
      <c r="CK35" s="17">
        <f>IF(AND(86&gt;=$B$10,86&lt;=$D$10),1,0)</f>
        <v/>
      </c>
      <c r="CL35" s="17">
        <f>IF(AND(87&gt;=$B$10,87&lt;=$D$10),1,0)</f>
        <v/>
      </c>
      <c r="CM35" s="17">
        <f>IF(AND(88&gt;=$B$10,88&lt;=$D$10),1,0)</f>
        <v/>
      </c>
      <c r="CN35" s="17">
        <f>IF(AND(89&gt;=$B$10,89&lt;=$D$10),1,0)</f>
        <v/>
      </c>
      <c r="CO35" s="17">
        <f>IF(AND(90&gt;=$B$10,90&lt;=$D$10),1,0)</f>
        <v/>
      </c>
      <c r="CP35" s="17">
        <f>IF(AND(91&gt;=$B$10,91&lt;=$D$10),1,0)</f>
        <v/>
      </c>
      <c r="CQ35" s="17">
        <f>IF(AND(92&gt;=$B$10,92&lt;=$D$10),1,0)</f>
        <v/>
      </c>
      <c r="CR35" s="17">
        <f>IF(AND(93&gt;=$B$10,93&lt;=$D$10),1,0)</f>
        <v/>
      </c>
      <c r="CS35" s="17">
        <f>IF(AND(94&gt;=$B$10,94&lt;=$D$10),1,0)</f>
        <v/>
      </c>
      <c r="CT35" s="17">
        <f>IF(AND(95&gt;=$B$10,95&lt;=$D$10),1,0)</f>
        <v/>
      </c>
      <c r="CU35" s="17">
        <f>IF(AND(96&gt;=$B$10,96&lt;=$D$10),1,0)</f>
        <v/>
      </c>
      <c r="CV35" s="17">
        <f>IF(AND(97&gt;=$B$10,97&lt;=$D$10),1,0)</f>
        <v/>
      </c>
      <c r="CW35" s="17">
        <f>IF(AND(98&gt;=$B$10,98&lt;=$D$10),1,0)</f>
        <v/>
      </c>
      <c r="CX35" s="17">
        <f>IF(AND(99&gt;=$B$10,99&lt;=$D$10),1,0)</f>
        <v/>
      </c>
      <c r="CY35" s="17">
        <f>IF(AND(100&gt;=$B$10,100&lt;=$D$10),1,0)</f>
        <v/>
      </c>
      <c r="CZ35" s="17">
        <f>IF(AND(101&gt;=$B$10,101&lt;=$D$10),1,0)</f>
        <v/>
      </c>
      <c r="DA35" s="17">
        <f>IF(AND(102&gt;=$B$10,102&lt;=$D$10),1,0)</f>
        <v/>
      </c>
      <c r="DB35" s="17">
        <f>IF(AND(103&gt;=$B$10,103&lt;=$D$10),1,0)</f>
        <v/>
      </c>
      <c r="DC35" s="17">
        <f>IF(AND(104&gt;=$B$10,104&lt;=$D$10),1,0)</f>
        <v/>
      </c>
      <c r="DD35" s="17">
        <f>IF(AND(105&gt;=$B$10,105&lt;=$D$10),1,0)</f>
        <v/>
      </c>
      <c r="DE35" s="17">
        <f>IF(AND(106&gt;=$B$10,106&lt;=$D$10),1,0)</f>
        <v/>
      </c>
      <c r="DF35" s="17">
        <f>IF(AND(107&gt;=$B$10,107&lt;=$D$10),1,0)</f>
        <v/>
      </c>
      <c r="DG35" s="17">
        <f>IF(AND(108&gt;=$B$10,108&lt;=$D$10),1,0)</f>
        <v/>
      </c>
      <c r="DH35" s="17">
        <f>IF(AND(109&gt;=$B$10,109&lt;=$D$10),1,0)</f>
        <v/>
      </c>
      <c r="DI35" s="17">
        <f>IF(AND(110&gt;=$B$10,110&lt;=$D$10),1,0)</f>
        <v/>
      </c>
      <c r="DJ35" s="17">
        <f>IF(AND(111&gt;=$B$10,111&lt;=$D$10),1,0)</f>
        <v/>
      </c>
      <c r="DK35" s="17">
        <f>IF(AND(112&gt;=$B$10,112&lt;=$D$10),1,0)</f>
        <v/>
      </c>
      <c r="DL35" s="17">
        <f>IF(AND(113&gt;=$B$10,113&lt;=$D$10),1,0)</f>
        <v/>
      </c>
      <c r="DM35" s="17">
        <f>IF(AND(114&gt;=$B$10,114&lt;=$D$10),1,0)</f>
        <v/>
      </c>
      <c r="DN35" s="17">
        <f>IF(AND(115&gt;=$B$10,115&lt;=$D$10),1,0)</f>
        <v/>
      </c>
      <c r="DO35" s="17">
        <f>IF(AND(116&gt;=$B$10,116&lt;=$D$10),1,0)</f>
        <v/>
      </c>
      <c r="DP35" s="17">
        <f>IF(AND(117&gt;=$B$10,117&lt;=$D$10),1,0)</f>
        <v/>
      </c>
      <c r="DQ35" s="17">
        <f>IF(AND(118&gt;=$B$10,118&lt;=$D$10),1,0)</f>
        <v/>
      </c>
      <c r="DR35" s="17">
        <f>IF(AND(119&gt;=$B$10,119&lt;=$D$10),1,0)</f>
        <v/>
      </c>
      <c r="DS35" s="17">
        <f>IF(AND(120&gt;=$B$10,120&lt;=$D$10),1,0)</f>
        <v/>
      </c>
      <c r="DT35" s="17">
        <f>IF(AND(121&gt;=$B$10,121&lt;=$D$10),1,0)</f>
        <v/>
      </c>
      <c r="DU35" s="17">
        <f>IF(AND(122&gt;=$B$10,122&lt;=$D$10),1,0)</f>
        <v/>
      </c>
      <c r="DV35" s="17">
        <f>IF(AND(123&gt;=$B$10,123&lt;=$D$10),1,0)</f>
        <v/>
      </c>
      <c r="DW35" s="17">
        <f>IF(AND(124&gt;=$B$10,124&lt;=$D$10),1,0)</f>
        <v/>
      </c>
      <c r="DX35" s="17">
        <f>IF(AND(125&gt;=$B$10,125&lt;=$D$10),1,0)</f>
        <v/>
      </c>
      <c r="DY35" s="17">
        <f>IF(AND(126&gt;=$B$10,126&lt;=$D$10),1,0)</f>
        <v/>
      </c>
      <c r="DZ35" s="17">
        <f>IF(AND(127&gt;=$B$10,127&lt;=$D$10),1,0)</f>
        <v/>
      </c>
      <c r="EA35" s="17">
        <f>IF(AND(128&gt;=$B$10,128&lt;=$D$10),1,0)</f>
        <v/>
      </c>
      <c r="EB35" s="17">
        <f>IF(AND(129&gt;=$B$10,129&lt;=$D$10),1,0)</f>
        <v/>
      </c>
      <c r="EC35" s="17">
        <f>IF(AND(130&gt;=$B$10,130&lt;=$D$10),1,0)</f>
        <v/>
      </c>
      <c r="ED35" s="17">
        <f>IF(AND(131&gt;=$B$10,131&lt;=$D$10),1,0)</f>
        <v/>
      </c>
      <c r="EE35" s="17">
        <f>IF(AND(132&gt;=$B$10,132&lt;=$D$10),1,0)</f>
        <v/>
      </c>
      <c r="EF35" s="17">
        <f>IF(AND(133&gt;=$B$10,133&lt;=$D$10),1,0)</f>
        <v/>
      </c>
      <c r="EG35" s="17">
        <f>IF(AND(134&gt;=$B$10,134&lt;=$D$10),1,0)</f>
        <v/>
      </c>
      <c r="EH35" s="17">
        <f>IF(AND(135&gt;=$B$10,135&lt;=$D$10),1,0)</f>
        <v/>
      </c>
      <c r="EI35" s="17">
        <f>IF(AND(136&gt;=$B$10,136&lt;=$D$10),1,0)</f>
        <v/>
      </c>
      <c r="EJ35" s="17">
        <f>IF(AND(137&gt;=$B$10,137&lt;=$D$10),1,0)</f>
        <v/>
      </c>
      <c r="EK35" s="17">
        <f>IF(AND(138&gt;=$B$10,138&lt;=$D$10),1,0)</f>
        <v/>
      </c>
      <c r="EL35" s="17">
        <f>IF(AND(139&gt;=$B$10,139&lt;=$D$10),1,0)</f>
        <v/>
      </c>
      <c r="EM35" s="17">
        <f>IF(AND(140&gt;=$B$10,140&lt;=$D$10),1,0)</f>
        <v/>
      </c>
      <c r="EN35" s="17">
        <f>IF(AND(141&gt;=$B$10,141&lt;=$D$10),1,0)</f>
        <v/>
      </c>
      <c r="EO35" s="17">
        <f>IF(AND(142&gt;=$B$10,142&lt;=$D$10),1,0)</f>
        <v/>
      </c>
      <c r="EP35" s="17">
        <f>IF(AND(143&gt;=$B$10,143&lt;=$D$10),1,0)</f>
        <v/>
      </c>
      <c r="EQ35" s="17">
        <f>IF(AND(144&gt;=$B$10,144&lt;=$D$10),1,0)</f>
        <v/>
      </c>
      <c r="ER35" s="17">
        <f>IF(AND(145&gt;=$B$10,145&lt;=$D$10),1,0)</f>
        <v/>
      </c>
      <c r="ES35" s="17">
        <f>IF(AND(146&gt;=$B$10,146&lt;=$D$10),1,0)</f>
        <v/>
      </c>
      <c r="ET35" s="17">
        <f>IF(AND(147&gt;=$B$10,147&lt;=$D$10),1,0)</f>
        <v/>
      </c>
      <c r="EU35" s="17">
        <f>IF(AND(148&gt;=$B$10,148&lt;=$D$10),1,0)</f>
        <v/>
      </c>
      <c r="EV35" s="17">
        <f>IF(AND(149&gt;=$B$10,149&lt;=$D$10),1,0)</f>
        <v/>
      </c>
      <c r="EW35" s="17">
        <f>IF(AND(150&gt;=$B$10,150&lt;=$D$10),1,0)</f>
        <v/>
      </c>
      <c r="EX35" s="17">
        <f>IF(AND(151&gt;=$B$10,151&lt;=$D$10),1,0)</f>
        <v/>
      </c>
      <c r="EY35" s="17">
        <f>IF(AND(152&gt;=$B$10,152&lt;=$D$10),1,0)</f>
        <v/>
      </c>
      <c r="EZ35" s="17">
        <f>IF(AND(153&gt;=$B$10,153&lt;=$D$10),1,0)</f>
        <v/>
      </c>
      <c r="FA35" s="17">
        <f>IF(AND(154&gt;=$B$10,154&lt;=$D$10),1,0)</f>
        <v/>
      </c>
      <c r="FB35" s="17">
        <f>IF(AND(155&gt;=$B$10,155&lt;=$D$10),1,0)</f>
        <v/>
      </c>
      <c r="FC35" s="17">
        <f>IF(AND(156&gt;=$B$10,156&lt;=$D$10),1,0)</f>
        <v/>
      </c>
      <c r="FD35" s="17">
        <f>IF(AND(157&gt;=$B$10,157&lt;=$D$10),1,0)</f>
        <v/>
      </c>
      <c r="FE35" s="17">
        <f>IF(AND(158&gt;=$B$10,158&lt;=$D$10),1,0)</f>
        <v/>
      </c>
      <c r="FF35" s="17">
        <f>IF(AND(159&gt;=$B$10,159&lt;=$D$10),1,0)</f>
        <v/>
      </c>
      <c r="FG35" s="17">
        <f>IF(AND(160&gt;=$B$10,160&lt;=$D$10),1,0)</f>
        <v/>
      </c>
      <c r="FH35" s="17">
        <f>IF(AND(161&gt;=$B$10,161&lt;=$D$10),1,0)</f>
        <v/>
      </c>
      <c r="FI35" s="17">
        <f>IF(AND(162&gt;=$B$10,162&lt;=$D$10),1,0)</f>
        <v/>
      </c>
      <c r="FJ35" s="17">
        <f>IF(AND(163&gt;=$B$10,163&lt;=$D$10),1,0)</f>
        <v/>
      </c>
      <c r="FK35" s="17">
        <f>IF(AND(164&gt;=$B$10,164&lt;=$D$10),1,0)</f>
        <v/>
      </c>
      <c r="FL35" s="17">
        <f>IF(AND(165&gt;=$B$10,165&lt;=$D$10),1,0)</f>
        <v/>
      </c>
      <c r="FM35" s="17">
        <f>IF(AND(166&gt;=$B$10,166&lt;=$D$10),1,0)</f>
        <v/>
      </c>
      <c r="FN35" s="17">
        <f>IF(AND(167&gt;=$B$10,167&lt;=$D$10),1,0)</f>
        <v/>
      </c>
      <c r="FO35" s="17">
        <f>IF(AND(168&gt;=$B$10,168&lt;=$D$10),1,0)</f>
        <v/>
      </c>
      <c r="FP35" s="17">
        <f>IF(AND(169&gt;=$B$10,169&lt;=$D$10),1,0)</f>
        <v/>
      </c>
      <c r="FQ35" s="17">
        <f>IF(AND(170&gt;=$B$10,170&lt;=$D$10),1,0)</f>
        <v/>
      </c>
      <c r="FR35" s="17">
        <f>IF(AND(171&gt;=$B$10,171&lt;=$D$10),1,0)</f>
        <v/>
      </c>
      <c r="FS35" s="17">
        <f>IF(AND(172&gt;=$B$10,172&lt;=$D$10),1,0)</f>
        <v/>
      </c>
      <c r="FT35" s="17">
        <f>IF(AND(173&gt;=$B$10,173&lt;=$D$10),1,0)</f>
        <v/>
      </c>
      <c r="FU35" s="17">
        <f>IF(AND(174&gt;=$B$10,174&lt;=$D$10),1,0)</f>
        <v/>
      </c>
      <c r="FV35" s="17">
        <f>IF(AND(175&gt;=$B$10,175&lt;=$D$10),1,0)</f>
        <v/>
      </c>
      <c r="FW35" s="17">
        <f>IF(AND(176&gt;=$B$10,176&lt;=$D$10),1,0)</f>
        <v/>
      </c>
      <c r="FX35" s="17">
        <f>IF(AND(177&gt;=$B$10,177&lt;=$D$10),1,0)</f>
        <v/>
      </c>
      <c r="FY35" s="17">
        <f>IF(AND(178&gt;=$B$10,178&lt;=$D$10),1,0)</f>
        <v/>
      </c>
      <c r="FZ35" s="17">
        <f>IF(AND(179&gt;=$B$10,179&lt;=$D$10),1,0)</f>
        <v/>
      </c>
      <c r="GA35" s="17">
        <f>IF(AND(180&gt;=$B$10,180&lt;=$D$10),1,0)</f>
        <v/>
      </c>
      <c r="GB35" s="17">
        <f>IF(AND(181&gt;=$B$10,181&lt;=$D$10),1,0)</f>
        <v/>
      </c>
      <c r="GC35" s="17">
        <f>IF(AND(182&gt;=$B$10,182&lt;=$D$10),1,0)</f>
        <v/>
      </c>
      <c r="GD35" s="17">
        <f>IF(AND(183&gt;=$B$10,183&lt;=$D$10),1,0)</f>
        <v/>
      </c>
      <c r="GE35" s="17">
        <f>IF(AND(184&gt;=$B$10,184&lt;=$D$10),1,0)</f>
        <v/>
      </c>
      <c r="GF35" s="17">
        <f>IF(AND(185&gt;=$B$10,185&lt;=$D$10),1,0)</f>
        <v/>
      </c>
      <c r="GG35" s="17">
        <f>IF(AND(186&gt;=$B$10,186&lt;=$D$10),1,0)</f>
        <v/>
      </c>
      <c r="GH35" s="17">
        <f>IF(AND(187&gt;=$B$10,187&lt;=$D$10),1,0)</f>
        <v/>
      </c>
      <c r="GI35" s="17">
        <f>IF(AND(188&gt;=$B$10,188&lt;=$D$10),1,0)</f>
        <v/>
      </c>
      <c r="GJ35" s="17">
        <f>IF(AND(189&gt;=$B$10,189&lt;=$D$10),1,0)</f>
        <v/>
      </c>
      <c r="GK35" s="17">
        <f>IF(AND(190&gt;=$B$10,190&lt;=$D$10),1,0)</f>
        <v/>
      </c>
      <c r="GL35" s="17">
        <f>IF(AND(191&gt;=$B$10,191&lt;=$D$10),1,0)</f>
        <v/>
      </c>
      <c r="GM35" s="17">
        <f>IF(AND(192&gt;=$B$10,192&lt;=$D$10),1,0)</f>
        <v/>
      </c>
      <c r="GN35" s="17">
        <f>IF(AND(193&gt;=$B$10,193&lt;=$D$10),1,0)</f>
        <v/>
      </c>
      <c r="GO35" s="17">
        <f>IF(AND(194&gt;=$B$10,194&lt;=$D$10),1,0)</f>
        <v/>
      </c>
      <c r="GP35" s="17">
        <f>IF(AND(195&gt;=$B$10,195&lt;=$D$10),1,0)</f>
        <v/>
      </c>
      <c r="GQ35" s="17">
        <f>IF(AND(196&gt;=$B$10,196&lt;=$D$10),1,0)</f>
        <v/>
      </c>
      <c r="GR35" s="17">
        <f>IF(AND(197&gt;=$B$10,197&lt;=$D$10),1,0)</f>
        <v/>
      </c>
      <c r="GS35" s="17">
        <f>IF(AND(198&gt;=$B$10,198&lt;=$D$10),1,0)</f>
        <v/>
      </c>
      <c r="GT35" s="17">
        <f>IF(AND(199&gt;=$B$10,199&lt;=$D$10),1,0)</f>
        <v/>
      </c>
      <c r="GU35" s="17">
        <f>IF(AND(200&gt;=$B$10,200&lt;=$D$10),1,0)</f>
        <v/>
      </c>
      <c r="GV35" s="17">
        <f>IF(AND(201&gt;=$B$10,201&lt;=$D$10),1,0)</f>
        <v/>
      </c>
      <c r="GW35" s="17">
        <f>IF(AND(202&gt;=$B$10,202&lt;=$D$10),1,0)</f>
        <v/>
      </c>
      <c r="GX35" s="17">
        <f>IF(AND(203&gt;=$B$10,203&lt;=$D$10),1,0)</f>
        <v/>
      </c>
      <c r="GY35" s="17">
        <f>IF(AND(204&gt;=$B$10,204&lt;=$D$10),1,0)</f>
        <v/>
      </c>
      <c r="GZ35" s="17">
        <f>IF(AND(205&gt;=$B$10,205&lt;=$D$10),1,0)</f>
        <v/>
      </c>
      <c r="HA35" s="17">
        <f>IF(AND(206&gt;=$B$10,206&lt;=$D$10),1,0)</f>
        <v/>
      </c>
      <c r="HB35" s="17">
        <f>IF(AND(207&gt;=$B$10,207&lt;=$D$10),1,0)</f>
        <v/>
      </c>
      <c r="HC35" s="17">
        <f>IF(AND(208&gt;=$B$10,208&lt;=$D$10),1,0)</f>
        <v/>
      </c>
      <c r="HD35" s="17">
        <f>IF(AND(209&gt;=$B$10,209&lt;=$D$10),1,0)</f>
        <v/>
      </c>
      <c r="HE35" s="17">
        <f>IF(AND(210&gt;=$B$10,210&lt;=$D$10),1,0)</f>
        <v/>
      </c>
      <c r="HF35" s="17">
        <f>IF(AND(211&gt;=$B$10,211&lt;=$D$10),1,0)</f>
        <v/>
      </c>
      <c r="HG35" s="17">
        <f>IF(AND(212&gt;=$B$10,212&lt;=$D$10),1,0)</f>
        <v/>
      </c>
      <c r="HH35" s="17">
        <f>IF(AND(213&gt;=$B$10,213&lt;=$D$10),1,0)</f>
        <v/>
      </c>
      <c r="HI35" s="17">
        <f>IF(AND(214&gt;=$B$10,214&lt;=$D$10),1,0)</f>
        <v/>
      </c>
      <c r="HJ35" s="17">
        <f>IF(AND(215&gt;=$B$10,215&lt;=$D$10),1,0)</f>
        <v/>
      </c>
      <c r="HK35" s="17">
        <f>IF(AND(216&gt;=$B$10,216&lt;=$D$10),1,0)</f>
        <v/>
      </c>
      <c r="HL35" s="17">
        <f>IF(AND(217&gt;=$B$10,217&lt;=$D$10),1,0)</f>
        <v/>
      </c>
      <c r="HM35" s="17">
        <f>IF(AND(218&gt;=$B$10,218&lt;=$D$10),1,0)</f>
        <v/>
      </c>
      <c r="HN35" s="17">
        <f>IF(AND(219&gt;=$B$10,219&lt;=$D$10),1,0)</f>
        <v/>
      </c>
      <c r="HO35" s="17">
        <f>IF(AND(220&gt;=$B$10,220&lt;=$D$10),1,0)</f>
        <v/>
      </c>
      <c r="HP35" s="17">
        <f>IF(AND(221&gt;=$B$10,221&lt;=$D$10),1,0)</f>
        <v/>
      </c>
      <c r="HQ35" s="17">
        <f>IF(AND(222&gt;=$B$10,222&lt;=$D$10),1,0)</f>
        <v/>
      </c>
      <c r="HR35" s="17">
        <f>IF(AND(223&gt;=$B$10,223&lt;=$D$10),1,0)</f>
        <v/>
      </c>
      <c r="HS35" s="17">
        <f>IF(AND(224&gt;=$B$10,224&lt;=$D$10),1,0)</f>
        <v/>
      </c>
      <c r="HT35" s="17">
        <f>IF(AND(225&gt;=$B$10,225&lt;=$D$10),1,0)</f>
        <v/>
      </c>
      <c r="HU35" s="17">
        <f>IF(AND(226&gt;=$B$10,226&lt;=$D$10),1,0)</f>
        <v/>
      </c>
      <c r="HV35" s="17">
        <f>IF(AND(227&gt;=$B$10,227&lt;=$D$10),1,0)</f>
        <v/>
      </c>
      <c r="HW35" s="17">
        <f>IF(AND(228&gt;=$B$10,228&lt;=$D$10),1,0)</f>
        <v/>
      </c>
      <c r="HX35" s="17">
        <f>IF(AND(229&gt;=$B$10,229&lt;=$D$10),1,0)</f>
        <v/>
      </c>
      <c r="HY35" s="17">
        <f>IF(AND(230&gt;=$B$10,230&lt;=$D$10),1,0)</f>
        <v/>
      </c>
      <c r="HZ35" s="17">
        <f>IF(AND(231&gt;=$B$10,231&lt;=$D$10),1,0)</f>
        <v/>
      </c>
      <c r="IA35" s="17">
        <f>IF(AND(232&gt;=$B$10,232&lt;=$D$10),1,0)</f>
        <v/>
      </c>
      <c r="IB35" s="17">
        <f>IF(AND(233&gt;=$B$10,233&lt;=$D$10),1,0)</f>
        <v/>
      </c>
      <c r="IC35" s="17">
        <f>IF(AND(234&gt;=$B$10,234&lt;=$D$10),1,0)</f>
        <v/>
      </c>
      <c r="ID35" s="17">
        <f>IF(AND(235&gt;=$B$10,235&lt;=$D$10),1,0)</f>
        <v/>
      </c>
      <c r="IE35" s="17">
        <f>IF(AND(236&gt;=$B$10,236&lt;=$D$10),1,0)</f>
        <v/>
      </c>
      <c r="IF35" s="17">
        <f>IF(AND(237&gt;=$B$10,237&lt;=$D$10),1,0)</f>
        <v/>
      </c>
      <c r="IG35" s="17">
        <f>IF(AND(238&gt;=$B$10,238&lt;=$D$10),1,0)</f>
        <v/>
      </c>
      <c r="IH35" s="17">
        <f>IF(AND(239&gt;=$B$10,239&lt;=$D$10),1,0)</f>
        <v/>
      </c>
      <c r="II35" s="17">
        <f>IF(AND(240&gt;=$B$10,240&lt;=$D$10),1,0)</f>
        <v/>
      </c>
      <c r="IJ35" s="17">
        <f>IF(AND(241&gt;=$B$10,241&lt;=$D$10),1,0)</f>
        <v/>
      </c>
      <c r="IK35" s="17">
        <f>IF(AND(242&gt;=$B$10,242&lt;=$D$10),1,0)</f>
        <v/>
      </c>
      <c r="IL35" s="17">
        <f>IF(AND(243&gt;=$B$10,243&lt;=$D$10),1,0)</f>
        <v/>
      </c>
      <c r="IM35" s="17">
        <f>IF(AND(244&gt;=$B$10,244&lt;=$D$10),1,0)</f>
        <v/>
      </c>
      <c r="IN35" s="17">
        <f>IF(AND(245&gt;=$B$10,245&lt;=$D$10),1,0)</f>
        <v/>
      </c>
      <c r="IO35" s="17">
        <f>IF(AND(246&gt;=$B$10,246&lt;=$D$10),1,0)</f>
        <v/>
      </c>
      <c r="IP35" s="17">
        <f>IF(AND(247&gt;=$B$10,247&lt;=$D$10),1,0)</f>
        <v/>
      </c>
      <c r="IQ35" s="17">
        <f>IF(AND(248&gt;=$B$10,248&lt;=$D$10),1,0)</f>
        <v/>
      </c>
      <c r="IR35" s="17">
        <f>IF(AND(249&gt;=$B$10,249&lt;=$D$10),1,0)</f>
        <v/>
      </c>
      <c r="IS35" s="17">
        <f>IF(AND(250&gt;=$B$10,250&lt;=$D$10),1,0)</f>
        <v/>
      </c>
      <c r="IT35" s="17">
        <f>IF(AND(251&gt;=$B$10,251&lt;=$D$10),1,0)</f>
        <v/>
      </c>
      <c r="IU35" s="17">
        <f>IF(AND(252&gt;=$B$10,252&lt;=$D$10),1,0)</f>
        <v/>
      </c>
      <c r="IV35" s="17">
        <f>IF(AND(253&gt;=$B$10,253&lt;=$D$10),1,0)</f>
        <v/>
      </c>
      <c r="IW35" s="17">
        <f>IF(AND(254&gt;=$B$10,254&lt;=$D$10),1,0)</f>
        <v/>
      </c>
      <c r="IX35" s="17">
        <f>IF(AND(255&gt;=$B$10,255&lt;=$D$10),1,0)</f>
        <v/>
      </c>
      <c r="IY35" s="17">
        <f>IF(AND(256&gt;=$B$10,256&lt;=$D$10),1,0)</f>
        <v/>
      </c>
      <c r="IZ35" s="17">
        <f>IF(AND(257&gt;=$B$10,257&lt;=$D$10),1,0)</f>
        <v/>
      </c>
      <c r="JA35" s="17">
        <f>IF(AND(258&gt;=$B$10,258&lt;=$D$10),1,0)</f>
        <v/>
      </c>
      <c r="JB35" s="17">
        <f>IF(AND(259&gt;=$B$10,259&lt;=$D$10),1,0)</f>
        <v/>
      </c>
      <c r="JC35" s="17">
        <f>IF(AND(260&gt;=$B$10,260&lt;=$D$10),1,0)</f>
        <v/>
      </c>
      <c r="JD35" s="17">
        <f>IF(AND(261&gt;=$B$10,261&lt;=$D$10),1,0)</f>
        <v/>
      </c>
      <c r="JE35" s="17">
        <f>IF(AND(262&gt;=$B$10,262&lt;=$D$10),1,0)</f>
        <v/>
      </c>
      <c r="JF35" s="17">
        <f>IF(AND(263&gt;=$B$10,263&lt;=$D$10),1,0)</f>
        <v/>
      </c>
      <c r="JG35" s="17">
        <f>IF(AND(264&gt;=$B$10,264&lt;=$D$10),1,0)</f>
        <v/>
      </c>
      <c r="JH35" s="17">
        <f>IF(AND(265&gt;=$B$10,265&lt;=$D$10),1,0)</f>
        <v/>
      </c>
      <c r="JI35" s="17">
        <f>IF(AND(266&gt;=$B$10,266&lt;=$D$10),1,0)</f>
        <v/>
      </c>
      <c r="JJ35" s="17">
        <f>IF(AND(267&gt;=$B$10,267&lt;=$D$10),1,0)</f>
        <v/>
      </c>
      <c r="JK35" s="17">
        <f>IF(AND(268&gt;=$B$10,268&lt;=$D$10),1,0)</f>
        <v/>
      </c>
      <c r="JL35" s="17">
        <f>IF(AND(269&gt;=$B$10,269&lt;=$D$10),1,0)</f>
        <v/>
      </c>
      <c r="JM35" s="17">
        <f>IF(AND(270&gt;=$B$10,270&lt;=$D$10),1,0)</f>
        <v/>
      </c>
      <c r="JN35" s="17">
        <f>IF(AND(271&gt;=$B$10,271&lt;=$D$10),1,0)</f>
        <v/>
      </c>
      <c r="JO35" s="17">
        <f>IF(AND(272&gt;=$B$10,272&lt;=$D$10),1,0)</f>
        <v/>
      </c>
      <c r="JP35" s="17">
        <f>IF(AND(273&gt;=$B$10,273&lt;=$D$10),1,0)</f>
        <v/>
      </c>
      <c r="JQ35" s="17">
        <f>IF(AND(274&gt;=$B$10,274&lt;=$D$10),1,0)</f>
        <v/>
      </c>
      <c r="JR35" s="17">
        <f>IF(AND(275&gt;=$B$10,275&lt;=$D$10),1,0)</f>
        <v/>
      </c>
      <c r="JS35" s="17">
        <f>IF(AND(276&gt;=$B$10,276&lt;=$D$10),1,0)</f>
        <v/>
      </c>
      <c r="JT35" s="17">
        <f>IF(AND(277&gt;=$B$10,277&lt;=$D$10),1,0)</f>
        <v/>
      </c>
      <c r="JU35" s="17">
        <f>IF(AND(278&gt;=$B$10,278&lt;=$D$10),1,0)</f>
        <v/>
      </c>
      <c r="JV35" s="17">
        <f>IF(AND(279&gt;=$B$10,279&lt;=$D$10),1,0)</f>
        <v/>
      </c>
      <c r="JW35" s="17">
        <f>IF(AND(280&gt;=$B$10,280&lt;=$D$10),1,0)</f>
        <v/>
      </c>
      <c r="JX35" s="17">
        <f>IF(AND(281&gt;=$B$10,281&lt;=$D$10),1,0)</f>
        <v/>
      </c>
      <c r="JY35" s="17">
        <f>IF(AND(282&gt;=$B$10,282&lt;=$D$10),1,0)</f>
        <v/>
      </c>
      <c r="JZ35" s="17">
        <f>IF(AND(283&gt;=$B$10,283&lt;=$D$10),1,0)</f>
        <v/>
      </c>
      <c r="KA35" s="17">
        <f>IF(AND(284&gt;=$B$10,284&lt;=$D$10),1,0)</f>
        <v/>
      </c>
      <c r="KB35" s="17">
        <f>IF(AND(285&gt;=$B$10,285&lt;=$D$10),1,0)</f>
        <v/>
      </c>
      <c r="KC35" s="17">
        <f>IF(AND(286&gt;=$B$10,286&lt;=$D$10),1,0)</f>
        <v/>
      </c>
      <c r="KD35" s="17">
        <f>IF(AND(287&gt;=$B$10,287&lt;=$D$10),1,0)</f>
        <v/>
      </c>
      <c r="KE35" s="17">
        <f>IF(AND(288&gt;=$B$10,288&lt;=$D$10),1,0)</f>
        <v/>
      </c>
      <c r="KF35" s="17">
        <f>IF(AND(289&gt;=$B$10,289&lt;=$D$10),1,0)</f>
        <v/>
      </c>
      <c r="KG35" s="17">
        <f>IF(AND(290&gt;=$B$10,290&lt;=$D$10),1,0)</f>
        <v/>
      </c>
      <c r="KH35" s="17">
        <f>IF(AND(291&gt;=$B$10,291&lt;=$D$10),1,0)</f>
        <v/>
      </c>
      <c r="KI35" s="17">
        <f>IF(AND(292&gt;=$B$10,292&lt;=$D$10),1,0)</f>
        <v/>
      </c>
      <c r="KJ35" s="17">
        <f>IF(AND(293&gt;=$B$10,293&lt;=$D$10),1,0)</f>
        <v/>
      </c>
      <c r="KK35" s="17">
        <f>IF(AND(294&gt;=$B$10,294&lt;=$D$10),1,0)</f>
        <v/>
      </c>
      <c r="KL35" s="17">
        <f>IF(AND(295&gt;=$B$10,295&lt;=$D$10),1,0)</f>
        <v/>
      </c>
      <c r="KM35" s="17">
        <f>IF(AND(296&gt;=$B$10,296&lt;=$D$10),1,0)</f>
        <v/>
      </c>
      <c r="KN35" s="17">
        <f>IF(AND(297&gt;=$B$10,297&lt;=$D$10),1,0)</f>
        <v/>
      </c>
      <c r="KO35" s="17">
        <f>IF(AND(298&gt;=$B$10,298&lt;=$D$10),1,0)</f>
        <v/>
      </c>
      <c r="KP35" s="17">
        <f>IF(AND(299&gt;=$B$10,299&lt;=$D$10),1,0)</f>
        <v/>
      </c>
      <c r="KQ35" s="17">
        <f>IF(AND(300&gt;=$B$10,300&lt;=$D$10),1,0)</f>
        <v/>
      </c>
      <c r="KR35" s="17">
        <f>IF(AND(301&gt;=$B$10,301&lt;=$D$10),1,0)</f>
        <v/>
      </c>
      <c r="KS35" s="17">
        <f>IF(AND(302&gt;=$B$10,302&lt;=$D$10),1,0)</f>
        <v/>
      </c>
      <c r="KT35" s="17">
        <f>IF(AND(303&gt;=$B$10,303&lt;=$D$10),1,0)</f>
        <v/>
      </c>
      <c r="KU35" s="17">
        <f>IF(AND(304&gt;=$B$10,304&lt;=$D$10),1,0)</f>
        <v/>
      </c>
      <c r="KV35" s="17">
        <f>IF(AND(305&gt;=$B$10,305&lt;=$D$10),1,0)</f>
        <v/>
      </c>
      <c r="KW35" s="17">
        <f>IF(AND(306&gt;=$B$10,306&lt;=$D$10),1,0)</f>
        <v/>
      </c>
      <c r="KX35" s="17">
        <f>IF(AND(307&gt;=$B$10,307&lt;=$D$10),1,0)</f>
        <v/>
      </c>
      <c r="KY35" s="17">
        <f>IF(AND(308&gt;=$B$10,308&lt;=$D$10),1,0)</f>
        <v/>
      </c>
      <c r="KZ35" s="17">
        <f>IF(AND(309&gt;=$B$10,309&lt;=$D$10),1,0)</f>
        <v/>
      </c>
      <c r="LA35" s="17">
        <f>IF(AND(310&gt;=$B$10,310&lt;=$D$10),1,0)</f>
        <v/>
      </c>
      <c r="LB35" s="17">
        <f>IF(AND(311&gt;=$B$10,311&lt;=$D$10),1,0)</f>
        <v/>
      </c>
      <c r="LC35" s="17">
        <f>IF(AND(312&gt;=$B$10,312&lt;=$D$10),1,0)</f>
        <v/>
      </c>
      <c r="LD35" s="17">
        <f>IF(AND(313&gt;=$B$10,313&lt;=$D$10),1,0)</f>
        <v/>
      </c>
      <c r="LE35" s="17">
        <f>IF(AND(314&gt;=$B$10,314&lt;=$D$10),1,0)</f>
        <v/>
      </c>
      <c r="LF35" s="17">
        <f>IF(AND(315&gt;=$B$10,315&lt;=$D$10),1,0)</f>
        <v/>
      </c>
      <c r="LG35" s="17">
        <f>IF(AND(316&gt;=$B$10,316&lt;=$D$10),1,0)</f>
        <v/>
      </c>
      <c r="LH35" s="17">
        <f>IF(AND(317&gt;=$B$10,317&lt;=$D$10),1,0)</f>
        <v/>
      </c>
      <c r="LI35" s="17">
        <f>IF(AND(318&gt;=$B$10,318&lt;=$D$10),1,0)</f>
        <v/>
      </c>
      <c r="LJ35" s="17">
        <f>IF(AND(319&gt;=$B$10,319&lt;=$D$10),1,0)</f>
        <v/>
      </c>
      <c r="LK35" s="17">
        <f>IF(AND(320&gt;=$B$10,320&lt;=$D$10),1,0)</f>
        <v/>
      </c>
      <c r="LL35" s="17">
        <f>IF(AND(321&gt;=$B$10,321&lt;=$D$10),1,0)</f>
        <v/>
      </c>
      <c r="LM35" s="17">
        <f>IF(AND(322&gt;=$B$10,322&lt;=$D$10),1,0)</f>
        <v/>
      </c>
      <c r="LN35" s="17">
        <f>IF(AND(323&gt;=$B$10,323&lt;=$D$10),1,0)</f>
        <v/>
      </c>
      <c r="LO35" s="17">
        <f>IF(AND(324&gt;=$B$10,324&lt;=$D$10),1,0)</f>
        <v/>
      </c>
      <c r="LP35" s="17">
        <f>IF(AND(325&gt;=$B$10,325&lt;=$D$10),1,0)</f>
        <v/>
      </c>
      <c r="LQ35" s="17">
        <f>IF(AND(326&gt;=$B$10,326&lt;=$D$10),1,0)</f>
        <v/>
      </c>
      <c r="LR35" s="17">
        <f>IF(AND(327&gt;=$B$10,327&lt;=$D$10),1,0)</f>
        <v/>
      </c>
      <c r="LS35" s="17">
        <f>IF(AND(328&gt;=$B$10,328&lt;=$D$10),1,0)</f>
        <v/>
      </c>
      <c r="LT35" s="17">
        <f>IF(AND(329&gt;=$B$10,329&lt;=$D$10),1,0)</f>
        <v/>
      </c>
      <c r="LU35" s="17">
        <f>IF(AND(330&gt;=$B$10,330&lt;=$D$10),1,0)</f>
        <v/>
      </c>
      <c r="LV35" s="17">
        <f>IF(AND(331&gt;=$B$10,331&lt;=$D$10),1,0)</f>
        <v/>
      </c>
      <c r="LW35" s="17">
        <f>IF(AND(332&gt;=$B$10,332&lt;=$D$10),1,0)</f>
        <v/>
      </c>
      <c r="LX35" s="17">
        <f>IF(AND(333&gt;=$B$10,333&lt;=$D$10),1,0)</f>
        <v/>
      </c>
      <c r="LY35" s="17">
        <f>IF(AND(334&gt;=$B$10,334&lt;=$D$10),1,0)</f>
        <v/>
      </c>
      <c r="LZ35" s="17">
        <f>IF(AND(335&gt;=$B$10,335&lt;=$D$10),1,0)</f>
        <v/>
      </c>
      <c r="MA35" s="17">
        <f>IF(AND(336&gt;=$B$10,336&lt;=$D$10),1,0)</f>
        <v/>
      </c>
      <c r="MB35" s="17">
        <f>IF(AND(337&gt;=$B$10,337&lt;=$D$10),1,0)</f>
        <v/>
      </c>
      <c r="MC35" s="17">
        <f>IF(AND(338&gt;=$B$10,338&lt;=$D$10),1,0)</f>
        <v/>
      </c>
      <c r="MD35" s="17">
        <f>IF(AND(339&gt;=$B$10,339&lt;=$D$10),1,0)</f>
        <v/>
      </c>
      <c r="ME35" s="17">
        <f>IF(AND(340&gt;=$B$10,340&lt;=$D$10),1,0)</f>
        <v/>
      </c>
      <c r="MF35" s="17">
        <f>IF(AND(341&gt;=$B$10,341&lt;=$D$10),1,0)</f>
        <v/>
      </c>
      <c r="MG35" s="17">
        <f>IF(AND(342&gt;=$B$10,342&lt;=$D$10),1,0)</f>
        <v/>
      </c>
      <c r="MH35" s="17">
        <f>IF(AND(343&gt;=$B$10,343&lt;=$D$10),1,0)</f>
        <v/>
      </c>
      <c r="MI35" s="17">
        <f>IF(AND(344&gt;=$B$10,344&lt;=$D$10),1,0)</f>
        <v/>
      </c>
      <c r="MJ35" s="17">
        <f>IF(AND(345&gt;=$B$10,345&lt;=$D$10),1,0)</f>
        <v/>
      </c>
      <c r="MK35" s="17">
        <f>IF(AND(346&gt;=$B$10,346&lt;=$D$10),1,0)</f>
        <v/>
      </c>
      <c r="ML35" s="17">
        <f>IF(AND(347&gt;=$B$10,347&lt;=$D$10),1,0)</f>
        <v/>
      </c>
      <c r="MM35" s="17">
        <f>IF(AND(348&gt;=$B$10,348&lt;=$D$10),1,0)</f>
        <v/>
      </c>
      <c r="MN35" s="17">
        <f>IF(AND(349&gt;=$B$10,349&lt;=$D$10),1,0)</f>
        <v/>
      </c>
      <c r="MO35" s="17">
        <f>IF(AND(350&gt;=$B$10,350&lt;=$D$10),1,0)</f>
        <v/>
      </c>
      <c r="MP35" s="17">
        <f>IF(AND(351&gt;=$B$10,351&lt;=$D$10),1,0)</f>
        <v/>
      </c>
      <c r="MQ35" s="17">
        <f>IF(AND(352&gt;=$B$10,352&lt;=$D$10),1,0)</f>
        <v/>
      </c>
      <c r="MR35" s="17">
        <f>IF(AND(353&gt;=$B$10,353&lt;=$D$10),1,0)</f>
        <v/>
      </c>
      <c r="MS35" s="17">
        <f>IF(AND(354&gt;=$B$10,354&lt;=$D$10),1,0)</f>
        <v/>
      </c>
      <c r="MT35" s="17">
        <f>IF(AND(355&gt;=$B$10,355&lt;=$D$10),1,0)</f>
        <v/>
      </c>
      <c r="MU35" s="17">
        <f>IF(AND(356&gt;=$B$10,356&lt;=$D$10),1,0)</f>
        <v/>
      </c>
      <c r="MV35" s="17">
        <f>IF(AND(357&gt;=$B$10,357&lt;=$D$10),1,0)</f>
        <v/>
      </c>
      <c r="MW35" s="17">
        <f>IF(AND(358&gt;=$B$10,358&lt;=$D$10),1,0)</f>
        <v/>
      </c>
      <c r="MX35" s="17">
        <f>IF(AND(359&gt;=$B$10,359&lt;=$D$10),1,0)</f>
        <v/>
      </c>
      <c r="MY35" s="17">
        <f>IF(AND(360&gt;=$B$10,360&lt;=$D$10),1,0)</f>
        <v/>
      </c>
      <c r="MZ35" s="17">
        <f>IF(AND(361&gt;=$B$10,361&lt;=$D$10),1,0)</f>
        <v/>
      </c>
      <c r="NA35" s="17">
        <f>IF(AND(362&gt;=$B$10,362&lt;=$D$10),1,0)</f>
        <v/>
      </c>
      <c r="NB35" s="17">
        <f>IF(AND(363&gt;=$B$10,363&lt;=$D$10),1,0)</f>
        <v/>
      </c>
      <c r="NC35" s="17">
        <f>IF(AND(364&gt;=$B$10,364&lt;=$D$10),1,0)</f>
        <v/>
      </c>
      <c r="ND35" s="17">
        <f>IF(AND(365&gt;=$B$10,365&lt;=$D$10),1,0)</f>
        <v/>
      </c>
      <c r="NE35" s="17">
        <f>IF(AND(366&gt;=$B$10,366&lt;=$D$10),1,0)</f>
        <v/>
      </c>
      <c r="NF35" s="17">
        <f>IF(AND(367&gt;=$B$10,367&lt;=$D$10),1,0)</f>
        <v/>
      </c>
      <c r="NG35" s="17">
        <f>IF(AND(368&gt;=$B$10,368&lt;=$D$10),1,0)</f>
        <v/>
      </c>
      <c r="NH35" s="17">
        <f>IF(AND(369&gt;=$B$10,369&lt;=$D$10),1,0)</f>
        <v/>
      </c>
      <c r="NI35" s="17">
        <f>IF(AND(370&gt;=$B$10,370&lt;=$D$10),1,0)</f>
        <v/>
      </c>
      <c r="NJ35" s="17">
        <f>IF(AND(371&gt;=$B$10,371&lt;=$D$10),1,0)</f>
        <v/>
      </c>
      <c r="NK35" s="17">
        <f>IF(AND(372&gt;=$B$10,372&lt;=$D$10),1,0)</f>
        <v/>
      </c>
    </row>
    <row r="36">
      <c r="A36" s="5" t="inlineStr">
        <is>
          <t>Flag: Lease-Up</t>
        </is>
      </c>
      <c r="C36" s="40" t="n"/>
      <c r="D36" s="17">
        <f>IF(AND(1&gt;=$B$11,1&lt;=$D$11),1,0)</f>
        <v/>
      </c>
      <c r="E36" s="17">
        <f>IF(AND(2&gt;=$B$11,2&lt;=$D$11),1,0)</f>
        <v/>
      </c>
      <c r="F36" s="17">
        <f>IF(AND(3&gt;=$B$11,3&lt;=$D$11),1,0)</f>
        <v/>
      </c>
      <c r="G36" s="17">
        <f>IF(AND(4&gt;=$B$11,4&lt;=$D$11),1,0)</f>
        <v/>
      </c>
      <c r="H36" s="17">
        <f>IF(AND(5&gt;=$B$11,5&lt;=$D$11),1,0)</f>
        <v/>
      </c>
      <c r="I36" s="17">
        <f>IF(AND(6&gt;=$B$11,6&lt;=$D$11),1,0)</f>
        <v/>
      </c>
      <c r="J36" s="17">
        <f>IF(AND(7&gt;=$B$11,7&lt;=$D$11),1,0)</f>
        <v/>
      </c>
      <c r="K36" s="17">
        <f>IF(AND(8&gt;=$B$11,8&lt;=$D$11),1,0)</f>
        <v/>
      </c>
      <c r="L36" s="17">
        <f>IF(AND(9&gt;=$B$11,9&lt;=$D$11),1,0)</f>
        <v/>
      </c>
      <c r="M36" s="17">
        <f>IF(AND(10&gt;=$B$11,10&lt;=$D$11),1,0)</f>
        <v/>
      </c>
      <c r="N36" s="17">
        <f>IF(AND(11&gt;=$B$11,11&lt;=$D$11),1,0)</f>
        <v/>
      </c>
      <c r="O36" s="17">
        <f>IF(AND(12&gt;=$B$11,12&lt;=$D$11),1,0)</f>
        <v/>
      </c>
      <c r="P36" s="17">
        <f>IF(AND(13&gt;=$B$11,13&lt;=$D$11),1,0)</f>
        <v/>
      </c>
      <c r="Q36" s="17">
        <f>IF(AND(14&gt;=$B$11,14&lt;=$D$11),1,0)</f>
        <v/>
      </c>
      <c r="R36" s="17">
        <f>IF(AND(15&gt;=$B$11,15&lt;=$D$11),1,0)</f>
        <v/>
      </c>
      <c r="S36" s="17">
        <f>IF(AND(16&gt;=$B$11,16&lt;=$D$11),1,0)</f>
        <v/>
      </c>
      <c r="T36" s="17">
        <f>IF(AND(17&gt;=$B$11,17&lt;=$D$11),1,0)</f>
        <v/>
      </c>
      <c r="U36" s="17">
        <f>IF(AND(18&gt;=$B$11,18&lt;=$D$11),1,0)</f>
        <v/>
      </c>
      <c r="V36" s="17">
        <f>IF(AND(19&gt;=$B$11,19&lt;=$D$11),1,0)</f>
        <v/>
      </c>
      <c r="W36" s="17">
        <f>IF(AND(20&gt;=$B$11,20&lt;=$D$11),1,0)</f>
        <v/>
      </c>
      <c r="X36" s="17">
        <f>IF(AND(21&gt;=$B$11,21&lt;=$D$11),1,0)</f>
        <v/>
      </c>
      <c r="Y36" s="17">
        <f>IF(AND(22&gt;=$B$11,22&lt;=$D$11),1,0)</f>
        <v/>
      </c>
      <c r="Z36" s="17">
        <f>IF(AND(23&gt;=$B$11,23&lt;=$D$11),1,0)</f>
        <v/>
      </c>
      <c r="AA36" s="17">
        <f>IF(AND(24&gt;=$B$11,24&lt;=$D$11),1,0)</f>
        <v/>
      </c>
      <c r="AB36" s="17">
        <f>IF(AND(25&gt;=$B$11,25&lt;=$D$11),1,0)</f>
        <v/>
      </c>
      <c r="AC36" s="17">
        <f>IF(AND(26&gt;=$B$11,26&lt;=$D$11),1,0)</f>
        <v/>
      </c>
      <c r="AD36" s="17">
        <f>IF(AND(27&gt;=$B$11,27&lt;=$D$11),1,0)</f>
        <v/>
      </c>
      <c r="AE36" s="17">
        <f>IF(AND(28&gt;=$B$11,28&lt;=$D$11),1,0)</f>
        <v/>
      </c>
      <c r="AF36" s="17">
        <f>IF(AND(29&gt;=$B$11,29&lt;=$D$11),1,0)</f>
        <v/>
      </c>
      <c r="AG36" s="17">
        <f>IF(AND(30&gt;=$B$11,30&lt;=$D$11),1,0)</f>
        <v/>
      </c>
      <c r="AH36" s="17">
        <f>IF(AND(31&gt;=$B$11,31&lt;=$D$11),1,0)</f>
        <v/>
      </c>
      <c r="AI36" s="17">
        <f>IF(AND(32&gt;=$B$11,32&lt;=$D$11),1,0)</f>
        <v/>
      </c>
      <c r="AJ36" s="17">
        <f>IF(AND(33&gt;=$B$11,33&lt;=$D$11),1,0)</f>
        <v/>
      </c>
      <c r="AK36" s="17">
        <f>IF(AND(34&gt;=$B$11,34&lt;=$D$11),1,0)</f>
        <v/>
      </c>
      <c r="AL36" s="17">
        <f>IF(AND(35&gt;=$B$11,35&lt;=$D$11),1,0)</f>
        <v/>
      </c>
      <c r="AM36" s="17">
        <f>IF(AND(36&gt;=$B$11,36&lt;=$D$11),1,0)</f>
        <v/>
      </c>
      <c r="AN36" s="17">
        <f>IF(AND(37&gt;=$B$11,37&lt;=$D$11),1,0)</f>
        <v/>
      </c>
      <c r="AO36" s="17">
        <f>IF(AND(38&gt;=$B$11,38&lt;=$D$11),1,0)</f>
        <v/>
      </c>
      <c r="AP36" s="17">
        <f>IF(AND(39&gt;=$B$11,39&lt;=$D$11),1,0)</f>
        <v/>
      </c>
      <c r="AQ36" s="17">
        <f>IF(AND(40&gt;=$B$11,40&lt;=$D$11),1,0)</f>
        <v/>
      </c>
      <c r="AR36" s="17">
        <f>IF(AND(41&gt;=$B$11,41&lt;=$D$11),1,0)</f>
        <v/>
      </c>
      <c r="AS36" s="17">
        <f>IF(AND(42&gt;=$B$11,42&lt;=$D$11),1,0)</f>
        <v/>
      </c>
      <c r="AT36" s="17">
        <f>IF(AND(43&gt;=$B$11,43&lt;=$D$11),1,0)</f>
        <v/>
      </c>
      <c r="AU36" s="17">
        <f>IF(AND(44&gt;=$B$11,44&lt;=$D$11),1,0)</f>
        <v/>
      </c>
      <c r="AV36" s="17">
        <f>IF(AND(45&gt;=$B$11,45&lt;=$D$11),1,0)</f>
        <v/>
      </c>
      <c r="AW36" s="17">
        <f>IF(AND(46&gt;=$B$11,46&lt;=$D$11),1,0)</f>
        <v/>
      </c>
      <c r="AX36" s="17">
        <f>IF(AND(47&gt;=$B$11,47&lt;=$D$11),1,0)</f>
        <v/>
      </c>
      <c r="AY36" s="17">
        <f>IF(AND(48&gt;=$B$11,48&lt;=$D$11),1,0)</f>
        <v/>
      </c>
      <c r="AZ36" s="17">
        <f>IF(AND(49&gt;=$B$11,49&lt;=$D$11),1,0)</f>
        <v/>
      </c>
      <c r="BA36" s="17">
        <f>IF(AND(50&gt;=$B$11,50&lt;=$D$11),1,0)</f>
        <v/>
      </c>
      <c r="BB36" s="17">
        <f>IF(AND(51&gt;=$B$11,51&lt;=$D$11),1,0)</f>
        <v/>
      </c>
      <c r="BC36" s="17">
        <f>IF(AND(52&gt;=$B$11,52&lt;=$D$11),1,0)</f>
        <v/>
      </c>
      <c r="BD36" s="17">
        <f>IF(AND(53&gt;=$B$11,53&lt;=$D$11),1,0)</f>
        <v/>
      </c>
      <c r="BE36" s="17">
        <f>IF(AND(54&gt;=$B$11,54&lt;=$D$11),1,0)</f>
        <v/>
      </c>
      <c r="BF36" s="17">
        <f>IF(AND(55&gt;=$B$11,55&lt;=$D$11),1,0)</f>
        <v/>
      </c>
      <c r="BG36" s="17">
        <f>IF(AND(56&gt;=$B$11,56&lt;=$D$11),1,0)</f>
        <v/>
      </c>
      <c r="BH36" s="17">
        <f>IF(AND(57&gt;=$B$11,57&lt;=$D$11),1,0)</f>
        <v/>
      </c>
      <c r="BI36" s="17">
        <f>IF(AND(58&gt;=$B$11,58&lt;=$D$11),1,0)</f>
        <v/>
      </c>
      <c r="BJ36" s="17">
        <f>IF(AND(59&gt;=$B$11,59&lt;=$D$11),1,0)</f>
        <v/>
      </c>
      <c r="BK36" s="17">
        <f>IF(AND(60&gt;=$B$11,60&lt;=$D$11),1,0)</f>
        <v/>
      </c>
      <c r="BL36" s="17">
        <f>IF(AND(61&gt;=$B$11,61&lt;=$D$11),1,0)</f>
        <v/>
      </c>
      <c r="BM36" s="17">
        <f>IF(AND(62&gt;=$B$11,62&lt;=$D$11),1,0)</f>
        <v/>
      </c>
      <c r="BN36" s="17">
        <f>IF(AND(63&gt;=$B$11,63&lt;=$D$11),1,0)</f>
        <v/>
      </c>
      <c r="BO36" s="17">
        <f>IF(AND(64&gt;=$B$11,64&lt;=$D$11),1,0)</f>
        <v/>
      </c>
      <c r="BP36" s="17">
        <f>IF(AND(65&gt;=$B$11,65&lt;=$D$11),1,0)</f>
        <v/>
      </c>
      <c r="BQ36" s="17">
        <f>IF(AND(66&gt;=$B$11,66&lt;=$D$11),1,0)</f>
        <v/>
      </c>
      <c r="BR36" s="17">
        <f>IF(AND(67&gt;=$B$11,67&lt;=$D$11),1,0)</f>
        <v/>
      </c>
      <c r="BS36" s="17">
        <f>IF(AND(68&gt;=$B$11,68&lt;=$D$11),1,0)</f>
        <v/>
      </c>
      <c r="BT36" s="17">
        <f>IF(AND(69&gt;=$B$11,69&lt;=$D$11),1,0)</f>
        <v/>
      </c>
      <c r="BU36" s="17">
        <f>IF(AND(70&gt;=$B$11,70&lt;=$D$11),1,0)</f>
        <v/>
      </c>
      <c r="BV36" s="17">
        <f>IF(AND(71&gt;=$B$11,71&lt;=$D$11),1,0)</f>
        <v/>
      </c>
      <c r="BW36" s="17">
        <f>IF(AND(72&gt;=$B$11,72&lt;=$D$11),1,0)</f>
        <v/>
      </c>
      <c r="BX36" s="17">
        <f>IF(AND(73&gt;=$B$11,73&lt;=$D$11),1,0)</f>
        <v/>
      </c>
      <c r="BY36" s="17">
        <f>IF(AND(74&gt;=$B$11,74&lt;=$D$11),1,0)</f>
        <v/>
      </c>
      <c r="BZ36" s="17">
        <f>IF(AND(75&gt;=$B$11,75&lt;=$D$11),1,0)</f>
        <v/>
      </c>
      <c r="CA36" s="17">
        <f>IF(AND(76&gt;=$B$11,76&lt;=$D$11),1,0)</f>
        <v/>
      </c>
      <c r="CB36" s="17">
        <f>IF(AND(77&gt;=$B$11,77&lt;=$D$11),1,0)</f>
        <v/>
      </c>
      <c r="CC36" s="17">
        <f>IF(AND(78&gt;=$B$11,78&lt;=$D$11),1,0)</f>
        <v/>
      </c>
      <c r="CD36" s="17">
        <f>IF(AND(79&gt;=$B$11,79&lt;=$D$11),1,0)</f>
        <v/>
      </c>
      <c r="CE36" s="17">
        <f>IF(AND(80&gt;=$B$11,80&lt;=$D$11),1,0)</f>
        <v/>
      </c>
      <c r="CF36" s="17">
        <f>IF(AND(81&gt;=$B$11,81&lt;=$D$11),1,0)</f>
        <v/>
      </c>
      <c r="CG36" s="17">
        <f>IF(AND(82&gt;=$B$11,82&lt;=$D$11),1,0)</f>
        <v/>
      </c>
      <c r="CH36" s="17">
        <f>IF(AND(83&gt;=$B$11,83&lt;=$D$11),1,0)</f>
        <v/>
      </c>
      <c r="CI36" s="17">
        <f>IF(AND(84&gt;=$B$11,84&lt;=$D$11),1,0)</f>
        <v/>
      </c>
      <c r="CJ36" s="17">
        <f>IF(AND(85&gt;=$B$11,85&lt;=$D$11),1,0)</f>
        <v/>
      </c>
      <c r="CK36" s="17">
        <f>IF(AND(86&gt;=$B$11,86&lt;=$D$11),1,0)</f>
        <v/>
      </c>
      <c r="CL36" s="17">
        <f>IF(AND(87&gt;=$B$11,87&lt;=$D$11),1,0)</f>
        <v/>
      </c>
      <c r="CM36" s="17">
        <f>IF(AND(88&gt;=$B$11,88&lt;=$D$11),1,0)</f>
        <v/>
      </c>
      <c r="CN36" s="17">
        <f>IF(AND(89&gt;=$B$11,89&lt;=$D$11),1,0)</f>
        <v/>
      </c>
      <c r="CO36" s="17">
        <f>IF(AND(90&gt;=$B$11,90&lt;=$D$11),1,0)</f>
        <v/>
      </c>
      <c r="CP36" s="17">
        <f>IF(AND(91&gt;=$B$11,91&lt;=$D$11),1,0)</f>
        <v/>
      </c>
      <c r="CQ36" s="17">
        <f>IF(AND(92&gt;=$B$11,92&lt;=$D$11),1,0)</f>
        <v/>
      </c>
      <c r="CR36" s="17">
        <f>IF(AND(93&gt;=$B$11,93&lt;=$D$11),1,0)</f>
        <v/>
      </c>
      <c r="CS36" s="17">
        <f>IF(AND(94&gt;=$B$11,94&lt;=$D$11),1,0)</f>
        <v/>
      </c>
      <c r="CT36" s="17">
        <f>IF(AND(95&gt;=$B$11,95&lt;=$D$11),1,0)</f>
        <v/>
      </c>
      <c r="CU36" s="17">
        <f>IF(AND(96&gt;=$B$11,96&lt;=$D$11),1,0)</f>
        <v/>
      </c>
      <c r="CV36" s="17">
        <f>IF(AND(97&gt;=$B$11,97&lt;=$D$11),1,0)</f>
        <v/>
      </c>
      <c r="CW36" s="17">
        <f>IF(AND(98&gt;=$B$11,98&lt;=$D$11),1,0)</f>
        <v/>
      </c>
      <c r="CX36" s="17">
        <f>IF(AND(99&gt;=$B$11,99&lt;=$D$11),1,0)</f>
        <v/>
      </c>
      <c r="CY36" s="17">
        <f>IF(AND(100&gt;=$B$11,100&lt;=$D$11),1,0)</f>
        <v/>
      </c>
      <c r="CZ36" s="17">
        <f>IF(AND(101&gt;=$B$11,101&lt;=$D$11),1,0)</f>
        <v/>
      </c>
      <c r="DA36" s="17">
        <f>IF(AND(102&gt;=$B$11,102&lt;=$D$11),1,0)</f>
        <v/>
      </c>
      <c r="DB36" s="17">
        <f>IF(AND(103&gt;=$B$11,103&lt;=$D$11),1,0)</f>
        <v/>
      </c>
      <c r="DC36" s="17">
        <f>IF(AND(104&gt;=$B$11,104&lt;=$D$11),1,0)</f>
        <v/>
      </c>
      <c r="DD36" s="17">
        <f>IF(AND(105&gt;=$B$11,105&lt;=$D$11),1,0)</f>
        <v/>
      </c>
      <c r="DE36" s="17">
        <f>IF(AND(106&gt;=$B$11,106&lt;=$D$11),1,0)</f>
        <v/>
      </c>
      <c r="DF36" s="17">
        <f>IF(AND(107&gt;=$B$11,107&lt;=$D$11),1,0)</f>
        <v/>
      </c>
      <c r="DG36" s="17">
        <f>IF(AND(108&gt;=$B$11,108&lt;=$D$11),1,0)</f>
        <v/>
      </c>
      <c r="DH36" s="17">
        <f>IF(AND(109&gt;=$B$11,109&lt;=$D$11),1,0)</f>
        <v/>
      </c>
      <c r="DI36" s="17">
        <f>IF(AND(110&gt;=$B$11,110&lt;=$D$11),1,0)</f>
        <v/>
      </c>
      <c r="DJ36" s="17">
        <f>IF(AND(111&gt;=$B$11,111&lt;=$D$11),1,0)</f>
        <v/>
      </c>
      <c r="DK36" s="17">
        <f>IF(AND(112&gt;=$B$11,112&lt;=$D$11),1,0)</f>
        <v/>
      </c>
      <c r="DL36" s="17">
        <f>IF(AND(113&gt;=$B$11,113&lt;=$D$11),1,0)</f>
        <v/>
      </c>
      <c r="DM36" s="17">
        <f>IF(AND(114&gt;=$B$11,114&lt;=$D$11),1,0)</f>
        <v/>
      </c>
      <c r="DN36" s="17">
        <f>IF(AND(115&gt;=$B$11,115&lt;=$D$11),1,0)</f>
        <v/>
      </c>
      <c r="DO36" s="17">
        <f>IF(AND(116&gt;=$B$11,116&lt;=$D$11),1,0)</f>
        <v/>
      </c>
      <c r="DP36" s="17">
        <f>IF(AND(117&gt;=$B$11,117&lt;=$D$11),1,0)</f>
        <v/>
      </c>
      <c r="DQ36" s="17">
        <f>IF(AND(118&gt;=$B$11,118&lt;=$D$11),1,0)</f>
        <v/>
      </c>
      <c r="DR36" s="17">
        <f>IF(AND(119&gt;=$B$11,119&lt;=$D$11),1,0)</f>
        <v/>
      </c>
      <c r="DS36" s="17">
        <f>IF(AND(120&gt;=$B$11,120&lt;=$D$11),1,0)</f>
        <v/>
      </c>
      <c r="DT36" s="17">
        <f>IF(AND(121&gt;=$B$11,121&lt;=$D$11),1,0)</f>
        <v/>
      </c>
      <c r="DU36" s="17">
        <f>IF(AND(122&gt;=$B$11,122&lt;=$D$11),1,0)</f>
        <v/>
      </c>
      <c r="DV36" s="17">
        <f>IF(AND(123&gt;=$B$11,123&lt;=$D$11),1,0)</f>
        <v/>
      </c>
      <c r="DW36" s="17">
        <f>IF(AND(124&gt;=$B$11,124&lt;=$D$11),1,0)</f>
        <v/>
      </c>
      <c r="DX36" s="17">
        <f>IF(AND(125&gt;=$B$11,125&lt;=$D$11),1,0)</f>
        <v/>
      </c>
      <c r="DY36" s="17">
        <f>IF(AND(126&gt;=$B$11,126&lt;=$D$11),1,0)</f>
        <v/>
      </c>
      <c r="DZ36" s="17">
        <f>IF(AND(127&gt;=$B$11,127&lt;=$D$11),1,0)</f>
        <v/>
      </c>
      <c r="EA36" s="17">
        <f>IF(AND(128&gt;=$B$11,128&lt;=$D$11),1,0)</f>
        <v/>
      </c>
      <c r="EB36" s="17">
        <f>IF(AND(129&gt;=$B$11,129&lt;=$D$11),1,0)</f>
        <v/>
      </c>
      <c r="EC36" s="17">
        <f>IF(AND(130&gt;=$B$11,130&lt;=$D$11),1,0)</f>
        <v/>
      </c>
      <c r="ED36" s="17">
        <f>IF(AND(131&gt;=$B$11,131&lt;=$D$11),1,0)</f>
        <v/>
      </c>
      <c r="EE36" s="17">
        <f>IF(AND(132&gt;=$B$11,132&lt;=$D$11),1,0)</f>
        <v/>
      </c>
      <c r="EF36" s="17">
        <f>IF(AND(133&gt;=$B$11,133&lt;=$D$11),1,0)</f>
        <v/>
      </c>
      <c r="EG36" s="17">
        <f>IF(AND(134&gt;=$B$11,134&lt;=$D$11),1,0)</f>
        <v/>
      </c>
      <c r="EH36" s="17">
        <f>IF(AND(135&gt;=$B$11,135&lt;=$D$11),1,0)</f>
        <v/>
      </c>
      <c r="EI36" s="17">
        <f>IF(AND(136&gt;=$B$11,136&lt;=$D$11),1,0)</f>
        <v/>
      </c>
      <c r="EJ36" s="17">
        <f>IF(AND(137&gt;=$B$11,137&lt;=$D$11),1,0)</f>
        <v/>
      </c>
      <c r="EK36" s="17">
        <f>IF(AND(138&gt;=$B$11,138&lt;=$D$11),1,0)</f>
        <v/>
      </c>
      <c r="EL36" s="17">
        <f>IF(AND(139&gt;=$B$11,139&lt;=$D$11),1,0)</f>
        <v/>
      </c>
      <c r="EM36" s="17">
        <f>IF(AND(140&gt;=$B$11,140&lt;=$D$11),1,0)</f>
        <v/>
      </c>
      <c r="EN36" s="17">
        <f>IF(AND(141&gt;=$B$11,141&lt;=$D$11),1,0)</f>
        <v/>
      </c>
      <c r="EO36" s="17">
        <f>IF(AND(142&gt;=$B$11,142&lt;=$D$11),1,0)</f>
        <v/>
      </c>
      <c r="EP36" s="17">
        <f>IF(AND(143&gt;=$B$11,143&lt;=$D$11),1,0)</f>
        <v/>
      </c>
      <c r="EQ36" s="17">
        <f>IF(AND(144&gt;=$B$11,144&lt;=$D$11),1,0)</f>
        <v/>
      </c>
      <c r="ER36" s="17">
        <f>IF(AND(145&gt;=$B$11,145&lt;=$D$11),1,0)</f>
        <v/>
      </c>
      <c r="ES36" s="17">
        <f>IF(AND(146&gt;=$B$11,146&lt;=$D$11),1,0)</f>
        <v/>
      </c>
      <c r="ET36" s="17">
        <f>IF(AND(147&gt;=$B$11,147&lt;=$D$11),1,0)</f>
        <v/>
      </c>
      <c r="EU36" s="17">
        <f>IF(AND(148&gt;=$B$11,148&lt;=$D$11),1,0)</f>
        <v/>
      </c>
      <c r="EV36" s="17">
        <f>IF(AND(149&gt;=$B$11,149&lt;=$D$11),1,0)</f>
        <v/>
      </c>
      <c r="EW36" s="17">
        <f>IF(AND(150&gt;=$B$11,150&lt;=$D$11),1,0)</f>
        <v/>
      </c>
      <c r="EX36" s="17">
        <f>IF(AND(151&gt;=$B$11,151&lt;=$D$11),1,0)</f>
        <v/>
      </c>
      <c r="EY36" s="17">
        <f>IF(AND(152&gt;=$B$11,152&lt;=$D$11),1,0)</f>
        <v/>
      </c>
      <c r="EZ36" s="17">
        <f>IF(AND(153&gt;=$B$11,153&lt;=$D$11),1,0)</f>
        <v/>
      </c>
      <c r="FA36" s="17">
        <f>IF(AND(154&gt;=$B$11,154&lt;=$D$11),1,0)</f>
        <v/>
      </c>
      <c r="FB36" s="17">
        <f>IF(AND(155&gt;=$B$11,155&lt;=$D$11),1,0)</f>
        <v/>
      </c>
      <c r="FC36" s="17">
        <f>IF(AND(156&gt;=$B$11,156&lt;=$D$11),1,0)</f>
        <v/>
      </c>
      <c r="FD36" s="17">
        <f>IF(AND(157&gt;=$B$11,157&lt;=$D$11),1,0)</f>
        <v/>
      </c>
      <c r="FE36" s="17">
        <f>IF(AND(158&gt;=$B$11,158&lt;=$D$11),1,0)</f>
        <v/>
      </c>
      <c r="FF36" s="17">
        <f>IF(AND(159&gt;=$B$11,159&lt;=$D$11),1,0)</f>
        <v/>
      </c>
      <c r="FG36" s="17">
        <f>IF(AND(160&gt;=$B$11,160&lt;=$D$11),1,0)</f>
        <v/>
      </c>
      <c r="FH36" s="17">
        <f>IF(AND(161&gt;=$B$11,161&lt;=$D$11),1,0)</f>
        <v/>
      </c>
      <c r="FI36" s="17">
        <f>IF(AND(162&gt;=$B$11,162&lt;=$D$11),1,0)</f>
        <v/>
      </c>
      <c r="FJ36" s="17">
        <f>IF(AND(163&gt;=$B$11,163&lt;=$D$11),1,0)</f>
        <v/>
      </c>
      <c r="FK36" s="17">
        <f>IF(AND(164&gt;=$B$11,164&lt;=$D$11),1,0)</f>
        <v/>
      </c>
      <c r="FL36" s="17">
        <f>IF(AND(165&gt;=$B$11,165&lt;=$D$11),1,0)</f>
        <v/>
      </c>
      <c r="FM36" s="17">
        <f>IF(AND(166&gt;=$B$11,166&lt;=$D$11),1,0)</f>
        <v/>
      </c>
      <c r="FN36" s="17">
        <f>IF(AND(167&gt;=$B$11,167&lt;=$D$11),1,0)</f>
        <v/>
      </c>
      <c r="FO36" s="17">
        <f>IF(AND(168&gt;=$B$11,168&lt;=$D$11),1,0)</f>
        <v/>
      </c>
      <c r="FP36" s="17">
        <f>IF(AND(169&gt;=$B$11,169&lt;=$D$11),1,0)</f>
        <v/>
      </c>
      <c r="FQ36" s="17">
        <f>IF(AND(170&gt;=$B$11,170&lt;=$D$11),1,0)</f>
        <v/>
      </c>
      <c r="FR36" s="17">
        <f>IF(AND(171&gt;=$B$11,171&lt;=$D$11),1,0)</f>
        <v/>
      </c>
      <c r="FS36" s="17">
        <f>IF(AND(172&gt;=$B$11,172&lt;=$D$11),1,0)</f>
        <v/>
      </c>
      <c r="FT36" s="17">
        <f>IF(AND(173&gt;=$B$11,173&lt;=$D$11),1,0)</f>
        <v/>
      </c>
      <c r="FU36" s="17">
        <f>IF(AND(174&gt;=$B$11,174&lt;=$D$11),1,0)</f>
        <v/>
      </c>
      <c r="FV36" s="17">
        <f>IF(AND(175&gt;=$B$11,175&lt;=$D$11),1,0)</f>
        <v/>
      </c>
      <c r="FW36" s="17">
        <f>IF(AND(176&gt;=$B$11,176&lt;=$D$11),1,0)</f>
        <v/>
      </c>
      <c r="FX36" s="17">
        <f>IF(AND(177&gt;=$B$11,177&lt;=$D$11),1,0)</f>
        <v/>
      </c>
      <c r="FY36" s="17">
        <f>IF(AND(178&gt;=$B$11,178&lt;=$D$11),1,0)</f>
        <v/>
      </c>
      <c r="FZ36" s="17">
        <f>IF(AND(179&gt;=$B$11,179&lt;=$D$11),1,0)</f>
        <v/>
      </c>
      <c r="GA36" s="17">
        <f>IF(AND(180&gt;=$B$11,180&lt;=$D$11),1,0)</f>
        <v/>
      </c>
      <c r="GB36" s="17">
        <f>IF(AND(181&gt;=$B$11,181&lt;=$D$11),1,0)</f>
        <v/>
      </c>
      <c r="GC36" s="17">
        <f>IF(AND(182&gt;=$B$11,182&lt;=$D$11),1,0)</f>
        <v/>
      </c>
      <c r="GD36" s="17">
        <f>IF(AND(183&gt;=$B$11,183&lt;=$D$11),1,0)</f>
        <v/>
      </c>
      <c r="GE36" s="17">
        <f>IF(AND(184&gt;=$B$11,184&lt;=$D$11),1,0)</f>
        <v/>
      </c>
      <c r="GF36" s="17">
        <f>IF(AND(185&gt;=$B$11,185&lt;=$D$11),1,0)</f>
        <v/>
      </c>
      <c r="GG36" s="17">
        <f>IF(AND(186&gt;=$B$11,186&lt;=$D$11),1,0)</f>
        <v/>
      </c>
      <c r="GH36" s="17">
        <f>IF(AND(187&gt;=$B$11,187&lt;=$D$11),1,0)</f>
        <v/>
      </c>
      <c r="GI36" s="17">
        <f>IF(AND(188&gt;=$B$11,188&lt;=$D$11),1,0)</f>
        <v/>
      </c>
      <c r="GJ36" s="17">
        <f>IF(AND(189&gt;=$B$11,189&lt;=$D$11),1,0)</f>
        <v/>
      </c>
      <c r="GK36" s="17">
        <f>IF(AND(190&gt;=$B$11,190&lt;=$D$11),1,0)</f>
        <v/>
      </c>
      <c r="GL36" s="17">
        <f>IF(AND(191&gt;=$B$11,191&lt;=$D$11),1,0)</f>
        <v/>
      </c>
      <c r="GM36" s="17">
        <f>IF(AND(192&gt;=$B$11,192&lt;=$D$11),1,0)</f>
        <v/>
      </c>
      <c r="GN36" s="17">
        <f>IF(AND(193&gt;=$B$11,193&lt;=$D$11),1,0)</f>
        <v/>
      </c>
      <c r="GO36" s="17">
        <f>IF(AND(194&gt;=$B$11,194&lt;=$D$11),1,0)</f>
        <v/>
      </c>
      <c r="GP36" s="17">
        <f>IF(AND(195&gt;=$B$11,195&lt;=$D$11),1,0)</f>
        <v/>
      </c>
      <c r="GQ36" s="17">
        <f>IF(AND(196&gt;=$B$11,196&lt;=$D$11),1,0)</f>
        <v/>
      </c>
      <c r="GR36" s="17">
        <f>IF(AND(197&gt;=$B$11,197&lt;=$D$11),1,0)</f>
        <v/>
      </c>
      <c r="GS36" s="17">
        <f>IF(AND(198&gt;=$B$11,198&lt;=$D$11),1,0)</f>
        <v/>
      </c>
      <c r="GT36" s="17">
        <f>IF(AND(199&gt;=$B$11,199&lt;=$D$11),1,0)</f>
        <v/>
      </c>
      <c r="GU36" s="17">
        <f>IF(AND(200&gt;=$B$11,200&lt;=$D$11),1,0)</f>
        <v/>
      </c>
      <c r="GV36" s="17">
        <f>IF(AND(201&gt;=$B$11,201&lt;=$D$11),1,0)</f>
        <v/>
      </c>
      <c r="GW36" s="17">
        <f>IF(AND(202&gt;=$B$11,202&lt;=$D$11),1,0)</f>
        <v/>
      </c>
      <c r="GX36" s="17">
        <f>IF(AND(203&gt;=$B$11,203&lt;=$D$11),1,0)</f>
        <v/>
      </c>
      <c r="GY36" s="17">
        <f>IF(AND(204&gt;=$B$11,204&lt;=$D$11),1,0)</f>
        <v/>
      </c>
      <c r="GZ36" s="17">
        <f>IF(AND(205&gt;=$B$11,205&lt;=$D$11),1,0)</f>
        <v/>
      </c>
      <c r="HA36" s="17">
        <f>IF(AND(206&gt;=$B$11,206&lt;=$D$11),1,0)</f>
        <v/>
      </c>
      <c r="HB36" s="17">
        <f>IF(AND(207&gt;=$B$11,207&lt;=$D$11),1,0)</f>
        <v/>
      </c>
      <c r="HC36" s="17">
        <f>IF(AND(208&gt;=$B$11,208&lt;=$D$11),1,0)</f>
        <v/>
      </c>
      <c r="HD36" s="17">
        <f>IF(AND(209&gt;=$B$11,209&lt;=$D$11),1,0)</f>
        <v/>
      </c>
      <c r="HE36" s="17">
        <f>IF(AND(210&gt;=$B$11,210&lt;=$D$11),1,0)</f>
        <v/>
      </c>
      <c r="HF36" s="17">
        <f>IF(AND(211&gt;=$B$11,211&lt;=$D$11),1,0)</f>
        <v/>
      </c>
      <c r="HG36" s="17">
        <f>IF(AND(212&gt;=$B$11,212&lt;=$D$11),1,0)</f>
        <v/>
      </c>
      <c r="HH36" s="17">
        <f>IF(AND(213&gt;=$B$11,213&lt;=$D$11),1,0)</f>
        <v/>
      </c>
      <c r="HI36" s="17">
        <f>IF(AND(214&gt;=$B$11,214&lt;=$D$11),1,0)</f>
        <v/>
      </c>
      <c r="HJ36" s="17">
        <f>IF(AND(215&gt;=$B$11,215&lt;=$D$11),1,0)</f>
        <v/>
      </c>
      <c r="HK36" s="17">
        <f>IF(AND(216&gt;=$B$11,216&lt;=$D$11),1,0)</f>
        <v/>
      </c>
      <c r="HL36" s="17">
        <f>IF(AND(217&gt;=$B$11,217&lt;=$D$11),1,0)</f>
        <v/>
      </c>
      <c r="HM36" s="17">
        <f>IF(AND(218&gt;=$B$11,218&lt;=$D$11),1,0)</f>
        <v/>
      </c>
      <c r="HN36" s="17">
        <f>IF(AND(219&gt;=$B$11,219&lt;=$D$11),1,0)</f>
        <v/>
      </c>
      <c r="HO36" s="17">
        <f>IF(AND(220&gt;=$B$11,220&lt;=$D$11),1,0)</f>
        <v/>
      </c>
      <c r="HP36" s="17">
        <f>IF(AND(221&gt;=$B$11,221&lt;=$D$11),1,0)</f>
        <v/>
      </c>
      <c r="HQ36" s="17">
        <f>IF(AND(222&gt;=$B$11,222&lt;=$D$11),1,0)</f>
        <v/>
      </c>
      <c r="HR36" s="17">
        <f>IF(AND(223&gt;=$B$11,223&lt;=$D$11),1,0)</f>
        <v/>
      </c>
      <c r="HS36" s="17">
        <f>IF(AND(224&gt;=$B$11,224&lt;=$D$11),1,0)</f>
        <v/>
      </c>
      <c r="HT36" s="17">
        <f>IF(AND(225&gt;=$B$11,225&lt;=$D$11),1,0)</f>
        <v/>
      </c>
      <c r="HU36" s="17">
        <f>IF(AND(226&gt;=$B$11,226&lt;=$D$11),1,0)</f>
        <v/>
      </c>
      <c r="HV36" s="17">
        <f>IF(AND(227&gt;=$B$11,227&lt;=$D$11),1,0)</f>
        <v/>
      </c>
      <c r="HW36" s="17">
        <f>IF(AND(228&gt;=$B$11,228&lt;=$D$11),1,0)</f>
        <v/>
      </c>
      <c r="HX36" s="17">
        <f>IF(AND(229&gt;=$B$11,229&lt;=$D$11),1,0)</f>
        <v/>
      </c>
      <c r="HY36" s="17">
        <f>IF(AND(230&gt;=$B$11,230&lt;=$D$11),1,0)</f>
        <v/>
      </c>
      <c r="HZ36" s="17">
        <f>IF(AND(231&gt;=$B$11,231&lt;=$D$11),1,0)</f>
        <v/>
      </c>
      <c r="IA36" s="17">
        <f>IF(AND(232&gt;=$B$11,232&lt;=$D$11),1,0)</f>
        <v/>
      </c>
      <c r="IB36" s="17">
        <f>IF(AND(233&gt;=$B$11,233&lt;=$D$11),1,0)</f>
        <v/>
      </c>
      <c r="IC36" s="17">
        <f>IF(AND(234&gt;=$B$11,234&lt;=$D$11),1,0)</f>
        <v/>
      </c>
      <c r="ID36" s="17">
        <f>IF(AND(235&gt;=$B$11,235&lt;=$D$11),1,0)</f>
        <v/>
      </c>
      <c r="IE36" s="17">
        <f>IF(AND(236&gt;=$B$11,236&lt;=$D$11),1,0)</f>
        <v/>
      </c>
      <c r="IF36" s="17">
        <f>IF(AND(237&gt;=$B$11,237&lt;=$D$11),1,0)</f>
        <v/>
      </c>
      <c r="IG36" s="17">
        <f>IF(AND(238&gt;=$B$11,238&lt;=$D$11),1,0)</f>
        <v/>
      </c>
      <c r="IH36" s="17">
        <f>IF(AND(239&gt;=$B$11,239&lt;=$D$11),1,0)</f>
        <v/>
      </c>
      <c r="II36" s="17">
        <f>IF(AND(240&gt;=$B$11,240&lt;=$D$11),1,0)</f>
        <v/>
      </c>
      <c r="IJ36" s="17">
        <f>IF(AND(241&gt;=$B$11,241&lt;=$D$11),1,0)</f>
        <v/>
      </c>
      <c r="IK36" s="17">
        <f>IF(AND(242&gt;=$B$11,242&lt;=$D$11),1,0)</f>
        <v/>
      </c>
      <c r="IL36" s="17">
        <f>IF(AND(243&gt;=$B$11,243&lt;=$D$11),1,0)</f>
        <v/>
      </c>
      <c r="IM36" s="17">
        <f>IF(AND(244&gt;=$B$11,244&lt;=$D$11),1,0)</f>
        <v/>
      </c>
      <c r="IN36" s="17">
        <f>IF(AND(245&gt;=$B$11,245&lt;=$D$11),1,0)</f>
        <v/>
      </c>
      <c r="IO36" s="17">
        <f>IF(AND(246&gt;=$B$11,246&lt;=$D$11),1,0)</f>
        <v/>
      </c>
      <c r="IP36" s="17">
        <f>IF(AND(247&gt;=$B$11,247&lt;=$D$11),1,0)</f>
        <v/>
      </c>
      <c r="IQ36" s="17">
        <f>IF(AND(248&gt;=$B$11,248&lt;=$D$11),1,0)</f>
        <v/>
      </c>
      <c r="IR36" s="17">
        <f>IF(AND(249&gt;=$B$11,249&lt;=$D$11),1,0)</f>
        <v/>
      </c>
      <c r="IS36" s="17">
        <f>IF(AND(250&gt;=$B$11,250&lt;=$D$11),1,0)</f>
        <v/>
      </c>
      <c r="IT36" s="17">
        <f>IF(AND(251&gt;=$B$11,251&lt;=$D$11),1,0)</f>
        <v/>
      </c>
      <c r="IU36" s="17">
        <f>IF(AND(252&gt;=$B$11,252&lt;=$D$11),1,0)</f>
        <v/>
      </c>
      <c r="IV36" s="17">
        <f>IF(AND(253&gt;=$B$11,253&lt;=$D$11),1,0)</f>
        <v/>
      </c>
      <c r="IW36" s="17">
        <f>IF(AND(254&gt;=$B$11,254&lt;=$D$11),1,0)</f>
        <v/>
      </c>
      <c r="IX36" s="17">
        <f>IF(AND(255&gt;=$B$11,255&lt;=$D$11),1,0)</f>
        <v/>
      </c>
      <c r="IY36" s="17">
        <f>IF(AND(256&gt;=$B$11,256&lt;=$D$11),1,0)</f>
        <v/>
      </c>
      <c r="IZ36" s="17">
        <f>IF(AND(257&gt;=$B$11,257&lt;=$D$11),1,0)</f>
        <v/>
      </c>
      <c r="JA36" s="17">
        <f>IF(AND(258&gt;=$B$11,258&lt;=$D$11),1,0)</f>
        <v/>
      </c>
      <c r="JB36" s="17">
        <f>IF(AND(259&gt;=$B$11,259&lt;=$D$11),1,0)</f>
        <v/>
      </c>
      <c r="JC36" s="17">
        <f>IF(AND(260&gt;=$B$11,260&lt;=$D$11),1,0)</f>
        <v/>
      </c>
      <c r="JD36" s="17">
        <f>IF(AND(261&gt;=$B$11,261&lt;=$D$11),1,0)</f>
        <v/>
      </c>
      <c r="JE36" s="17">
        <f>IF(AND(262&gt;=$B$11,262&lt;=$D$11),1,0)</f>
        <v/>
      </c>
      <c r="JF36" s="17">
        <f>IF(AND(263&gt;=$B$11,263&lt;=$D$11),1,0)</f>
        <v/>
      </c>
      <c r="JG36" s="17">
        <f>IF(AND(264&gt;=$B$11,264&lt;=$D$11),1,0)</f>
        <v/>
      </c>
      <c r="JH36" s="17">
        <f>IF(AND(265&gt;=$B$11,265&lt;=$D$11),1,0)</f>
        <v/>
      </c>
      <c r="JI36" s="17">
        <f>IF(AND(266&gt;=$B$11,266&lt;=$D$11),1,0)</f>
        <v/>
      </c>
      <c r="JJ36" s="17">
        <f>IF(AND(267&gt;=$B$11,267&lt;=$D$11),1,0)</f>
        <v/>
      </c>
      <c r="JK36" s="17">
        <f>IF(AND(268&gt;=$B$11,268&lt;=$D$11),1,0)</f>
        <v/>
      </c>
      <c r="JL36" s="17">
        <f>IF(AND(269&gt;=$B$11,269&lt;=$D$11),1,0)</f>
        <v/>
      </c>
      <c r="JM36" s="17">
        <f>IF(AND(270&gt;=$B$11,270&lt;=$D$11),1,0)</f>
        <v/>
      </c>
      <c r="JN36" s="17">
        <f>IF(AND(271&gt;=$B$11,271&lt;=$D$11),1,0)</f>
        <v/>
      </c>
      <c r="JO36" s="17">
        <f>IF(AND(272&gt;=$B$11,272&lt;=$D$11),1,0)</f>
        <v/>
      </c>
      <c r="JP36" s="17">
        <f>IF(AND(273&gt;=$B$11,273&lt;=$D$11),1,0)</f>
        <v/>
      </c>
      <c r="JQ36" s="17">
        <f>IF(AND(274&gt;=$B$11,274&lt;=$D$11),1,0)</f>
        <v/>
      </c>
      <c r="JR36" s="17">
        <f>IF(AND(275&gt;=$B$11,275&lt;=$D$11),1,0)</f>
        <v/>
      </c>
      <c r="JS36" s="17">
        <f>IF(AND(276&gt;=$B$11,276&lt;=$D$11),1,0)</f>
        <v/>
      </c>
      <c r="JT36" s="17">
        <f>IF(AND(277&gt;=$B$11,277&lt;=$D$11),1,0)</f>
        <v/>
      </c>
      <c r="JU36" s="17">
        <f>IF(AND(278&gt;=$B$11,278&lt;=$D$11),1,0)</f>
        <v/>
      </c>
      <c r="JV36" s="17">
        <f>IF(AND(279&gt;=$B$11,279&lt;=$D$11),1,0)</f>
        <v/>
      </c>
      <c r="JW36" s="17">
        <f>IF(AND(280&gt;=$B$11,280&lt;=$D$11),1,0)</f>
        <v/>
      </c>
      <c r="JX36" s="17">
        <f>IF(AND(281&gt;=$B$11,281&lt;=$D$11),1,0)</f>
        <v/>
      </c>
      <c r="JY36" s="17">
        <f>IF(AND(282&gt;=$B$11,282&lt;=$D$11),1,0)</f>
        <v/>
      </c>
      <c r="JZ36" s="17">
        <f>IF(AND(283&gt;=$B$11,283&lt;=$D$11),1,0)</f>
        <v/>
      </c>
      <c r="KA36" s="17">
        <f>IF(AND(284&gt;=$B$11,284&lt;=$D$11),1,0)</f>
        <v/>
      </c>
      <c r="KB36" s="17">
        <f>IF(AND(285&gt;=$B$11,285&lt;=$D$11),1,0)</f>
        <v/>
      </c>
      <c r="KC36" s="17">
        <f>IF(AND(286&gt;=$B$11,286&lt;=$D$11),1,0)</f>
        <v/>
      </c>
      <c r="KD36" s="17">
        <f>IF(AND(287&gt;=$B$11,287&lt;=$D$11),1,0)</f>
        <v/>
      </c>
      <c r="KE36" s="17">
        <f>IF(AND(288&gt;=$B$11,288&lt;=$D$11),1,0)</f>
        <v/>
      </c>
      <c r="KF36" s="17">
        <f>IF(AND(289&gt;=$B$11,289&lt;=$D$11),1,0)</f>
        <v/>
      </c>
      <c r="KG36" s="17">
        <f>IF(AND(290&gt;=$B$11,290&lt;=$D$11),1,0)</f>
        <v/>
      </c>
      <c r="KH36" s="17">
        <f>IF(AND(291&gt;=$B$11,291&lt;=$D$11),1,0)</f>
        <v/>
      </c>
      <c r="KI36" s="17">
        <f>IF(AND(292&gt;=$B$11,292&lt;=$D$11),1,0)</f>
        <v/>
      </c>
      <c r="KJ36" s="17">
        <f>IF(AND(293&gt;=$B$11,293&lt;=$D$11),1,0)</f>
        <v/>
      </c>
      <c r="KK36" s="17">
        <f>IF(AND(294&gt;=$B$11,294&lt;=$D$11),1,0)</f>
        <v/>
      </c>
      <c r="KL36" s="17">
        <f>IF(AND(295&gt;=$B$11,295&lt;=$D$11),1,0)</f>
        <v/>
      </c>
      <c r="KM36" s="17">
        <f>IF(AND(296&gt;=$B$11,296&lt;=$D$11),1,0)</f>
        <v/>
      </c>
      <c r="KN36" s="17">
        <f>IF(AND(297&gt;=$B$11,297&lt;=$D$11),1,0)</f>
        <v/>
      </c>
      <c r="KO36" s="17">
        <f>IF(AND(298&gt;=$B$11,298&lt;=$D$11),1,0)</f>
        <v/>
      </c>
      <c r="KP36" s="17">
        <f>IF(AND(299&gt;=$B$11,299&lt;=$D$11),1,0)</f>
        <v/>
      </c>
      <c r="KQ36" s="17">
        <f>IF(AND(300&gt;=$B$11,300&lt;=$D$11),1,0)</f>
        <v/>
      </c>
      <c r="KR36" s="17">
        <f>IF(AND(301&gt;=$B$11,301&lt;=$D$11),1,0)</f>
        <v/>
      </c>
      <c r="KS36" s="17">
        <f>IF(AND(302&gt;=$B$11,302&lt;=$D$11),1,0)</f>
        <v/>
      </c>
      <c r="KT36" s="17">
        <f>IF(AND(303&gt;=$B$11,303&lt;=$D$11),1,0)</f>
        <v/>
      </c>
      <c r="KU36" s="17">
        <f>IF(AND(304&gt;=$B$11,304&lt;=$D$11),1,0)</f>
        <v/>
      </c>
      <c r="KV36" s="17">
        <f>IF(AND(305&gt;=$B$11,305&lt;=$D$11),1,0)</f>
        <v/>
      </c>
      <c r="KW36" s="17">
        <f>IF(AND(306&gt;=$B$11,306&lt;=$D$11),1,0)</f>
        <v/>
      </c>
      <c r="KX36" s="17">
        <f>IF(AND(307&gt;=$B$11,307&lt;=$D$11),1,0)</f>
        <v/>
      </c>
      <c r="KY36" s="17">
        <f>IF(AND(308&gt;=$B$11,308&lt;=$D$11),1,0)</f>
        <v/>
      </c>
      <c r="KZ36" s="17">
        <f>IF(AND(309&gt;=$B$11,309&lt;=$D$11),1,0)</f>
        <v/>
      </c>
      <c r="LA36" s="17">
        <f>IF(AND(310&gt;=$B$11,310&lt;=$D$11),1,0)</f>
        <v/>
      </c>
      <c r="LB36" s="17">
        <f>IF(AND(311&gt;=$B$11,311&lt;=$D$11),1,0)</f>
        <v/>
      </c>
      <c r="LC36" s="17">
        <f>IF(AND(312&gt;=$B$11,312&lt;=$D$11),1,0)</f>
        <v/>
      </c>
      <c r="LD36" s="17">
        <f>IF(AND(313&gt;=$B$11,313&lt;=$D$11),1,0)</f>
        <v/>
      </c>
      <c r="LE36" s="17">
        <f>IF(AND(314&gt;=$B$11,314&lt;=$D$11),1,0)</f>
        <v/>
      </c>
      <c r="LF36" s="17">
        <f>IF(AND(315&gt;=$B$11,315&lt;=$D$11),1,0)</f>
        <v/>
      </c>
      <c r="LG36" s="17">
        <f>IF(AND(316&gt;=$B$11,316&lt;=$D$11),1,0)</f>
        <v/>
      </c>
      <c r="LH36" s="17">
        <f>IF(AND(317&gt;=$B$11,317&lt;=$D$11),1,0)</f>
        <v/>
      </c>
      <c r="LI36" s="17">
        <f>IF(AND(318&gt;=$B$11,318&lt;=$D$11),1,0)</f>
        <v/>
      </c>
      <c r="LJ36" s="17">
        <f>IF(AND(319&gt;=$B$11,319&lt;=$D$11),1,0)</f>
        <v/>
      </c>
      <c r="LK36" s="17">
        <f>IF(AND(320&gt;=$B$11,320&lt;=$D$11),1,0)</f>
        <v/>
      </c>
      <c r="LL36" s="17">
        <f>IF(AND(321&gt;=$B$11,321&lt;=$D$11),1,0)</f>
        <v/>
      </c>
      <c r="LM36" s="17">
        <f>IF(AND(322&gt;=$B$11,322&lt;=$D$11),1,0)</f>
        <v/>
      </c>
      <c r="LN36" s="17">
        <f>IF(AND(323&gt;=$B$11,323&lt;=$D$11),1,0)</f>
        <v/>
      </c>
      <c r="LO36" s="17">
        <f>IF(AND(324&gt;=$B$11,324&lt;=$D$11),1,0)</f>
        <v/>
      </c>
      <c r="LP36" s="17">
        <f>IF(AND(325&gt;=$B$11,325&lt;=$D$11),1,0)</f>
        <v/>
      </c>
      <c r="LQ36" s="17">
        <f>IF(AND(326&gt;=$B$11,326&lt;=$D$11),1,0)</f>
        <v/>
      </c>
      <c r="LR36" s="17">
        <f>IF(AND(327&gt;=$B$11,327&lt;=$D$11),1,0)</f>
        <v/>
      </c>
      <c r="LS36" s="17">
        <f>IF(AND(328&gt;=$B$11,328&lt;=$D$11),1,0)</f>
        <v/>
      </c>
      <c r="LT36" s="17">
        <f>IF(AND(329&gt;=$B$11,329&lt;=$D$11),1,0)</f>
        <v/>
      </c>
      <c r="LU36" s="17">
        <f>IF(AND(330&gt;=$B$11,330&lt;=$D$11),1,0)</f>
        <v/>
      </c>
      <c r="LV36" s="17">
        <f>IF(AND(331&gt;=$B$11,331&lt;=$D$11),1,0)</f>
        <v/>
      </c>
      <c r="LW36" s="17">
        <f>IF(AND(332&gt;=$B$11,332&lt;=$D$11),1,0)</f>
        <v/>
      </c>
      <c r="LX36" s="17">
        <f>IF(AND(333&gt;=$B$11,333&lt;=$D$11),1,0)</f>
        <v/>
      </c>
      <c r="LY36" s="17">
        <f>IF(AND(334&gt;=$B$11,334&lt;=$D$11),1,0)</f>
        <v/>
      </c>
      <c r="LZ36" s="17">
        <f>IF(AND(335&gt;=$B$11,335&lt;=$D$11),1,0)</f>
        <v/>
      </c>
      <c r="MA36" s="17">
        <f>IF(AND(336&gt;=$B$11,336&lt;=$D$11),1,0)</f>
        <v/>
      </c>
      <c r="MB36" s="17">
        <f>IF(AND(337&gt;=$B$11,337&lt;=$D$11),1,0)</f>
        <v/>
      </c>
      <c r="MC36" s="17">
        <f>IF(AND(338&gt;=$B$11,338&lt;=$D$11),1,0)</f>
        <v/>
      </c>
      <c r="MD36" s="17">
        <f>IF(AND(339&gt;=$B$11,339&lt;=$D$11),1,0)</f>
        <v/>
      </c>
      <c r="ME36" s="17">
        <f>IF(AND(340&gt;=$B$11,340&lt;=$D$11),1,0)</f>
        <v/>
      </c>
      <c r="MF36" s="17">
        <f>IF(AND(341&gt;=$B$11,341&lt;=$D$11),1,0)</f>
        <v/>
      </c>
      <c r="MG36" s="17">
        <f>IF(AND(342&gt;=$B$11,342&lt;=$D$11),1,0)</f>
        <v/>
      </c>
      <c r="MH36" s="17">
        <f>IF(AND(343&gt;=$B$11,343&lt;=$D$11),1,0)</f>
        <v/>
      </c>
      <c r="MI36" s="17">
        <f>IF(AND(344&gt;=$B$11,344&lt;=$D$11),1,0)</f>
        <v/>
      </c>
      <c r="MJ36" s="17">
        <f>IF(AND(345&gt;=$B$11,345&lt;=$D$11),1,0)</f>
        <v/>
      </c>
      <c r="MK36" s="17">
        <f>IF(AND(346&gt;=$B$11,346&lt;=$D$11),1,0)</f>
        <v/>
      </c>
      <c r="ML36" s="17">
        <f>IF(AND(347&gt;=$B$11,347&lt;=$D$11),1,0)</f>
        <v/>
      </c>
      <c r="MM36" s="17">
        <f>IF(AND(348&gt;=$B$11,348&lt;=$D$11),1,0)</f>
        <v/>
      </c>
      <c r="MN36" s="17">
        <f>IF(AND(349&gt;=$B$11,349&lt;=$D$11),1,0)</f>
        <v/>
      </c>
      <c r="MO36" s="17">
        <f>IF(AND(350&gt;=$B$11,350&lt;=$D$11),1,0)</f>
        <v/>
      </c>
      <c r="MP36" s="17">
        <f>IF(AND(351&gt;=$B$11,351&lt;=$D$11),1,0)</f>
        <v/>
      </c>
      <c r="MQ36" s="17">
        <f>IF(AND(352&gt;=$B$11,352&lt;=$D$11),1,0)</f>
        <v/>
      </c>
      <c r="MR36" s="17">
        <f>IF(AND(353&gt;=$B$11,353&lt;=$D$11),1,0)</f>
        <v/>
      </c>
      <c r="MS36" s="17">
        <f>IF(AND(354&gt;=$B$11,354&lt;=$D$11),1,0)</f>
        <v/>
      </c>
      <c r="MT36" s="17">
        <f>IF(AND(355&gt;=$B$11,355&lt;=$D$11),1,0)</f>
        <v/>
      </c>
      <c r="MU36" s="17">
        <f>IF(AND(356&gt;=$B$11,356&lt;=$D$11),1,0)</f>
        <v/>
      </c>
      <c r="MV36" s="17">
        <f>IF(AND(357&gt;=$B$11,357&lt;=$D$11),1,0)</f>
        <v/>
      </c>
      <c r="MW36" s="17">
        <f>IF(AND(358&gt;=$B$11,358&lt;=$D$11),1,0)</f>
        <v/>
      </c>
      <c r="MX36" s="17">
        <f>IF(AND(359&gt;=$B$11,359&lt;=$D$11),1,0)</f>
        <v/>
      </c>
      <c r="MY36" s="17">
        <f>IF(AND(360&gt;=$B$11,360&lt;=$D$11),1,0)</f>
        <v/>
      </c>
      <c r="MZ36" s="17">
        <f>IF(AND(361&gt;=$B$11,361&lt;=$D$11),1,0)</f>
        <v/>
      </c>
      <c r="NA36" s="17">
        <f>IF(AND(362&gt;=$B$11,362&lt;=$D$11),1,0)</f>
        <v/>
      </c>
      <c r="NB36" s="17">
        <f>IF(AND(363&gt;=$B$11,363&lt;=$D$11),1,0)</f>
        <v/>
      </c>
      <c r="NC36" s="17">
        <f>IF(AND(364&gt;=$B$11,364&lt;=$D$11),1,0)</f>
        <v/>
      </c>
      <c r="ND36" s="17">
        <f>IF(AND(365&gt;=$B$11,365&lt;=$D$11),1,0)</f>
        <v/>
      </c>
      <c r="NE36" s="17">
        <f>IF(AND(366&gt;=$B$11,366&lt;=$D$11),1,0)</f>
        <v/>
      </c>
      <c r="NF36" s="17">
        <f>IF(AND(367&gt;=$B$11,367&lt;=$D$11),1,0)</f>
        <v/>
      </c>
      <c r="NG36" s="17">
        <f>IF(AND(368&gt;=$B$11,368&lt;=$D$11),1,0)</f>
        <v/>
      </c>
      <c r="NH36" s="17">
        <f>IF(AND(369&gt;=$B$11,369&lt;=$D$11),1,0)</f>
        <v/>
      </c>
      <c r="NI36" s="17">
        <f>IF(AND(370&gt;=$B$11,370&lt;=$D$11),1,0)</f>
        <v/>
      </c>
      <c r="NJ36" s="17">
        <f>IF(AND(371&gt;=$B$11,371&lt;=$D$11),1,0)</f>
        <v/>
      </c>
      <c r="NK36" s="17">
        <f>IF(AND(372&gt;=$B$11,372&lt;=$D$11),1,0)</f>
        <v/>
      </c>
    </row>
    <row r="37">
      <c r="A37" s="5" t="inlineStr">
        <is>
          <t>Flag: Stabilization</t>
        </is>
      </c>
      <c r="C37" s="40" t="n"/>
      <c r="D37" s="17">
        <f>IF(AND(1&gt;=$B$12,1&lt;=$D$12),1,0)</f>
        <v/>
      </c>
      <c r="E37" s="17">
        <f>IF(AND(2&gt;=$B$12,2&lt;=$D$12),1,0)</f>
        <v/>
      </c>
      <c r="F37" s="17">
        <f>IF(AND(3&gt;=$B$12,3&lt;=$D$12),1,0)</f>
        <v/>
      </c>
      <c r="G37" s="17">
        <f>IF(AND(4&gt;=$B$12,4&lt;=$D$12),1,0)</f>
        <v/>
      </c>
      <c r="H37" s="17">
        <f>IF(AND(5&gt;=$B$12,5&lt;=$D$12),1,0)</f>
        <v/>
      </c>
      <c r="I37" s="17">
        <f>IF(AND(6&gt;=$B$12,6&lt;=$D$12),1,0)</f>
        <v/>
      </c>
      <c r="J37" s="17">
        <f>IF(AND(7&gt;=$B$12,7&lt;=$D$12),1,0)</f>
        <v/>
      </c>
      <c r="K37" s="17">
        <f>IF(AND(8&gt;=$B$12,8&lt;=$D$12),1,0)</f>
        <v/>
      </c>
      <c r="L37" s="17">
        <f>IF(AND(9&gt;=$B$12,9&lt;=$D$12),1,0)</f>
        <v/>
      </c>
      <c r="M37" s="17">
        <f>IF(AND(10&gt;=$B$12,10&lt;=$D$12),1,0)</f>
        <v/>
      </c>
      <c r="N37" s="17">
        <f>IF(AND(11&gt;=$B$12,11&lt;=$D$12),1,0)</f>
        <v/>
      </c>
      <c r="O37" s="17">
        <f>IF(AND(12&gt;=$B$12,12&lt;=$D$12),1,0)</f>
        <v/>
      </c>
      <c r="P37" s="17">
        <f>IF(AND(13&gt;=$B$12,13&lt;=$D$12),1,0)</f>
        <v/>
      </c>
      <c r="Q37" s="17">
        <f>IF(AND(14&gt;=$B$12,14&lt;=$D$12),1,0)</f>
        <v/>
      </c>
      <c r="R37" s="17">
        <f>IF(AND(15&gt;=$B$12,15&lt;=$D$12),1,0)</f>
        <v/>
      </c>
      <c r="S37" s="17">
        <f>IF(AND(16&gt;=$B$12,16&lt;=$D$12),1,0)</f>
        <v/>
      </c>
      <c r="T37" s="17">
        <f>IF(AND(17&gt;=$B$12,17&lt;=$D$12),1,0)</f>
        <v/>
      </c>
      <c r="U37" s="17">
        <f>IF(AND(18&gt;=$B$12,18&lt;=$D$12),1,0)</f>
        <v/>
      </c>
      <c r="V37" s="17">
        <f>IF(AND(19&gt;=$B$12,19&lt;=$D$12),1,0)</f>
        <v/>
      </c>
      <c r="W37" s="17">
        <f>IF(AND(20&gt;=$B$12,20&lt;=$D$12),1,0)</f>
        <v/>
      </c>
      <c r="X37" s="17">
        <f>IF(AND(21&gt;=$B$12,21&lt;=$D$12),1,0)</f>
        <v/>
      </c>
      <c r="Y37" s="17">
        <f>IF(AND(22&gt;=$B$12,22&lt;=$D$12),1,0)</f>
        <v/>
      </c>
      <c r="Z37" s="17">
        <f>IF(AND(23&gt;=$B$12,23&lt;=$D$12),1,0)</f>
        <v/>
      </c>
      <c r="AA37" s="17">
        <f>IF(AND(24&gt;=$B$12,24&lt;=$D$12),1,0)</f>
        <v/>
      </c>
      <c r="AB37" s="17">
        <f>IF(AND(25&gt;=$B$12,25&lt;=$D$12),1,0)</f>
        <v/>
      </c>
      <c r="AC37" s="17">
        <f>IF(AND(26&gt;=$B$12,26&lt;=$D$12),1,0)</f>
        <v/>
      </c>
      <c r="AD37" s="17">
        <f>IF(AND(27&gt;=$B$12,27&lt;=$D$12),1,0)</f>
        <v/>
      </c>
      <c r="AE37" s="17">
        <f>IF(AND(28&gt;=$B$12,28&lt;=$D$12),1,0)</f>
        <v/>
      </c>
      <c r="AF37" s="17">
        <f>IF(AND(29&gt;=$B$12,29&lt;=$D$12),1,0)</f>
        <v/>
      </c>
      <c r="AG37" s="17">
        <f>IF(AND(30&gt;=$B$12,30&lt;=$D$12),1,0)</f>
        <v/>
      </c>
      <c r="AH37" s="17">
        <f>IF(AND(31&gt;=$B$12,31&lt;=$D$12),1,0)</f>
        <v/>
      </c>
      <c r="AI37" s="17">
        <f>IF(AND(32&gt;=$B$12,32&lt;=$D$12),1,0)</f>
        <v/>
      </c>
      <c r="AJ37" s="17">
        <f>IF(AND(33&gt;=$B$12,33&lt;=$D$12),1,0)</f>
        <v/>
      </c>
      <c r="AK37" s="17">
        <f>IF(AND(34&gt;=$B$12,34&lt;=$D$12),1,0)</f>
        <v/>
      </c>
      <c r="AL37" s="17">
        <f>IF(AND(35&gt;=$B$12,35&lt;=$D$12),1,0)</f>
        <v/>
      </c>
      <c r="AM37" s="17">
        <f>IF(AND(36&gt;=$B$12,36&lt;=$D$12),1,0)</f>
        <v/>
      </c>
      <c r="AN37" s="17">
        <f>IF(AND(37&gt;=$B$12,37&lt;=$D$12),1,0)</f>
        <v/>
      </c>
      <c r="AO37" s="17">
        <f>IF(AND(38&gt;=$B$12,38&lt;=$D$12),1,0)</f>
        <v/>
      </c>
      <c r="AP37" s="17">
        <f>IF(AND(39&gt;=$B$12,39&lt;=$D$12),1,0)</f>
        <v/>
      </c>
      <c r="AQ37" s="17">
        <f>IF(AND(40&gt;=$B$12,40&lt;=$D$12),1,0)</f>
        <v/>
      </c>
      <c r="AR37" s="17">
        <f>IF(AND(41&gt;=$B$12,41&lt;=$D$12),1,0)</f>
        <v/>
      </c>
      <c r="AS37" s="17">
        <f>IF(AND(42&gt;=$B$12,42&lt;=$D$12),1,0)</f>
        <v/>
      </c>
      <c r="AT37" s="17">
        <f>IF(AND(43&gt;=$B$12,43&lt;=$D$12),1,0)</f>
        <v/>
      </c>
      <c r="AU37" s="17">
        <f>IF(AND(44&gt;=$B$12,44&lt;=$D$12),1,0)</f>
        <v/>
      </c>
      <c r="AV37" s="17">
        <f>IF(AND(45&gt;=$B$12,45&lt;=$D$12),1,0)</f>
        <v/>
      </c>
      <c r="AW37" s="17">
        <f>IF(AND(46&gt;=$B$12,46&lt;=$D$12),1,0)</f>
        <v/>
      </c>
      <c r="AX37" s="17">
        <f>IF(AND(47&gt;=$B$12,47&lt;=$D$12),1,0)</f>
        <v/>
      </c>
      <c r="AY37" s="17">
        <f>IF(AND(48&gt;=$B$12,48&lt;=$D$12),1,0)</f>
        <v/>
      </c>
      <c r="AZ37" s="17">
        <f>IF(AND(49&gt;=$B$12,49&lt;=$D$12),1,0)</f>
        <v/>
      </c>
      <c r="BA37" s="17">
        <f>IF(AND(50&gt;=$B$12,50&lt;=$D$12),1,0)</f>
        <v/>
      </c>
      <c r="BB37" s="17">
        <f>IF(AND(51&gt;=$B$12,51&lt;=$D$12),1,0)</f>
        <v/>
      </c>
      <c r="BC37" s="17">
        <f>IF(AND(52&gt;=$B$12,52&lt;=$D$12),1,0)</f>
        <v/>
      </c>
      <c r="BD37" s="17">
        <f>IF(AND(53&gt;=$B$12,53&lt;=$D$12),1,0)</f>
        <v/>
      </c>
      <c r="BE37" s="17">
        <f>IF(AND(54&gt;=$B$12,54&lt;=$D$12),1,0)</f>
        <v/>
      </c>
      <c r="BF37" s="17">
        <f>IF(AND(55&gt;=$B$12,55&lt;=$D$12),1,0)</f>
        <v/>
      </c>
      <c r="BG37" s="17">
        <f>IF(AND(56&gt;=$B$12,56&lt;=$D$12),1,0)</f>
        <v/>
      </c>
      <c r="BH37" s="17">
        <f>IF(AND(57&gt;=$B$12,57&lt;=$D$12),1,0)</f>
        <v/>
      </c>
      <c r="BI37" s="17">
        <f>IF(AND(58&gt;=$B$12,58&lt;=$D$12),1,0)</f>
        <v/>
      </c>
      <c r="BJ37" s="17">
        <f>IF(AND(59&gt;=$B$12,59&lt;=$D$12),1,0)</f>
        <v/>
      </c>
      <c r="BK37" s="17">
        <f>IF(AND(60&gt;=$B$12,60&lt;=$D$12),1,0)</f>
        <v/>
      </c>
      <c r="BL37" s="17">
        <f>IF(AND(61&gt;=$B$12,61&lt;=$D$12),1,0)</f>
        <v/>
      </c>
      <c r="BM37" s="17">
        <f>IF(AND(62&gt;=$B$12,62&lt;=$D$12),1,0)</f>
        <v/>
      </c>
      <c r="BN37" s="17">
        <f>IF(AND(63&gt;=$B$12,63&lt;=$D$12),1,0)</f>
        <v/>
      </c>
      <c r="BO37" s="17">
        <f>IF(AND(64&gt;=$B$12,64&lt;=$D$12),1,0)</f>
        <v/>
      </c>
      <c r="BP37" s="17">
        <f>IF(AND(65&gt;=$B$12,65&lt;=$D$12),1,0)</f>
        <v/>
      </c>
      <c r="BQ37" s="17">
        <f>IF(AND(66&gt;=$B$12,66&lt;=$D$12),1,0)</f>
        <v/>
      </c>
      <c r="BR37" s="17">
        <f>IF(AND(67&gt;=$B$12,67&lt;=$D$12),1,0)</f>
        <v/>
      </c>
      <c r="BS37" s="17">
        <f>IF(AND(68&gt;=$B$12,68&lt;=$D$12),1,0)</f>
        <v/>
      </c>
      <c r="BT37" s="17">
        <f>IF(AND(69&gt;=$B$12,69&lt;=$D$12),1,0)</f>
        <v/>
      </c>
      <c r="BU37" s="17">
        <f>IF(AND(70&gt;=$B$12,70&lt;=$D$12),1,0)</f>
        <v/>
      </c>
      <c r="BV37" s="17">
        <f>IF(AND(71&gt;=$B$12,71&lt;=$D$12),1,0)</f>
        <v/>
      </c>
      <c r="BW37" s="17">
        <f>IF(AND(72&gt;=$B$12,72&lt;=$D$12),1,0)</f>
        <v/>
      </c>
      <c r="BX37" s="17">
        <f>IF(AND(73&gt;=$B$12,73&lt;=$D$12),1,0)</f>
        <v/>
      </c>
      <c r="BY37" s="17">
        <f>IF(AND(74&gt;=$B$12,74&lt;=$D$12),1,0)</f>
        <v/>
      </c>
      <c r="BZ37" s="17">
        <f>IF(AND(75&gt;=$B$12,75&lt;=$D$12),1,0)</f>
        <v/>
      </c>
      <c r="CA37" s="17">
        <f>IF(AND(76&gt;=$B$12,76&lt;=$D$12),1,0)</f>
        <v/>
      </c>
      <c r="CB37" s="17">
        <f>IF(AND(77&gt;=$B$12,77&lt;=$D$12),1,0)</f>
        <v/>
      </c>
      <c r="CC37" s="17">
        <f>IF(AND(78&gt;=$B$12,78&lt;=$D$12),1,0)</f>
        <v/>
      </c>
      <c r="CD37" s="17">
        <f>IF(AND(79&gt;=$B$12,79&lt;=$D$12),1,0)</f>
        <v/>
      </c>
      <c r="CE37" s="17">
        <f>IF(AND(80&gt;=$B$12,80&lt;=$D$12),1,0)</f>
        <v/>
      </c>
      <c r="CF37" s="17">
        <f>IF(AND(81&gt;=$B$12,81&lt;=$D$12),1,0)</f>
        <v/>
      </c>
      <c r="CG37" s="17">
        <f>IF(AND(82&gt;=$B$12,82&lt;=$D$12),1,0)</f>
        <v/>
      </c>
      <c r="CH37" s="17">
        <f>IF(AND(83&gt;=$B$12,83&lt;=$D$12),1,0)</f>
        <v/>
      </c>
      <c r="CI37" s="17">
        <f>IF(AND(84&gt;=$B$12,84&lt;=$D$12),1,0)</f>
        <v/>
      </c>
      <c r="CJ37" s="17">
        <f>IF(AND(85&gt;=$B$12,85&lt;=$D$12),1,0)</f>
        <v/>
      </c>
      <c r="CK37" s="17">
        <f>IF(AND(86&gt;=$B$12,86&lt;=$D$12),1,0)</f>
        <v/>
      </c>
      <c r="CL37" s="17">
        <f>IF(AND(87&gt;=$B$12,87&lt;=$D$12),1,0)</f>
        <v/>
      </c>
      <c r="CM37" s="17">
        <f>IF(AND(88&gt;=$B$12,88&lt;=$D$12),1,0)</f>
        <v/>
      </c>
      <c r="CN37" s="17">
        <f>IF(AND(89&gt;=$B$12,89&lt;=$D$12),1,0)</f>
        <v/>
      </c>
      <c r="CO37" s="17">
        <f>IF(AND(90&gt;=$B$12,90&lt;=$D$12),1,0)</f>
        <v/>
      </c>
      <c r="CP37" s="17">
        <f>IF(AND(91&gt;=$B$12,91&lt;=$D$12),1,0)</f>
        <v/>
      </c>
      <c r="CQ37" s="17">
        <f>IF(AND(92&gt;=$B$12,92&lt;=$D$12),1,0)</f>
        <v/>
      </c>
      <c r="CR37" s="17">
        <f>IF(AND(93&gt;=$B$12,93&lt;=$D$12),1,0)</f>
        <v/>
      </c>
      <c r="CS37" s="17">
        <f>IF(AND(94&gt;=$B$12,94&lt;=$D$12),1,0)</f>
        <v/>
      </c>
      <c r="CT37" s="17">
        <f>IF(AND(95&gt;=$B$12,95&lt;=$D$12),1,0)</f>
        <v/>
      </c>
      <c r="CU37" s="17">
        <f>IF(AND(96&gt;=$B$12,96&lt;=$D$12),1,0)</f>
        <v/>
      </c>
      <c r="CV37" s="17">
        <f>IF(AND(97&gt;=$B$12,97&lt;=$D$12),1,0)</f>
        <v/>
      </c>
      <c r="CW37" s="17">
        <f>IF(AND(98&gt;=$B$12,98&lt;=$D$12),1,0)</f>
        <v/>
      </c>
      <c r="CX37" s="17">
        <f>IF(AND(99&gt;=$B$12,99&lt;=$D$12),1,0)</f>
        <v/>
      </c>
      <c r="CY37" s="17">
        <f>IF(AND(100&gt;=$B$12,100&lt;=$D$12),1,0)</f>
        <v/>
      </c>
      <c r="CZ37" s="17">
        <f>IF(AND(101&gt;=$B$12,101&lt;=$D$12),1,0)</f>
        <v/>
      </c>
      <c r="DA37" s="17">
        <f>IF(AND(102&gt;=$B$12,102&lt;=$D$12),1,0)</f>
        <v/>
      </c>
      <c r="DB37" s="17">
        <f>IF(AND(103&gt;=$B$12,103&lt;=$D$12),1,0)</f>
        <v/>
      </c>
      <c r="DC37" s="17">
        <f>IF(AND(104&gt;=$B$12,104&lt;=$D$12),1,0)</f>
        <v/>
      </c>
      <c r="DD37" s="17">
        <f>IF(AND(105&gt;=$B$12,105&lt;=$D$12),1,0)</f>
        <v/>
      </c>
      <c r="DE37" s="17">
        <f>IF(AND(106&gt;=$B$12,106&lt;=$D$12),1,0)</f>
        <v/>
      </c>
      <c r="DF37" s="17">
        <f>IF(AND(107&gt;=$B$12,107&lt;=$D$12),1,0)</f>
        <v/>
      </c>
      <c r="DG37" s="17">
        <f>IF(AND(108&gt;=$B$12,108&lt;=$D$12),1,0)</f>
        <v/>
      </c>
      <c r="DH37" s="17">
        <f>IF(AND(109&gt;=$B$12,109&lt;=$D$12),1,0)</f>
        <v/>
      </c>
      <c r="DI37" s="17">
        <f>IF(AND(110&gt;=$B$12,110&lt;=$D$12),1,0)</f>
        <v/>
      </c>
      <c r="DJ37" s="17">
        <f>IF(AND(111&gt;=$B$12,111&lt;=$D$12),1,0)</f>
        <v/>
      </c>
      <c r="DK37" s="17">
        <f>IF(AND(112&gt;=$B$12,112&lt;=$D$12),1,0)</f>
        <v/>
      </c>
      <c r="DL37" s="17">
        <f>IF(AND(113&gt;=$B$12,113&lt;=$D$12),1,0)</f>
        <v/>
      </c>
      <c r="DM37" s="17">
        <f>IF(AND(114&gt;=$B$12,114&lt;=$D$12),1,0)</f>
        <v/>
      </c>
      <c r="DN37" s="17">
        <f>IF(AND(115&gt;=$B$12,115&lt;=$D$12),1,0)</f>
        <v/>
      </c>
      <c r="DO37" s="17">
        <f>IF(AND(116&gt;=$B$12,116&lt;=$D$12),1,0)</f>
        <v/>
      </c>
      <c r="DP37" s="17">
        <f>IF(AND(117&gt;=$B$12,117&lt;=$D$12),1,0)</f>
        <v/>
      </c>
      <c r="DQ37" s="17">
        <f>IF(AND(118&gt;=$B$12,118&lt;=$D$12),1,0)</f>
        <v/>
      </c>
      <c r="DR37" s="17">
        <f>IF(AND(119&gt;=$B$12,119&lt;=$D$12),1,0)</f>
        <v/>
      </c>
      <c r="DS37" s="17">
        <f>IF(AND(120&gt;=$B$12,120&lt;=$D$12),1,0)</f>
        <v/>
      </c>
      <c r="DT37" s="17">
        <f>IF(AND(121&gt;=$B$12,121&lt;=$D$12),1,0)</f>
        <v/>
      </c>
      <c r="DU37" s="17">
        <f>IF(AND(122&gt;=$B$12,122&lt;=$D$12),1,0)</f>
        <v/>
      </c>
      <c r="DV37" s="17">
        <f>IF(AND(123&gt;=$B$12,123&lt;=$D$12),1,0)</f>
        <v/>
      </c>
      <c r="DW37" s="17">
        <f>IF(AND(124&gt;=$B$12,124&lt;=$D$12),1,0)</f>
        <v/>
      </c>
      <c r="DX37" s="17">
        <f>IF(AND(125&gt;=$B$12,125&lt;=$D$12),1,0)</f>
        <v/>
      </c>
      <c r="DY37" s="17">
        <f>IF(AND(126&gt;=$B$12,126&lt;=$D$12),1,0)</f>
        <v/>
      </c>
      <c r="DZ37" s="17">
        <f>IF(AND(127&gt;=$B$12,127&lt;=$D$12),1,0)</f>
        <v/>
      </c>
      <c r="EA37" s="17">
        <f>IF(AND(128&gt;=$B$12,128&lt;=$D$12),1,0)</f>
        <v/>
      </c>
      <c r="EB37" s="17">
        <f>IF(AND(129&gt;=$B$12,129&lt;=$D$12),1,0)</f>
        <v/>
      </c>
      <c r="EC37" s="17">
        <f>IF(AND(130&gt;=$B$12,130&lt;=$D$12),1,0)</f>
        <v/>
      </c>
      <c r="ED37" s="17">
        <f>IF(AND(131&gt;=$B$12,131&lt;=$D$12),1,0)</f>
        <v/>
      </c>
      <c r="EE37" s="17">
        <f>IF(AND(132&gt;=$B$12,132&lt;=$D$12),1,0)</f>
        <v/>
      </c>
      <c r="EF37" s="17">
        <f>IF(AND(133&gt;=$B$12,133&lt;=$D$12),1,0)</f>
        <v/>
      </c>
      <c r="EG37" s="17">
        <f>IF(AND(134&gt;=$B$12,134&lt;=$D$12),1,0)</f>
        <v/>
      </c>
      <c r="EH37" s="17">
        <f>IF(AND(135&gt;=$B$12,135&lt;=$D$12),1,0)</f>
        <v/>
      </c>
      <c r="EI37" s="17">
        <f>IF(AND(136&gt;=$B$12,136&lt;=$D$12),1,0)</f>
        <v/>
      </c>
      <c r="EJ37" s="17">
        <f>IF(AND(137&gt;=$B$12,137&lt;=$D$12),1,0)</f>
        <v/>
      </c>
      <c r="EK37" s="17">
        <f>IF(AND(138&gt;=$B$12,138&lt;=$D$12),1,0)</f>
        <v/>
      </c>
      <c r="EL37" s="17">
        <f>IF(AND(139&gt;=$B$12,139&lt;=$D$12),1,0)</f>
        <v/>
      </c>
      <c r="EM37" s="17">
        <f>IF(AND(140&gt;=$B$12,140&lt;=$D$12),1,0)</f>
        <v/>
      </c>
      <c r="EN37" s="17">
        <f>IF(AND(141&gt;=$B$12,141&lt;=$D$12),1,0)</f>
        <v/>
      </c>
      <c r="EO37" s="17">
        <f>IF(AND(142&gt;=$B$12,142&lt;=$D$12),1,0)</f>
        <v/>
      </c>
      <c r="EP37" s="17">
        <f>IF(AND(143&gt;=$B$12,143&lt;=$D$12),1,0)</f>
        <v/>
      </c>
      <c r="EQ37" s="17">
        <f>IF(AND(144&gt;=$B$12,144&lt;=$D$12),1,0)</f>
        <v/>
      </c>
      <c r="ER37" s="17">
        <f>IF(AND(145&gt;=$B$12,145&lt;=$D$12),1,0)</f>
        <v/>
      </c>
      <c r="ES37" s="17">
        <f>IF(AND(146&gt;=$B$12,146&lt;=$D$12),1,0)</f>
        <v/>
      </c>
      <c r="ET37" s="17">
        <f>IF(AND(147&gt;=$B$12,147&lt;=$D$12),1,0)</f>
        <v/>
      </c>
      <c r="EU37" s="17">
        <f>IF(AND(148&gt;=$B$12,148&lt;=$D$12),1,0)</f>
        <v/>
      </c>
      <c r="EV37" s="17">
        <f>IF(AND(149&gt;=$B$12,149&lt;=$D$12),1,0)</f>
        <v/>
      </c>
      <c r="EW37" s="17">
        <f>IF(AND(150&gt;=$B$12,150&lt;=$D$12),1,0)</f>
        <v/>
      </c>
      <c r="EX37" s="17">
        <f>IF(AND(151&gt;=$B$12,151&lt;=$D$12),1,0)</f>
        <v/>
      </c>
      <c r="EY37" s="17">
        <f>IF(AND(152&gt;=$B$12,152&lt;=$D$12),1,0)</f>
        <v/>
      </c>
      <c r="EZ37" s="17">
        <f>IF(AND(153&gt;=$B$12,153&lt;=$D$12),1,0)</f>
        <v/>
      </c>
      <c r="FA37" s="17">
        <f>IF(AND(154&gt;=$B$12,154&lt;=$D$12),1,0)</f>
        <v/>
      </c>
      <c r="FB37" s="17">
        <f>IF(AND(155&gt;=$B$12,155&lt;=$D$12),1,0)</f>
        <v/>
      </c>
      <c r="FC37" s="17">
        <f>IF(AND(156&gt;=$B$12,156&lt;=$D$12),1,0)</f>
        <v/>
      </c>
      <c r="FD37" s="17">
        <f>IF(AND(157&gt;=$B$12,157&lt;=$D$12),1,0)</f>
        <v/>
      </c>
      <c r="FE37" s="17">
        <f>IF(AND(158&gt;=$B$12,158&lt;=$D$12),1,0)</f>
        <v/>
      </c>
      <c r="FF37" s="17">
        <f>IF(AND(159&gt;=$B$12,159&lt;=$D$12),1,0)</f>
        <v/>
      </c>
      <c r="FG37" s="17">
        <f>IF(AND(160&gt;=$B$12,160&lt;=$D$12),1,0)</f>
        <v/>
      </c>
      <c r="FH37" s="17">
        <f>IF(AND(161&gt;=$B$12,161&lt;=$D$12),1,0)</f>
        <v/>
      </c>
      <c r="FI37" s="17">
        <f>IF(AND(162&gt;=$B$12,162&lt;=$D$12),1,0)</f>
        <v/>
      </c>
      <c r="FJ37" s="17">
        <f>IF(AND(163&gt;=$B$12,163&lt;=$D$12),1,0)</f>
        <v/>
      </c>
      <c r="FK37" s="17">
        <f>IF(AND(164&gt;=$B$12,164&lt;=$D$12),1,0)</f>
        <v/>
      </c>
      <c r="FL37" s="17">
        <f>IF(AND(165&gt;=$B$12,165&lt;=$D$12),1,0)</f>
        <v/>
      </c>
      <c r="FM37" s="17">
        <f>IF(AND(166&gt;=$B$12,166&lt;=$D$12),1,0)</f>
        <v/>
      </c>
      <c r="FN37" s="17">
        <f>IF(AND(167&gt;=$B$12,167&lt;=$D$12),1,0)</f>
        <v/>
      </c>
      <c r="FO37" s="17">
        <f>IF(AND(168&gt;=$B$12,168&lt;=$D$12),1,0)</f>
        <v/>
      </c>
      <c r="FP37" s="17">
        <f>IF(AND(169&gt;=$B$12,169&lt;=$D$12),1,0)</f>
        <v/>
      </c>
      <c r="FQ37" s="17">
        <f>IF(AND(170&gt;=$B$12,170&lt;=$D$12),1,0)</f>
        <v/>
      </c>
      <c r="FR37" s="17">
        <f>IF(AND(171&gt;=$B$12,171&lt;=$D$12),1,0)</f>
        <v/>
      </c>
      <c r="FS37" s="17">
        <f>IF(AND(172&gt;=$B$12,172&lt;=$D$12),1,0)</f>
        <v/>
      </c>
      <c r="FT37" s="17">
        <f>IF(AND(173&gt;=$B$12,173&lt;=$D$12),1,0)</f>
        <v/>
      </c>
      <c r="FU37" s="17">
        <f>IF(AND(174&gt;=$B$12,174&lt;=$D$12),1,0)</f>
        <v/>
      </c>
      <c r="FV37" s="17">
        <f>IF(AND(175&gt;=$B$12,175&lt;=$D$12),1,0)</f>
        <v/>
      </c>
      <c r="FW37" s="17">
        <f>IF(AND(176&gt;=$B$12,176&lt;=$D$12),1,0)</f>
        <v/>
      </c>
      <c r="FX37" s="17">
        <f>IF(AND(177&gt;=$B$12,177&lt;=$D$12),1,0)</f>
        <v/>
      </c>
      <c r="FY37" s="17">
        <f>IF(AND(178&gt;=$B$12,178&lt;=$D$12),1,0)</f>
        <v/>
      </c>
      <c r="FZ37" s="17">
        <f>IF(AND(179&gt;=$B$12,179&lt;=$D$12),1,0)</f>
        <v/>
      </c>
      <c r="GA37" s="17">
        <f>IF(AND(180&gt;=$B$12,180&lt;=$D$12),1,0)</f>
        <v/>
      </c>
      <c r="GB37" s="17">
        <f>IF(AND(181&gt;=$B$12,181&lt;=$D$12),1,0)</f>
        <v/>
      </c>
      <c r="GC37" s="17">
        <f>IF(AND(182&gt;=$B$12,182&lt;=$D$12),1,0)</f>
        <v/>
      </c>
      <c r="GD37" s="17">
        <f>IF(AND(183&gt;=$B$12,183&lt;=$D$12),1,0)</f>
        <v/>
      </c>
      <c r="GE37" s="17">
        <f>IF(AND(184&gt;=$B$12,184&lt;=$D$12),1,0)</f>
        <v/>
      </c>
      <c r="GF37" s="17">
        <f>IF(AND(185&gt;=$B$12,185&lt;=$D$12),1,0)</f>
        <v/>
      </c>
      <c r="GG37" s="17">
        <f>IF(AND(186&gt;=$B$12,186&lt;=$D$12),1,0)</f>
        <v/>
      </c>
      <c r="GH37" s="17">
        <f>IF(AND(187&gt;=$B$12,187&lt;=$D$12),1,0)</f>
        <v/>
      </c>
      <c r="GI37" s="17">
        <f>IF(AND(188&gt;=$B$12,188&lt;=$D$12),1,0)</f>
        <v/>
      </c>
      <c r="GJ37" s="17">
        <f>IF(AND(189&gt;=$B$12,189&lt;=$D$12),1,0)</f>
        <v/>
      </c>
      <c r="GK37" s="17">
        <f>IF(AND(190&gt;=$B$12,190&lt;=$D$12),1,0)</f>
        <v/>
      </c>
      <c r="GL37" s="17">
        <f>IF(AND(191&gt;=$B$12,191&lt;=$D$12),1,0)</f>
        <v/>
      </c>
      <c r="GM37" s="17">
        <f>IF(AND(192&gt;=$B$12,192&lt;=$D$12),1,0)</f>
        <v/>
      </c>
      <c r="GN37" s="17">
        <f>IF(AND(193&gt;=$B$12,193&lt;=$D$12),1,0)</f>
        <v/>
      </c>
      <c r="GO37" s="17">
        <f>IF(AND(194&gt;=$B$12,194&lt;=$D$12),1,0)</f>
        <v/>
      </c>
      <c r="GP37" s="17">
        <f>IF(AND(195&gt;=$B$12,195&lt;=$D$12),1,0)</f>
        <v/>
      </c>
      <c r="GQ37" s="17">
        <f>IF(AND(196&gt;=$B$12,196&lt;=$D$12),1,0)</f>
        <v/>
      </c>
      <c r="GR37" s="17">
        <f>IF(AND(197&gt;=$B$12,197&lt;=$D$12),1,0)</f>
        <v/>
      </c>
      <c r="GS37" s="17">
        <f>IF(AND(198&gt;=$B$12,198&lt;=$D$12),1,0)</f>
        <v/>
      </c>
      <c r="GT37" s="17">
        <f>IF(AND(199&gt;=$B$12,199&lt;=$D$12),1,0)</f>
        <v/>
      </c>
      <c r="GU37" s="17">
        <f>IF(AND(200&gt;=$B$12,200&lt;=$D$12),1,0)</f>
        <v/>
      </c>
      <c r="GV37" s="17">
        <f>IF(AND(201&gt;=$B$12,201&lt;=$D$12),1,0)</f>
        <v/>
      </c>
      <c r="GW37" s="17">
        <f>IF(AND(202&gt;=$B$12,202&lt;=$D$12),1,0)</f>
        <v/>
      </c>
      <c r="GX37" s="17">
        <f>IF(AND(203&gt;=$B$12,203&lt;=$D$12),1,0)</f>
        <v/>
      </c>
      <c r="GY37" s="17">
        <f>IF(AND(204&gt;=$B$12,204&lt;=$D$12),1,0)</f>
        <v/>
      </c>
      <c r="GZ37" s="17">
        <f>IF(AND(205&gt;=$B$12,205&lt;=$D$12),1,0)</f>
        <v/>
      </c>
      <c r="HA37" s="17">
        <f>IF(AND(206&gt;=$B$12,206&lt;=$D$12),1,0)</f>
        <v/>
      </c>
      <c r="HB37" s="17">
        <f>IF(AND(207&gt;=$B$12,207&lt;=$D$12),1,0)</f>
        <v/>
      </c>
      <c r="HC37" s="17">
        <f>IF(AND(208&gt;=$B$12,208&lt;=$D$12),1,0)</f>
        <v/>
      </c>
      <c r="HD37" s="17">
        <f>IF(AND(209&gt;=$B$12,209&lt;=$D$12),1,0)</f>
        <v/>
      </c>
      <c r="HE37" s="17">
        <f>IF(AND(210&gt;=$B$12,210&lt;=$D$12),1,0)</f>
        <v/>
      </c>
      <c r="HF37" s="17">
        <f>IF(AND(211&gt;=$B$12,211&lt;=$D$12),1,0)</f>
        <v/>
      </c>
      <c r="HG37" s="17">
        <f>IF(AND(212&gt;=$B$12,212&lt;=$D$12),1,0)</f>
        <v/>
      </c>
      <c r="HH37" s="17">
        <f>IF(AND(213&gt;=$B$12,213&lt;=$D$12),1,0)</f>
        <v/>
      </c>
      <c r="HI37" s="17">
        <f>IF(AND(214&gt;=$B$12,214&lt;=$D$12),1,0)</f>
        <v/>
      </c>
      <c r="HJ37" s="17">
        <f>IF(AND(215&gt;=$B$12,215&lt;=$D$12),1,0)</f>
        <v/>
      </c>
      <c r="HK37" s="17">
        <f>IF(AND(216&gt;=$B$12,216&lt;=$D$12),1,0)</f>
        <v/>
      </c>
      <c r="HL37" s="17">
        <f>IF(AND(217&gt;=$B$12,217&lt;=$D$12),1,0)</f>
        <v/>
      </c>
      <c r="HM37" s="17">
        <f>IF(AND(218&gt;=$B$12,218&lt;=$D$12),1,0)</f>
        <v/>
      </c>
      <c r="HN37" s="17">
        <f>IF(AND(219&gt;=$B$12,219&lt;=$D$12),1,0)</f>
        <v/>
      </c>
      <c r="HO37" s="17">
        <f>IF(AND(220&gt;=$B$12,220&lt;=$D$12),1,0)</f>
        <v/>
      </c>
      <c r="HP37" s="17">
        <f>IF(AND(221&gt;=$B$12,221&lt;=$D$12),1,0)</f>
        <v/>
      </c>
      <c r="HQ37" s="17">
        <f>IF(AND(222&gt;=$B$12,222&lt;=$D$12),1,0)</f>
        <v/>
      </c>
      <c r="HR37" s="17">
        <f>IF(AND(223&gt;=$B$12,223&lt;=$D$12),1,0)</f>
        <v/>
      </c>
      <c r="HS37" s="17">
        <f>IF(AND(224&gt;=$B$12,224&lt;=$D$12),1,0)</f>
        <v/>
      </c>
      <c r="HT37" s="17">
        <f>IF(AND(225&gt;=$B$12,225&lt;=$D$12),1,0)</f>
        <v/>
      </c>
      <c r="HU37" s="17">
        <f>IF(AND(226&gt;=$B$12,226&lt;=$D$12),1,0)</f>
        <v/>
      </c>
      <c r="HV37" s="17">
        <f>IF(AND(227&gt;=$B$12,227&lt;=$D$12),1,0)</f>
        <v/>
      </c>
      <c r="HW37" s="17">
        <f>IF(AND(228&gt;=$B$12,228&lt;=$D$12),1,0)</f>
        <v/>
      </c>
      <c r="HX37" s="17">
        <f>IF(AND(229&gt;=$B$12,229&lt;=$D$12),1,0)</f>
        <v/>
      </c>
      <c r="HY37" s="17">
        <f>IF(AND(230&gt;=$B$12,230&lt;=$D$12),1,0)</f>
        <v/>
      </c>
      <c r="HZ37" s="17">
        <f>IF(AND(231&gt;=$B$12,231&lt;=$D$12),1,0)</f>
        <v/>
      </c>
      <c r="IA37" s="17">
        <f>IF(AND(232&gt;=$B$12,232&lt;=$D$12),1,0)</f>
        <v/>
      </c>
      <c r="IB37" s="17">
        <f>IF(AND(233&gt;=$B$12,233&lt;=$D$12),1,0)</f>
        <v/>
      </c>
      <c r="IC37" s="17">
        <f>IF(AND(234&gt;=$B$12,234&lt;=$D$12),1,0)</f>
        <v/>
      </c>
      <c r="ID37" s="17">
        <f>IF(AND(235&gt;=$B$12,235&lt;=$D$12),1,0)</f>
        <v/>
      </c>
      <c r="IE37" s="17">
        <f>IF(AND(236&gt;=$B$12,236&lt;=$D$12),1,0)</f>
        <v/>
      </c>
      <c r="IF37" s="17">
        <f>IF(AND(237&gt;=$B$12,237&lt;=$D$12),1,0)</f>
        <v/>
      </c>
      <c r="IG37" s="17">
        <f>IF(AND(238&gt;=$B$12,238&lt;=$D$12),1,0)</f>
        <v/>
      </c>
      <c r="IH37" s="17">
        <f>IF(AND(239&gt;=$B$12,239&lt;=$D$12),1,0)</f>
        <v/>
      </c>
      <c r="II37" s="17">
        <f>IF(AND(240&gt;=$B$12,240&lt;=$D$12),1,0)</f>
        <v/>
      </c>
      <c r="IJ37" s="17">
        <f>IF(AND(241&gt;=$B$12,241&lt;=$D$12),1,0)</f>
        <v/>
      </c>
      <c r="IK37" s="17">
        <f>IF(AND(242&gt;=$B$12,242&lt;=$D$12),1,0)</f>
        <v/>
      </c>
      <c r="IL37" s="17">
        <f>IF(AND(243&gt;=$B$12,243&lt;=$D$12),1,0)</f>
        <v/>
      </c>
      <c r="IM37" s="17">
        <f>IF(AND(244&gt;=$B$12,244&lt;=$D$12),1,0)</f>
        <v/>
      </c>
      <c r="IN37" s="17">
        <f>IF(AND(245&gt;=$B$12,245&lt;=$D$12),1,0)</f>
        <v/>
      </c>
      <c r="IO37" s="17">
        <f>IF(AND(246&gt;=$B$12,246&lt;=$D$12),1,0)</f>
        <v/>
      </c>
      <c r="IP37" s="17">
        <f>IF(AND(247&gt;=$B$12,247&lt;=$D$12),1,0)</f>
        <v/>
      </c>
      <c r="IQ37" s="17">
        <f>IF(AND(248&gt;=$B$12,248&lt;=$D$12),1,0)</f>
        <v/>
      </c>
      <c r="IR37" s="17">
        <f>IF(AND(249&gt;=$B$12,249&lt;=$D$12),1,0)</f>
        <v/>
      </c>
      <c r="IS37" s="17">
        <f>IF(AND(250&gt;=$B$12,250&lt;=$D$12),1,0)</f>
        <v/>
      </c>
      <c r="IT37" s="17">
        <f>IF(AND(251&gt;=$B$12,251&lt;=$D$12),1,0)</f>
        <v/>
      </c>
      <c r="IU37" s="17">
        <f>IF(AND(252&gt;=$B$12,252&lt;=$D$12),1,0)</f>
        <v/>
      </c>
      <c r="IV37" s="17">
        <f>IF(AND(253&gt;=$B$12,253&lt;=$D$12),1,0)</f>
        <v/>
      </c>
      <c r="IW37" s="17">
        <f>IF(AND(254&gt;=$B$12,254&lt;=$D$12),1,0)</f>
        <v/>
      </c>
      <c r="IX37" s="17">
        <f>IF(AND(255&gt;=$B$12,255&lt;=$D$12),1,0)</f>
        <v/>
      </c>
      <c r="IY37" s="17">
        <f>IF(AND(256&gt;=$B$12,256&lt;=$D$12),1,0)</f>
        <v/>
      </c>
      <c r="IZ37" s="17">
        <f>IF(AND(257&gt;=$B$12,257&lt;=$D$12),1,0)</f>
        <v/>
      </c>
      <c r="JA37" s="17">
        <f>IF(AND(258&gt;=$B$12,258&lt;=$D$12),1,0)</f>
        <v/>
      </c>
      <c r="JB37" s="17">
        <f>IF(AND(259&gt;=$B$12,259&lt;=$D$12),1,0)</f>
        <v/>
      </c>
      <c r="JC37" s="17">
        <f>IF(AND(260&gt;=$B$12,260&lt;=$D$12),1,0)</f>
        <v/>
      </c>
      <c r="JD37" s="17">
        <f>IF(AND(261&gt;=$B$12,261&lt;=$D$12),1,0)</f>
        <v/>
      </c>
      <c r="JE37" s="17">
        <f>IF(AND(262&gt;=$B$12,262&lt;=$D$12),1,0)</f>
        <v/>
      </c>
      <c r="JF37" s="17">
        <f>IF(AND(263&gt;=$B$12,263&lt;=$D$12),1,0)</f>
        <v/>
      </c>
      <c r="JG37" s="17">
        <f>IF(AND(264&gt;=$B$12,264&lt;=$D$12),1,0)</f>
        <v/>
      </c>
      <c r="JH37" s="17">
        <f>IF(AND(265&gt;=$B$12,265&lt;=$D$12),1,0)</f>
        <v/>
      </c>
      <c r="JI37" s="17">
        <f>IF(AND(266&gt;=$B$12,266&lt;=$D$12),1,0)</f>
        <v/>
      </c>
      <c r="JJ37" s="17">
        <f>IF(AND(267&gt;=$B$12,267&lt;=$D$12),1,0)</f>
        <v/>
      </c>
      <c r="JK37" s="17">
        <f>IF(AND(268&gt;=$B$12,268&lt;=$D$12),1,0)</f>
        <v/>
      </c>
      <c r="JL37" s="17">
        <f>IF(AND(269&gt;=$B$12,269&lt;=$D$12),1,0)</f>
        <v/>
      </c>
      <c r="JM37" s="17">
        <f>IF(AND(270&gt;=$B$12,270&lt;=$D$12),1,0)</f>
        <v/>
      </c>
      <c r="JN37" s="17">
        <f>IF(AND(271&gt;=$B$12,271&lt;=$D$12),1,0)</f>
        <v/>
      </c>
      <c r="JO37" s="17">
        <f>IF(AND(272&gt;=$B$12,272&lt;=$D$12),1,0)</f>
        <v/>
      </c>
      <c r="JP37" s="17">
        <f>IF(AND(273&gt;=$B$12,273&lt;=$D$12),1,0)</f>
        <v/>
      </c>
      <c r="JQ37" s="17">
        <f>IF(AND(274&gt;=$B$12,274&lt;=$D$12),1,0)</f>
        <v/>
      </c>
      <c r="JR37" s="17">
        <f>IF(AND(275&gt;=$B$12,275&lt;=$D$12),1,0)</f>
        <v/>
      </c>
      <c r="JS37" s="17">
        <f>IF(AND(276&gt;=$B$12,276&lt;=$D$12),1,0)</f>
        <v/>
      </c>
      <c r="JT37" s="17">
        <f>IF(AND(277&gt;=$B$12,277&lt;=$D$12),1,0)</f>
        <v/>
      </c>
      <c r="JU37" s="17">
        <f>IF(AND(278&gt;=$B$12,278&lt;=$D$12),1,0)</f>
        <v/>
      </c>
      <c r="JV37" s="17">
        <f>IF(AND(279&gt;=$B$12,279&lt;=$D$12),1,0)</f>
        <v/>
      </c>
      <c r="JW37" s="17">
        <f>IF(AND(280&gt;=$B$12,280&lt;=$D$12),1,0)</f>
        <v/>
      </c>
      <c r="JX37" s="17">
        <f>IF(AND(281&gt;=$B$12,281&lt;=$D$12),1,0)</f>
        <v/>
      </c>
      <c r="JY37" s="17">
        <f>IF(AND(282&gt;=$B$12,282&lt;=$D$12),1,0)</f>
        <v/>
      </c>
      <c r="JZ37" s="17">
        <f>IF(AND(283&gt;=$B$12,283&lt;=$D$12),1,0)</f>
        <v/>
      </c>
      <c r="KA37" s="17">
        <f>IF(AND(284&gt;=$B$12,284&lt;=$D$12),1,0)</f>
        <v/>
      </c>
      <c r="KB37" s="17">
        <f>IF(AND(285&gt;=$B$12,285&lt;=$D$12),1,0)</f>
        <v/>
      </c>
      <c r="KC37" s="17">
        <f>IF(AND(286&gt;=$B$12,286&lt;=$D$12),1,0)</f>
        <v/>
      </c>
      <c r="KD37" s="17">
        <f>IF(AND(287&gt;=$B$12,287&lt;=$D$12),1,0)</f>
        <v/>
      </c>
      <c r="KE37" s="17">
        <f>IF(AND(288&gt;=$B$12,288&lt;=$D$12),1,0)</f>
        <v/>
      </c>
      <c r="KF37" s="17">
        <f>IF(AND(289&gt;=$B$12,289&lt;=$D$12),1,0)</f>
        <v/>
      </c>
      <c r="KG37" s="17">
        <f>IF(AND(290&gt;=$B$12,290&lt;=$D$12),1,0)</f>
        <v/>
      </c>
      <c r="KH37" s="17">
        <f>IF(AND(291&gt;=$B$12,291&lt;=$D$12),1,0)</f>
        <v/>
      </c>
      <c r="KI37" s="17">
        <f>IF(AND(292&gt;=$B$12,292&lt;=$D$12),1,0)</f>
        <v/>
      </c>
      <c r="KJ37" s="17">
        <f>IF(AND(293&gt;=$B$12,293&lt;=$D$12),1,0)</f>
        <v/>
      </c>
      <c r="KK37" s="17">
        <f>IF(AND(294&gt;=$B$12,294&lt;=$D$12),1,0)</f>
        <v/>
      </c>
      <c r="KL37" s="17">
        <f>IF(AND(295&gt;=$B$12,295&lt;=$D$12),1,0)</f>
        <v/>
      </c>
      <c r="KM37" s="17">
        <f>IF(AND(296&gt;=$B$12,296&lt;=$D$12),1,0)</f>
        <v/>
      </c>
      <c r="KN37" s="17">
        <f>IF(AND(297&gt;=$B$12,297&lt;=$D$12),1,0)</f>
        <v/>
      </c>
      <c r="KO37" s="17">
        <f>IF(AND(298&gt;=$B$12,298&lt;=$D$12),1,0)</f>
        <v/>
      </c>
      <c r="KP37" s="17">
        <f>IF(AND(299&gt;=$B$12,299&lt;=$D$12),1,0)</f>
        <v/>
      </c>
      <c r="KQ37" s="17">
        <f>IF(AND(300&gt;=$B$12,300&lt;=$D$12),1,0)</f>
        <v/>
      </c>
      <c r="KR37" s="17">
        <f>IF(AND(301&gt;=$B$12,301&lt;=$D$12),1,0)</f>
        <v/>
      </c>
      <c r="KS37" s="17">
        <f>IF(AND(302&gt;=$B$12,302&lt;=$D$12),1,0)</f>
        <v/>
      </c>
      <c r="KT37" s="17">
        <f>IF(AND(303&gt;=$B$12,303&lt;=$D$12),1,0)</f>
        <v/>
      </c>
      <c r="KU37" s="17">
        <f>IF(AND(304&gt;=$B$12,304&lt;=$D$12),1,0)</f>
        <v/>
      </c>
      <c r="KV37" s="17">
        <f>IF(AND(305&gt;=$B$12,305&lt;=$D$12),1,0)</f>
        <v/>
      </c>
      <c r="KW37" s="17">
        <f>IF(AND(306&gt;=$B$12,306&lt;=$D$12),1,0)</f>
        <v/>
      </c>
      <c r="KX37" s="17">
        <f>IF(AND(307&gt;=$B$12,307&lt;=$D$12),1,0)</f>
        <v/>
      </c>
      <c r="KY37" s="17">
        <f>IF(AND(308&gt;=$B$12,308&lt;=$D$12),1,0)</f>
        <v/>
      </c>
      <c r="KZ37" s="17">
        <f>IF(AND(309&gt;=$B$12,309&lt;=$D$12),1,0)</f>
        <v/>
      </c>
      <c r="LA37" s="17">
        <f>IF(AND(310&gt;=$B$12,310&lt;=$D$12),1,0)</f>
        <v/>
      </c>
      <c r="LB37" s="17">
        <f>IF(AND(311&gt;=$B$12,311&lt;=$D$12),1,0)</f>
        <v/>
      </c>
      <c r="LC37" s="17">
        <f>IF(AND(312&gt;=$B$12,312&lt;=$D$12),1,0)</f>
        <v/>
      </c>
      <c r="LD37" s="17">
        <f>IF(AND(313&gt;=$B$12,313&lt;=$D$12),1,0)</f>
        <v/>
      </c>
      <c r="LE37" s="17">
        <f>IF(AND(314&gt;=$B$12,314&lt;=$D$12),1,0)</f>
        <v/>
      </c>
      <c r="LF37" s="17">
        <f>IF(AND(315&gt;=$B$12,315&lt;=$D$12),1,0)</f>
        <v/>
      </c>
      <c r="LG37" s="17">
        <f>IF(AND(316&gt;=$B$12,316&lt;=$D$12),1,0)</f>
        <v/>
      </c>
      <c r="LH37" s="17">
        <f>IF(AND(317&gt;=$B$12,317&lt;=$D$12),1,0)</f>
        <v/>
      </c>
      <c r="LI37" s="17">
        <f>IF(AND(318&gt;=$B$12,318&lt;=$D$12),1,0)</f>
        <v/>
      </c>
      <c r="LJ37" s="17">
        <f>IF(AND(319&gt;=$B$12,319&lt;=$D$12),1,0)</f>
        <v/>
      </c>
      <c r="LK37" s="17">
        <f>IF(AND(320&gt;=$B$12,320&lt;=$D$12),1,0)</f>
        <v/>
      </c>
      <c r="LL37" s="17">
        <f>IF(AND(321&gt;=$B$12,321&lt;=$D$12),1,0)</f>
        <v/>
      </c>
      <c r="LM37" s="17">
        <f>IF(AND(322&gt;=$B$12,322&lt;=$D$12),1,0)</f>
        <v/>
      </c>
      <c r="LN37" s="17">
        <f>IF(AND(323&gt;=$B$12,323&lt;=$D$12),1,0)</f>
        <v/>
      </c>
      <c r="LO37" s="17">
        <f>IF(AND(324&gt;=$B$12,324&lt;=$D$12),1,0)</f>
        <v/>
      </c>
      <c r="LP37" s="17">
        <f>IF(AND(325&gt;=$B$12,325&lt;=$D$12),1,0)</f>
        <v/>
      </c>
      <c r="LQ37" s="17">
        <f>IF(AND(326&gt;=$B$12,326&lt;=$D$12),1,0)</f>
        <v/>
      </c>
      <c r="LR37" s="17">
        <f>IF(AND(327&gt;=$B$12,327&lt;=$D$12),1,0)</f>
        <v/>
      </c>
      <c r="LS37" s="17">
        <f>IF(AND(328&gt;=$B$12,328&lt;=$D$12),1,0)</f>
        <v/>
      </c>
      <c r="LT37" s="17">
        <f>IF(AND(329&gt;=$B$12,329&lt;=$D$12),1,0)</f>
        <v/>
      </c>
      <c r="LU37" s="17">
        <f>IF(AND(330&gt;=$B$12,330&lt;=$D$12),1,0)</f>
        <v/>
      </c>
      <c r="LV37" s="17">
        <f>IF(AND(331&gt;=$B$12,331&lt;=$D$12),1,0)</f>
        <v/>
      </c>
      <c r="LW37" s="17">
        <f>IF(AND(332&gt;=$B$12,332&lt;=$D$12),1,0)</f>
        <v/>
      </c>
      <c r="LX37" s="17">
        <f>IF(AND(333&gt;=$B$12,333&lt;=$D$12),1,0)</f>
        <v/>
      </c>
      <c r="LY37" s="17">
        <f>IF(AND(334&gt;=$B$12,334&lt;=$D$12),1,0)</f>
        <v/>
      </c>
      <c r="LZ37" s="17">
        <f>IF(AND(335&gt;=$B$12,335&lt;=$D$12),1,0)</f>
        <v/>
      </c>
      <c r="MA37" s="17">
        <f>IF(AND(336&gt;=$B$12,336&lt;=$D$12),1,0)</f>
        <v/>
      </c>
      <c r="MB37" s="17">
        <f>IF(AND(337&gt;=$B$12,337&lt;=$D$12),1,0)</f>
        <v/>
      </c>
      <c r="MC37" s="17">
        <f>IF(AND(338&gt;=$B$12,338&lt;=$D$12),1,0)</f>
        <v/>
      </c>
      <c r="MD37" s="17">
        <f>IF(AND(339&gt;=$B$12,339&lt;=$D$12),1,0)</f>
        <v/>
      </c>
      <c r="ME37" s="17">
        <f>IF(AND(340&gt;=$B$12,340&lt;=$D$12),1,0)</f>
        <v/>
      </c>
      <c r="MF37" s="17">
        <f>IF(AND(341&gt;=$B$12,341&lt;=$D$12),1,0)</f>
        <v/>
      </c>
      <c r="MG37" s="17">
        <f>IF(AND(342&gt;=$B$12,342&lt;=$D$12),1,0)</f>
        <v/>
      </c>
      <c r="MH37" s="17">
        <f>IF(AND(343&gt;=$B$12,343&lt;=$D$12),1,0)</f>
        <v/>
      </c>
      <c r="MI37" s="17">
        <f>IF(AND(344&gt;=$B$12,344&lt;=$D$12),1,0)</f>
        <v/>
      </c>
      <c r="MJ37" s="17">
        <f>IF(AND(345&gt;=$B$12,345&lt;=$D$12),1,0)</f>
        <v/>
      </c>
      <c r="MK37" s="17">
        <f>IF(AND(346&gt;=$B$12,346&lt;=$D$12),1,0)</f>
        <v/>
      </c>
      <c r="ML37" s="17">
        <f>IF(AND(347&gt;=$B$12,347&lt;=$D$12),1,0)</f>
        <v/>
      </c>
      <c r="MM37" s="17">
        <f>IF(AND(348&gt;=$B$12,348&lt;=$D$12),1,0)</f>
        <v/>
      </c>
      <c r="MN37" s="17">
        <f>IF(AND(349&gt;=$B$12,349&lt;=$D$12),1,0)</f>
        <v/>
      </c>
      <c r="MO37" s="17">
        <f>IF(AND(350&gt;=$B$12,350&lt;=$D$12),1,0)</f>
        <v/>
      </c>
      <c r="MP37" s="17">
        <f>IF(AND(351&gt;=$B$12,351&lt;=$D$12),1,0)</f>
        <v/>
      </c>
      <c r="MQ37" s="17">
        <f>IF(AND(352&gt;=$B$12,352&lt;=$D$12),1,0)</f>
        <v/>
      </c>
      <c r="MR37" s="17">
        <f>IF(AND(353&gt;=$B$12,353&lt;=$D$12),1,0)</f>
        <v/>
      </c>
      <c r="MS37" s="17">
        <f>IF(AND(354&gt;=$B$12,354&lt;=$D$12),1,0)</f>
        <v/>
      </c>
      <c r="MT37" s="17">
        <f>IF(AND(355&gt;=$B$12,355&lt;=$D$12),1,0)</f>
        <v/>
      </c>
      <c r="MU37" s="17">
        <f>IF(AND(356&gt;=$B$12,356&lt;=$D$12),1,0)</f>
        <v/>
      </c>
      <c r="MV37" s="17">
        <f>IF(AND(357&gt;=$B$12,357&lt;=$D$12),1,0)</f>
        <v/>
      </c>
      <c r="MW37" s="17">
        <f>IF(AND(358&gt;=$B$12,358&lt;=$D$12),1,0)</f>
        <v/>
      </c>
      <c r="MX37" s="17">
        <f>IF(AND(359&gt;=$B$12,359&lt;=$D$12),1,0)</f>
        <v/>
      </c>
      <c r="MY37" s="17">
        <f>IF(AND(360&gt;=$B$12,360&lt;=$D$12),1,0)</f>
        <v/>
      </c>
      <c r="MZ37" s="17">
        <f>IF(AND(361&gt;=$B$12,361&lt;=$D$12),1,0)</f>
        <v/>
      </c>
      <c r="NA37" s="17">
        <f>IF(AND(362&gt;=$B$12,362&lt;=$D$12),1,0)</f>
        <v/>
      </c>
      <c r="NB37" s="17">
        <f>IF(AND(363&gt;=$B$12,363&lt;=$D$12),1,0)</f>
        <v/>
      </c>
      <c r="NC37" s="17">
        <f>IF(AND(364&gt;=$B$12,364&lt;=$D$12),1,0)</f>
        <v/>
      </c>
      <c r="ND37" s="17">
        <f>IF(AND(365&gt;=$B$12,365&lt;=$D$12),1,0)</f>
        <v/>
      </c>
      <c r="NE37" s="17">
        <f>IF(AND(366&gt;=$B$12,366&lt;=$D$12),1,0)</f>
        <v/>
      </c>
      <c r="NF37" s="17">
        <f>IF(AND(367&gt;=$B$12,367&lt;=$D$12),1,0)</f>
        <v/>
      </c>
      <c r="NG37" s="17">
        <f>IF(AND(368&gt;=$B$12,368&lt;=$D$12),1,0)</f>
        <v/>
      </c>
      <c r="NH37" s="17">
        <f>IF(AND(369&gt;=$B$12,369&lt;=$D$12),1,0)</f>
        <v/>
      </c>
      <c r="NI37" s="17">
        <f>IF(AND(370&gt;=$B$12,370&lt;=$D$12),1,0)</f>
        <v/>
      </c>
      <c r="NJ37" s="17">
        <f>IF(AND(371&gt;=$B$12,371&lt;=$D$12),1,0)</f>
        <v/>
      </c>
      <c r="NK37" s="17">
        <f>IF(AND(372&gt;=$B$12,372&lt;=$D$12),1,0)</f>
        <v/>
      </c>
    </row>
    <row r="38">
      <c r="A38" s="5" t="inlineStr">
        <is>
          <t>Flag: Recapitalization/Refinance</t>
        </is>
      </c>
      <c r="C38" s="40" t="n"/>
      <c r="D38" s="17">
        <f>IF(AND(1&gt;=$B$13,1&lt;=$D$13),1,0)</f>
        <v/>
      </c>
      <c r="E38" s="17">
        <f>IF(AND(2&gt;=$B$13,2&lt;=$D$13),1,0)</f>
        <v/>
      </c>
      <c r="F38" s="17">
        <f>IF(AND(3&gt;=$B$13,3&lt;=$D$13),1,0)</f>
        <v/>
      </c>
      <c r="G38" s="17">
        <f>IF(AND(4&gt;=$B$13,4&lt;=$D$13),1,0)</f>
        <v/>
      </c>
      <c r="H38" s="17">
        <f>IF(AND(5&gt;=$B$13,5&lt;=$D$13),1,0)</f>
        <v/>
      </c>
      <c r="I38" s="17">
        <f>IF(AND(6&gt;=$B$13,6&lt;=$D$13),1,0)</f>
        <v/>
      </c>
      <c r="J38" s="17">
        <f>IF(AND(7&gt;=$B$13,7&lt;=$D$13),1,0)</f>
        <v/>
      </c>
      <c r="K38" s="17">
        <f>IF(AND(8&gt;=$B$13,8&lt;=$D$13),1,0)</f>
        <v/>
      </c>
      <c r="L38" s="17">
        <f>IF(AND(9&gt;=$B$13,9&lt;=$D$13),1,0)</f>
        <v/>
      </c>
      <c r="M38" s="17">
        <f>IF(AND(10&gt;=$B$13,10&lt;=$D$13),1,0)</f>
        <v/>
      </c>
      <c r="N38" s="17">
        <f>IF(AND(11&gt;=$B$13,11&lt;=$D$13),1,0)</f>
        <v/>
      </c>
      <c r="O38" s="17">
        <f>IF(AND(12&gt;=$B$13,12&lt;=$D$13),1,0)</f>
        <v/>
      </c>
      <c r="P38" s="17">
        <f>IF(AND(13&gt;=$B$13,13&lt;=$D$13),1,0)</f>
        <v/>
      </c>
      <c r="Q38" s="17">
        <f>IF(AND(14&gt;=$B$13,14&lt;=$D$13),1,0)</f>
        <v/>
      </c>
      <c r="R38" s="17">
        <f>IF(AND(15&gt;=$B$13,15&lt;=$D$13),1,0)</f>
        <v/>
      </c>
      <c r="S38" s="17">
        <f>IF(AND(16&gt;=$B$13,16&lt;=$D$13),1,0)</f>
        <v/>
      </c>
      <c r="T38" s="17">
        <f>IF(AND(17&gt;=$B$13,17&lt;=$D$13),1,0)</f>
        <v/>
      </c>
      <c r="U38" s="17">
        <f>IF(AND(18&gt;=$B$13,18&lt;=$D$13),1,0)</f>
        <v/>
      </c>
      <c r="V38" s="17">
        <f>IF(AND(19&gt;=$B$13,19&lt;=$D$13),1,0)</f>
        <v/>
      </c>
      <c r="W38" s="17">
        <f>IF(AND(20&gt;=$B$13,20&lt;=$D$13),1,0)</f>
        <v/>
      </c>
      <c r="X38" s="17">
        <f>IF(AND(21&gt;=$B$13,21&lt;=$D$13),1,0)</f>
        <v/>
      </c>
      <c r="Y38" s="17">
        <f>IF(AND(22&gt;=$B$13,22&lt;=$D$13),1,0)</f>
        <v/>
      </c>
      <c r="Z38" s="17">
        <f>IF(AND(23&gt;=$B$13,23&lt;=$D$13),1,0)</f>
        <v/>
      </c>
      <c r="AA38" s="17">
        <f>IF(AND(24&gt;=$B$13,24&lt;=$D$13),1,0)</f>
        <v/>
      </c>
      <c r="AB38" s="17">
        <f>IF(AND(25&gt;=$B$13,25&lt;=$D$13),1,0)</f>
        <v/>
      </c>
      <c r="AC38" s="17">
        <f>IF(AND(26&gt;=$B$13,26&lt;=$D$13),1,0)</f>
        <v/>
      </c>
      <c r="AD38" s="17">
        <f>IF(AND(27&gt;=$B$13,27&lt;=$D$13),1,0)</f>
        <v/>
      </c>
      <c r="AE38" s="17">
        <f>IF(AND(28&gt;=$B$13,28&lt;=$D$13),1,0)</f>
        <v/>
      </c>
      <c r="AF38" s="17">
        <f>IF(AND(29&gt;=$B$13,29&lt;=$D$13),1,0)</f>
        <v/>
      </c>
      <c r="AG38" s="17">
        <f>IF(AND(30&gt;=$B$13,30&lt;=$D$13),1,0)</f>
        <v/>
      </c>
      <c r="AH38" s="17">
        <f>IF(AND(31&gt;=$B$13,31&lt;=$D$13),1,0)</f>
        <v/>
      </c>
      <c r="AI38" s="17">
        <f>IF(AND(32&gt;=$B$13,32&lt;=$D$13),1,0)</f>
        <v/>
      </c>
      <c r="AJ38" s="17">
        <f>IF(AND(33&gt;=$B$13,33&lt;=$D$13),1,0)</f>
        <v/>
      </c>
      <c r="AK38" s="17">
        <f>IF(AND(34&gt;=$B$13,34&lt;=$D$13),1,0)</f>
        <v/>
      </c>
      <c r="AL38" s="17">
        <f>IF(AND(35&gt;=$B$13,35&lt;=$D$13),1,0)</f>
        <v/>
      </c>
      <c r="AM38" s="17">
        <f>IF(AND(36&gt;=$B$13,36&lt;=$D$13),1,0)</f>
        <v/>
      </c>
      <c r="AN38" s="17">
        <f>IF(AND(37&gt;=$B$13,37&lt;=$D$13),1,0)</f>
        <v/>
      </c>
      <c r="AO38" s="17">
        <f>IF(AND(38&gt;=$B$13,38&lt;=$D$13),1,0)</f>
        <v/>
      </c>
      <c r="AP38" s="17">
        <f>IF(AND(39&gt;=$B$13,39&lt;=$D$13),1,0)</f>
        <v/>
      </c>
      <c r="AQ38" s="17">
        <f>IF(AND(40&gt;=$B$13,40&lt;=$D$13),1,0)</f>
        <v/>
      </c>
      <c r="AR38" s="17">
        <f>IF(AND(41&gt;=$B$13,41&lt;=$D$13),1,0)</f>
        <v/>
      </c>
      <c r="AS38" s="17">
        <f>IF(AND(42&gt;=$B$13,42&lt;=$D$13),1,0)</f>
        <v/>
      </c>
      <c r="AT38" s="17">
        <f>IF(AND(43&gt;=$B$13,43&lt;=$D$13),1,0)</f>
        <v/>
      </c>
      <c r="AU38" s="17">
        <f>IF(AND(44&gt;=$B$13,44&lt;=$D$13),1,0)</f>
        <v/>
      </c>
      <c r="AV38" s="17">
        <f>IF(AND(45&gt;=$B$13,45&lt;=$D$13),1,0)</f>
        <v/>
      </c>
      <c r="AW38" s="17">
        <f>IF(AND(46&gt;=$B$13,46&lt;=$D$13),1,0)</f>
        <v/>
      </c>
      <c r="AX38" s="17">
        <f>IF(AND(47&gt;=$B$13,47&lt;=$D$13),1,0)</f>
        <v/>
      </c>
      <c r="AY38" s="17">
        <f>IF(AND(48&gt;=$B$13,48&lt;=$D$13),1,0)</f>
        <v/>
      </c>
      <c r="AZ38" s="17">
        <f>IF(AND(49&gt;=$B$13,49&lt;=$D$13),1,0)</f>
        <v/>
      </c>
      <c r="BA38" s="17">
        <f>IF(AND(50&gt;=$B$13,50&lt;=$D$13),1,0)</f>
        <v/>
      </c>
      <c r="BB38" s="17">
        <f>IF(AND(51&gt;=$B$13,51&lt;=$D$13),1,0)</f>
        <v/>
      </c>
      <c r="BC38" s="17">
        <f>IF(AND(52&gt;=$B$13,52&lt;=$D$13),1,0)</f>
        <v/>
      </c>
      <c r="BD38" s="17">
        <f>IF(AND(53&gt;=$B$13,53&lt;=$D$13),1,0)</f>
        <v/>
      </c>
      <c r="BE38" s="17">
        <f>IF(AND(54&gt;=$B$13,54&lt;=$D$13),1,0)</f>
        <v/>
      </c>
      <c r="BF38" s="17">
        <f>IF(AND(55&gt;=$B$13,55&lt;=$D$13),1,0)</f>
        <v/>
      </c>
      <c r="BG38" s="17">
        <f>IF(AND(56&gt;=$B$13,56&lt;=$D$13),1,0)</f>
        <v/>
      </c>
      <c r="BH38" s="17">
        <f>IF(AND(57&gt;=$B$13,57&lt;=$D$13),1,0)</f>
        <v/>
      </c>
      <c r="BI38" s="17">
        <f>IF(AND(58&gt;=$B$13,58&lt;=$D$13),1,0)</f>
        <v/>
      </c>
      <c r="BJ38" s="17">
        <f>IF(AND(59&gt;=$B$13,59&lt;=$D$13),1,0)</f>
        <v/>
      </c>
      <c r="BK38" s="17">
        <f>IF(AND(60&gt;=$B$13,60&lt;=$D$13),1,0)</f>
        <v/>
      </c>
      <c r="BL38" s="17">
        <f>IF(AND(61&gt;=$B$13,61&lt;=$D$13),1,0)</f>
        <v/>
      </c>
      <c r="BM38" s="17">
        <f>IF(AND(62&gt;=$B$13,62&lt;=$D$13),1,0)</f>
        <v/>
      </c>
      <c r="BN38" s="17">
        <f>IF(AND(63&gt;=$B$13,63&lt;=$D$13),1,0)</f>
        <v/>
      </c>
      <c r="BO38" s="17">
        <f>IF(AND(64&gt;=$B$13,64&lt;=$D$13),1,0)</f>
        <v/>
      </c>
      <c r="BP38" s="17">
        <f>IF(AND(65&gt;=$B$13,65&lt;=$D$13),1,0)</f>
        <v/>
      </c>
      <c r="BQ38" s="17">
        <f>IF(AND(66&gt;=$B$13,66&lt;=$D$13),1,0)</f>
        <v/>
      </c>
      <c r="BR38" s="17">
        <f>IF(AND(67&gt;=$B$13,67&lt;=$D$13),1,0)</f>
        <v/>
      </c>
      <c r="BS38" s="17">
        <f>IF(AND(68&gt;=$B$13,68&lt;=$D$13),1,0)</f>
        <v/>
      </c>
      <c r="BT38" s="17">
        <f>IF(AND(69&gt;=$B$13,69&lt;=$D$13),1,0)</f>
        <v/>
      </c>
      <c r="BU38" s="17">
        <f>IF(AND(70&gt;=$B$13,70&lt;=$D$13),1,0)</f>
        <v/>
      </c>
      <c r="BV38" s="17">
        <f>IF(AND(71&gt;=$B$13,71&lt;=$D$13),1,0)</f>
        <v/>
      </c>
      <c r="BW38" s="17">
        <f>IF(AND(72&gt;=$B$13,72&lt;=$D$13),1,0)</f>
        <v/>
      </c>
      <c r="BX38" s="17">
        <f>IF(AND(73&gt;=$B$13,73&lt;=$D$13),1,0)</f>
        <v/>
      </c>
      <c r="BY38" s="17">
        <f>IF(AND(74&gt;=$B$13,74&lt;=$D$13),1,0)</f>
        <v/>
      </c>
      <c r="BZ38" s="17">
        <f>IF(AND(75&gt;=$B$13,75&lt;=$D$13),1,0)</f>
        <v/>
      </c>
      <c r="CA38" s="17">
        <f>IF(AND(76&gt;=$B$13,76&lt;=$D$13),1,0)</f>
        <v/>
      </c>
      <c r="CB38" s="17">
        <f>IF(AND(77&gt;=$B$13,77&lt;=$D$13),1,0)</f>
        <v/>
      </c>
      <c r="CC38" s="17">
        <f>IF(AND(78&gt;=$B$13,78&lt;=$D$13),1,0)</f>
        <v/>
      </c>
      <c r="CD38" s="17">
        <f>IF(AND(79&gt;=$B$13,79&lt;=$D$13),1,0)</f>
        <v/>
      </c>
      <c r="CE38" s="17">
        <f>IF(AND(80&gt;=$B$13,80&lt;=$D$13),1,0)</f>
        <v/>
      </c>
      <c r="CF38" s="17">
        <f>IF(AND(81&gt;=$B$13,81&lt;=$D$13),1,0)</f>
        <v/>
      </c>
      <c r="CG38" s="17">
        <f>IF(AND(82&gt;=$B$13,82&lt;=$D$13),1,0)</f>
        <v/>
      </c>
      <c r="CH38" s="17">
        <f>IF(AND(83&gt;=$B$13,83&lt;=$D$13),1,0)</f>
        <v/>
      </c>
      <c r="CI38" s="17">
        <f>IF(AND(84&gt;=$B$13,84&lt;=$D$13),1,0)</f>
        <v/>
      </c>
      <c r="CJ38" s="17">
        <f>IF(AND(85&gt;=$B$13,85&lt;=$D$13),1,0)</f>
        <v/>
      </c>
      <c r="CK38" s="17">
        <f>IF(AND(86&gt;=$B$13,86&lt;=$D$13),1,0)</f>
        <v/>
      </c>
      <c r="CL38" s="17">
        <f>IF(AND(87&gt;=$B$13,87&lt;=$D$13),1,0)</f>
        <v/>
      </c>
      <c r="CM38" s="17">
        <f>IF(AND(88&gt;=$B$13,88&lt;=$D$13),1,0)</f>
        <v/>
      </c>
      <c r="CN38" s="17">
        <f>IF(AND(89&gt;=$B$13,89&lt;=$D$13),1,0)</f>
        <v/>
      </c>
      <c r="CO38" s="17">
        <f>IF(AND(90&gt;=$B$13,90&lt;=$D$13),1,0)</f>
        <v/>
      </c>
      <c r="CP38" s="17">
        <f>IF(AND(91&gt;=$B$13,91&lt;=$D$13),1,0)</f>
        <v/>
      </c>
      <c r="CQ38" s="17">
        <f>IF(AND(92&gt;=$B$13,92&lt;=$D$13),1,0)</f>
        <v/>
      </c>
      <c r="CR38" s="17">
        <f>IF(AND(93&gt;=$B$13,93&lt;=$D$13),1,0)</f>
        <v/>
      </c>
      <c r="CS38" s="17">
        <f>IF(AND(94&gt;=$B$13,94&lt;=$D$13),1,0)</f>
        <v/>
      </c>
      <c r="CT38" s="17">
        <f>IF(AND(95&gt;=$B$13,95&lt;=$D$13),1,0)</f>
        <v/>
      </c>
      <c r="CU38" s="17">
        <f>IF(AND(96&gt;=$B$13,96&lt;=$D$13),1,0)</f>
        <v/>
      </c>
      <c r="CV38" s="17">
        <f>IF(AND(97&gt;=$B$13,97&lt;=$D$13),1,0)</f>
        <v/>
      </c>
      <c r="CW38" s="17">
        <f>IF(AND(98&gt;=$B$13,98&lt;=$D$13),1,0)</f>
        <v/>
      </c>
      <c r="CX38" s="17">
        <f>IF(AND(99&gt;=$B$13,99&lt;=$D$13),1,0)</f>
        <v/>
      </c>
      <c r="CY38" s="17">
        <f>IF(AND(100&gt;=$B$13,100&lt;=$D$13),1,0)</f>
        <v/>
      </c>
      <c r="CZ38" s="17">
        <f>IF(AND(101&gt;=$B$13,101&lt;=$D$13),1,0)</f>
        <v/>
      </c>
      <c r="DA38" s="17">
        <f>IF(AND(102&gt;=$B$13,102&lt;=$D$13),1,0)</f>
        <v/>
      </c>
      <c r="DB38" s="17">
        <f>IF(AND(103&gt;=$B$13,103&lt;=$D$13),1,0)</f>
        <v/>
      </c>
      <c r="DC38" s="17">
        <f>IF(AND(104&gt;=$B$13,104&lt;=$D$13),1,0)</f>
        <v/>
      </c>
      <c r="DD38" s="17">
        <f>IF(AND(105&gt;=$B$13,105&lt;=$D$13),1,0)</f>
        <v/>
      </c>
      <c r="DE38" s="17">
        <f>IF(AND(106&gt;=$B$13,106&lt;=$D$13),1,0)</f>
        <v/>
      </c>
      <c r="DF38" s="17">
        <f>IF(AND(107&gt;=$B$13,107&lt;=$D$13),1,0)</f>
        <v/>
      </c>
      <c r="DG38" s="17">
        <f>IF(AND(108&gt;=$B$13,108&lt;=$D$13),1,0)</f>
        <v/>
      </c>
      <c r="DH38" s="17">
        <f>IF(AND(109&gt;=$B$13,109&lt;=$D$13),1,0)</f>
        <v/>
      </c>
      <c r="DI38" s="17">
        <f>IF(AND(110&gt;=$B$13,110&lt;=$D$13),1,0)</f>
        <v/>
      </c>
      <c r="DJ38" s="17">
        <f>IF(AND(111&gt;=$B$13,111&lt;=$D$13),1,0)</f>
        <v/>
      </c>
      <c r="DK38" s="17">
        <f>IF(AND(112&gt;=$B$13,112&lt;=$D$13),1,0)</f>
        <v/>
      </c>
      <c r="DL38" s="17">
        <f>IF(AND(113&gt;=$B$13,113&lt;=$D$13),1,0)</f>
        <v/>
      </c>
      <c r="DM38" s="17">
        <f>IF(AND(114&gt;=$B$13,114&lt;=$D$13),1,0)</f>
        <v/>
      </c>
      <c r="DN38" s="17">
        <f>IF(AND(115&gt;=$B$13,115&lt;=$D$13),1,0)</f>
        <v/>
      </c>
      <c r="DO38" s="17">
        <f>IF(AND(116&gt;=$B$13,116&lt;=$D$13),1,0)</f>
        <v/>
      </c>
      <c r="DP38" s="17">
        <f>IF(AND(117&gt;=$B$13,117&lt;=$D$13),1,0)</f>
        <v/>
      </c>
      <c r="DQ38" s="17">
        <f>IF(AND(118&gt;=$B$13,118&lt;=$D$13),1,0)</f>
        <v/>
      </c>
      <c r="DR38" s="17">
        <f>IF(AND(119&gt;=$B$13,119&lt;=$D$13),1,0)</f>
        <v/>
      </c>
      <c r="DS38" s="17">
        <f>IF(AND(120&gt;=$B$13,120&lt;=$D$13),1,0)</f>
        <v/>
      </c>
      <c r="DT38" s="17">
        <f>IF(AND(121&gt;=$B$13,121&lt;=$D$13),1,0)</f>
        <v/>
      </c>
      <c r="DU38" s="17">
        <f>IF(AND(122&gt;=$B$13,122&lt;=$D$13),1,0)</f>
        <v/>
      </c>
      <c r="DV38" s="17">
        <f>IF(AND(123&gt;=$B$13,123&lt;=$D$13),1,0)</f>
        <v/>
      </c>
      <c r="DW38" s="17">
        <f>IF(AND(124&gt;=$B$13,124&lt;=$D$13),1,0)</f>
        <v/>
      </c>
      <c r="DX38" s="17">
        <f>IF(AND(125&gt;=$B$13,125&lt;=$D$13),1,0)</f>
        <v/>
      </c>
      <c r="DY38" s="17">
        <f>IF(AND(126&gt;=$B$13,126&lt;=$D$13),1,0)</f>
        <v/>
      </c>
      <c r="DZ38" s="17">
        <f>IF(AND(127&gt;=$B$13,127&lt;=$D$13),1,0)</f>
        <v/>
      </c>
      <c r="EA38" s="17">
        <f>IF(AND(128&gt;=$B$13,128&lt;=$D$13),1,0)</f>
        <v/>
      </c>
      <c r="EB38" s="17">
        <f>IF(AND(129&gt;=$B$13,129&lt;=$D$13),1,0)</f>
        <v/>
      </c>
      <c r="EC38" s="17">
        <f>IF(AND(130&gt;=$B$13,130&lt;=$D$13),1,0)</f>
        <v/>
      </c>
      <c r="ED38" s="17">
        <f>IF(AND(131&gt;=$B$13,131&lt;=$D$13),1,0)</f>
        <v/>
      </c>
      <c r="EE38" s="17">
        <f>IF(AND(132&gt;=$B$13,132&lt;=$D$13),1,0)</f>
        <v/>
      </c>
      <c r="EF38" s="17">
        <f>IF(AND(133&gt;=$B$13,133&lt;=$D$13),1,0)</f>
        <v/>
      </c>
      <c r="EG38" s="17">
        <f>IF(AND(134&gt;=$B$13,134&lt;=$D$13),1,0)</f>
        <v/>
      </c>
      <c r="EH38" s="17">
        <f>IF(AND(135&gt;=$B$13,135&lt;=$D$13),1,0)</f>
        <v/>
      </c>
      <c r="EI38" s="17">
        <f>IF(AND(136&gt;=$B$13,136&lt;=$D$13),1,0)</f>
        <v/>
      </c>
      <c r="EJ38" s="17">
        <f>IF(AND(137&gt;=$B$13,137&lt;=$D$13),1,0)</f>
        <v/>
      </c>
      <c r="EK38" s="17">
        <f>IF(AND(138&gt;=$B$13,138&lt;=$D$13),1,0)</f>
        <v/>
      </c>
      <c r="EL38" s="17">
        <f>IF(AND(139&gt;=$B$13,139&lt;=$D$13),1,0)</f>
        <v/>
      </c>
      <c r="EM38" s="17">
        <f>IF(AND(140&gt;=$B$13,140&lt;=$D$13),1,0)</f>
        <v/>
      </c>
      <c r="EN38" s="17">
        <f>IF(AND(141&gt;=$B$13,141&lt;=$D$13),1,0)</f>
        <v/>
      </c>
      <c r="EO38" s="17">
        <f>IF(AND(142&gt;=$B$13,142&lt;=$D$13),1,0)</f>
        <v/>
      </c>
      <c r="EP38" s="17">
        <f>IF(AND(143&gt;=$B$13,143&lt;=$D$13),1,0)</f>
        <v/>
      </c>
      <c r="EQ38" s="17">
        <f>IF(AND(144&gt;=$B$13,144&lt;=$D$13),1,0)</f>
        <v/>
      </c>
      <c r="ER38" s="17">
        <f>IF(AND(145&gt;=$B$13,145&lt;=$D$13),1,0)</f>
        <v/>
      </c>
      <c r="ES38" s="17">
        <f>IF(AND(146&gt;=$B$13,146&lt;=$D$13),1,0)</f>
        <v/>
      </c>
      <c r="ET38" s="17">
        <f>IF(AND(147&gt;=$B$13,147&lt;=$D$13),1,0)</f>
        <v/>
      </c>
      <c r="EU38" s="17">
        <f>IF(AND(148&gt;=$B$13,148&lt;=$D$13),1,0)</f>
        <v/>
      </c>
      <c r="EV38" s="17">
        <f>IF(AND(149&gt;=$B$13,149&lt;=$D$13),1,0)</f>
        <v/>
      </c>
      <c r="EW38" s="17">
        <f>IF(AND(150&gt;=$B$13,150&lt;=$D$13),1,0)</f>
        <v/>
      </c>
      <c r="EX38" s="17">
        <f>IF(AND(151&gt;=$B$13,151&lt;=$D$13),1,0)</f>
        <v/>
      </c>
      <c r="EY38" s="17">
        <f>IF(AND(152&gt;=$B$13,152&lt;=$D$13),1,0)</f>
        <v/>
      </c>
      <c r="EZ38" s="17">
        <f>IF(AND(153&gt;=$B$13,153&lt;=$D$13),1,0)</f>
        <v/>
      </c>
      <c r="FA38" s="17">
        <f>IF(AND(154&gt;=$B$13,154&lt;=$D$13),1,0)</f>
        <v/>
      </c>
      <c r="FB38" s="17">
        <f>IF(AND(155&gt;=$B$13,155&lt;=$D$13),1,0)</f>
        <v/>
      </c>
      <c r="FC38" s="17">
        <f>IF(AND(156&gt;=$B$13,156&lt;=$D$13),1,0)</f>
        <v/>
      </c>
      <c r="FD38" s="17">
        <f>IF(AND(157&gt;=$B$13,157&lt;=$D$13),1,0)</f>
        <v/>
      </c>
      <c r="FE38" s="17">
        <f>IF(AND(158&gt;=$B$13,158&lt;=$D$13),1,0)</f>
        <v/>
      </c>
      <c r="FF38" s="17">
        <f>IF(AND(159&gt;=$B$13,159&lt;=$D$13),1,0)</f>
        <v/>
      </c>
      <c r="FG38" s="17">
        <f>IF(AND(160&gt;=$B$13,160&lt;=$D$13),1,0)</f>
        <v/>
      </c>
      <c r="FH38" s="17">
        <f>IF(AND(161&gt;=$B$13,161&lt;=$D$13),1,0)</f>
        <v/>
      </c>
      <c r="FI38" s="17">
        <f>IF(AND(162&gt;=$B$13,162&lt;=$D$13),1,0)</f>
        <v/>
      </c>
      <c r="FJ38" s="17">
        <f>IF(AND(163&gt;=$B$13,163&lt;=$D$13),1,0)</f>
        <v/>
      </c>
      <c r="FK38" s="17">
        <f>IF(AND(164&gt;=$B$13,164&lt;=$D$13),1,0)</f>
        <v/>
      </c>
      <c r="FL38" s="17">
        <f>IF(AND(165&gt;=$B$13,165&lt;=$D$13),1,0)</f>
        <v/>
      </c>
      <c r="FM38" s="17">
        <f>IF(AND(166&gt;=$B$13,166&lt;=$D$13),1,0)</f>
        <v/>
      </c>
      <c r="FN38" s="17">
        <f>IF(AND(167&gt;=$B$13,167&lt;=$D$13),1,0)</f>
        <v/>
      </c>
      <c r="FO38" s="17">
        <f>IF(AND(168&gt;=$B$13,168&lt;=$D$13),1,0)</f>
        <v/>
      </c>
      <c r="FP38" s="17">
        <f>IF(AND(169&gt;=$B$13,169&lt;=$D$13),1,0)</f>
        <v/>
      </c>
      <c r="FQ38" s="17">
        <f>IF(AND(170&gt;=$B$13,170&lt;=$D$13),1,0)</f>
        <v/>
      </c>
      <c r="FR38" s="17">
        <f>IF(AND(171&gt;=$B$13,171&lt;=$D$13),1,0)</f>
        <v/>
      </c>
      <c r="FS38" s="17">
        <f>IF(AND(172&gt;=$B$13,172&lt;=$D$13),1,0)</f>
        <v/>
      </c>
      <c r="FT38" s="17">
        <f>IF(AND(173&gt;=$B$13,173&lt;=$D$13),1,0)</f>
        <v/>
      </c>
      <c r="FU38" s="17">
        <f>IF(AND(174&gt;=$B$13,174&lt;=$D$13),1,0)</f>
        <v/>
      </c>
      <c r="FV38" s="17">
        <f>IF(AND(175&gt;=$B$13,175&lt;=$D$13),1,0)</f>
        <v/>
      </c>
      <c r="FW38" s="17">
        <f>IF(AND(176&gt;=$B$13,176&lt;=$D$13),1,0)</f>
        <v/>
      </c>
      <c r="FX38" s="17">
        <f>IF(AND(177&gt;=$B$13,177&lt;=$D$13),1,0)</f>
        <v/>
      </c>
      <c r="FY38" s="17">
        <f>IF(AND(178&gt;=$B$13,178&lt;=$D$13),1,0)</f>
        <v/>
      </c>
      <c r="FZ38" s="17">
        <f>IF(AND(179&gt;=$B$13,179&lt;=$D$13),1,0)</f>
        <v/>
      </c>
      <c r="GA38" s="17">
        <f>IF(AND(180&gt;=$B$13,180&lt;=$D$13),1,0)</f>
        <v/>
      </c>
      <c r="GB38" s="17">
        <f>IF(AND(181&gt;=$B$13,181&lt;=$D$13),1,0)</f>
        <v/>
      </c>
      <c r="GC38" s="17">
        <f>IF(AND(182&gt;=$B$13,182&lt;=$D$13),1,0)</f>
        <v/>
      </c>
      <c r="GD38" s="17">
        <f>IF(AND(183&gt;=$B$13,183&lt;=$D$13),1,0)</f>
        <v/>
      </c>
      <c r="GE38" s="17">
        <f>IF(AND(184&gt;=$B$13,184&lt;=$D$13),1,0)</f>
        <v/>
      </c>
      <c r="GF38" s="17">
        <f>IF(AND(185&gt;=$B$13,185&lt;=$D$13),1,0)</f>
        <v/>
      </c>
      <c r="GG38" s="17">
        <f>IF(AND(186&gt;=$B$13,186&lt;=$D$13),1,0)</f>
        <v/>
      </c>
      <c r="GH38" s="17">
        <f>IF(AND(187&gt;=$B$13,187&lt;=$D$13),1,0)</f>
        <v/>
      </c>
      <c r="GI38" s="17">
        <f>IF(AND(188&gt;=$B$13,188&lt;=$D$13),1,0)</f>
        <v/>
      </c>
      <c r="GJ38" s="17">
        <f>IF(AND(189&gt;=$B$13,189&lt;=$D$13),1,0)</f>
        <v/>
      </c>
      <c r="GK38" s="17">
        <f>IF(AND(190&gt;=$B$13,190&lt;=$D$13),1,0)</f>
        <v/>
      </c>
      <c r="GL38" s="17">
        <f>IF(AND(191&gt;=$B$13,191&lt;=$D$13),1,0)</f>
        <v/>
      </c>
      <c r="GM38" s="17">
        <f>IF(AND(192&gt;=$B$13,192&lt;=$D$13),1,0)</f>
        <v/>
      </c>
      <c r="GN38" s="17">
        <f>IF(AND(193&gt;=$B$13,193&lt;=$D$13),1,0)</f>
        <v/>
      </c>
      <c r="GO38" s="17">
        <f>IF(AND(194&gt;=$B$13,194&lt;=$D$13),1,0)</f>
        <v/>
      </c>
      <c r="GP38" s="17">
        <f>IF(AND(195&gt;=$B$13,195&lt;=$D$13),1,0)</f>
        <v/>
      </c>
      <c r="GQ38" s="17">
        <f>IF(AND(196&gt;=$B$13,196&lt;=$D$13),1,0)</f>
        <v/>
      </c>
      <c r="GR38" s="17">
        <f>IF(AND(197&gt;=$B$13,197&lt;=$D$13),1,0)</f>
        <v/>
      </c>
      <c r="GS38" s="17">
        <f>IF(AND(198&gt;=$B$13,198&lt;=$D$13),1,0)</f>
        <v/>
      </c>
      <c r="GT38" s="17">
        <f>IF(AND(199&gt;=$B$13,199&lt;=$D$13),1,0)</f>
        <v/>
      </c>
      <c r="GU38" s="17">
        <f>IF(AND(200&gt;=$B$13,200&lt;=$D$13),1,0)</f>
        <v/>
      </c>
      <c r="GV38" s="17">
        <f>IF(AND(201&gt;=$B$13,201&lt;=$D$13),1,0)</f>
        <v/>
      </c>
      <c r="GW38" s="17">
        <f>IF(AND(202&gt;=$B$13,202&lt;=$D$13),1,0)</f>
        <v/>
      </c>
      <c r="GX38" s="17">
        <f>IF(AND(203&gt;=$B$13,203&lt;=$D$13),1,0)</f>
        <v/>
      </c>
      <c r="GY38" s="17">
        <f>IF(AND(204&gt;=$B$13,204&lt;=$D$13),1,0)</f>
        <v/>
      </c>
      <c r="GZ38" s="17">
        <f>IF(AND(205&gt;=$B$13,205&lt;=$D$13),1,0)</f>
        <v/>
      </c>
      <c r="HA38" s="17">
        <f>IF(AND(206&gt;=$B$13,206&lt;=$D$13),1,0)</f>
        <v/>
      </c>
      <c r="HB38" s="17">
        <f>IF(AND(207&gt;=$B$13,207&lt;=$D$13),1,0)</f>
        <v/>
      </c>
      <c r="HC38" s="17">
        <f>IF(AND(208&gt;=$B$13,208&lt;=$D$13),1,0)</f>
        <v/>
      </c>
      <c r="HD38" s="17">
        <f>IF(AND(209&gt;=$B$13,209&lt;=$D$13),1,0)</f>
        <v/>
      </c>
      <c r="HE38" s="17">
        <f>IF(AND(210&gt;=$B$13,210&lt;=$D$13),1,0)</f>
        <v/>
      </c>
      <c r="HF38" s="17">
        <f>IF(AND(211&gt;=$B$13,211&lt;=$D$13),1,0)</f>
        <v/>
      </c>
      <c r="HG38" s="17">
        <f>IF(AND(212&gt;=$B$13,212&lt;=$D$13),1,0)</f>
        <v/>
      </c>
      <c r="HH38" s="17">
        <f>IF(AND(213&gt;=$B$13,213&lt;=$D$13),1,0)</f>
        <v/>
      </c>
      <c r="HI38" s="17">
        <f>IF(AND(214&gt;=$B$13,214&lt;=$D$13),1,0)</f>
        <v/>
      </c>
      <c r="HJ38" s="17">
        <f>IF(AND(215&gt;=$B$13,215&lt;=$D$13),1,0)</f>
        <v/>
      </c>
      <c r="HK38" s="17">
        <f>IF(AND(216&gt;=$B$13,216&lt;=$D$13),1,0)</f>
        <v/>
      </c>
      <c r="HL38" s="17">
        <f>IF(AND(217&gt;=$B$13,217&lt;=$D$13),1,0)</f>
        <v/>
      </c>
      <c r="HM38" s="17">
        <f>IF(AND(218&gt;=$B$13,218&lt;=$D$13),1,0)</f>
        <v/>
      </c>
      <c r="HN38" s="17">
        <f>IF(AND(219&gt;=$B$13,219&lt;=$D$13),1,0)</f>
        <v/>
      </c>
      <c r="HO38" s="17">
        <f>IF(AND(220&gt;=$B$13,220&lt;=$D$13),1,0)</f>
        <v/>
      </c>
      <c r="HP38" s="17">
        <f>IF(AND(221&gt;=$B$13,221&lt;=$D$13),1,0)</f>
        <v/>
      </c>
      <c r="HQ38" s="17">
        <f>IF(AND(222&gt;=$B$13,222&lt;=$D$13),1,0)</f>
        <v/>
      </c>
      <c r="HR38" s="17">
        <f>IF(AND(223&gt;=$B$13,223&lt;=$D$13),1,0)</f>
        <v/>
      </c>
      <c r="HS38" s="17">
        <f>IF(AND(224&gt;=$B$13,224&lt;=$D$13),1,0)</f>
        <v/>
      </c>
      <c r="HT38" s="17">
        <f>IF(AND(225&gt;=$B$13,225&lt;=$D$13),1,0)</f>
        <v/>
      </c>
      <c r="HU38" s="17">
        <f>IF(AND(226&gt;=$B$13,226&lt;=$D$13),1,0)</f>
        <v/>
      </c>
      <c r="HV38" s="17">
        <f>IF(AND(227&gt;=$B$13,227&lt;=$D$13),1,0)</f>
        <v/>
      </c>
      <c r="HW38" s="17">
        <f>IF(AND(228&gt;=$B$13,228&lt;=$D$13),1,0)</f>
        <v/>
      </c>
      <c r="HX38" s="17">
        <f>IF(AND(229&gt;=$B$13,229&lt;=$D$13),1,0)</f>
        <v/>
      </c>
      <c r="HY38" s="17">
        <f>IF(AND(230&gt;=$B$13,230&lt;=$D$13),1,0)</f>
        <v/>
      </c>
      <c r="HZ38" s="17">
        <f>IF(AND(231&gt;=$B$13,231&lt;=$D$13),1,0)</f>
        <v/>
      </c>
      <c r="IA38" s="17">
        <f>IF(AND(232&gt;=$B$13,232&lt;=$D$13),1,0)</f>
        <v/>
      </c>
      <c r="IB38" s="17">
        <f>IF(AND(233&gt;=$B$13,233&lt;=$D$13),1,0)</f>
        <v/>
      </c>
      <c r="IC38" s="17">
        <f>IF(AND(234&gt;=$B$13,234&lt;=$D$13),1,0)</f>
        <v/>
      </c>
      <c r="ID38" s="17">
        <f>IF(AND(235&gt;=$B$13,235&lt;=$D$13),1,0)</f>
        <v/>
      </c>
      <c r="IE38" s="17">
        <f>IF(AND(236&gt;=$B$13,236&lt;=$D$13),1,0)</f>
        <v/>
      </c>
      <c r="IF38" s="17">
        <f>IF(AND(237&gt;=$B$13,237&lt;=$D$13),1,0)</f>
        <v/>
      </c>
      <c r="IG38" s="17">
        <f>IF(AND(238&gt;=$B$13,238&lt;=$D$13),1,0)</f>
        <v/>
      </c>
      <c r="IH38" s="17">
        <f>IF(AND(239&gt;=$B$13,239&lt;=$D$13),1,0)</f>
        <v/>
      </c>
      <c r="II38" s="17">
        <f>IF(AND(240&gt;=$B$13,240&lt;=$D$13),1,0)</f>
        <v/>
      </c>
      <c r="IJ38" s="17">
        <f>IF(AND(241&gt;=$B$13,241&lt;=$D$13),1,0)</f>
        <v/>
      </c>
      <c r="IK38" s="17">
        <f>IF(AND(242&gt;=$B$13,242&lt;=$D$13),1,0)</f>
        <v/>
      </c>
      <c r="IL38" s="17">
        <f>IF(AND(243&gt;=$B$13,243&lt;=$D$13),1,0)</f>
        <v/>
      </c>
      <c r="IM38" s="17">
        <f>IF(AND(244&gt;=$B$13,244&lt;=$D$13),1,0)</f>
        <v/>
      </c>
      <c r="IN38" s="17">
        <f>IF(AND(245&gt;=$B$13,245&lt;=$D$13),1,0)</f>
        <v/>
      </c>
      <c r="IO38" s="17">
        <f>IF(AND(246&gt;=$B$13,246&lt;=$D$13),1,0)</f>
        <v/>
      </c>
      <c r="IP38" s="17">
        <f>IF(AND(247&gt;=$B$13,247&lt;=$D$13),1,0)</f>
        <v/>
      </c>
      <c r="IQ38" s="17">
        <f>IF(AND(248&gt;=$B$13,248&lt;=$D$13),1,0)</f>
        <v/>
      </c>
      <c r="IR38" s="17">
        <f>IF(AND(249&gt;=$B$13,249&lt;=$D$13),1,0)</f>
        <v/>
      </c>
      <c r="IS38" s="17">
        <f>IF(AND(250&gt;=$B$13,250&lt;=$D$13),1,0)</f>
        <v/>
      </c>
      <c r="IT38" s="17">
        <f>IF(AND(251&gt;=$B$13,251&lt;=$D$13),1,0)</f>
        <v/>
      </c>
      <c r="IU38" s="17">
        <f>IF(AND(252&gt;=$B$13,252&lt;=$D$13),1,0)</f>
        <v/>
      </c>
      <c r="IV38" s="17">
        <f>IF(AND(253&gt;=$B$13,253&lt;=$D$13),1,0)</f>
        <v/>
      </c>
      <c r="IW38" s="17">
        <f>IF(AND(254&gt;=$B$13,254&lt;=$D$13),1,0)</f>
        <v/>
      </c>
      <c r="IX38" s="17">
        <f>IF(AND(255&gt;=$B$13,255&lt;=$D$13),1,0)</f>
        <v/>
      </c>
      <c r="IY38" s="17">
        <f>IF(AND(256&gt;=$B$13,256&lt;=$D$13),1,0)</f>
        <v/>
      </c>
      <c r="IZ38" s="17">
        <f>IF(AND(257&gt;=$B$13,257&lt;=$D$13),1,0)</f>
        <v/>
      </c>
      <c r="JA38" s="17">
        <f>IF(AND(258&gt;=$B$13,258&lt;=$D$13),1,0)</f>
        <v/>
      </c>
      <c r="JB38" s="17">
        <f>IF(AND(259&gt;=$B$13,259&lt;=$D$13),1,0)</f>
        <v/>
      </c>
      <c r="JC38" s="17">
        <f>IF(AND(260&gt;=$B$13,260&lt;=$D$13),1,0)</f>
        <v/>
      </c>
      <c r="JD38" s="17">
        <f>IF(AND(261&gt;=$B$13,261&lt;=$D$13),1,0)</f>
        <v/>
      </c>
      <c r="JE38" s="17">
        <f>IF(AND(262&gt;=$B$13,262&lt;=$D$13),1,0)</f>
        <v/>
      </c>
      <c r="JF38" s="17">
        <f>IF(AND(263&gt;=$B$13,263&lt;=$D$13),1,0)</f>
        <v/>
      </c>
      <c r="JG38" s="17">
        <f>IF(AND(264&gt;=$B$13,264&lt;=$D$13),1,0)</f>
        <v/>
      </c>
      <c r="JH38" s="17">
        <f>IF(AND(265&gt;=$B$13,265&lt;=$D$13),1,0)</f>
        <v/>
      </c>
      <c r="JI38" s="17">
        <f>IF(AND(266&gt;=$B$13,266&lt;=$D$13),1,0)</f>
        <v/>
      </c>
      <c r="JJ38" s="17">
        <f>IF(AND(267&gt;=$B$13,267&lt;=$D$13),1,0)</f>
        <v/>
      </c>
      <c r="JK38" s="17">
        <f>IF(AND(268&gt;=$B$13,268&lt;=$D$13),1,0)</f>
        <v/>
      </c>
      <c r="JL38" s="17">
        <f>IF(AND(269&gt;=$B$13,269&lt;=$D$13),1,0)</f>
        <v/>
      </c>
      <c r="JM38" s="17">
        <f>IF(AND(270&gt;=$B$13,270&lt;=$D$13),1,0)</f>
        <v/>
      </c>
      <c r="JN38" s="17">
        <f>IF(AND(271&gt;=$B$13,271&lt;=$D$13),1,0)</f>
        <v/>
      </c>
      <c r="JO38" s="17">
        <f>IF(AND(272&gt;=$B$13,272&lt;=$D$13),1,0)</f>
        <v/>
      </c>
      <c r="JP38" s="17">
        <f>IF(AND(273&gt;=$B$13,273&lt;=$D$13),1,0)</f>
        <v/>
      </c>
      <c r="JQ38" s="17">
        <f>IF(AND(274&gt;=$B$13,274&lt;=$D$13),1,0)</f>
        <v/>
      </c>
      <c r="JR38" s="17">
        <f>IF(AND(275&gt;=$B$13,275&lt;=$D$13),1,0)</f>
        <v/>
      </c>
      <c r="JS38" s="17">
        <f>IF(AND(276&gt;=$B$13,276&lt;=$D$13),1,0)</f>
        <v/>
      </c>
      <c r="JT38" s="17">
        <f>IF(AND(277&gt;=$B$13,277&lt;=$D$13),1,0)</f>
        <v/>
      </c>
      <c r="JU38" s="17">
        <f>IF(AND(278&gt;=$B$13,278&lt;=$D$13),1,0)</f>
        <v/>
      </c>
      <c r="JV38" s="17">
        <f>IF(AND(279&gt;=$B$13,279&lt;=$D$13),1,0)</f>
        <v/>
      </c>
      <c r="JW38" s="17">
        <f>IF(AND(280&gt;=$B$13,280&lt;=$D$13),1,0)</f>
        <v/>
      </c>
      <c r="JX38" s="17">
        <f>IF(AND(281&gt;=$B$13,281&lt;=$D$13),1,0)</f>
        <v/>
      </c>
      <c r="JY38" s="17">
        <f>IF(AND(282&gt;=$B$13,282&lt;=$D$13),1,0)</f>
        <v/>
      </c>
      <c r="JZ38" s="17">
        <f>IF(AND(283&gt;=$B$13,283&lt;=$D$13),1,0)</f>
        <v/>
      </c>
      <c r="KA38" s="17">
        <f>IF(AND(284&gt;=$B$13,284&lt;=$D$13),1,0)</f>
        <v/>
      </c>
      <c r="KB38" s="17">
        <f>IF(AND(285&gt;=$B$13,285&lt;=$D$13),1,0)</f>
        <v/>
      </c>
      <c r="KC38" s="17">
        <f>IF(AND(286&gt;=$B$13,286&lt;=$D$13),1,0)</f>
        <v/>
      </c>
      <c r="KD38" s="17">
        <f>IF(AND(287&gt;=$B$13,287&lt;=$D$13),1,0)</f>
        <v/>
      </c>
      <c r="KE38" s="17">
        <f>IF(AND(288&gt;=$B$13,288&lt;=$D$13),1,0)</f>
        <v/>
      </c>
      <c r="KF38" s="17">
        <f>IF(AND(289&gt;=$B$13,289&lt;=$D$13),1,0)</f>
        <v/>
      </c>
      <c r="KG38" s="17">
        <f>IF(AND(290&gt;=$B$13,290&lt;=$D$13),1,0)</f>
        <v/>
      </c>
      <c r="KH38" s="17">
        <f>IF(AND(291&gt;=$B$13,291&lt;=$D$13),1,0)</f>
        <v/>
      </c>
      <c r="KI38" s="17">
        <f>IF(AND(292&gt;=$B$13,292&lt;=$D$13),1,0)</f>
        <v/>
      </c>
      <c r="KJ38" s="17">
        <f>IF(AND(293&gt;=$B$13,293&lt;=$D$13),1,0)</f>
        <v/>
      </c>
      <c r="KK38" s="17">
        <f>IF(AND(294&gt;=$B$13,294&lt;=$D$13),1,0)</f>
        <v/>
      </c>
      <c r="KL38" s="17">
        <f>IF(AND(295&gt;=$B$13,295&lt;=$D$13),1,0)</f>
        <v/>
      </c>
      <c r="KM38" s="17">
        <f>IF(AND(296&gt;=$B$13,296&lt;=$D$13),1,0)</f>
        <v/>
      </c>
      <c r="KN38" s="17">
        <f>IF(AND(297&gt;=$B$13,297&lt;=$D$13),1,0)</f>
        <v/>
      </c>
      <c r="KO38" s="17">
        <f>IF(AND(298&gt;=$B$13,298&lt;=$D$13),1,0)</f>
        <v/>
      </c>
      <c r="KP38" s="17">
        <f>IF(AND(299&gt;=$B$13,299&lt;=$D$13),1,0)</f>
        <v/>
      </c>
      <c r="KQ38" s="17">
        <f>IF(AND(300&gt;=$B$13,300&lt;=$D$13),1,0)</f>
        <v/>
      </c>
      <c r="KR38" s="17">
        <f>IF(AND(301&gt;=$B$13,301&lt;=$D$13),1,0)</f>
        <v/>
      </c>
      <c r="KS38" s="17">
        <f>IF(AND(302&gt;=$B$13,302&lt;=$D$13),1,0)</f>
        <v/>
      </c>
      <c r="KT38" s="17">
        <f>IF(AND(303&gt;=$B$13,303&lt;=$D$13),1,0)</f>
        <v/>
      </c>
      <c r="KU38" s="17">
        <f>IF(AND(304&gt;=$B$13,304&lt;=$D$13),1,0)</f>
        <v/>
      </c>
      <c r="KV38" s="17">
        <f>IF(AND(305&gt;=$B$13,305&lt;=$D$13),1,0)</f>
        <v/>
      </c>
      <c r="KW38" s="17">
        <f>IF(AND(306&gt;=$B$13,306&lt;=$D$13),1,0)</f>
        <v/>
      </c>
      <c r="KX38" s="17">
        <f>IF(AND(307&gt;=$B$13,307&lt;=$D$13),1,0)</f>
        <v/>
      </c>
      <c r="KY38" s="17">
        <f>IF(AND(308&gt;=$B$13,308&lt;=$D$13),1,0)</f>
        <v/>
      </c>
      <c r="KZ38" s="17">
        <f>IF(AND(309&gt;=$B$13,309&lt;=$D$13),1,0)</f>
        <v/>
      </c>
      <c r="LA38" s="17">
        <f>IF(AND(310&gt;=$B$13,310&lt;=$D$13),1,0)</f>
        <v/>
      </c>
      <c r="LB38" s="17">
        <f>IF(AND(311&gt;=$B$13,311&lt;=$D$13),1,0)</f>
        <v/>
      </c>
      <c r="LC38" s="17">
        <f>IF(AND(312&gt;=$B$13,312&lt;=$D$13),1,0)</f>
        <v/>
      </c>
      <c r="LD38" s="17">
        <f>IF(AND(313&gt;=$B$13,313&lt;=$D$13),1,0)</f>
        <v/>
      </c>
      <c r="LE38" s="17">
        <f>IF(AND(314&gt;=$B$13,314&lt;=$D$13),1,0)</f>
        <v/>
      </c>
      <c r="LF38" s="17">
        <f>IF(AND(315&gt;=$B$13,315&lt;=$D$13),1,0)</f>
        <v/>
      </c>
      <c r="LG38" s="17">
        <f>IF(AND(316&gt;=$B$13,316&lt;=$D$13),1,0)</f>
        <v/>
      </c>
      <c r="LH38" s="17">
        <f>IF(AND(317&gt;=$B$13,317&lt;=$D$13),1,0)</f>
        <v/>
      </c>
      <c r="LI38" s="17">
        <f>IF(AND(318&gt;=$B$13,318&lt;=$D$13),1,0)</f>
        <v/>
      </c>
      <c r="LJ38" s="17">
        <f>IF(AND(319&gt;=$B$13,319&lt;=$D$13),1,0)</f>
        <v/>
      </c>
      <c r="LK38" s="17">
        <f>IF(AND(320&gt;=$B$13,320&lt;=$D$13),1,0)</f>
        <v/>
      </c>
      <c r="LL38" s="17">
        <f>IF(AND(321&gt;=$B$13,321&lt;=$D$13),1,0)</f>
        <v/>
      </c>
      <c r="LM38" s="17">
        <f>IF(AND(322&gt;=$B$13,322&lt;=$D$13),1,0)</f>
        <v/>
      </c>
      <c r="LN38" s="17">
        <f>IF(AND(323&gt;=$B$13,323&lt;=$D$13),1,0)</f>
        <v/>
      </c>
      <c r="LO38" s="17">
        <f>IF(AND(324&gt;=$B$13,324&lt;=$D$13),1,0)</f>
        <v/>
      </c>
      <c r="LP38" s="17">
        <f>IF(AND(325&gt;=$B$13,325&lt;=$D$13),1,0)</f>
        <v/>
      </c>
      <c r="LQ38" s="17">
        <f>IF(AND(326&gt;=$B$13,326&lt;=$D$13),1,0)</f>
        <v/>
      </c>
      <c r="LR38" s="17">
        <f>IF(AND(327&gt;=$B$13,327&lt;=$D$13),1,0)</f>
        <v/>
      </c>
      <c r="LS38" s="17">
        <f>IF(AND(328&gt;=$B$13,328&lt;=$D$13),1,0)</f>
        <v/>
      </c>
      <c r="LT38" s="17">
        <f>IF(AND(329&gt;=$B$13,329&lt;=$D$13),1,0)</f>
        <v/>
      </c>
      <c r="LU38" s="17">
        <f>IF(AND(330&gt;=$B$13,330&lt;=$D$13),1,0)</f>
        <v/>
      </c>
      <c r="LV38" s="17">
        <f>IF(AND(331&gt;=$B$13,331&lt;=$D$13),1,0)</f>
        <v/>
      </c>
      <c r="LW38" s="17">
        <f>IF(AND(332&gt;=$B$13,332&lt;=$D$13),1,0)</f>
        <v/>
      </c>
      <c r="LX38" s="17">
        <f>IF(AND(333&gt;=$B$13,333&lt;=$D$13),1,0)</f>
        <v/>
      </c>
      <c r="LY38" s="17">
        <f>IF(AND(334&gt;=$B$13,334&lt;=$D$13),1,0)</f>
        <v/>
      </c>
      <c r="LZ38" s="17">
        <f>IF(AND(335&gt;=$B$13,335&lt;=$D$13),1,0)</f>
        <v/>
      </c>
      <c r="MA38" s="17">
        <f>IF(AND(336&gt;=$B$13,336&lt;=$D$13),1,0)</f>
        <v/>
      </c>
      <c r="MB38" s="17">
        <f>IF(AND(337&gt;=$B$13,337&lt;=$D$13),1,0)</f>
        <v/>
      </c>
      <c r="MC38" s="17">
        <f>IF(AND(338&gt;=$B$13,338&lt;=$D$13),1,0)</f>
        <v/>
      </c>
      <c r="MD38" s="17">
        <f>IF(AND(339&gt;=$B$13,339&lt;=$D$13),1,0)</f>
        <v/>
      </c>
      <c r="ME38" s="17">
        <f>IF(AND(340&gt;=$B$13,340&lt;=$D$13),1,0)</f>
        <v/>
      </c>
      <c r="MF38" s="17">
        <f>IF(AND(341&gt;=$B$13,341&lt;=$D$13),1,0)</f>
        <v/>
      </c>
      <c r="MG38" s="17">
        <f>IF(AND(342&gt;=$B$13,342&lt;=$D$13),1,0)</f>
        <v/>
      </c>
      <c r="MH38" s="17">
        <f>IF(AND(343&gt;=$B$13,343&lt;=$D$13),1,0)</f>
        <v/>
      </c>
      <c r="MI38" s="17">
        <f>IF(AND(344&gt;=$B$13,344&lt;=$D$13),1,0)</f>
        <v/>
      </c>
      <c r="MJ38" s="17">
        <f>IF(AND(345&gt;=$B$13,345&lt;=$D$13),1,0)</f>
        <v/>
      </c>
      <c r="MK38" s="17">
        <f>IF(AND(346&gt;=$B$13,346&lt;=$D$13),1,0)</f>
        <v/>
      </c>
      <c r="ML38" s="17">
        <f>IF(AND(347&gt;=$B$13,347&lt;=$D$13),1,0)</f>
        <v/>
      </c>
      <c r="MM38" s="17">
        <f>IF(AND(348&gt;=$B$13,348&lt;=$D$13),1,0)</f>
        <v/>
      </c>
      <c r="MN38" s="17">
        <f>IF(AND(349&gt;=$B$13,349&lt;=$D$13),1,0)</f>
        <v/>
      </c>
      <c r="MO38" s="17">
        <f>IF(AND(350&gt;=$B$13,350&lt;=$D$13),1,0)</f>
        <v/>
      </c>
      <c r="MP38" s="17">
        <f>IF(AND(351&gt;=$B$13,351&lt;=$D$13),1,0)</f>
        <v/>
      </c>
      <c r="MQ38" s="17">
        <f>IF(AND(352&gt;=$B$13,352&lt;=$D$13),1,0)</f>
        <v/>
      </c>
      <c r="MR38" s="17">
        <f>IF(AND(353&gt;=$B$13,353&lt;=$D$13),1,0)</f>
        <v/>
      </c>
      <c r="MS38" s="17">
        <f>IF(AND(354&gt;=$B$13,354&lt;=$D$13),1,0)</f>
        <v/>
      </c>
      <c r="MT38" s="17">
        <f>IF(AND(355&gt;=$B$13,355&lt;=$D$13),1,0)</f>
        <v/>
      </c>
      <c r="MU38" s="17">
        <f>IF(AND(356&gt;=$B$13,356&lt;=$D$13),1,0)</f>
        <v/>
      </c>
      <c r="MV38" s="17">
        <f>IF(AND(357&gt;=$B$13,357&lt;=$D$13),1,0)</f>
        <v/>
      </c>
      <c r="MW38" s="17">
        <f>IF(AND(358&gt;=$B$13,358&lt;=$D$13),1,0)</f>
        <v/>
      </c>
      <c r="MX38" s="17">
        <f>IF(AND(359&gt;=$B$13,359&lt;=$D$13),1,0)</f>
        <v/>
      </c>
      <c r="MY38" s="17">
        <f>IF(AND(360&gt;=$B$13,360&lt;=$D$13),1,0)</f>
        <v/>
      </c>
      <c r="MZ38" s="17">
        <f>IF(AND(361&gt;=$B$13,361&lt;=$D$13),1,0)</f>
        <v/>
      </c>
      <c r="NA38" s="17">
        <f>IF(AND(362&gt;=$B$13,362&lt;=$D$13),1,0)</f>
        <v/>
      </c>
      <c r="NB38" s="17">
        <f>IF(AND(363&gt;=$B$13,363&lt;=$D$13),1,0)</f>
        <v/>
      </c>
      <c r="NC38" s="17">
        <f>IF(AND(364&gt;=$B$13,364&lt;=$D$13),1,0)</f>
        <v/>
      </c>
      <c r="ND38" s="17">
        <f>IF(AND(365&gt;=$B$13,365&lt;=$D$13),1,0)</f>
        <v/>
      </c>
      <c r="NE38" s="17">
        <f>IF(AND(366&gt;=$B$13,366&lt;=$D$13),1,0)</f>
        <v/>
      </c>
      <c r="NF38" s="17">
        <f>IF(AND(367&gt;=$B$13,367&lt;=$D$13),1,0)</f>
        <v/>
      </c>
      <c r="NG38" s="17">
        <f>IF(AND(368&gt;=$B$13,368&lt;=$D$13),1,0)</f>
        <v/>
      </c>
      <c r="NH38" s="17">
        <f>IF(AND(369&gt;=$B$13,369&lt;=$D$13),1,0)</f>
        <v/>
      </c>
      <c r="NI38" s="17">
        <f>IF(AND(370&gt;=$B$13,370&lt;=$D$13),1,0)</f>
        <v/>
      </c>
      <c r="NJ38" s="17">
        <f>IF(AND(371&gt;=$B$13,371&lt;=$D$13),1,0)</f>
        <v/>
      </c>
      <c r="NK38" s="17">
        <f>IF(AND(372&gt;=$B$13,372&lt;=$D$13),1,0)</f>
        <v/>
      </c>
    </row>
    <row r="39">
      <c r="A39" s="5" t="inlineStr">
        <is>
          <t>Flag: Disposition</t>
        </is>
      </c>
      <c r="C39" s="40" t="n"/>
      <c r="D39" s="17">
        <f>IF(AND(1&gt;=$B$14,1&lt;=$D$14),1,0)</f>
        <v/>
      </c>
      <c r="E39" s="17">
        <f>IF(AND(2&gt;=$B$14,2&lt;=$D$14),1,0)</f>
        <v/>
      </c>
      <c r="F39" s="17">
        <f>IF(AND(3&gt;=$B$14,3&lt;=$D$14),1,0)</f>
        <v/>
      </c>
      <c r="G39" s="17">
        <f>IF(AND(4&gt;=$B$14,4&lt;=$D$14),1,0)</f>
        <v/>
      </c>
      <c r="H39" s="17">
        <f>IF(AND(5&gt;=$B$14,5&lt;=$D$14),1,0)</f>
        <v/>
      </c>
      <c r="I39" s="17">
        <f>IF(AND(6&gt;=$B$14,6&lt;=$D$14),1,0)</f>
        <v/>
      </c>
      <c r="J39" s="17">
        <f>IF(AND(7&gt;=$B$14,7&lt;=$D$14),1,0)</f>
        <v/>
      </c>
      <c r="K39" s="17">
        <f>IF(AND(8&gt;=$B$14,8&lt;=$D$14),1,0)</f>
        <v/>
      </c>
      <c r="L39" s="17">
        <f>IF(AND(9&gt;=$B$14,9&lt;=$D$14),1,0)</f>
        <v/>
      </c>
      <c r="M39" s="17">
        <f>IF(AND(10&gt;=$B$14,10&lt;=$D$14),1,0)</f>
        <v/>
      </c>
      <c r="N39" s="17">
        <f>IF(AND(11&gt;=$B$14,11&lt;=$D$14),1,0)</f>
        <v/>
      </c>
      <c r="O39" s="17">
        <f>IF(AND(12&gt;=$B$14,12&lt;=$D$14),1,0)</f>
        <v/>
      </c>
      <c r="P39" s="17">
        <f>IF(AND(13&gt;=$B$14,13&lt;=$D$14),1,0)</f>
        <v/>
      </c>
      <c r="Q39" s="17">
        <f>IF(AND(14&gt;=$B$14,14&lt;=$D$14),1,0)</f>
        <v/>
      </c>
      <c r="R39" s="17">
        <f>IF(AND(15&gt;=$B$14,15&lt;=$D$14),1,0)</f>
        <v/>
      </c>
      <c r="S39" s="17">
        <f>IF(AND(16&gt;=$B$14,16&lt;=$D$14),1,0)</f>
        <v/>
      </c>
      <c r="T39" s="17">
        <f>IF(AND(17&gt;=$B$14,17&lt;=$D$14),1,0)</f>
        <v/>
      </c>
      <c r="U39" s="17">
        <f>IF(AND(18&gt;=$B$14,18&lt;=$D$14),1,0)</f>
        <v/>
      </c>
      <c r="V39" s="17">
        <f>IF(AND(19&gt;=$B$14,19&lt;=$D$14),1,0)</f>
        <v/>
      </c>
      <c r="W39" s="17">
        <f>IF(AND(20&gt;=$B$14,20&lt;=$D$14),1,0)</f>
        <v/>
      </c>
      <c r="X39" s="17">
        <f>IF(AND(21&gt;=$B$14,21&lt;=$D$14),1,0)</f>
        <v/>
      </c>
      <c r="Y39" s="17">
        <f>IF(AND(22&gt;=$B$14,22&lt;=$D$14),1,0)</f>
        <v/>
      </c>
      <c r="Z39" s="17">
        <f>IF(AND(23&gt;=$B$14,23&lt;=$D$14),1,0)</f>
        <v/>
      </c>
      <c r="AA39" s="17">
        <f>IF(AND(24&gt;=$B$14,24&lt;=$D$14),1,0)</f>
        <v/>
      </c>
      <c r="AB39" s="17">
        <f>IF(AND(25&gt;=$B$14,25&lt;=$D$14),1,0)</f>
        <v/>
      </c>
      <c r="AC39" s="17">
        <f>IF(AND(26&gt;=$B$14,26&lt;=$D$14),1,0)</f>
        <v/>
      </c>
      <c r="AD39" s="17">
        <f>IF(AND(27&gt;=$B$14,27&lt;=$D$14),1,0)</f>
        <v/>
      </c>
      <c r="AE39" s="17">
        <f>IF(AND(28&gt;=$B$14,28&lt;=$D$14),1,0)</f>
        <v/>
      </c>
      <c r="AF39" s="17">
        <f>IF(AND(29&gt;=$B$14,29&lt;=$D$14),1,0)</f>
        <v/>
      </c>
      <c r="AG39" s="17">
        <f>IF(AND(30&gt;=$B$14,30&lt;=$D$14),1,0)</f>
        <v/>
      </c>
      <c r="AH39" s="17">
        <f>IF(AND(31&gt;=$B$14,31&lt;=$D$14),1,0)</f>
        <v/>
      </c>
      <c r="AI39" s="17">
        <f>IF(AND(32&gt;=$B$14,32&lt;=$D$14),1,0)</f>
        <v/>
      </c>
      <c r="AJ39" s="17">
        <f>IF(AND(33&gt;=$B$14,33&lt;=$D$14),1,0)</f>
        <v/>
      </c>
      <c r="AK39" s="17">
        <f>IF(AND(34&gt;=$B$14,34&lt;=$D$14),1,0)</f>
        <v/>
      </c>
      <c r="AL39" s="17">
        <f>IF(AND(35&gt;=$B$14,35&lt;=$D$14),1,0)</f>
        <v/>
      </c>
      <c r="AM39" s="17">
        <f>IF(AND(36&gt;=$B$14,36&lt;=$D$14),1,0)</f>
        <v/>
      </c>
      <c r="AN39" s="17">
        <f>IF(AND(37&gt;=$B$14,37&lt;=$D$14),1,0)</f>
        <v/>
      </c>
      <c r="AO39" s="17">
        <f>IF(AND(38&gt;=$B$14,38&lt;=$D$14),1,0)</f>
        <v/>
      </c>
      <c r="AP39" s="17">
        <f>IF(AND(39&gt;=$B$14,39&lt;=$D$14),1,0)</f>
        <v/>
      </c>
      <c r="AQ39" s="17">
        <f>IF(AND(40&gt;=$B$14,40&lt;=$D$14),1,0)</f>
        <v/>
      </c>
      <c r="AR39" s="17">
        <f>IF(AND(41&gt;=$B$14,41&lt;=$D$14),1,0)</f>
        <v/>
      </c>
      <c r="AS39" s="17">
        <f>IF(AND(42&gt;=$B$14,42&lt;=$D$14),1,0)</f>
        <v/>
      </c>
      <c r="AT39" s="17">
        <f>IF(AND(43&gt;=$B$14,43&lt;=$D$14),1,0)</f>
        <v/>
      </c>
      <c r="AU39" s="17">
        <f>IF(AND(44&gt;=$B$14,44&lt;=$D$14),1,0)</f>
        <v/>
      </c>
      <c r="AV39" s="17">
        <f>IF(AND(45&gt;=$B$14,45&lt;=$D$14),1,0)</f>
        <v/>
      </c>
      <c r="AW39" s="17">
        <f>IF(AND(46&gt;=$B$14,46&lt;=$D$14),1,0)</f>
        <v/>
      </c>
      <c r="AX39" s="17">
        <f>IF(AND(47&gt;=$B$14,47&lt;=$D$14),1,0)</f>
        <v/>
      </c>
      <c r="AY39" s="17">
        <f>IF(AND(48&gt;=$B$14,48&lt;=$D$14),1,0)</f>
        <v/>
      </c>
      <c r="AZ39" s="17">
        <f>IF(AND(49&gt;=$B$14,49&lt;=$D$14),1,0)</f>
        <v/>
      </c>
      <c r="BA39" s="17">
        <f>IF(AND(50&gt;=$B$14,50&lt;=$D$14),1,0)</f>
        <v/>
      </c>
      <c r="BB39" s="17">
        <f>IF(AND(51&gt;=$B$14,51&lt;=$D$14),1,0)</f>
        <v/>
      </c>
      <c r="BC39" s="17">
        <f>IF(AND(52&gt;=$B$14,52&lt;=$D$14),1,0)</f>
        <v/>
      </c>
      <c r="BD39" s="17">
        <f>IF(AND(53&gt;=$B$14,53&lt;=$D$14),1,0)</f>
        <v/>
      </c>
      <c r="BE39" s="17">
        <f>IF(AND(54&gt;=$B$14,54&lt;=$D$14),1,0)</f>
        <v/>
      </c>
      <c r="BF39" s="17">
        <f>IF(AND(55&gt;=$B$14,55&lt;=$D$14),1,0)</f>
        <v/>
      </c>
      <c r="BG39" s="17">
        <f>IF(AND(56&gt;=$B$14,56&lt;=$D$14),1,0)</f>
        <v/>
      </c>
      <c r="BH39" s="17">
        <f>IF(AND(57&gt;=$B$14,57&lt;=$D$14),1,0)</f>
        <v/>
      </c>
      <c r="BI39" s="17">
        <f>IF(AND(58&gt;=$B$14,58&lt;=$D$14),1,0)</f>
        <v/>
      </c>
      <c r="BJ39" s="17">
        <f>IF(AND(59&gt;=$B$14,59&lt;=$D$14),1,0)</f>
        <v/>
      </c>
      <c r="BK39" s="17">
        <f>IF(AND(60&gt;=$B$14,60&lt;=$D$14),1,0)</f>
        <v/>
      </c>
      <c r="BL39" s="17">
        <f>IF(AND(61&gt;=$B$14,61&lt;=$D$14),1,0)</f>
        <v/>
      </c>
      <c r="BM39" s="17">
        <f>IF(AND(62&gt;=$B$14,62&lt;=$D$14),1,0)</f>
        <v/>
      </c>
      <c r="BN39" s="17">
        <f>IF(AND(63&gt;=$B$14,63&lt;=$D$14),1,0)</f>
        <v/>
      </c>
      <c r="BO39" s="17">
        <f>IF(AND(64&gt;=$B$14,64&lt;=$D$14),1,0)</f>
        <v/>
      </c>
      <c r="BP39" s="17">
        <f>IF(AND(65&gt;=$B$14,65&lt;=$D$14),1,0)</f>
        <v/>
      </c>
      <c r="BQ39" s="17">
        <f>IF(AND(66&gt;=$B$14,66&lt;=$D$14),1,0)</f>
        <v/>
      </c>
      <c r="BR39" s="17">
        <f>IF(AND(67&gt;=$B$14,67&lt;=$D$14),1,0)</f>
        <v/>
      </c>
      <c r="BS39" s="17">
        <f>IF(AND(68&gt;=$B$14,68&lt;=$D$14),1,0)</f>
        <v/>
      </c>
      <c r="BT39" s="17">
        <f>IF(AND(69&gt;=$B$14,69&lt;=$D$14),1,0)</f>
        <v/>
      </c>
      <c r="BU39" s="17">
        <f>IF(AND(70&gt;=$B$14,70&lt;=$D$14),1,0)</f>
        <v/>
      </c>
      <c r="BV39" s="17">
        <f>IF(AND(71&gt;=$B$14,71&lt;=$D$14),1,0)</f>
        <v/>
      </c>
      <c r="BW39" s="17">
        <f>IF(AND(72&gt;=$B$14,72&lt;=$D$14),1,0)</f>
        <v/>
      </c>
      <c r="BX39" s="17">
        <f>IF(AND(73&gt;=$B$14,73&lt;=$D$14),1,0)</f>
        <v/>
      </c>
      <c r="BY39" s="17">
        <f>IF(AND(74&gt;=$B$14,74&lt;=$D$14),1,0)</f>
        <v/>
      </c>
      <c r="BZ39" s="17">
        <f>IF(AND(75&gt;=$B$14,75&lt;=$D$14),1,0)</f>
        <v/>
      </c>
      <c r="CA39" s="17">
        <f>IF(AND(76&gt;=$B$14,76&lt;=$D$14),1,0)</f>
        <v/>
      </c>
      <c r="CB39" s="17">
        <f>IF(AND(77&gt;=$B$14,77&lt;=$D$14),1,0)</f>
        <v/>
      </c>
      <c r="CC39" s="17">
        <f>IF(AND(78&gt;=$B$14,78&lt;=$D$14),1,0)</f>
        <v/>
      </c>
      <c r="CD39" s="17">
        <f>IF(AND(79&gt;=$B$14,79&lt;=$D$14),1,0)</f>
        <v/>
      </c>
      <c r="CE39" s="17">
        <f>IF(AND(80&gt;=$B$14,80&lt;=$D$14),1,0)</f>
        <v/>
      </c>
      <c r="CF39" s="17">
        <f>IF(AND(81&gt;=$B$14,81&lt;=$D$14),1,0)</f>
        <v/>
      </c>
      <c r="CG39" s="17">
        <f>IF(AND(82&gt;=$B$14,82&lt;=$D$14),1,0)</f>
        <v/>
      </c>
      <c r="CH39" s="17">
        <f>IF(AND(83&gt;=$B$14,83&lt;=$D$14),1,0)</f>
        <v/>
      </c>
      <c r="CI39" s="17">
        <f>IF(AND(84&gt;=$B$14,84&lt;=$D$14),1,0)</f>
        <v/>
      </c>
      <c r="CJ39" s="17">
        <f>IF(AND(85&gt;=$B$14,85&lt;=$D$14),1,0)</f>
        <v/>
      </c>
      <c r="CK39" s="17">
        <f>IF(AND(86&gt;=$B$14,86&lt;=$D$14),1,0)</f>
        <v/>
      </c>
      <c r="CL39" s="17">
        <f>IF(AND(87&gt;=$B$14,87&lt;=$D$14),1,0)</f>
        <v/>
      </c>
      <c r="CM39" s="17">
        <f>IF(AND(88&gt;=$B$14,88&lt;=$D$14),1,0)</f>
        <v/>
      </c>
      <c r="CN39" s="17">
        <f>IF(AND(89&gt;=$B$14,89&lt;=$D$14),1,0)</f>
        <v/>
      </c>
      <c r="CO39" s="17">
        <f>IF(AND(90&gt;=$B$14,90&lt;=$D$14),1,0)</f>
        <v/>
      </c>
      <c r="CP39" s="17">
        <f>IF(AND(91&gt;=$B$14,91&lt;=$D$14),1,0)</f>
        <v/>
      </c>
      <c r="CQ39" s="17">
        <f>IF(AND(92&gt;=$B$14,92&lt;=$D$14),1,0)</f>
        <v/>
      </c>
      <c r="CR39" s="17">
        <f>IF(AND(93&gt;=$B$14,93&lt;=$D$14),1,0)</f>
        <v/>
      </c>
      <c r="CS39" s="17">
        <f>IF(AND(94&gt;=$B$14,94&lt;=$D$14),1,0)</f>
        <v/>
      </c>
      <c r="CT39" s="17">
        <f>IF(AND(95&gt;=$B$14,95&lt;=$D$14),1,0)</f>
        <v/>
      </c>
      <c r="CU39" s="17">
        <f>IF(AND(96&gt;=$B$14,96&lt;=$D$14),1,0)</f>
        <v/>
      </c>
      <c r="CV39" s="17">
        <f>IF(AND(97&gt;=$B$14,97&lt;=$D$14),1,0)</f>
        <v/>
      </c>
      <c r="CW39" s="17">
        <f>IF(AND(98&gt;=$B$14,98&lt;=$D$14),1,0)</f>
        <v/>
      </c>
      <c r="CX39" s="17">
        <f>IF(AND(99&gt;=$B$14,99&lt;=$D$14),1,0)</f>
        <v/>
      </c>
      <c r="CY39" s="17">
        <f>IF(AND(100&gt;=$B$14,100&lt;=$D$14),1,0)</f>
        <v/>
      </c>
      <c r="CZ39" s="17">
        <f>IF(AND(101&gt;=$B$14,101&lt;=$D$14),1,0)</f>
        <v/>
      </c>
      <c r="DA39" s="17">
        <f>IF(AND(102&gt;=$B$14,102&lt;=$D$14),1,0)</f>
        <v/>
      </c>
      <c r="DB39" s="17">
        <f>IF(AND(103&gt;=$B$14,103&lt;=$D$14),1,0)</f>
        <v/>
      </c>
      <c r="DC39" s="17">
        <f>IF(AND(104&gt;=$B$14,104&lt;=$D$14),1,0)</f>
        <v/>
      </c>
      <c r="DD39" s="17">
        <f>IF(AND(105&gt;=$B$14,105&lt;=$D$14),1,0)</f>
        <v/>
      </c>
      <c r="DE39" s="17">
        <f>IF(AND(106&gt;=$B$14,106&lt;=$D$14),1,0)</f>
        <v/>
      </c>
      <c r="DF39" s="17">
        <f>IF(AND(107&gt;=$B$14,107&lt;=$D$14),1,0)</f>
        <v/>
      </c>
      <c r="DG39" s="17">
        <f>IF(AND(108&gt;=$B$14,108&lt;=$D$14),1,0)</f>
        <v/>
      </c>
      <c r="DH39" s="17">
        <f>IF(AND(109&gt;=$B$14,109&lt;=$D$14),1,0)</f>
        <v/>
      </c>
      <c r="DI39" s="17">
        <f>IF(AND(110&gt;=$B$14,110&lt;=$D$14),1,0)</f>
        <v/>
      </c>
      <c r="DJ39" s="17">
        <f>IF(AND(111&gt;=$B$14,111&lt;=$D$14),1,0)</f>
        <v/>
      </c>
      <c r="DK39" s="17">
        <f>IF(AND(112&gt;=$B$14,112&lt;=$D$14),1,0)</f>
        <v/>
      </c>
      <c r="DL39" s="17">
        <f>IF(AND(113&gt;=$B$14,113&lt;=$D$14),1,0)</f>
        <v/>
      </c>
      <c r="DM39" s="17">
        <f>IF(AND(114&gt;=$B$14,114&lt;=$D$14),1,0)</f>
        <v/>
      </c>
      <c r="DN39" s="17">
        <f>IF(AND(115&gt;=$B$14,115&lt;=$D$14),1,0)</f>
        <v/>
      </c>
      <c r="DO39" s="17">
        <f>IF(AND(116&gt;=$B$14,116&lt;=$D$14),1,0)</f>
        <v/>
      </c>
      <c r="DP39" s="17">
        <f>IF(AND(117&gt;=$B$14,117&lt;=$D$14),1,0)</f>
        <v/>
      </c>
      <c r="DQ39" s="17">
        <f>IF(AND(118&gt;=$B$14,118&lt;=$D$14),1,0)</f>
        <v/>
      </c>
      <c r="DR39" s="17">
        <f>IF(AND(119&gt;=$B$14,119&lt;=$D$14),1,0)</f>
        <v/>
      </c>
      <c r="DS39" s="17">
        <f>IF(AND(120&gt;=$B$14,120&lt;=$D$14),1,0)</f>
        <v/>
      </c>
      <c r="DT39" s="17">
        <f>IF(AND(121&gt;=$B$14,121&lt;=$D$14),1,0)</f>
        <v/>
      </c>
      <c r="DU39" s="17">
        <f>IF(AND(122&gt;=$B$14,122&lt;=$D$14),1,0)</f>
        <v/>
      </c>
      <c r="DV39" s="17">
        <f>IF(AND(123&gt;=$B$14,123&lt;=$D$14),1,0)</f>
        <v/>
      </c>
      <c r="DW39" s="17">
        <f>IF(AND(124&gt;=$B$14,124&lt;=$D$14),1,0)</f>
        <v/>
      </c>
      <c r="DX39" s="17">
        <f>IF(AND(125&gt;=$B$14,125&lt;=$D$14),1,0)</f>
        <v/>
      </c>
      <c r="DY39" s="17">
        <f>IF(AND(126&gt;=$B$14,126&lt;=$D$14),1,0)</f>
        <v/>
      </c>
      <c r="DZ39" s="17">
        <f>IF(AND(127&gt;=$B$14,127&lt;=$D$14),1,0)</f>
        <v/>
      </c>
      <c r="EA39" s="17">
        <f>IF(AND(128&gt;=$B$14,128&lt;=$D$14),1,0)</f>
        <v/>
      </c>
      <c r="EB39" s="17">
        <f>IF(AND(129&gt;=$B$14,129&lt;=$D$14),1,0)</f>
        <v/>
      </c>
      <c r="EC39" s="17">
        <f>IF(AND(130&gt;=$B$14,130&lt;=$D$14),1,0)</f>
        <v/>
      </c>
      <c r="ED39" s="17">
        <f>IF(AND(131&gt;=$B$14,131&lt;=$D$14),1,0)</f>
        <v/>
      </c>
      <c r="EE39" s="17">
        <f>IF(AND(132&gt;=$B$14,132&lt;=$D$14),1,0)</f>
        <v/>
      </c>
      <c r="EF39" s="17">
        <f>IF(AND(133&gt;=$B$14,133&lt;=$D$14),1,0)</f>
        <v/>
      </c>
      <c r="EG39" s="17">
        <f>IF(AND(134&gt;=$B$14,134&lt;=$D$14),1,0)</f>
        <v/>
      </c>
      <c r="EH39" s="17">
        <f>IF(AND(135&gt;=$B$14,135&lt;=$D$14),1,0)</f>
        <v/>
      </c>
      <c r="EI39" s="17">
        <f>IF(AND(136&gt;=$B$14,136&lt;=$D$14),1,0)</f>
        <v/>
      </c>
      <c r="EJ39" s="17">
        <f>IF(AND(137&gt;=$B$14,137&lt;=$D$14),1,0)</f>
        <v/>
      </c>
      <c r="EK39" s="17">
        <f>IF(AND(138&gt;=$B$14,138&lt;=$D$14),1,0)</f>
        <v/>
      </c>
      <c r="EL39" s="17">
        <f>IF(AND(139&gt;=$B$14,139&lt;=$D$14),1,0)</f>
        <v/>
      </c>
      <c r="EM39" s="17">
        <f>IF(AND(140&gt;=$B$14,140&lt;=$D$14),1,0)</f>
        <v/>
      </c>
      <c r="EN39" s="17">
        <f>IF(AND(141&gt;=$B$14,141&lt;=$D$14),1,0)</f>
        <v/>
      </c>
      <c r="EO39" s="17">
        <f>IF(AND(142&gt;=$B$14,142&lt;=$D$14),1,0)</f>
        <v/>
      </c>
      <c r="EP39" s="17">
        <f>IF(AND(143&gt;=$B$14,143&lt;=$D$14),1,0)</f>
        <v/>
      </c>
      <c r="EQ39" s="17">
        <f>IF(AND(144&gt;=$B$14,144&lt;=$D$14),1,0)</f>
        <v/>
      </c>
      <c r="ER39" s="17">
        <f>IF(AND(145&gt;=$B$14,145&lt;=$D$14),1,0)</f>
        <v/>
      </c>
      <c r="ES39" s="17">
        <f>IF(AND(146&gt;=$B$14,146&lt;=$D$14),1,0)</f>
        <v/>
      </c>
      <c r="ET39" s="17">
        <f>IF(AND(147&gt;=$B$14,147&lt;=$D$14),1,0)</f>
        <v/>
      </c>
      <c r="EU39" s="17">
        <f>IF(AND(148&gt;=$B$14,148&lt;=$D$14),1,0)</f>
        <v/>
      </c>
      <c r="EV39" s="17">
        <f>IF(AND(149&gt;=$B$14,149&lt;=$D$14),1,0)</f>
        <v/>
      </c>
      <c r="EW39" s="17">
        <f>IF(AND(150&gt;=$B$14,150&lt;=$D$14),1,0)</f>
        <v/>
      </c>
      <c r="EX39" s="17">
        <f>IF(AND(151&gt;=$B$14,151&lt;=$D$14),1,0)</f>
        <v/>
      </c>
      <c r="EY39" s="17">
        <f>IF(AND(152&gt;=$B$14,152&lt;=$D$14),1,0)</f>
        <v/>
      </c>
      <c r="EZ39" s="17">
        <f>IF(AND(153&gt;=$B$14,153&lt;=$D$14),1,0)</f>
        <v/>
      </c>
      <c r="FA39" s="17">
        <f>IF(AND(154&gt;=$B$14,154&lt;=$D$14),1,0)</f>
        <v/>
      </c>
      <c r="FB39" s="17">
        <f>IF(AND(155&gt;=$B$14,155&lt;=$D$14),1,0)</f>
        <v/>
      </c>
      <c r="FC39" s="17">
        <f>IF(AND(156&gt;=$B$14,156&lt;=$D$14),1,0)</f>
        <v/>
      </c>
      <c r="FD39" s="17">
        <f>IF(AND(157&gt;=$B$14,157&lt;=$D$14),1,0)</f>
        <v/>
      </c>
      <c r="FE39" s="17">
        <f>IF(AND(158&gt;=$B$14,158&lt;=$D$14),1,0)</f>
        <v/>
      </c>
      <c r="FF39" s="17">
        <f>IF(AND(159&gt;=$B$14,159&lt;=$D$14),1,0)</f>
        <v/>
      </c>
      <c r="FG39" s="17">
        <f>IF(AND(160&gt;=$B$14,160&lt;=$D$14),1,0)</f>
        <v/>
      </c>
      <c r="FH39" s="17">
        <f>IF(AND(161&gt;=$B$14,161&lt;=$D$14),1,0)</f>
        <v/>
      </c>
      <c r="FI39" s="17">
        <f>IF(AND(162&gt;=$B$14,162&lt;=$D$14),1,0)</f>
        <v/>
      </c>
      <c r="FJ39" s="17">
        <f>IF(AND(163&gt;=$B$14,163&lt;=$D$14),1,0)</f>
        <v/>
      </c>
      <c r="FK39" s="17">
        <f>IF(AND(164&gt;=$B$14,164&lt;=$D$14),1,0)</f>
        <v/>
      </c>
      <c r="FL39" s="17">
        <f>IF(AND(165&gt;=$B$14,165&lt;=$D$14),1,0)</f>
        <v/>
      </c>
      <c r="FM39" s="17">
        <f>IF(AND(166&gt;=$B$14,166&lt;=$D$14),1,0)</f>
        <v/>
      </c>
      <c r="FN39" s="17">
        <f>IF(AND(167&gt;=$B$14,167&lt;=$D$14),1,0)</f>
        <v/>
      </c>
      <c r="FO39" s="17">
        <f>IF(AND(168&gt;=$B$14,168&lt;=$D$14),1,0)</f>
        <v/>
      </c>
      <c r="FP39" s="17">
        <f>IF(AND(169&gt;=$B$14,169&lt;=$D$14),1,0)</f>
        <v/>
      </c>
      <c r="FQ39" s="17">
        <f>IF(AND(170&gt;=$B$14,170&lt;=$D$14),1,0)</f>
        <v/>
      </c>
      <c r="FR39" s="17">
        <f>IF(AND(171&gt;=$B$14,171&lt;=$D$14),1,0)</f>
        <v/>
      </c>
      <c r="FS39" s="17">
        <f>IF(AND(172&gt;=$B$14,172&lt;=$D$14),1,0)</f>
        <v/>
      </c>
      <c r="FT39" s="17">
        <f>IF(AND(173&gt;=$B$14,173&lt;=$D$14),1,0)</f>
        <v/>
      </c>
      <c r="FU39" s="17">
        <f>IF(AND(174&gt;=$B$14,174&lt;=$D$14),1,0)</f>
        <v/>
      </c>
      <c r="FV39" s="17">
        <f>IF(AND(175&gt;=$B$14,175&lt;=$D$14),1,0)</f>
        <v/>
      </c>
      <c r="FW39" s="17">
        <f>IF(AND(176&gt;=$B$14,176&lt;=$D$14),1,0)</f>
        <v/>
      </c>
      <c r="FX39" s="17">
        <f>IF(AND(177&gt;=$B$14,177&lt;=$D$14),1,0)</f>
        <v/>
      </c>
      <c r="FY39" s="17">
        <f>IF(AND(178&gt;=$B$14,178&lt;=$D$14),1,0)</f>
        <v/>
      </c>
      <c r="FZ39" s="17">
        <f>IF(AND(179&gt;=$B$14,179&lt;=$D$14),1,0)</f>
        <v/>
      </c>
      <c r="GA39" s="17">
        <f>IF(AND(180&gt;=$B$14,180&lt;=$D$14),1,0)</f>
        <v/>
      </c>
      <c r="GB39" s="17">
        <f>IF(AND(181&gt;=$B$14,181&lt;=$D$14),1,0)</f>
        <v/>
      </c>
      <c r="GC39" s="17">
        <f>IF(AND(182&gt;=$B$14,182&lt;=$D$14),1,0)</f>
        <v/>
      </c>
      <c r="GD39" s="17">
        <f>IF(AND(183&gt;=$B$14,183&lt;=$D$14),1,0)</f>
        <v/>
      </c>
      <c r="GE39" s="17">
        <f>IF(AND(184&gt;=$B$14,184&lt;=$D$14),1,0)</f>
        <v/>
      </c>
      <c r="GF39" s="17">
        <f>IF(AND(185&gt;=$B$14,185&lt;=$D$14),1,0)</f>
        <v/>
      </c>
      <c r="GG39" s="17">
        <f>IF(AND(186&gt;=$B$14,186&lt;=$D$14),1,0)</f>
        <v/>
      </c>
      <c r="GH39" s="17">
        <f>IF(AND(187&gt;=$B$14,187&lt;=$D$14),1,0)</f>
        <v/>
      </c>
      <c r="GI39" s="17">
        <f>IF(AND(188&gt;=$B$14,188&lt;=$D$14),1,0)</f>
        <v/>
      </c>
      <c r="GJ39" s="17">
        <f>IF(AND(189&gt;=$B$14,189&lt;=$D$14),1,0)</f>
        <v/>
      </c>
      <c r="GK39" s="17">
        <f>IF(AND(190&gt;=$B$14,190&lt;=$D$14),1,0)</f>
        <v/>
      </c>
      <c r="GL39" s="17">
        <f>IF(AND(191&gt;=$B$14,191&lt;=$D$14),1,0)</f>
        <v/>
      </c>
      <c r="GM39" s="17">
        <f>IF(AND(192&gt;=$B$14,192&lt;=$D$14),1,0)</f>
        <v/>
      </c>
      <c r="GN39" s="17">
        <f>IF(AND(193&gt;=$B$14,193&lt;=$D$14),1,0)</f>
        <v/>
      </c>
      <c r="GO39" s="17">
        <f>IF(AND(194&gt;=$B$14,194&lt;=$D$14),1,0)</f>
        <v/>
      </c>
      <c r="GP39" s="17">
        <f>IF(AND(195&gt;=$B$14,195&lt;=$D$14),1,0)</f>
        <v/>
      </c>
      <c r="GQ39" s="17">
        <f>IF(AND(196&gt;=$B$14,196&lt;=$D$14),1,0)</f>
        <v/>
      </c>
      <c r="GR39" s="17">
        <f>IF(AND(197&gt;=$B$14,197&lt;=$D$14),1,0)</f>
        <v/>
      </c>
      <c r="GS39" s="17">
        <f>IF(AND(198&gt;=$B$14,198&lt;=$D$14),1,0)</f>
        <v/>
      </c>
      <c r="GT39" s="17">
        <f>IF(AND(199&gt;=$B$14,199&lt;=$D$14),1,0)</f>
        <v/>
      </c>
      <c r="GU39" s="17">
        <f>IF(AND(200&gt;=$B$14,200&lt;=$D$14),1,0)</f>
        <v/>
      </c>
      <c r="GV39" s="17">
        <f>IF(AND(201&gt;=$B$14,201&lt;=$D$14),1,0)</f>
        <v/>
      </c>
      <c r="GW39" s="17">
        <f>IF(AND(202&gt;=$B$14,202&lt;=$D$14),1,0)</f>
        <v/>
      </c>
      <c r="GX39" s="17">
        <f>IF(AND(203&gt;=$B$14,203&lt;=$D$14),1,0)</f>
        <v/>
      </c>
      <c r="GY39" s="17">
        <f>IF(AND(204&gt;=$B$14,204&lt;=$D$14),1,0)</f>
        <v/>
      </c>
      <c r="GZ39" s="17">
        <f>IF(AND(205&gt;=$B$14,205&lt;=$D$14),1,0)</f>
        <v/>
      </c>
      <c r="HA39" s="17">
        <f>IF(AND(206&gt;=$B$14,206&lt;=$D$14),1,0)</f>
        <v/>
      </c>
      <c r="HB39" s="17">
        <f>IF(AND(207&gt;=$B$14,207&lt;=$D$14),1,0)</f>
        <v/>
      </c>
      <c r="HC39" s="17">
        <f>IF(AND(208&gt;=$B$14,208&lt;=$D$14),1,0)</f>
        <v/>
      </c>
      <c r="HD39" s="17">
        <f>IF(AND(209&gt;=$B$14,209&lt;=$D$14),1,0)</f>
        <v/>
      </c>
      <c r="HE39" s="17">
        <f>IF(AND(210&gt;=$B$14,210&lt;=$D$14),1,0)</f>
        <v/>
      </c>
      <c r="HF39" s="17">
        <f>IF(AND(211&gt;=$B$14,211&lt;=$D$14),1,0)</f>
        <v/>
      </c>
      <c r="HG39" s="17">
        <f>IF(AND(212&gt;=$B$14,212&lt;=$D$14),1,0)</f>
        <v/>
      </c>
      <c r="HH39" s="17">
        <f>IF(AND(213&gt;=$B$14,213&lt;=$D$14),1,0)</f>
        <v/>
      </c>
      <c r="HI39" s="17">
        <f>IF(AND(214&gt;=$B$14,214&lt;=$D$14),1,0)</f>
        <v/>
      </c>
      <c r="HJ39" s="17">
        <f>IF(AND(215&gt;=$B$14,215&lt;=$D$14),1,0)</f>
        <v/>
      </c>
      <c r="HK39" s="17">
        <f>IF(AND(216&gt;=$B$14,216&lt;=$D$14),1,0)</f>
        <v/>
      </c>
      <c r="HL39" s="17">
        <f>IF(AND(217&gt;=$B$14,217&lt;=$D$14),1,0)</f>
        <v/>
      </c>
      <c r="HM39" s="17">
        <f>IF(AND(218&gt;=$B$14,218&lt;=$D$14),1,0)</f>
        <v/>
      </c>
      <c r="HN39" s="17">
        <f>IF(AND(219&gt;=$B$14,219&lt;=$D$14),1,0)</f>
        <v/>
      </c>
      <c r="HO39" s="17">
        <f>IF(AND(220&gt;=$B$14,220&lt;=$D$14),1,0)</f>
        <v/>
      </c>
      <c r="HP39" s="17">
        <f>IF(AND(221&gt;=$B$14,221&lt;=$D$14),1,0)</f>
        <v/>
      </c>
      <c r="HQ39" s="17">
        <f>IF(AND(222&gt;=$B$14,222&lt;=$D$14),1,0)</f>
        <v/>
      </c>
      <c r="HR39" s="17">
        <f>IF(AND(223&gt;=$B$14,223&lt;=$D$14),1,0)</f>
        <v/>
      </c>
      <c r="HS39" s="17">
        <f>IF(AND(224&gt;=$B$14,224&lt;=$D$14),1,0)</f>
        <v/>
      </c>
      <c r="HT39" s="17">
        <f>IF(AND(225&gt;=$B$14,225&lt;=$D$14),1,0)</f>
        <v/>
      </c>
      <c r="HU39" s="17">
        <f>IF(AND(226&gt;=$B$14,226&lt;=$D$14),1,0)</f>
        <v/>
      </c>
      <c r="HV39" s="17">
        <f>IF(AND(227&gt;=$B$14,227&lt;=$D$14),1,0)</f>
        <v/>
      </c>
      <c r="HW39" s="17">
        <f>IF(AND(228&gt;=$B$14,228&lt;=$D$14),1,0)</f>
        <v/>
      </c>
      <c r="HX39" s="17">
        <f>IF(AND(229&gt;=$B$14,229&lt;=$D$14),1,0)</f>
        <v/>
      </c>
      <c r="HY39" s="17">
        <f>IF(AND(230&gt;=$B$14,230&lt;=$D$14),1,0)</f>
        <v/>
      </c>
      <c r="HZ39" s="17">
        <f>IF(AND(231&gt;=$B$14,231&lt;=$D$14),1,0)</f>
        <v/>
      </c>
      <c r="IA39" s="17">
        <f>IF(AND(232&gt;=$B$14,232&lt;=$D$14),1,0)</f>
        <v/>
      </c>
      <c r="IB39" s="17">
        <f>IF(AND(233&gt;=$B$14,233&lt;=$D$14),1,0)</f>
        <v/>
      </c>
      <c r="IC39" s="17">
        <f>IF(AND(234&gt;=$B$14,234&lt;=$D$14),1,0)</f>
        <v/>
      </c>
      <c r="ID39" s="17">
        <f>IF(AND(235&gt;=$B$14,235&lt;=$D$14),1,0)</f>
        <v/>
      </c>
      <c r="IE39" s="17">
        <f>IF(AND(236&gt;=$B$14,236&lt;=$D$14),1,0)</f>
        <v/>
      </c>
      <c r="IF39" s="17">
        <f>IF(AND(237&gt;=$B$14,237&lt;=$D$14),1,0)</f>
        <v/>
      </c>
      <c r="IG39" s="17">
        <f>IF(AND(238&gt;=$B$14,238&lt;=$D$14),1,0)</f>
        <v/>
      </c>
      <c r="IH39" s="17">
        <f>IF(AND(239&gt;=$B$14,239&lt;=$D$14),1,0)</f>
        <v/>
      </c>
      <c r="II39" s="17">
        <f>IF(AND(240&gt;=$B$14,240&lt;=$D$14),1,0)</f>
        <v/>
      </c>
      <c r="IJ39" s="17">
        <f>IF(AND(241&gt;=$B$14,241&lt;=$D$14),1,0)</f>
        <v/>
      </c>
      <c r="IK39" s="17">
        <f>IF(AND(242&gt;=$B$14,242&lt;=$D$14),1,0)</f>
        <v/>
      </c>
      <c r="IL39" s="17">
        <f>IF(AND(243&gt;=$B$14,243&lt;=$D$14),1,0)</f>
        <v/>
      </c>
      <c r="IM39" s="17">
        <f>IF(AND(244&gt;=$B$14,244&lt;=$D$14),1,0)</f>
        <v/>
      </c>
      <c r="IN39" s="17">
        <f>IF(AND(245&gt;=$B$14,245&lt;=$D$14),1,0)</f>
        <v/>
      </c>
      <c r="IO39" s="17">
        <f>IF(AND(246&gt;=$B$14,246&lt;=$D$14),1,0)</f>
        <v/>
      </c>
      <c r="IP39" s="17">
        <f>IF(AND(247&gt;=$B$14,247&lt;=$D$14),1,0)</f>
        <v/>
      </c>
      <c r="IQ39" s="17">
        <f>IF(AND(248&gt;=$B$14,248&lt;=$D$14),1,0)</f>
        <v/>
      </c>
      <c r="IR39" s="17">
        <f>IF(AND(249&gt;=$B$14,249&lt;=$D$14),1,0)</f>
        <v/>
      </c>
      <c r="IS39" s="17">
        <f>IF(AND(250&gt;=$B$14,250&lt;=$D$14),1,0)</f>
        <v/>
      </c>
      <c r="IT39" s="17">
        <f>IF(AND(251&gt;=$B$14,251&lt;=$D$14),1,0)</f>
        <v/>
      </c>
      <c r="IU39" s="17">
        <f>IF(AND(252&gt;=$B$14,252&lt;=$D$14),1,0)</f>
        <v/>
      </c>
      <c r="IV39" s="17">
        <f>IF(AND(253&gt;=$B$14,253&lt;=$D$14),1,0)</f>
        <v/>
      </c>
      <c r="IW39" s="17">
        <f>IF(AND(254&gt;=$B$14,254&lt;=$D$14),1,0)</f>
        <v/>
      </c>
      <c r="IX39" s="17">
        <f>IF(AND(255&gt;=$B$14,255&lt;=$D$14),1,0)</f>
        <v/>
      </c>
      <c r="IY39" s="17">
        <f>IF(AND(256&gt;=$B$14,256&lt;=$D$14),1,0)</f>
        <v/>
      </c>
      <c r="IZ39" s="17">
        <f>IF(AND(257&gt;=$B$14,257&lt;=$D$14),1,0)</f>
        <v/>
      </c>
      <c r="JA39" s="17">
        <f>IF(AND(258&gt;=$B$14,258&lt;=$D$14),1,0)</f>
        <v/>
      </c>
      <c r="JB39" s="17">
        <f>IF(AND(259&gt;=$B$14,259&lt;=$D$14),1,0)</f>
        <v/>
      </c>
      <c r="JC39" s="17">
        <f>IF(AND(260&gt;=$B$14,260&lt;=$D$14),1,0)</f>
        <v/>
      </c>
      <c r="JD39" s="17">
        <f>IF(AND(261&gt;=$B$14,261&lt;=$D$14),1,0)</f>
        <v/>
      </c>
      <c r="JE39" s="17">
        <f>IF(AND(262&gt;=$B$14,262&lt;=$D$14),1,0)</f>
        <v/>
      </c>
      <c r="JF39" s="17">
        <f>IF(AND(263&gt;=$B$14,263&lt;=$D$14),1,0)</f>
        <v/>
      </c>
      <c r="JG39" s="17">
        <f>IF(AND(264&gt;=$B$14,264&lt;=$D$14),1,0)</f>
        <v/>
      </c>
      <c r="JH39" s="17">
        <f>IF(AND(265&gt;=$B$14,265&lt;=$D$14),1,0)</f>
        <v/>
      </c>
      <c r="JI39" s="17">
        <f>IF(AND(266&gt;=$B$14,266&lt;=$D$14),1,0)</f>
        <v/>
      </c>
      <c r="JJ39" s="17">
        <f>IF(AND(267&gt;=$B$14,267&lt;=$D$14),1,0)</f>
        <v/>
      </c>
      <c r="JK39" s="17">
        <f>IF(AND(268&gt;=$B$14,268&lt;=$D$14),1,0)</f>
        <v/>
      </c>
      <c r="JL39" s="17">
        <f>IF(AND(269&gt;=$B$14,269&lt;=$D$14),1,0)</f>
        <v/>
      </c>
      <c r="JM39" s="17">
        <f>IF(AND(270&gt;=$B$14,270&lt;=$D$14),1,0)</f>
        <v/>
      </c>
      <c r="JN39" s="17">
        <f>IF(AND(271&gt;=$B$14,271&lt;=$D$14),1,0)</f>
        <v/>
      </c>
      <c r="JO39" s="17">
        <f>IF(AND(272&gt;=$B$14,272&lt;=$D$14),1,0)</f>
        <v/>
      </c>
      <c r="JP39" s="17">
        <f>IF(AND(273&gt;=$B$14,273&lt;=$D$14),1,0)</f>
        <v/>
      </c>
      <c r="JQ39" s="17">
        <f>IF(AND(274&gt;=$B$14,274&lt;=$D$14),1,0)</f>
        <v/>
      </c>
      <c r="JR39" s="17">
        <f>IF(AND(275&gt;=$B$14,275&lt;=$D$14),1,0)</f>
        <v/>
      </c>
      <c r="JS39" s="17">
        <f>IF(AND(276&gt;=$B$14,276&lt;=$D$14),1,0)</f>
        <v/>
      </c>
      <c r="JT39" s="17">
        <f>IF(AND(277&gt;=$B$14,277&lt;=$D$14),1,0)</f>
        <v/>
      </c>
      <c r="JU39" s="17">
        <f>IF(AND(278&gt;=$B$14,278&lt;=$D$14),1,0)</f>
        <v/>
      </c>
      <c r="JV39" s="17">
        <f>IF(AND(279&gt;=$B$14,279&lt;=$D$14),1,0)</f>
        <v/>
      </c>
      <c r="JW39" s="17">
        <f>IF(AND(280&gt;=$B$14,280&lt;=$D$14),1,0)</f>
        <v/>
      </c>
      <c r="JX39" s="17">
        <f>IF(AND(281&gt;=$B$14,281&lt;=$D$14),1,0)</f>
        <v/>
      </c>
      <c r="JY39" s="17">
        <f>IF(AND(282&gt;=$B$14,282&lt;=$D$14),1,0)</f>
        <v/>
      </c>
      <c r="JZ39" s="17">
        <f>IF(AND(283&gt;=$B$14,283&lt;=$D$14),1,0)</f>
        <v/>
      </c>
      <c r="KA39" s="17">
        <f>IF(AND(284&gt;=$B$14,284&lt;=$D$14),1,0)</f>
        <v/>
      </c>
      <c r="KB39" s="17">
        <f>IF(AND(285&gt;=$B$14,285&lt;=$D$14),1,0)</f>
        <v/>
      </c>
      <c r="KC39" s="17">
        <f>IF(AND(286&gt;=$B$14,286&lt;=$D$14),1,0)</f>
        <v/>
      </c>
      <c r="KD39" s="17">
        <f>IF(AND(287&gt;=$B$14,287&lt;=$D$14),1,0)</f>
        <v/>
      </c>
      <c r="KE39" s="17">
        <f>IF(AND(288&gt;=$B$14,288&lt;=$D$14),1,0)</f>
        <v/>
      </c>
      <c r="KF39" s="17">
        <f>IF(AND(289&gt;=$B$14,289&lt;=$D$14),1,0)</f>
        <v/>
      </c>
      <c r="KG39" s="17">
        <f>IF(AND(290&gt;=$B$14,290&lt;=$D$14),1,0)</f>
        <v/>
      </c>
      <c r="KH39" s="17">
        <f>IF(AND(291&gt;=$B$14,291&lt;=$D$14),1,0)</f>
        <v/>
      </c>
      <c r="KI39" s="17">
        <f>IF(AND(292&gt;=$B$14,292&lt;=$D$14),1,0)</f>
        <v/>
      </c>
      <c r="KJ39" s="17">
        <f>IF(AND(293&gt;=$B$14,293&lt;=$D$14),1,0)</f>
        <v/>
      </c>
      <c r="KK39" s="17">
        <f>IF(AND(294&gt;=$B$14,294&lt;=$D$14),1,0)</f>
        <v/>
      </c>
      <c r="KL39" s="17">
        <f>IF(AND(295&gt;=$B$14,295&lt;=$D$14),1,0)</f>
        <v/>
      </c>
      <c r="KM39" s="17">
        <f>IF(AND(296&gt;=$B$14,296&lt;=$D$14),1,0)</f>
        <v/>
      </c>
      <c r="KN39" s="17">
        <f>IF(AND(297&gt;=$B$14,297&lt;=$D$14),1,0)</f>
        <v/>
      </c>
      <c r="KO39" s="17">
        <f>IF(AND(298&gt;=$B$14,298&lt;=$D$14),1,0)</f>
        <v/>
      </c>
      <c r="KP39" s="17">
        <f>IF(AND(299&gt;=$B$14,299&lt;=$D$14),1,0)</f>
        <v/>
      </c>
      <c r="KQ39" s="17">
        <f>IF(AND(300&gt;=$B$14,300&lt;=$D$14),1,0)</f>
        <v/>
      </c>
      <c r="KR39" s="17">
        <f>IF(AND(301&gt;=$B$14,301&lt;=$D$14),1,0)</f>
        <v/>
      </c>
      <c r="KS39" s="17">
        <f>IF(AND(302&gt;=$B$14,302&lt;=$D$14),1,0)</f>
        <v/>
      </c>
      <c r="KT39" s="17">
        <f>IF(AND(303&gt;=$B$14,303&lt;=$D$14),1,0)</f>
        <v/>
      </c>
      <c r="KU39" s="17">
        <f>IF(AND(304&gt;=$B$14,304&lt;=$D$14),1,0)</f>
        <v/>
      </c>
      <c r="KV39" s="17">
        <f>IF(AND(305&gt;=$B$14,305&lt;=$D$14),1,0)</f>
        <v/>
      </c>
      <c r="KW39" s="17">
        <f>IF(AND(306&gt;=$B$14,306&lt;=$D$14),1,0)</f>
        <v/>
      </c>
      <c r="KX39" s="17">
        <f>IF(AND(307&gt;=$B$14,307&lt;=$D$14),1,0)</f>
        <v/>
      </c>
      <c r="KY39" s="17">
        <f>IF(AND(308&gt;=$B$14,308&lt;=$D$14),1,0)</f>
        <v/>
      </c>
      <c r="KZ39" s="17">
        <f>IF(AND(309&gt;=$B$14,309&lt;=$D$14),1,0)</f>
        <v/>
      </c>
      <c r="LA39" s="17">
        <f>IF(AND(310&gt;=$B$14,310&lt;=$D$14),1,0)</f>
        <v/>
      </c>
      <c r="LB39" s="17">
        <f>IF(AND(311&gt;=$B$14,311&lt;=$D$14),1,0)</f>
        <v/>
      </c>
      <c r="LC39" s="17">
        <f>IF(AND(312&gt;=$B$14,312&lt;=$D$14),1,0)</f>
        <v/>
      </c>
      <c r="LD39" s="17">
        <f>IF(AND(313&gt;=$B$14,313&lt;=$D$14),1,0)</f>
        <v/>
      </c>
      <c r="LE39" s="17">
        <f>IF(AND(314&gt;=$B$14,314&lt;=$D$14),1,0)</f>
        <v/>
      </c>
      <c r="LF39" s="17">
        <f>IF(AND(315&gt;=$B$14,315&lt;=$D$14),1,0)</f>
        <v/>
      </c>
      <c r="LG39" s="17">
        <f>IF(AND(316&gt;=$B$14,316&lt;=$D$14),1,0)</f>
        <v/>
      </c>
      <c r="LH39" s="17">
        <f>IF(AND(317&gt;=$B$14,317&lt;=$D$14),1,0)</f>
        <v/>
      </c>
      <c r="LI39" s="17">
        <f>IF(AND(318&gt;=$B$14,318&lt;=$D$14),1,0)</f>
        <v/>
      </c>
      <c r="LJ39" s="17">
        <f>IF(AND(319&gt;=$B$14,319&lt;=$D$14),1,0)</f>
        <v/>
      </c>
      <c r="LK39" s="17">
        <f>IF(AND(320&gt;=$B$14,320&lt;=$D$14),1,0)</f>
        <v/>
      </c>
      <c r="LL39" s="17">
        <f>IF(AND(321&gt;=$B$14,321&lt;=$D$14),1,0)</f>
        <v/>
      </c>
      <c r="LM39" s="17">
        <f>IF(AND(322&gt;=$B$14,322&lt;=$D$14),1,0)</f>
        <v/>
      </c>
      <c r="LN39" s="17">
        <f>IF(AND(323&gt;=$B$14,323&lt;=$D$14),1,0)</f>
        <v/>
      </c>
      <c r="LO39" s="17">
        <f>IF(AND(324&gt;=$B$14,324&lt;=$D$14),1,0)</f>
        <v/>
      </c>
      <c r="LP39" s="17">
        <f>IF(AND(325&gt;=$B$14,325&lt;=$D$14),1,0)</f>
        <v/>
      </c>
      <c r="LQ39" s="17">
        <f>IF(AND(326&gt;=$B$14,326&lt;=$D$14),1,0)</f>
        <v/>
      </c>
      <c r="LR39" s="17">
        <f>IF(AND(327&gt;=$B$14,327&lt;=$D$14),1,0)</f>
        <v/>
      </c>
      <c r="LS39" s="17">
        <f>IF(AND(328&gt;=$B$14,328&lt;=$D$14),1,0)</f>
        <v/>
      </c>
      <c r="LT39" s="17">
        <f>IF(AND(329&gt;=$B$14,329&lt;=$D$14),1,0)</f>
        <v/>
      </c>
      <c r="LU39" s="17">
        <f>IF(AND(330&gt;=$B$14,330&lt;=$D$14),1,0)</f>
        <v/>
      </c>
      <c r="LV39" s="17">
        <f>IF(AND(331&gt;=$B$14,331&lt;=$D$14),1,0)</f>
        <v/>
      </c>
      <c r="LW39" s="17">
        <f>IF(AND(332&gt;=$B$14,332&lt;=$D$14),1,0)</f>
        <v/>
      </c>
      <c r="LX39" s="17">
        <f>IF(AND(333&gt;=$B$14,333&lt;=$D$14),1,0)</f>
        <v/>
      </c>
      <c r="LY39" s="17">
        <f>IF(AND(334&gt;=$B$14,334&lt;=$D$14),1,0)</f>
        <v/>
      </c>
      <c r="LZ39" s="17">
        <f>IF(AND(335&gt;=$B$14,335&lt;=$D$14),1,0)</f>
        <v/>
      </c>
      <c r="MA39" s="17">
        <f>IF(AND(336&gt;=$B$14,336&lt;=$D$14),1,0)</f>
        <v/>
      </c>
      <c r="MB39" s="17">
        <f>IF(AND(337&gt;=$B$14,337&lt;=$D$14),1,0)</f>
        <v/>
      </c>
      <c r="MC39" s="17">
        <f>IF(AND(338&gt;=$B$14,338&lt;=$D$14),1,0)</f>
        <v/>
      </c>
      <c r="MD39" s="17">
        <f>IF(AND(339&gt;=$B$14,339&lt;=$D$14),1,0)</f>
        <v/>
      </c>
      <c r="ME39" s="17">
        <f>IF(AND(340&gt;=$B$14,340&lt;=$D$14),1,0)</f>
        <v/>
      </c>
      <c r="MF39" s="17">
        <f>IF(AND(341&gt;=$B$14,341&lt;=$D$14),1,0)</f>
        <v/>
      </c>
      <c r="MG39" s="17">
        <f>IF(AND(342&gt;=$B$14,342&lt;=$D$14),1,0)</f>
        <v/>
      </c>
      <c r="MH39" s="17">
        <f>IF(AND(343&gt;=$B$14,343&lt;=$D$14),1,0)</f>
        <v/>
      </c>
      <c r="MI39" s="17">
        <f>IF(AND(344&gt;=$B$14,344&lt;=$D$14),1,0)</f>
        <v/>
      </c>
      <c r="MJ39" s="17">
        <f>IF(AND(345&gt;=$B$14,345&lt;=$D$14),1,0)</f>
        <v/>
      </c>
      <c r="MK39" s="17">
        <f>IF(AND(346&gt;=$B$14,346&lt;=$D$14),1,0)</f>
        <v/>
      </c>
      <c r="ML39" s="17">
        <f>IF(AND(347&gt;=$B$14,347&lt;=$D$14),1,0)</f>
        <v/>
      </c>
      <c r="MM39" s="17">
        <f>IF(AND(348&gt;=$B$14,348&lt;=$D$14),1,0)</f>
        <v/>
      </c>
      <c r="MN39" s="17">
        <f>IF(AND(349&gt;=$B$14,349&lt;=$D$14),1,0)</f>
        <v/>
      </c>
      <c r="MO39" s="17">
        <f>IF(AND(350&gt;=$B$14,350&lt;=$D$14),1,0)</f>
        <v/>
      </c>
      <c r="MP39" s="17">
        <f>IF(AND(351&gt;=$B$14,351&lt;=$D$14),1,0)</f>
        <v/>
      </c>
      <c r="MQ39" s="17">
        <f>IF(AND(352&gt;=$B$14,352&lt;=$D$14),1,0)</f>
        <v/>
      </c>
      <c r="MR39" s="17">
        <f>IF(AND(353&gt;=$B$14,353&lt;=$D$14),1,0)</f>
        <v/>
      </c>
      <c r="MS39" s="17">
        <f>IF(AND(354&gt;=$B$14,354&lt;=$D$14),1,0)</f>
        <v/>
      </c>
      <c r="MT39" s="17">
        <f>IF(AND(355&gt;=$B$14,355&lt;=$D$14),1,0)</f>
        <v/>
      </c>
      <c r="MU39" s="17">
        <f>IF(AND(356&gt;=$B$14,356&lt;=$D$14),1,0)</f>
        <v/>
      </c>
      <c r="MV39" s="17">
        <f>IF(AND(357&gt;=$B$14,357&lt;=$D$14),1,0)</f>
        <v/>
      </c>
      <c r="MW39" s="17">
        <f>IF(AND(358&gt;=$B$14,358&lt;=$D$14),1,0)</f>
        <v/>
      </c>
      <c r="MX39" s="17">
        <f>IF(AND(359&gt;=$B$14,359&lt;=$D$14),1,0)</f>
        <v/>
      </c>
      <c r="MY39" s="17">
        <f>IF(AND(360&gt;=$B$14,360&lt;=$D$14),1,0)</f>
        <v/>
      </c>
      <c r="MZ39" s="17">
        <f>IF(AND(361&gt;=$B$14,361&lt;=$D$14),1,0)</f>
        <v/>
      </c>
      <c r="NA39" s="17">
        <f>IF(AND(362&gt;=$B$14,362&lt;=$D$14),1,0)</f>
        <v/>
      </c>
      <c r="NB39" s="17">
        <f>IF(AND(363&gt;=$B$14,363&lt;=$D$14),1,0)</f>
        <v/>
      </c>
      <c r="NC39" s="17">
        <f>IF(AND(364&gt;=$B$14,364&lt;=$D$14),1,0)</f>
        <v/>
      </c>
      <c r="ND39" s="17">
        <f>IF(AND(365&gt;=$B$14,365&lt;=$D$14),1,0)</f>
        <v/>
      </c>
      <c r="NE39" s="17">
        <f>IF(AND(366&gt;=$B$14,366&lt;=$D$14),1,0)</f>
        <v/>
      </c>
      <c r="NF39" s="17">
        <f>IF(AND(367&gt;=$B$14,367&lt;=$D$14),1,0)</f>
        <v/>
      </c>
      <c r="NG39" s="17">
        <f>IF(AND(368&gt;=$B$14,368&lt;=$D$14),1,0)</f>
        <v/>
      </c>
      <c r="NH39" s="17">
        <f>IF(AND(369&gt;=$B$14,369&lt;=$D$14),1,0)</f>
        <v/>
      </c>
      <c r="NI39" s="17">
        <f>IF(AND(370&gt;=$B$14,370&lt;=$D$14),1,0)</f>
        <v/>
      </c>
      <c r="NJ39" s="17">
        <f>IF(AND(371&gt;=$B$14,371&lt;=$D$14),1,0)</f>
        <v/>
      </c>
      <c r="NK39" s="17">
        <f>IF(AND(372&gt;=$B$14,372&lt;=$D$14),1,0)</f>
        <v/>
      </c>
    </row>
    <row r="40">
      <c r="A40" s="5" t="inlineStr">
        <is>
          <t>Flag: Operations Active</t>
        </is>
      </c>
      <c r="C40" s="40" t="n"/>
      <c r="D40" s="17">
        <f>IF(AND(1&gt;=DeliverStart,1&lt;=DispoMonth),1,0)</f>
        <v/>
      </c>
      <c r="E40" s="17">
        <f>IF(AND(2&gt;=DeliverStart,2&lt;=DispoMonth),1,0)</f>
        <v/>
      </c>
      <c r="F40" s="17">
        <f>IF(AND(3&gt;=DeliverStart,3&lt;=DispoMonth),1,0)</f>
        <v/>
      </c>
      <c r="G40" s="17">
        <f>IF(AND(4&gt;=DeliverStart,4&lt;=DispoMonth),1,0)</f>
        <v/>
      </c>
      <c r="H40" s="17">
        <f>IF(AND(5&gt;=DeliverStart,5&lt;=DispoMonth),1,0)</f>
        <v/>
      </c>
      <c r="I40" s="17">
        <f>IF(AND(6&gt;=DeliverStart,6&lt;=DispoMonth),1,0)</f>
        <v/>
      </c>
      <c r="J40" s="17">
        <f>IF(AND(7&gt;=DeliverStart,7&lt;=DispoMonth),1,0)</f>
        <v/>
      </c>
      <c r="K40" s="17">
        <f>IF(AND(8&gt;=DeliverStart,8&lt;=DispoMonth),1,0)</f>
        <v/>
      </c>
      <c r="L40" s="17">
        <f>IF(AND(9&gt;=DeliverStart,9&lt;=DispoMonth),1,0)</f>
        <v/>
      </c>
      <c r="M40" s="17">
        <f>IF(AND(10&gt;=DeliverStart,10&lt;=DispoMonth),1,0)</f>
        <v/>
      </c>
      <c r="N40" s="17">
        <f>IF(AND(11&gt;=DeliverStart,11&lt;=DispoMonth),1,0)</f>
        <v/>
      </c>
      <c r="O40" s="17">
        <f>IF(AND(12&gt;=DeliverStart,12&lt;=DispoMonth),1,0)</f>
        <v/>
      </c>
      <c r="P40" s="17">
        <f>IF(AND(13&gt;=DeliverStart,13&lt;=DispoMonth),1,0)</f>
        <v/>
      </c>
      <c r="Q40" s="17">
        <f>IF(AND(14&gt;=DeliverStart,14&lt;=DispoMonth),1,0)</f>
        <v/>
      </c>
      <c r="R40" s="17">
        <f>IF(AND(15&gt;=DeliverStart,15&lt;=DispoMonth),1,0)</f>
        <v/>
      </c>
      <c r="S40" s="17">
        <f>IF(AND(16&gt;=DeliverStart,16&lt;=DispoMonth),1,0)</f>
        <v/>
      </c>
      <c r="T40" s="17">
        <f>IF(AND(17&gt;=DeliverStart,17&lt;=DispoMonth),1,0)</f>
        <v/>
      </c>
      <c r="U40" s="17">
        <f>IF(AND(18&gt;=DeliverStart,18&lt;=DispoMonth),1,0)</f>
        <v/>
      </c>
      <c r="V40" s="17">
        <f>IF(AND(19&gt;=DeliverStart,19&lt;=DispoMonth),1,0)</f>
        <v/>
      </c>
      <c r="W40" s="17">
        <f>IF(AND(20&gt;=DeliverStart,20&lt;=DispoMonth),1,0)</f>
        <v/>
      </c>
      <c r="X40" s="17">
        <f>IF(AND(21&gt;=DeliverStart,21&lt;=DispoMonth),1,0)</f>
        <v/>
      </c>
      <c r="Y40" s="17">
        <f>IF(AND(22&gt;=DeliverStart,22&lt;=DispoMonth),1,0)</f>
        <v/>
      </c>
      <c r="Z40" s="17">
        <f>IF(AND(23&gt;=DeliverStart,23&lt;=DispoMonth),1,0)</f>
        <v/>
      </c>
      <c r="AA40" s="17">
        <f>IF(AND(24&gt;=DeliverStart,24&lt;=DispoMonth),1,0)</f>
        <v/>
      </c>
      <c r="AB40" s="17">
        <f>IF(AND(25&gt;=DeliverStart,25&lt;=DispoMonth),1,0)</f>
        <v/>
      </c>
      <c r="AC40" s="17">
        <f>IF(AND(26&gt;=DeliverStart,26&lt;=DispoMonth),1,0)</f>
        <v/>
      </c>
      <c r="AD40" s="17">
        <f>IF(AND(27&gt;=DeliverStart,27&lt;=DispoMonth),1,0)</f>
        <v/>
      </c>
      <c r="AE40" s="17">
        <f>IF(AND(28&gt;=DeliverStart,28&lt;=DispoMonth),1,0)</f>
        <v/>
      </c>
      <c r="AF40" s="17">
        <f>IF(AND(29&gt;=DeliverStart,29&lt;=DispoMonth),1,0)</f>
        <v/>
      </c>
      <c r="AG40" s="17">
        <f>IF(AND(30&gt;=DeliverStart,30&lt;=DispoMonth),1,0)</f>
        <v/>
      </c>
      <c r="AH40" s="17">
        <f>IF(AND(31&gt;=DeliverStart,31&lt;=DispoMonth),1,0)</f>
        <v/>
      </c>
      <c r="AI40" s="17">
        <f>IF(AND(32&gt;=DeliverStart,32&lt;=DispoMonth),1,0)</f>
        <v/>
      </c>
      <c r="AJ40" s="17">
        <f>IF(AND(33&gt;=DeliverStart,33&lt;=DispoMonth),1,0)</f>
        <v/>
      </c>
      <c r="AK40" s="17">
        <f>IF(AND(34&gt;=DeliverStart,34&lt;=DispoMonth),1,0)</f>
        <v/>
      </c>
      <c r="AL40" s="17">
        <f>IF(AND(35&gt;=DeliverStart,35&lt;=DispoMonth),1,0)</f>
        <v/>
      </c>
      <c r="AM40" s="17">
        <f>IF(AND(36&gt;=DeliverStart,36&lt;=DispoMonth),1,0)</f>
        <v/>
      </c>
      <c r="AN40" s="17">
        <f>IF(AND(37&gt;=DeliverStart,37&lt;=DispoMonth),1,0)</f>
        <v/>
      </c>
      <c r="AO40" s="17">
        <f>IF(AND(38&gt;=DeliverStart,38&lt;=DispoMonth),1,0)</f>
        <v/>
      </c>
      <c r="AP40" s="17">
        <f>IF(AND(39&gt;=DeliverStart,39&lt;=DispoMonth),1,0)</f>
        <v/>
      </c>
      <c r="AQ40" s="17">
        <f>IF(AND(40&gt;=DeliverStart,40&lt;=DispoMonth),1,0)</f>
        <v/>
      </c>
      <c r="AR40" s="17">
        <f>IF(AND(41&gt;=DeliverStart,41&lt;=DispoMonth),1,0)</f>
        <v/>
      </c>
      <c r="AS40" s="17">
        <f>IF(AND(42&gt;=DeliverStart,42&lt;=DispoMonth),1,0)</f>
        <v/>
      </c>
      <c r="AT40" s="17">
        <f>IF(AND(43&gt;=DeliverStart,43&lt;=DispoMonth),1,0)</f>
        <v/>
      </c>
      <c r="AU40" s="17">
        <f>IF(AND(44&gt;=DeliverStart,44&lt;=DispoMonth),1,0)</f>
        <v/>
      </c>
      <c r="AV40" s="17">
        <f>IF(AND(45&gt;=DeliverStart,45&lt;=DispoMonth),1,0)</f>
        <v/>
      </c>
      <c r="AW40" s="17">
        <f>IF(AND(46&gt;=DeliverStart,46&lt;=DispoMonth),1,0)</f>
        <v/>
      </c>
      <c r="AX40" s="17">
        <f>IF(AND(47&gt;=DeliverStart,47&lt;=DispoMonth),1,0)</f>
        <v/>
      </c>
      <c r="AY40" s="17">
        <f>IF(AND(48&gt;=DeliverStart,48&lt;=DispoMonth),1,0)</f>
        <v/>
      </c>
      <c r="AZ40" s="17">
        <f>IF(AND(49&gt;=DeliverStart,49&lt;=DispoMonth),1,0)</f>
        <v/>
      </c>
      <c r="BA40" s="17">
        <f>IF(AND(50&gt;=DeliverStart,50&lt;=DispoMonth),1,0)</f>
        <v/>
      </c>
      <c r="BB40" s="17">
        <f>IF(AND(51&gt;=DeliverStart,51&lt;=DispoMonth),1,0)</f>
        <v/>
      </c>
      <c r="BC40" s="17">
        <f>IF(AND(52&gt;=DeliverStart,52&lt;=DispoMonth),1,0)</f>
        <v/>
      </c>
      <c r="BD40" s="17">
        <f>IF(AND(53&gt;=DeliverStart,53&lt;=DispoMonth),1,0)</f>
        <v/>
      </c>
      <c r="BE40" s="17">
        <f>IF(AND(54&gt;=DeliverStart,54&lt;=DispoMonth),1,0)</f>
        <v/>
      </c>
      <c r="BF40" s="17">
        <f>IF(AND(55&gt;=DeliverStart,55&lt;=DispoMonth),1,0)</f>
        <v/>
      </c>
      <c r="BG40" s="17">
        <f>IF(AND(56&gt;=DeliverStart,56&lt;=DispoMonth),1,0)</f>
        <v/>
      </c>
      <c r="BH40" s="17">
        <f>IF(AND(57&gt;=DeliverStart,57&lt;=DispoMonth),1,0)</f>
        <v/>
      </c>
      <c r="BI40" s="17">
        <f>IF(AND(58&gt;=DeliverStart,58&lt;=DispoMonth),1,0)</f>
        <v/>
      </c>
      <c r="BJ40" s="17">
        <f>IF(AND(59&gt;=DeliverStart,59&lt;=DispoMonth),1,0)</f>
        <v/>
      </c>
      <c r="BK40" s="17">
        <f>IF(AND(60&gt;=DeliverStart,60&lt;=DispoMonth),1,0)</f>
        <v/>
      </c>
      <c r="BL40" s="17">
        <f>IF(AND(61&gt;=DeliverStart,61&lt;=DispoMonth),1,0)</f>
        <v/>
      </c>
      <c r="BM40" s="17">
        <f>IF(AND(62&gt;=DeliverStart,62&lt;=DispoMonth),1,0)</f>
        <v/>
      </c>
      <c r="BN40" s="17">
        <f>IF(AND(63&gt;=DeliverStart,63&lt;=DispoMonth),1,0)</f>
        <v/>
      </c>
      <c r="BO40" s="17">
        <f>IF(AND(64&gt;=DeliverStart,64&lt;=DispoMonth),1,0)</f>
        <v/>
      </c>
      <c r="BP40" s="17">
        <f>IF(AND(65&gt;=DeliverStart,65&lt;=DispoMonth),1,0)</f>
        <v/>
      </c>
      <c r="BQ40" s="17">
        <f>IF(AND(66&gt;=DeliverStart,66&lt;=DispoMonth),1,0)</f>
        <v/>
      </c>
      <c r="BR40" s="17">
        <f>IF(AND(67&gt;=DeliverStart,67&lt;=DispoMonth),1,0)</f>
        <v/>
      </c>
      <c r="BS40" s="17">
        <f>IF(AND(68&gt;=DeliverStart,68&lt;=DispoMonth),1,0)</f>
        <v/>
      </c>
      <c r="BT40" s="17">
        <f>IF(AND(69&gt;=DeliverStart,69&lt;=DispoMonth),1,0)</f>
        <v/>
      </c>
      <c r="BU40" s="17">
        <f>IF(AND(70&gt;=DeliverStart,70&lt;=DispoMonth),1,0)</f>
        <v/>
      </c>
      <c r="BV40" s="17">
        <f>IF(AND(71&gt;=DeliverStart,71&lt;=DispoMonth),1,0)</f>
        <v/>
      </c>
      <c r="BW40" s="17">
        <f>IF(AND(72&gt;=DeliverStart,72&lt;=DispoMonth),1,0)</f>
        <v/>
      </c>
      <c r="BX40" s="17">
        <f>IF(AND(73&gt;=DeliverStart,73&lt;=DispoMonth),1,0)</f>
        <v/>
      </c>
      <c r="BY40" s="17">
        <f>IF(AND(74&gt;=DeliverStart,74&lt;=DispoMonth),1,0)</f>
        <v/>
      </c>
      <c r="BZ40" s="17">
        <f>IF(AND(75&gt;=DeliverStart,75&lt;=DispoMonth),1,0)</f>
        <v/>
      </c>
      <c r="CA40" s="17">
        <f>IF(AND(76&gt;=DeliverStart,76&lt;=DispoMonth),1,0)</f>
        <v/>
      </c>
      <c r="CB40" s="17">
        <f>IF(AND(77&gt;=DeliverStart,77&lt;=DispoMonth),1,0)</f>
        <v/>
      </c>
      <c r="CC40" s="17">
        <f>IF(AND(78&gt;=DeliverStart,78&lt;=DispoMonth),1,0)</f>
        <v/>
      </c>
      <c r="CD40" s="17">
        <f>IF(AND(79&gt;=DeliverStart,79&lt;=DispoMonth),1,0)</f>
        <v/>
      </c>
      <c r="CE40" s="17">
        <f>IF(AND(80&gt;=DeliverStart,80&lt;=DispoMonth),1,0)</f>
        <v/>
      </c>
      <c r="CF40" s="17">
        <f>IF(AND(81&gt;=DeliverStart,81&lt;=DispoMonth),1,0)</f>
        <v/>
      </c>
      <c r="CG40" s="17">
        <f>IF(AND(82&gt;=DeliverStart,82&lt;=DispoMonth),1,0)</f>
        <v/>
      </c>
      <c r="CH40" s="17">
        <f>IF(AND(83&gt;=DeliverStart,83&lt;=DispoMonth),1,0)</f>
        <v/>
      </c>
      <c r="CI40" s="17">
        <f>IF(AND(84&gt;=DeliverStart,84&lt;=DispoMonth),1,0)</f>
        <v/>
      </c>
      <c r="CJ40" s="17">
        <f>IF(AND(85&gt;=DeliverStart,85&lt;=DispoMonth),1,0)</f>
        <v/>
      </c>
      <c r="CK40" s="17">
        <f>IF(AND(86&gt;=DeliverStart,86&lt;=DispoMonth),1,0)</f>
        <v/>
      </c>
      <c r="CL40" s="17">
        <f>IF(AND(87&gt;=DeliverStart,87&lt;=DispoMonth),1,0)</f>
        <v/>
      </c>
      <c r="CM40" s="17">
        <f>IF(AND(88&gt;=DeliverStart,88&lt;=DispoMonth),1,0)</f>
        <v/>
      </c>
      <c r="CN40" s="17">
        <f>IF(AND(89&gt;=DeliverStart,89&lt;=DispoMonth),1,0)</f>
        <v/>
      </c>
      <c r="CO40" s="17">
        <f>IF(AND(90&gt;=DeliverStart,90&lt;=DispoMonth),1,0)</f>
        <v/>
      </c>
      <c r="CP40" s="17">
        <f>IF(AND(91&gt;=DeliverStart,91&lt;=DispoMonth),1,0)</f>
        <v/>
      </c>
      <c r="CQ40" s="17">
        <f>IF(AND(92&gt;=DeliverStart,92&lt;=DispoMonth),1,0)</f>
        <v/>
      </c>
      <c r="CR40" s="17">
        <f>IF(AND(93&gt;=DeliverStart,93&lt;=DispoMonth),1,0)</f>
        <v/>
      </c>
      <c r="CS40" s="17">
        <f>IF(AND(94&gt;=DeliverStart,94&lt;=DispoMonth),1,0)</f>
        <v/>
      </c>
      <c r="CT40" s="17">
        <f>IF(AND(95&gt;=DeliverStart,95&lt;=DispoMonth),1,0)</f>
        <v/>
      </c>
      <c r="CU40" s="17">
        <f>IF(AND(96&gt;=DeliverStart,96&lt;=DispoMonth),1,0)</f>
        <v/>
      </c>
      <c r="CV40" s="17">
        <f>IF(AND(97&gt;=DeliverStart,97&lt;=DispoMonth),1,0)</f>
        <v/>
      </c>
      <c r="CW40" s="17">
        <f>IF(AND(98&gt;=DeliverStart,98&lt;=DispoMonth),1,0)</f>
        <v/>
      </c>
      <c r="CX40" s="17">
        <f>IF(AND(99&gt;=DeliverStart,99&lt;=DispoMonth),1,0)</f>
        <v/>
      </c>
      <c r="CY40" s="17">
        <f>IF(AND(100&gt;=DeliverStart,100&lt;=DispoMonth),1,0)</f>
        <v/>
      </c>
      <c r="CZ40" s="17">
        <f>IF(AND(101&gt;=DeliverStart,101&lt;=DispoMonth),1,0)</f>
        <v/>
      </c>
      <c r="DA40" s="17">
        <f>IF(AND(102&gt;=DeliverStart,102&lt;=DispoMonth),1,0)</f>
        <v/>
      </c>
      <c r="DB40" s="17">
        <f>IF(AND(103&gt;=DeliverStart,103&lt;=DispoMonth),1,0)</f>
        <v/>
      </c>
      <c r="DC40" s="17">
        <f>IF(AND(104&gt;=DeliverStart,104&lt;=DispoMonth),1,0)</f>
        <v/>
      </c>
      <c r="DD40" s="17">
        <f>IF(AND(105&gt;=DeliverStart,105&lt;=DispoMonth),1,0)</f>
        <v/>
      </c>
      <c r="DE40" s="17">
        <f>IF(AND(106&gt;=DeliverStart,106&lt;=DispoMonth),1,0)</f>
        <v/>
      </c>
      <c r="DF40" s="17">
        <f>IF(AND(107&gt;=DeliverStart,107&lt;=DispoMonth),1,0)</f>
        <v/>
      </c>
      <c r="DG40" s="17">
        <f>IF(AND(108&gt;=DeliverStart,108&lt;=DispoMonth),1,0)</f>
        <v/>
      </c>
      <c r="DH40" s="17">
        <f>IF(AND(109&gt;=DeliverStart,109&lt;=DispoMonth),1,0)</f>
        <v/>
      </c>
      <c r="DI40" s="17">
        <f>IF(AND(110&gt;=DeliverStart,110&lt;=DispoMonth),1,0)</f>
        <v/>
      </c>
      <c r="DJ40" s="17">
        <f>IF(AND(111&gt;=DeliverStart,111&lt;=DispoMonth),1,0)</f>
        <v/>
      </c>
      <c r="DK40" s="17">
        <f>IF(AND(112&gt;=DeliverStart,112&lt;=DispoMonth),1,0)</f>
        <v/>
      </c>
      <c r="DL40" s="17">
        <f>IF(AND(113&gt;=DeliverStart,113&lt;=DispoMonth),1,0)</f>
        <v/>
      </c>
      <c r="DM40" s="17">
        <f>IF(AND(114&gt;=DeliverStart,114&lt;=DispoMonth),1,0)</f>
        <v/>
      </c>
      <c r="DN40" s="17">
        <f>IF(AND(115&gt;=DeliverStart,115&lt;=DispoMonth),1,0)</f>
        <v/>
      </c>
      <c r="DO40" s="17">
        <f>IF(AND(116&gt;=DeliverStart,116&lt;=DispoMonth),1,0)</f>
        <v/>
      </c>
      <c r="DP40" s="17">
        <f>IF(AND(117&gt;=DeliverStart,117&lt;=DispoMonth),1,0)</f>
        <v/>
      </c>
      <c r="DQ40" s="17">
        <f>IF(AND(118&gt;=DeliverStart,118&lt;=DispoMonth),1,0)</f>
        <v/>
      </c>
      <c r="DR40" s="17">
        <f>IF(AND(119&gt;=DeliverStart,119&lt;=DispoMonth),1,0)</f>
        <v/>
      </c>
      <c r="DS40" s="17">
        <f>IF(AND(120&gt;=DeliverStart,120&lt;=DispoMonth),1,0)</f>
        <v/>
      </c>
      <c r="DT40" s="17">
        <f>IF(AND(121&gt;=DeliverStart,121&lt;=DispoMonth),1,0)</f>
        <v/>
      </c>
      <c r="DU40" s="17">
        <f>IF(AND(122&gt;=DeliverStart,122&lt;=DispoMonth),1,0)</f>
        <v/>
      </c>
      <c r="DV40" s="17">
        <f>IF(AND(123&gt;=DeliverStart,123&lt;=DispoMonth),1,0)</f>
        <v/>
      </c>
      <c r="DW40" s="17">
        <f>IF(AND(124&gt;=DeliverStart,124&lt;=DispoMonth),1,0)</f>
        <v/>
      </c>
      <c r="DX40" s="17">
        <f>IF(AND(125&gt;=DeliverStart,125&lt;=DispoMonth),1,0)</f>
        <v/>
      </c>
      <c r="DY40" s="17">
        <f>IF(AND(126&gt;=DeliverStart,126&lt;=DispoMonth),1,0)</f>
        <v/>
      </c>
      <c r="DZ40" s="17">
        <f>IF(AND(127&gt;=DeliverStart,127&lt;=DispoMonth),1,0)</f>
        <v/>
      </c>
      <c r="EA40" s="17">
        <f>IF(AND(128&gt;=DeliverStart,128&lt;=DispoMonth),1,0)</f>
        <v/>
      </c>
      <c r="EB40" s="17">
        <f>IF(AND(129&gt;=DeliverStart,129&lt;=DispoMonth),1,0)</f>
        <v/>
      </c>
      <c r="EC40" s="17">
        <f>IF(AND(130&gt;=DeliverStart,130&lt;=DispoMonth),1,0)</f>
        <v/>
      </c>
      <c r="ED40" s="17">
        <f>IF(AND(131&gt;=DeliverStart,131&lt;=DispoMonth),1,0)</f>
        <v/>
      </c>
      <c r="EE40" s="17">
        <f>IF(AND(132&gt;=DeliverStart,132&lt;=DispoMonth),1,0)</f>
        <v/>
      </c>
      <c r="EF40" s="17">
        <f>IF(AND(133&gt;=DeliverStart,133&lt;=DispoMonth),1,0)</f>
        <v/>
      </c>
      <c r="EG40" s="17">
        <f>IF(AND(134&gt;=DeliverStart,134&lt;=DispoMonth),1,0)</f>
        <v/>
      </c>
      <c r="EH40" s="17">
        <f>IF(AND(135&gt;=DeliverStart,135&lt;=DispoMonth),1,0)</f>
        <v/>
      </c>
      <c r="EI40" s="17">
        <f>IF(AND(136&gt;=DeliverStart,136&lt;=DispoMonth),1,0)</f>
        <v/>
      </c>
      <c r="EJ40" s="17">
        <f>IF(AND(137&gt;=DeliverStart,137&lt;=DispoMonth),1,0)</f>
        <v/>
      </c>
      <c r="EK40" s="17">
        <f>IF(AND(138&gt;=DeliverStart,138&lt;=DispoMonth),1,0)</f>
        <v/>
      </c>
      <c r="EL40" s="17">
        <f>IF(AND(139&gt;=DeliverStart,139&lt;=DispoMonth),1,0)</f>
        <v/>
      </c>
      <c r="EM40" s="17">
        <f>IF(AND(140&gt;=DeliverStart,140&lt;=DispoMonth),1,0)</f>
        <v/>
      </c>
      <c r="EN40" s="17">
        <f>IF(AND(141&gt;=DeliverStart,141&lt;=DispoMonth),1,0)</f>
        <v/>
      </c>
      <c r="EO40" s="17">
        <f>IF(AND(142&gt;=DeliverStart,142&lt;=DispoMonth),1,0)</f>
        <v/>
      </c>
      <c r="EP40" s="17">
        <f>IF(AND(143&gt;=DeliverStart,143&lt;=DispoMonth),1,0)</f>
        <v/>
      </c>
      <c r="EQ40" s="17">
        <f>IF(AND(144&gt;=DeliverStart,144&lt;=DispoMonth),1,0)</f>
        <v/>
      </c>
      <c r="ER40" s="17">
        <f>IF(AND(145&gt;=DeliverStart,145&lt;=DispoMonth),1,0)</f>
        <v/>
      </c>
      <c r="ES40" s="17">
        <f>IF(AND(146&gt;=DeliverStart,146&lt;=DispoMonth),1,0)</f>
        <v/>
      </c>
      <c r="ET40" s="17">
        <f>IF(AND(147&gt;=DeliverStart,147&lt;=DispoMonth),1,0)</f>
        <v/>
      </c>
      <c r="EU40" s="17">
        <f>IF(AND(148&gt;=DeliverStart,148&lt;=DispoMonth),1,0)</f>
        <v/>
      </c>
      <c r="EV40" s="17">
        <f>IF(AND(149&gt;=DeliverStart,149&lt;=DispoMonth),1,0)</f>
        <v/>
      </c>
      <c r="EW40" s="17">
        <f>IF(AND(150&gt;=DeliverStart,150&lt;=DispoMonth),1,0)</f>
        <v/>
      </c>
      <c r="EX40" s="17">
        <f>IF(AND(151&gt;=DeliverStart,151&lt;=DispoMonth),1,0)</f>
        <v/>
      </c>
      <c r="EY40" s="17">
        <f>IF(AND(152&gt;=DeliverStart,152&lt;=DispoMonth),1,0)</f>
        <v/>
      </c>
      <c r="EZ40" s="17">
        <f>IF(AND(153&gt;=DeliverStart,153&lt;=DispoMonth),1,0)</f>
        <v/>
      </c>
      <c r="FA40" s="17">
        <f>IF(AND(154&gt;=DeliverStart,154&lt;=DispoMonth),1,0)</f>
        <v/>
      </c>
      <c r="FB40" s="17">
        <f>IF(AND(155&gt;=DeliverStart,155&lt;=DispoMonth),1,0)</f>
        <v/>
      </c>
      <c r="FC40" s="17">
        <f>IF(AND(156&gt;=DeliverStart,156&lt;=DispoMonth),1,0)</f>
        <v/>
      </c>
      <c r="FD40" s="17">
        <f>IF(AND(157&gt;=DeliverStart,157&lt;=DispoMonth),1,0)</f>
        <v/>
      </c>
      <c r="FE40" s="17">
        <f>IF(AND(158&gt;=DeliverStart,158&lt;=DispoMonth),1,0)</f>
        <v/>
      </c>
      <c r="FF40" s="17">
        <f>IF(AND(159&gt;=DeliverStart,159&lt;=DispoMonth),1,0)</f>
        <v/>
      </c>
      <c r="FG40" s="17">
        <f>IF(AND(160&gt;=DeliverStart,160&lt;=DispoMonth),1,0)</f>
        <v/>
      </c>
      <c r="FH40" s="17">
        <f>IF(AND(161&gt;=DeliverStart,161&lt;=DispoMonth),1,0)</f>
        <v/>
      </c>
      <c r="FI40" s="17">
        <f>IF(AND(162&gt;=DeliverStart,162&lt;=DispoMonth),1,0)</f>
        <v/>
      </c>
      <c r="FJ40" s="17">
        <f>IF(AND(163&gt;=DeliverStart,163&lt;=DispoMonth),1,0)</f>
        <v/>
      </c>
      <c r="FK40" s="17">
        <f>IF(AND(164&gt;=DeliverStart,164&lt;=DispoMonth),1,0)</f>
        <v/>
      </c>
      <c r="FL40" s="17">
        <f>IF(AND(165&gt;=DeliverStart,165&lt;=DispoMonth),1,0)</f>
        <v/>
      </c>
      <c r="FM40" s="17">
        <f>IF(AND(166&gt;=DeliverStart,166&lt;=DispoMonth),1,0)</f>
        <v/>
      </c>
      <c r="FN40" s="17">
        <f>IF(AND(167&gt;=DeliverStart,167&lt;=DispoMonth),1,0)</f>
        <v/>
      </c>
      <c r="FO40" s="17">
        <f>IF(AND(168&gt;=DeliverStart,168&lt;=DispoMonth),1,0)</f>
        <v/>
      </c>
      <c r="FP40" s="17">
        <f>IF(AND(169&gt;=DeliverStart,169&lt;=DispoMonth),1,0)</f>
        <v/>
      </c>
      <c r="FQ40" s="17">
        <f>IF(AND(170&gt;=DeliverStart,170&lt;=DispoMonth),1,0)</f>
        <v/>
      </c>
      <c r="FR40" s="17">
        <f>IF(AND(171&gt;=DeliverStart,171&lt;=DispoMonth),1,0)</f>
        <v/>
      </c>
      <c r="FS40" s="17">
        <f>IF(AND(172&gt;=DeliverStart,172&lt;=DispoMonth),1,0)</f>
        <v/>
      </c>
      <c r="FT40" s="17">
        <f>IF(AND(173&gt;=DeliverStart,173&lt;=DispoMonth),1,0)</f>
        <v/>
      </c>
      <c r="FU40" s="17">
        <f>IF(AND(174&gt;=DeliverStart,174&lt;=DispoMonth),1,0)</f>
        <v/>
      </c>
      <c r="FV40" s="17">
        <f>IF(AND(175&gt;=DeliverStart,175&lt;=DispoMonth),1,0)</f>
        <v/>
      </c>
      <c r="FW40" s="17">
        <f>IF(AND(176&gt;=DeliverStart,176&lt;=DispoMonth),1,0)</f>
        <v/>
      </c>
      <c r="FX40" s="17">
        <f>IF(AND(177&gt;=DeliverStart,177&lt;=DispoMonth),1,0)</f>
        <v/>
      </c>
      <c r="FY40" s="17">
        <f>IF(AND(178&gt;=DeliverStart,178&lt;=DispoMonth),1,0)</f>
        <v/>
      </c>
      <c r="FZ40" s="17">
        <f>IF(AND(179&gt;=DeliverStart,179&lt;=DispoMonth),1,0)</f>
        <v/>
      </c>
      <c r="GA40" s="17">
        <f>IF(AND(180&gt;=DeliverStart,180&lt;=DispoMonth),1,0)</f>
        <v/>
      </c>
      <c r="GB40" s="17">
        <f>IF(AND(181&gt;=DeliverStart,181&lt;=DispoMonth),1,0)</f>
        <v/>
      </c>
      <c r="GC40" s="17">
        <f>IF(AND(182&gt;=DeliverStart,182&lt;=DispoMonth),1,0)</f>
        <v/>
      </c>
      <c r="GD40" s="17">
        <f>IF(AND(183&gt;=DeliverStart,183&lt;=DispoMonth),1,0)</f>
        <v/>
      </c>
      <c r="GE40" s="17">
        <f>IF(AND(184&gt;=DeliverStart,184&lt;=DispoMonth),1,0)</f>
        <v/>
      </c>
      <c r="GF40" s="17">
        <f>IF(AND(185&gt;=DeliverStart,185&lt;=DispoMonth),1,0)</f>
        <v/>
      </c>
      <c r="GG40" s="17">
        <f>IF(AND(186&gt;=DeliverStart,186&lt;=DispoMonth),1,0)</f>
        <v/>
      </c>
      <c r="GH40" s="17">
        <f>IF(AND(187&gt;=DeliverStart,187&lt;=DispoMonth),1,0)</f>
        <v/>
      </c>
      <c r="GI40" s="17">
        <f>IF(AND(188&gt;=DeliverStart,188&lt;=DispoMonth),1,0)</f>
        <v/>
      </c>
      <c r="GJ40" s="17">
        <f>IF(AND(189&gt;=DeliverStart,189&lt;=DispoMonth),1,0)</f>
        <v/>
      </c>
      <c r="GK40" s="17">
        <f>IF(AND(190&gt;=DeliverStart,190&lt;=DispoMonth),1,0)</f>
        <v/>
      </c>
      <c r="GL40" s="17">
        <f>IF(AND(191&gt;=DeliverStart,191&lt;=DispoMonth),1,0)</f>
        <v/>
      </c>
      <c r="GM40" s="17">
        <f>IF(AND(192&gt;=DeliverStart,192&lt;=DispoMonth),1,0)</f>
        <v/>
      </c>
      <c r="GN40" s="17">
        <f>IF(AND(193&gt;=DeliverStart,193&lt;=DispoMonth),1,0)</f>
        <v/>
      </c>
      <c r="GO40" s="17">
        <f>IF(AND(194&gt;=DeliverStart,194&lt;=DispoMonth),1,0)</f>
        <v/>
      </c>
      <c r="GP40" s="17">
        <f>IF(AND(195&gt;=DeliverStart,195&lt;=DispoMonth),1,0)</f>
        <v/>
      </c>
      <c r="GQ40" s="17">
        <f>IF(AND(196&gt;=DeliverStart,196&lt;=DispoMonth),1,0)</f>
        <v/>
      </c>
      <c r="GR40" s="17">
        <f>IF(AND(197&gt;=DeliverStart,197&lt;=DispoMonth),1,0)</f>
        <v/>
      </c>
      <c r="GS40" s="17">
        <f>IF(AND(198&gt;=DeliverStart,198&lt;=DispoMonth),1,0)</f>
        <v/>
      </c>
      <c r="GT40" s="17">
        <f>IF(AND(199&gt;=DeliverStart,199&lt;=DispoMonth),1,0)</f>
        <v/>
      </c>
      <c r="GU40" s="17">
        <f>IF(AND(200&gt;=DeliverStart,200&lt;=DispoMonth),1,0)</f>
        <v/>
      </c>
      <c r="GV40" s="17">
        <f>IF(AND(201&gt;=DeliverStart,201&lt;=DispoMonth),1,0)</f>
        <v/>
      </c>
      <c r="GW40" s="17">
        <f>IF(AND(202&gt;=DeliverStart,202&lt;=DispoMonth),1,0)</f>
        <v/>
      </c>
      <c r="GX40" s="17">
        <f>IF(AND(203&gt;=DeliverStart,203&lt;=DispoMonth),1,0)</f>
        <v/>
      </c>
      <c r="GY40" s="17">
        <f>IF(AND(204&gt;=DeliverStart,204&lt;=DispoMonth),1,0)</f>
        <v/>
      </c>
      <c r="GZ40" s="17">
        <f>IF(AND(205&gt;=DeliverStart,205&lt;=DispoMonth),1,0)</f>
        <v/>
      </c>
      <c r="HA40" s="17">
        <f>IF(AND(206&gt;=DeliverStart,206&lt;=DispoMonth),1,0)</f>
        <v/>
      </c>
      <c r="HB40" s="17">
        <f>IF(AND(207&gt;=DeliverStart,207&lt;=DispoMonth),1,0)</f>
        <v/>
      </c>
      <c r="HC40" s="17">
        <f>IF(AND(208&gt;=DeliverStart,208&lt;=DispoMonth),1,0)</f>
        <v/>
      </c>
      <c r="HD40" s="17">
        <f>IF(AND(209&gt;=DeliverStart,209&lt;=DispoMonth),1,0)</f>
        <v/>
      </c>
      <c r="HE40" s="17">
        <f>IF(AND(210&gt;=DeliverStart,210&lt;=DispoMonth),1,0)</f>
        <v/>
      </c>
      <c r="HF40" s="17">
        <f>IF(AND(211&gt;=DeliverStart,211&lt;=DispoMonth),1,0)</f>
        <v/>
      </c>
      <c r="HG40" s="17">
        <f>IF(AND(212&gt;=DeliverStart,212&lt;=DispoMonth),1,0)</f>
        <v/>
      </c>
      <c r="HH40" s="17">
        <f>IF(AND(213&gt;=DeliverStart,213&lt;=DispoMonth),1,0)</f>
        <v/>
      </c>
      <c r="HI40" s="17">
        <f>IF(AND(214&gt;=DeliverStart,214&lt;=DispoMonth),1,0)</f>
        <v/>
      </c>
      <c r="HJ40" s="17">
        <f>IF(AND(215&gt;=DeliverStart,215&lt;=DispoMonth),1,0)</f>
        <v/>
      </c>
      <c r="HK40" s="17">
        <f>IF(AND(216&gt;=DeliverStart,216&lt;=DispoMonth),1,0)</f>
        <v/>
      </c>
      <c r="HL40" s="17">
        <f>IF(AND(217&gt;=DeliverStart,217&lt;=DispoMonth),1,0)</f>
        <v/>
      </c>
      <c r="HM40" s="17">
        <f>IF(AND(218&gt;=DeliverStart,218&lt;=DispoMonth),1,0)</f>
        <v/>
      </c>
      <c r="HN40" s="17">
        <f>IF(AND(219&gt;=DeliverStart,219&lt;=DispoMonth),1,0)</f>
        <v/>
      </c>
      <c r="HO40" s="17">
        <f>IF(AND(220&gt;=DeliverStart,220&lt;=DispoMonth),1,0)</f>
        <v/>
      </c>
      <c r="HP40" s="17">
        <f>IF(AND(221&gt;=DeliverStart,221&lt;=DispoMonth),1,0)</f>
        <v/>
      </c>
      <c r="HQ40" s="17">
        <f>IF(AND(222&gt;=DeliverStart,222&lt;=DispoMonth),1,0)</f>
        <v/>
      </c>
      <c r="HR40" s="17">
        <f>IF(AND(223&gt;=DeliverStart,223&lt;=DispoMonth),1,0)</f>
        <v/>
      </c>
      <c r="HS40" s="17">
        <f>IF(AND(224&gt;=DeliverStart,224&lt;=DispoMonth),1,0)</f>
        <v/>
      </c>
      <c r="HT40" s="17">
        <f>IF(AND(225&gt;=DeliverStart,225&lt;=DispoMonth),1,0)</f>
        <v/>
      </c>
      <c r="HU40" s="17">
        <f>IF(AND(226&gt;=DeliverStart,226&lt;=DispoMonth),1,0)</f>
        <v/>
      </c>
      <c r="HV40" s="17">
        <f>IF(AND(227&gt;=DeliverStart,227&lt;=DispoMonth),1,0)</f>
        <v/>
      </c>
      <c r="HW40" s="17">
        <f>IF(AND(228&gt;=DeliverStart,228&lt;=DispoMonth),1,0)</f>
        <v/>
      </c>
      <c r="HX40" s="17">
        <f>IF(AND(229&gt;=DeliverStart,229&lt;=DispoMonth),1,0)</f>
        <v/>
      </c>
      <c r="HY40" s="17">
        <f>IF(AND(230&gt;=DeliverStart,230&lt;=DispoMonth),1,0)</f>
        <v/>
      </c>
      <c r="HZ40" s="17">
        <f>IF(AND(231&gt;=DeliverStart,231&lt;=DispoMonth),1,0)</f>
        <v/>
      </c>
      <c r="IA40" s="17">
        <f>IF(AND(232&gt;=DeliverStart,232&lt;=DispoMonth),1,0)</f>
        <v/>
      </c>
      <c r="IB40" s="17">
        <f>IF(AND(233&gt;=DeliverStart,233&lt;=DispoMonth),1,0)</f>
        <v/>
      </c>
      <c r="IC40" s="17">
        <f>IF(AND(234&gt;=DeliverStart,234&lt;=DispoMonth),1,0)</f>
        <v/>
      </c>
      <c r="ID40" s="17">
        <f>IF(AND(235&gt;=DeliverStart,235&lt;=DispoMonth),1,0)</f>
        <v/>
      </c>
      <c r="IE40" s="17">
        <f>IF(AND(236&gt;=DeliverStart,236&lt;=DispoMonth),1,0)</f>
        <v/>
      </c>
      <c r="IF40" s="17">
        <f>IF(AND(237&gt;=DeliverStart,237&lt;=DispoMonth),1,0)</f>
        <v/>
      </c>
      <c r="IG40" s="17">
        <f>IF(AND(238&gt;=DeliverStart,238&lt;=DispoMonth),1,0)</f>
        <v/>
      </c>
      <c r="IH40" s="17">
        <f>IF(AND(239&gt;=DeliverStart,239&lt;=DispoMonth),1,0)</f>
        <v/>
      </c>
      <c r="II40" s="17">
        <f>IF(AND(240&gt;=DeliverStart,240&lt;=DispoMonth),1,0)</f>
        <v/>
      </c>
      <c r="IJ40" s="17">
        <f>IF(AND(241&gt;=DeliverStart,241&lt;=DispoMonth),1,0)</f>
        <v/>
      </c>
      <c r="IK40" s="17">
        <f>IF(AND(242&gt;=DeliverStart,242&lt;=DispoMonth),1,0)</f>
        <v/>
      </c>
      <c r="IL40" s="17">
        <f>IF(AND(243&gt;=DeliverStart,243&lt;=DispoMonth),1,0)</f>
        <v/>
      </c>
      <c r="IM40" s="17">
        <f>IF(AND(244&gt;=DeliverStart,244&lt;=DispoMonth),1,0)</f>
        <v/>
      </c>
      <c r="IN40" s="17">
        <f>IF(AND(245&gt;=DeliverStart,245&lt;=DispoMonth),1,0)</f>
        <v/>
      </c>
      <c r="IO40" s="17">
        <f>IF(AND(246&gt;=DeliverStart,246&lt;=DispoMonth),1,0)</f>
        <v/>
      </c>
      <c r="IP40" s="17">
        <f>IF(AND(247&gt;=DeliverStart,247&lt;=DispoMonth),1,0)</f>
        <v/>
      </c>
      <c r="IQ40" s="17">
        <f>IF(AND(248&gt;=DeliverStart,248&lt;=DispoMonth),1,0)</f>
        <v/>
      </c>
      <c r="IR40" s="17">
        <f>IF(AND(249&gt;=DeliverStart,249&lt;=DispoMonth),1,0)</f>
        <v/>
      </c>
      <c r="IS40" s="17">
        <f>IF(AND(250&gt;=DeliverStart,250&lt;=DispoMonth),1,0)</f>
        <v/>
      </c>
      <c r="IT40" s="17">
        <f>IF(AND(251&gt;=DeliverStart,251&lt;=DispoMonth),1,0)</f>
        <v/>
      </c>
      <c r="IU40" s="17">
        <f>IF(AND(252&gt;=DeliverStart,252&lt;=DispoMonth),1,0)</f>
        <v/>
      </c>
      <c r="IV40" s="17">
        <f>IF(AND(253&gt;=DeliverStart,253&lt;=DispoMonth),1,0)</f>
        <v/>
      </c>
      <c r="IW40" s="17">
        <f>IF(AND(254&gt;=DeliverStart,254&lt;=DispoMonth),1,0)</f>
        <v/>
      </c>
      <c r="IX40" s="17">
        <f>IF(AND(255&gt;=DeliverStart,255&lt;=DispoMonth),1,0)</f>
        <v/>
      </c>
      <c r="IY40" s="17">
        <f>IF(AND(256&gt;=DeliverStart,256&lt;=DispoMonth),1,0)</f>
        <v/>
      </c>
      <c r="IZ40" s="17">
        <f>IF(AND(257&gt;=DeliverStart,257&lt;=DispoMonth),1,0)</f>
        <v/>
      </c>
      <c r="JA40" s="17">
        <f>IF(AND(258&gt;=DeliverStart,258&lt;=DispoMonth),1,0)</f>
        <v/>
      </c>
      <c r="JB40" s="17">
        <f>IF(AND(259&gt;=DeliverStart,259&lt;=DispoMonth),1,0)</f>
        <v/>
      </c>
      <c r="JC40" s="17">
        <f>IF(AND(260&gt;=DeliverStart,260&lt;=DispoMonth),1,0)</f>
        <v/>
      </c>
      <c r="JD40" s="17">
        <f>IF(AND(261&gt;=DeliverStart,261&lt;=DispoMonth),1,0)</f>
        <v/>
      </c>
      <c r="JE40" s="17">
        <f>IF(AND(262&gt;=DeliverStart,262&lt;=DispoMonth),1,0)</f>
        <v/>
      </c>
      <c r="JF40" s="17">
        <f>IF(AND(263&gt;=DeliverStart,263&lt;=DispoMonth),1,0)</f>
        <v/>
      </c>
      <c r="JG40" s="17">
        <f>IF(AND(264&gt;=DeliverStart,264&lt;=DispoMonth),1,0)</f>
        <v/>
      </c>
      <c r="JH40" s="17">
        <f>IF(AND(265&gt;=DeliverStart,265&lt;=DispoMonth),1,0)</f>
        <v/>
      </c>
      <c r="JI40" s="17">
        <f>IF(AND(266&gt;=DeliverStart,266&lt;=DispoMonth),1,0)</f>
        <v/>
      </c>
      <c r="JJ40" s="17">
        <f>IF(AND(267&gt;=DeliverStart,267&lt;=DispoMonth),1,0)</f>
        <v/>
      </c>
      <c r="JK40" s="17">
        <f>IF(AND(268&gt;=DeliverStart,268&lt;=DispoMonth),1,0)</f>
        <v/>
      </c>
      <c r="JL40" s="17">
        <f>IF(AND(269&gt;=DeliverStart,269&lt;=DispoMonth),1,0)</f>
        <v/>
      </c>
      <c r="JM40" s="17">
        <f>IF(AND(270&gt;=DeliverStart,270&lt;=DispoMonth),1,0)</f>
        <v/>
      </c>
      <c r="JN40" s="17">
        <f>IF(AND(271&gt;=DeliverStart,271&lt;=DispoMonth),1,0)</f>
        <v/>
      </c>
      <c r="JO40" s="17">
        <f>IF(AND(272&gt;=DeliverStart,272&lt;=DispoMonth),1,0)</f>
        <v/>
      </c>
      <c r="JP40" s="17">
        <f>IF(AND(273&gt;=DeliverStart,273&lt;=DispoMonth),1,0)</f>
        <v/>
      </c>
      <c r="JQ40" s="17">
        <f>IF(AND(274&gt;=DeliverStart,274&lt;=DispoMonth),1,0)</f>
        <v/>
      </c>
      <c r="JR40" s="17">
        <f>IF(AND(275&gt;=DeliverStart,275&lt;=DispoMonth),1,0)</f>
        <v/>
      </c>
      <c r="JS40" s="17">
        <f>IF(AND(276&gt;=DeliverStart,276&lt;=DispoMonth),1,0)</f>
        <v/>
      </c>
      <c r="JT40" s="17">
        <f>IF(AND(277&gt;=DeliverStart,277&lt;=DispoMonth),1,0)</f>
        <v/>
      </c>
      <c r="JU40" s="17">
        <f>IF(AND(278&gt;=DeliverStart,278&lt;=DispoMonth),1,0)</f>
        <v/>
      </c>
      <c r="JV40" s="17">
        <f>IF(AND(279&gt;=DeliverStart,279&lt;=DispoMonth),1,0)</f>
        <v/>
      </c>
      <c r="JW40" s="17">
        <f>IF(AND(280&gt;=DeliverStart,280&lt;=DispoMonth),1,0)</f>
        <v/>
      </c>
      <c r="JX40" s="17">
        <f>IF(AND(281&gt;=DeliverStart,281&lt;=DispoMonth),1,0)</f>
        <v/>
      </c>
      <c r="JY40" s="17">
        <f>IF(AND(282&gt;=DeliverStart,282&lt;=DispoMonth),1,0)</f>
        <v/>
      </c>
      <c r="JZ40" s="17">
        <f>IF(AND(283&gt;=DeliverStart,283&lt;=DispoMonth),1,0)</f>
        <v/>
      </c>
      <c r="KA40" s="17">
        <f>IF(AND(284&gt;=DeliverStart,284&lt;=DispoMonth),1,0)</f>
        <v/>
      </c>
      <c r="KB40" s="17">
        <f>IF(AND(285&gt;=DeliverStart,285&lt;=DispoMonth),1,0)</f>
        <v/>
      </c>
      <c r="KC40" s="17">
        <f>IF(AND(286&gt;=DeliverStart,286&lt;=DispoMonth),1,0)</f>
        <v/>
      </c>
      <c r="KD40" s="17">
        <f>IF(AND(287&gt;=DeliverStart,287&lt;=DispoMonth),1,0)</f>
        <v/>
      </c>
      <c r="KE40" s="17">
        <f>IF(AND(288&gt;=DeliverStart,288&lt;=DispoMonth),1,0)</f>
        <v/>
      </c>
      <c r="KF40" s="17">
        <f>IF(AND(289&gt;=DeliverStart,289&lt;=DispoMonth),1,0)</f>
        <v/>
      </c>
      <c r="KG40" s="17">
        <f>IF(AND(290&gt;=DeliverStart,290&lt;=DispoMonth),1,0)</f>
        <v/>
      </c>
      <c r="KH40" s="17">
        <f>IF(AND(291&gt;=DeliverStart,291&lt;=DispoMonth),1,0)</f>
        <v/>
      </c>
      <c r="KI40" s="17">
        <f>IF(AND(292&gt;=DeliverStart,292&lt;=DispoMonth),1,0)</f>
        <v/>
      </c>
      <c r="KJ40" s="17">
        <f>IF(AND(293&gt;=DeliverStart,293&lt;=DispoMonth),1,0)</f>
        <v/>
      </c>
      <c r="KK40" s="17">
        <f>IF(AND(294&gt;=DeliverStart,294&lt;=DispoMonth),1,0)</f>
        <v/>
      </c>
      <c r="KL40" s="17">
        <f>IF(AND(295&gt;=DeliverStart,295&lt;=DispoMonth),1,0)</f>
        <v/>
      </c>
      <c r="KM40" s="17">
        <f>IF(AND(296&gt;=DeliverStart,296&lt;=DispoMonth),1,0)</f>
        <v/>
      </c>
      <c r="KN40" s="17">
        <f>IF(AND(297&gt;=DeliverStart,297&lt;=DispoMonth),1,0)</f>
        <v/>
      </c>
      <c r="KO40" s="17">
        <f>IF(AND(298&gt;=DeliverStart,298&lt;=DispoMonth),1,0)</f>
        <v/>
      </c>
      <c r="KP40" s="17">
        <f>IF(AND(299&gt;=DeliverStart,299&lt;=DispoMonth),1,0)</f>
        <v/>
      </c>
      <c r="KQ40" s="17">
        <f>IF(AND(300&gt;=DeliverStart,300&lt;=DispoMonth),1,0)</f>
        <v/>
      </c>
      <c r="KR40" s="17">
        <f>IF(AND(301&gt;=DeliverStart,301&lt;=DispoMonth),1,0)</f>
        <v/>
      </c>
      <c r="KS40" s="17">
        <f>IF(AND(302&gt;=DeliverStart,302&lt;=DispoMonth),1,0)</f>
        <v/>
      </c>
      <c r="KT40" s="17">
        <f>IF(AND(303&gt;=DeliverStart,303&lt;=DispoMonth),1,0)</f>
        <v/>
      </c>
      <c r="KU40" s="17">
        <f>IF(AND(304&gt;=DeliverStart,304&lt;=DispoMonth),1,0)</f>
        <v/>
      </c>
      <c r="KV40" s="17">
        <f>IF(AND(305&gt;=DeliverStart,305&lt;=DispoMonth),1,0)</f>
        <v/>
      </c>
      <c r="KW40" s="17">
        <f>IF(AND(306&gt;=DeliverStart,306&lt;=DispoMonth),1,0)</f>
        <v/>
      </c>
      <c r="KX40" s="17">
        <f>IF(AND(307&gt;=DeliverStart,307&lt;=DispoMonth),1,0)</f>
        <v/>
      </c>
      <c r="KY40" s="17">
        <f>IF(AND(308&gt;=DeliverStart,308&lt;=DispoMonth),1,0)</f>
        <v/>
      </c>
      <c r="KZ40" s="17">
        <f>IF(AND(309&gt;=DeliverStart,309&lt;=DispoMonth),1,0)</f>
        <v/>
      </c>
      <c r="LA40" s="17">
        <f>IF(AND(310&gt;=DeliverStart,310&lt;=DispoMonth),1,0)</f>
        <v/>
      </c>
      <c r="LB40" s="17">
        <f>IF(AND(311&gt;=DeliverStart,311&lt;=DispoMonth),1,0)</f>
        <v/>
      </c>
      <c r="LC40" s="17">
        <f>IF(AND(312&gt;=DeliverStart,312&lt;=DispoMonth),1,0)</f>
        <v/>
      </c>
      <c r="LD40" s="17">
        <f>IF(AND(313&gt;=DeliverStart,313&lt;=DispoMonth),1,0)</f>
        <v/>
      </c>
      <c r="LE40" s="17">
        <f>IF(AND(314&gt;=DeliverStart,314&lt;=DispoMonth),1,0)</f>
        <v/>
      </c>
      <c r="LF40" s="17">
        <f>IF(AND(315&gt;=DeliverStart,315&lt;=DispoMonth),1,0)</f>
        <v/>
      </c>
      <c r="LG40" s="17">
        <f>IF(AND(316&gt;=DeliverStart,316&lt;=DispoMonth),1,0)</f>
        <v/>
      </c>
      <c r="LH40" s="17">
        <f>IF(AND(317&gt;=DeliverStart,317&lt;=DispoMonth),1,0)</f>
        <v/>
      </c>
      <c r="LI40" s="17">
        <f>IF(AND(318&gt;=DeliverStart,318&lt;=DispoMonth),1,0)</f>
        <v/>
      </c>
      <c r="LJ40" s="17">
        <f>IF(AND(319&gt;=DeliverStart,319&lt;=DispoMonth),1,0)</f>
        <v/>
      </c>
      <c r="LK40" s="17">
        <f>IF(AND(320&gt;=DeliverStart,320&lt;=DispoMonth),1,0)</f>
        <v/>
      </c>
      <c r="LL40" s="17">
        <f>IF(AND(321&gt;=DeliverStart,321&lt;=DispoMonth),1,0)</f>
        <v/>
      </c>
      <c r="LM40" s="17">
        <f>IF(AND(322&gt;=DeliverStart,322&lt;=DispoMonth),1,0)</f>
        <v/>
      </c>
      <c r="LN40" s="17">
        <f>IF(AND(323&gt;=DeliverStart,323&lt;=DispoMonth),1,0)</f>
        <v/>
      </c>
      <c r="LO40" s="17">
        <f>IF(AND(324&gt;=DeliverStart,324&lt;=DispoMonth),1,0)</f>
        <v/>
      </c>
      <c r="LP40" s="17">
        <f>IF(AND(325&gt;=DeliverStart,325&lt;=DispoMonth),1,0)</f>
        <v/>
      </c>
      <c r="LQ40" s="17">
        <f>IF(AND(326&gt;=DeliverStart,326&lt;=DispoMonth),1,0)</f>
        <v/>
      </c>
      <c r="LR40" s="17">
        <f>IF(AND(327&gt;=DeliverStart,327&lt;=DispoMonth),1,0)</f>
        <v/>
      </c>
      <c r="LS40" s="17">
        <f>IF(AND(328&gt;=DeliverStart,328&lt;=DispoMonth),1,0)</f>
        <v/>
      </c>
      <c r="LT40" s="17">
        <f>IF(AND(329&gt;=DeliverStart,329&lt;=DispoMonth),1,0)</f>
        <v/>
      </c>
      <c r="LU40" s="17">
        <f>IF(AND(330&gt;=DeliverStart,330&lt;=DispoMonth),1,0)</f>
        <v/>
      </c>
      <c r="LV40" s="17">
        <f>IF(AND(331&gt;=DeliverStart,331&lt;=DispoMonth),1,0)</f>
        <v/>
      </c>
      <c r="LW40" s="17">
        <f>IF(AND(332&gt;=DeliverStart,332&lt;=DispoMonth),1,0)</f>
        <v/>
      </c>
      <c r="LX40" s="17">
        <f>IF(AND(333&gt;=DeliverStart,333&lt;=DispoMonth),1,0)</f>
        <v/>
      </c>
      <c r="LY40" s="17">
        <f>IF(AND(334&gt;=DeliverStart,334&lt;=DispoMonth),1,0)</f>
        <v/>
      </c>
      <c r="LZ40" s="17">
        <f>IF(AND(335&gt;=DeliverStart,335&lt;=DispoMonth),1,0)</f>
        <v/>
      </c>
      <c r="MA40" s="17">
        <f>IF(AND(336&gt;=DeliverStart,336&lt;=DispoMonth),1,0)</f>
        <v/>
      </c>
      <c r="MB40" s="17">
        <f>IF(AND(337&gt;=DeliverStart,337&lt;=DispoMonth),1,0)</f>
        <v/>
      </c>
      <c r="MC40" s="17">
        <f>IF(AND(338&gt;=DeliverStart,338&lt;=DispoMonth),1,0)</f>
        <v/>
      </c>
      <c r="MD40" s="17">
        <f>IF(AND(339&gt;=DeliverStart,339&lt;=DispoMonth),1,0)</f>
        <v/>
      </c>
      <c r="ME40" s="17">
        <f>IF(AND(340&gt;=DeliverStart,340&lt;=DispoMonth),1,0)</f>
        <v/>
      </c>
      <c r="MF40" s="17">
        <f>IF(AND(341&gt;=DeliverStart,341&lt;=DispoMonth),1,0)</f>
        <v/>
      </c>
      <c r="MG40" s="17">
        <f>IF(AND(342&gt;=DeliverStart,342&lt;=DispoMonth),1,0)</f>
        <v/>
      </c>
      <c r="MH40" s="17">
        <f>IF(AND(343&gt;=DeliverStart,343&lt;=DispoMonth),1,0)</f>
        <v/>
      </c>
      <c r="MI40" s="17">
        <f>IF(AND(344&gt;=DeliverStart,344&lt;=DispoMonth),1,0)</f>
        <v/>
      </c>
      <c r="MJ40" s="17">
        <f>IF(AND(345&gt;=DeliverStart,345&lt;=DispoMonth),1,0)</f>
        <v/>
      </c>
      <c r="MK40" s="17">
        <f>IF(AND(346&gt;=DeliverStart,346&lt;=DispoMonth),1,0)</f>
        <v/>
      </c>
      <c r="ML40" s="17">
        <f>IF(AND(347&gt;=DeliverStart,347&lt;=DispoMonth),1,0)</f>
        <v/>
      </c>
      <c r="MM40" s="17">
        <f>IF(AND(348&gt;=DeliverStart,348&lt;=DispoMonth),1,0)</f>
        <v/>
      </c>
      <c r="MN40" s="17">
        <f>IF(AND(349&gt;=DeliverStart,349&lt;=DispoMonth),1,0)</f>
        <v/>
      </c>
      <c r="MO40" s="17">
        <f>IF(AND(350&gt;=DeliverStart,350&lt;=DispoMonth),1,0)</f>
        <v/>
      </c>
      <c r="MP40" s="17">
        <f>IF(AND(351&gt;=DeliverStart,351&lt;=DispoMonth),1,0)</f>
        <v/>
      </c>
      <c r="MQ40" s="17">
        <f>IF(AND(352&gt;=DeliverStart,352&lt;=DispoMonth),1,0)</f>
        <v/>
      </c>
      <c r="MR40" s="17">
        <f>IF(AND(353&gt;=DeliverStart,353&lt;=DispoMonth),1,0)</f>
        <v/>
      </c>
      <c r="MS40" s="17">
        <f>IF(AND(354&gt;=DeliverStart,354&lt;=DispoMonth),1,0)</f>
        <v/>
      </c>
      <c r="MT40" s="17">
        <f>IF(AND(355&gt;=DeliverStart,355&lt;=DispoMonth),1,0)</f>
        <v/>
      </c>
      <c r="MU40" s="17">
        <f>IF(AND(356&gt;=DeliverStart,356&lt;=DispoMonth),1,0)</f>
        <v/>
      </c>
      <c r="MV40" s="17">
        <f>IF(AND(357&gt;=DeliverStart,357&lt;=DispoMonth),1,0)</f>
        <v/>
      </c>
      <c r="MW40" s="17">
        <f>IF(AND(358&gt;=DeliverStart,358&lt;=DispoMonth),1,0)</f>
        <v/>
      </c>
      <c r="MX40" s="17">
        <f>IF(AND(359&gt;=DeliverStart,359&lt;=DispoMonth),1,0)</f>
        <v/>
      </c>
      <c r="MY40" s="17">
        <f>IF(AND(360&gt;=DeliverStart,360&lt;=DispoMonth),1,0)</f>
        <v/>
      </c>
      <c r="MZ40" s="17">
        <f>IF(AND(361&gt;=DeliverStart,361&lt;=DispoMonth),1,0)</f>
        <v/>
      </c>
      <c r="NA40" s="17">
        <f>IF(AND(362&gt;=DeliverStart,362&lt;=DispoMonth),1,0)</f>
        <v/>
      </c>
      <c r="NB40" s="17">
        <f>IF(AND(363&gt;=DeliverStart,363&lt;=DispoMonth),1,0)</f>
        <v/>
      </c>
      <c r="NC40" s="17">
        <f>IF(AND(364&gt;=DeliverStart,364&lt;=DispoMonth),1,0)</f>
        <v/>
      </c>
      <c r="ND40" s="17">
        <f>IF(AND(365&gt;=DeliverStart,365&lt;=DispoMonth),1,0)</f>
        <v/>
      </c>
      <c r="NE40" s="17">
        <f>IF(AND(366&gt;=DeliverStart,366&lt;=DispoMonth),1,0)</f>
        <v/>
      </c>
      <c r="NF40" s="17">
        <f>IF(AND(367&gt;=DeliverStart,367&lt;=DispoMonth),1,0)</f>
        <v/>
      </c>
      <c r="NG40" s="17">
        <f>IF(AND(368&gt;=DeliverStart,368&lt;=DispoMonth),1,0)</f>
        <v/>
      </c>
      <c r="NH40" s="17">
        <f>IF(AND(369&gt;=DeliverStart,369&lt;=DispoMonth),1,0)</f>
        <v/>
      </c>
      <c r="NI40" s="17">
        <f>IF(AND(370&gt;=DeliverStart,370&lt;=DispoMonth),1,0)</f>
        <v/>
      </c>
      <c r="NJ40" s="17">
        <f>IF(AND(371&gt;=DeliverStart,371&lt;=DispoMonth),1,0)</f>
        <v/>
      </c>
      <c r="NK40" s="17">
        <f>IF(AND(372&gt;=DeliverStart,372&lt;=DispoMonth),1,0)</f>
        <v/>
      </c>
    </row>
    <row r="41">
      <c r="A41" s="5" t="inlineStr">
        <is>
          <t>Flag: Con Loan Active</t>
        </is>
      </c>
      <c r="C41" s="40" t="n"/>
      <c r="D41" s="17">
        <f>IF(AND(1&gt;=ConStart,1&lt;=ConPayoffMonth),1,0)</f>
        <v/>
      </c>
      <c r="E41" s="17">
        <f>IF(AND(2&gt;=ConStart,2&lt;=ConPayoffMonth),1,0)</f>
        <v/>
      </c>
      <c r="F41" s="17">
        <f>IF(AND(3&gt;=ConStart,3&lt;=ConPayoffMonth),1,0)</f>
        <v/>
      </c>
      <c r="G41" s="17">
        <f>IF(AND(4&gt;=ConStart,4&lt;=ConPayoffMonth),1,0)</f>
        <v/>
      </c>
      <c r="H41" s="17">
        <f>IF(AND(5&gt;=ConStart,5&lt;=ConPayoffMonth),1,0)</f>
        <v/>
      </c>
      <c r="I41" s="17">
        <f>IF(AND(6&gt;=ConStart,6&lt;=ConPayoffMonth),1,0)</f>
        <v/>
      </c>
      <c r="J41" s="17">
        <f>IF(AND(7&gt;=ConStart,7&lt;=ConPayoffMonth),1,0)</f>
        <v/>
      </c>
      <c r="K41" s="17">
        <f>IF(AND(8&gt;=ConStart,8&lt;=ConPayoffMonth),1,0)</f>
        <v/>
      </c>
      <c r="L41" s="17">
        <f>IF(AND(9&gt;=ConStart,9&lt;=ConPayoffMonth),1,0)</f>
        <v/>
      </c>
      <c r="M41" s="17">
        <f>IF(AND(10&gt;=ConStart,10&lt;=ConPayoffMonth),1,0)</f>
        <v/>
      </c>
      <c r="N41" s="17">
        <f>IF(AND(11&gt;=ConStart,11&lt;=ConPayoffMonth),1,0)</f>
        <v/>
      </c>
      <c r="O41" s="17">
        <f>IF(AND(12&gt;=ConStart,12&lt;=ConPayoffMonth),1,0)</f>
        <v/>
      </c>
      <c r="P41" s="17">
        <f>IF(AND(13&gt;=ConStart,13&lt;=ConPayoffMonth),1,0)</f>
        <v/>
      </c>
      <c r="Q41" s="17">
        <f>IF(AND(14&gt;=ConStart,14&lt;=ConPayoffMonth),1,0)</f>
        <v/>
      </c>
      <c r="R41" s="17">
        <f>IF(AND(15&gt;=ConStart,15&lt;=ConPayoffMonth),1,0)</f>
        <v/>
      </c>
      <c r="S41" s="17">
        <f>IF(AND(16&gt;=ConStart,16&lt;=ConPayoffMonth),1,0)</f>
        <v/>
      </c>
      <c r="T41" s="17">
        <f>IF(AND(17&gt;=ConStart,17&lt;=ConPayoffMonth),1,0)</f>
        <v/>
      </c>
      <c r="U41" s="17">
        <f>IF(AND(18&gt;=ConStart,18&lt;=ConPayoffMonth),1,0)</f>
        <v/>
      </c>
      <c r="V41" s="17">
        <f>IF(AND(19&gt;=ConStart,19&lt;=ConPayoffMonth),1,0)</f>
        <v/>
      </c>
      <c r="W41" s="17">
        <f>IF(AND(20&gt;=ConStart,20&lt;=ConPayoffMonth),1,0)</f>
        <v/>
      </c>
      <c r="X41" s="17">
        <f>IF(AND(21&gt;=ConStart,21&lt;=ConPayoffMonth),1,0)</f>
        <v/>
      </c>
      <c r="Y41" s="17">
        <f>IF(AND(22&gt;=ConStart,22&lt;=ConPayoffMonth),1,0)</f>
        <v/>
      </c>
      <c r="Z41" s="17">
        <f>IF(AND(23&gt;=ConStart,23&lt;=ConPayoffMonth),1,0)</f>
        <v/>
      </c>
      <c r="AA41" s="17">
        <f>IF(AND(24&gt;=ConStart,24&lt;=ConPayoffMonth),1,0)</f>
        <v/>
      </c>
      <c r="AB41" s="17">
        <f>IF(AND(25&gt;=ConStart,25&lt;=ConPayoffMonth),1,0)</f>
        <v/>
      </c>
      <c r="AC41" s="17">
        <f>IF(AND(26&gt;=ConStart,26&lt;=ConPayoffMonth),1,0)</f>
        <v/>
      </c>
      <c r="AD41" s="17">
        <f>IF(AND(27&gt;=ConStart,27&lt;=ConPayoffMonth),1,0)</f>
        <v/>
      </c>
      <c r="AE41" s="17">
        <f>IF(AND(28&gt;=ConStart,28&lt;=ConPayoffMonth),1,0)</f>
        <v/>
      </c>
      <c r="AF41" s="17">
        <f>IF(AND(29&gt;=ConStart,29&lt;=ConPayoffMonth),1,0)</f>
        <v/>
      </c>
      <c r="AG41" s="17">
        <f>IF(AND(30&gt;=ConStart,30&lt;=ConPayoffMonth),1,0)</f>
        <v/>
      </c>
      <c r="AH41" s="17">
        <f>IF(AND(31&gt;=ConStart,31&lt;=ConPayoffMonth),1,0)</f>
        <v/>
      </c>
      <c r="AI41" s="17">
        <f>IF(AND(32&gt;=ConStart,32&lt;=ConPayoffMonth),1,0)</f>
        <v/>
      </c>
      <c r="AJ41" s="17">
        <f>IF(AND(33&gt;=ConStart,33&lt;=ConPayoffMonth),1,0)</f>
        <v/>
      </c>
      <c r="AK41" s="17">
        <f>IF(AND(34&gt;=ConStart,34&lt;=ConPayoffMonth),1,0)</f>
        <v/>
      </c>
      <c r="AL41" s="17">
        <f>IF(AND(35&gt;=ConStart,35&lt;=ConPayoffMonth),1,0)</f>
        <v/>
      </c>
      <c r="AM41" s="17">
        <f>IF(AND(36&gt;=ConStart,36&lt;=ConPayoffMonth),1,0)</f>
        <v/>
      </c>
      <c r="AN41" s="17">
        <f>IF(AND(37&gt;=ConStart,37&lt;=ConPayoffMonth),1,0)</f>
        <v/>
      </c>
      <c r="AO41" s="17">
        <f>IF(AND(38&gt;=ConStart,38&lt;=ConPayoffMonth),1,0)</f>
        <v/>
      </c>
      <c r="AP41" s="17">
        <f>IF(AND(39&gt;=ConStart,39&lt;=ConPayoffMonth),1,0)</f>
        <v/>
      </c>
      <c r="AQ41" s="17">
        <f>IF(AND(40&gt;=ConStart,40&lt;=ConPayoffMonth),1,0)</f>
        <v/>
      </c>
      <c r="AR41" s="17">
        <f>IF(AND(41&gt;=ConStart,41&lt;=ConPayoffMonth),1,0)</f>
        <v/>
      </c>
      <c r="AS41" s="17">
        <f>IF(AND(42&gt;=ConStart,42&lt;=ConPayoffMonth),1,0)</f>
        <v/>
      </c>
      <c r="AT41" s="17">
        <f>IF(AND(43&gt;=ConStart,43&lt;=ConPayoffMonth),1,0)</f>
        <v/>
      </c>
      <c r="AU41" s="17">
        <f>IF(AND(44&gt;=ConStart,44&lt;=ConPayoffMonth),1,0)</f>
        <v/>
      </c>
      <c r="AV41" s="17">
        <f>IF(AND(45&gt;=ConStart,45&lt;=ConPayoffMonth),1,0)</f>
        <v/>
      </c>
      <c r="AW41" s="17">
        <f>IF(AND(46&gt;=ConStart,46&lt;=ConPayoffMonth),1,0)</f>
        <v/>
      </c>
      <c r="AX41" s="17">
        <f>IF(AND(47&gt;=ConStart,47&lt;=ConPayoffMonth),1,0)</f>
        <v/>
      </c>
      <c r="AY41" s="17">
        <f>IF(AND(48&gt;=ConStart,48&lt;=ConPayoffMonth),1,0)</f>
        <v/>
      </c>
      <c r="AZ41" s="17">
        <f>IF(AND(49&gt;=ConStart,49&lt;=ConPayoffMonth),1,0)</f>
        <v/>
      </c>
      <c r="BA41" s="17">
        <f>IF(AND(50&gt;=ConStart,50&lt;=ConPayoffMonth),1,0)</f>
        <v/>
      </c>
      <c r="BB41" s="17">
        <f>IF(AND(51&gt;=ConStart,51&lt;=ConPayoffMonth),1,0)</f>
        <v/>
      </c>
      <c r="BC41" s="17">
        <f>IF(AND(52&gt;=ConStart,52&lt;=ConPayoffMonth),1,0)</f>
        <v/>
      </c>
      <c r="BD41" s="17">
        <f>IF(AND(53&gt;=ConStart,53&lt;=ConPayoffMonth),1,0)</f>
        <v/>
      </c>
      <c r="BE41" s="17">
        <f>IF(AND(54&gt;=ConStart,54&lt;=ConPayoffMonth),1,0)</f>
        <v/>
      </c>
      <c r="BF41" s="17">
        <f>IF(AND(55&gt;=ConStart,55&lt;=ConPayoffMonth),1,0)</f>
        <v/>
      </c>
      <c r="BG41" s="17">
        <f>IF(AND(56&gt;=ConStart,56&lt;=ConPayoffMonth),1,0)</f>
        <v/>
      </c>
      <c r="BH41" s="17">
        <f>IF(AND(57&gt;=ConStart,57&lt;=ConPayoffMonth),1,0)</f>
        <v/>
      </c>
      <c r="BI41" s="17">
        <f>IF(AND(58&gt;=ConStart,58&lt;=ConPayoffMonth),1,0)</f>
        <v/>
      </c>
      <c r="BJ41" s="17">
        <f>IF(AND(59&gt;=ConStart,59&lt;=ConPayoffMonth),1,0)</f>
        <v/>
      </c>
      <c r="BK41" s="17">
        <f>IF(AND(60&gt;=ConStart,60&lt;=ConPayoffMonth),1,0)</f>
        <v/>
      </c>
      <c r="BL41" s="17">
        <f>IF(AND(61&gt;=ConStart,61&lt;=ConPayoffMonth),1,0)</f>
        <v/>
      </c>
      <c r="BM41" s="17">
        <f>IF(AND(62&gt;=ConStart,62&lt;=ConPayoffMonth),1,0)</f>
        <v/>
      </c>
      <c r="BN41" s="17">
        <f>IF(AND(63&gt;=ConStart,63&lt;=ConPayoffMonth),1,0)</f>
        <v/>
      </c>
      <c r="BO41" s="17">
        <f>IF(AND(64&gt;=ConStart,64&lt;=ConPayoffMonth),1,0)</f>
        <v/>
      </c>
      <c r="BP41" s="17">
        <f>IF(AND(65&gt;=ConStart,65&lt;=ConPayoffMonth),1,0)</f>
        <v/>
      </c>
      <c r="BQ41" s="17">
        <f>IF(AND(66&gt;=ConStart,66&lt;=ConPayoffMonth),1,0)</f>
        <v/>
      </c>
      <c r="BR41" s="17">
        <f>IF(AND(67&gt;=ConStart,67&lt;=ConPayoffMonth),1,0)</f>
        <v/>
      </c>
      <c r="BS41" s="17">
        <f>IF(AND(68&gt;=ConStart,68&lt;=ConPayoffMonth),1,0)</f>
        <v/>
      </c>
      <c r="BT41" s="17">
        <f>IF(AND(69&gt;=ConStart,69&lt;=ConPayoffMonth),1,0)</f>
        <v/>
      </c>
      <c r="BU41" s="17">
        <f>IF(AND(70&gt;=ConStart,70&lt;=ConPayoffMonth),1,0)</f>
        <v/>
      </c>
      <c r="BV41" s="17">
        <f>IF(AND(71&gt;=ConStart,71&lt;=ConPayoffMonth),1,0)</f>
        <v/>
      </c>
      <c r="BW41" s="17">
        <f>IF(AND(72&gt;=ConStart,72&lt;=ConPayoffMonth),1,0)</f>
        <v/>
      </c>
      <c r="BX41" s="17">
        <f>IF(AND(73&gt;=ConStart,73&lt;=ConPayoffMonth),1,0)</f>
        <v/>
      </c>
      <c r="BY41" s="17">
        <f>IF(AND(74&gt;=ConStart,74&lt;=ConPayoffMonth),1,0)</f>
        <v/>
      </c>
      <c r="BZ41" s="17">
        <f>IF(AND(75&gt;=ConStart,75&lt;=ConPayoffMonth),1,0)</f>
        <v/>
      </c>
      <c r="CA41" s="17">
        <f>IF(AND(76&gt;=ConStart,76&lt;=ConPayoffMonth),1,0)</f>
        <v/>
      </c>
      <c r="CB41" s="17">
        <f>IF(AND(77&gt;=ConStart,77&lt;=ConPayoffMonth),1,0)</f>
        <v/>
      </c>
      <c r="CC41" s="17">
        <f>IF(AND(78&gt;=ConStart,78&lt;=ConPayoffMonth),1,0)</f>
        <v/>
      </c>
      <c r="CD41" s="17">
        <f>IF(AND(79&gt;=ConStart,79&lt;=ConPayoffMonth),1,0)</f>
        <v/>
      </c>
      <c r="CE41" s="17">
        <f>IF(AND(80&gt;=ConStart,80&lt;=ConPayoffMonth),1,0)</f>
        <v/>
      </c>
      <c r="CF41" s="17">
        <f>IF(AND(81&gt;=ConStart,81&lt;=ConPayoffMonth),1,0)</f>
        <v/>
      </c>
      <c r="CG41" s="17">
        <f>IF(AND(82&gt;=ConStart,82&lt;=ConPayoffMonth),1,0)</f>
        <v/>
      </c>
      <c r="CH41" s="17">
        <f>IF(AND(83&gt;=ConStart,83&lt;=ConPayoffMonth),1,0)</f>
        <v/>
      </c>
      <c r="CI41" s="17">
        <f>IF(AND(84&gt;=ConStart,84&lt;=ConPayoffMonth),1,0)</f>
        <v/>
      </c>
      <c r="CJ41" s="17">
        <f>IF(AND(85&gt;=ConStart,85&lt;=ConPayoffMonth),1,0)</f>
        <v/>
      </c>
      <c r="CK41" s="17">
        <f>IF(AND(86&gt;=ConStart,86&lt;=ConPayoffMonth),1,0)</f>
        <v/>
      </c>
      <c r="CL41" s="17">
        <f>IF(AND(87&gt;=ConStart,87&lt;=ConPayoffMonth),1,0)</f>
        <v/>
      </c>
      <c r="CM41" s="17">
        <f>IF(AND(88&gt;=ConStart,88&lt;=ConPayoffMonth),1,0)</f>
        <v/>
      </c>
      <c r="CN41" s="17">
        <f>IF(AND(89&gt;=ConStart,89&lt;=ConPayoffMonth),1,0)</f>
        <v/>
      </c>
      <c r="CO41" s="17">
        <f>IF(AND(90&gt;=ConStart,90&lt;=ConPayoffMonth),1,0)</f>
        <v/>
      </c>
      <c r="CP41" s="17">
        <f>IF(AND(91&gt;=ConStart,91&lt;=ConPayoffMonth),1,0)</f>
        <v/>
      </c>
      <c r="CQ41" s="17">
        <f>IF(AND(92&gt;=ConStart,92&lt;=ConPayoffMonth),1,0)</f>
        <v/>
      </c>
      <c r="CR41" s="17">
        <f>IF(AND(93&gt;=ConStart,93&lt;=ConPayoffMonth),1,0)</f>
        <v/>
      </c>
      <c r="CS41" s="17">
        <f>IF(AND(94&gt;=ConStart,94&lt;=ConPayoffMonth),1,0)</f>
        <v/>
      </c>
      <c r="CT41" s="17">
        <f>IF(AND(95&gt;=ConStart,95&lt;=ConPayoffMonth),1,0)</f>
        <v/>
      </c>
      <c r="CU41" s="17">
        <f>IF(AND(96&gt;=ConStart,96&lt;=ConPayoffMonth),1,0)</f>
        <v/>
      </c>
      <c r="CV41" s="17">
        <f>IF(AND(97&gt;=ConStart,97&lt;=ConPayoffMonth),1,0)</f>
        <v/>
      </c>
      <c r="CW41" s="17">
        <f>IF(AND(98&gt;=ConStart,98&lt;=ConPayoffMonth),1,0)</f>
        <v/>
      </c>
      <c r="CX41" s="17">
        <f>IF(AND(99&gt;=ConStart,99&lt;=ConPayoffMonth),1,0)</f>
        <v/>
      </c>
      <c r="CY41" s="17">
        <f>IF(AND(100&gt;=ConStart,100&lt;=ConPayoffMonth),1,0)</f>
        <v/>
      </c>
      <c r="CZ41" s="17">
        <f>IF(AND(101&gt;=ConStart,101&lt;=ConPayoffMonth),1,0)</f>
        <v/>
      </c>
      <c r="DA41" s="17">
        <f>IF(AND(102&gt;=ConStart,102&lt;=ConPayoffMonth),1,0)</f>
        <v/>
      </c>
      <c r="DB41" s="17">
        <f>IF(AND(103&gt;=ConStart,103&lt;=ConPayoffMonth),1,0)</f>
        <v/>
      </c>
      <c r="DC41" s="17">
        <f>IF(AND(104&gt;=ConStart,104&lt;=ConPayoffMonth),1,0)</f>
        <v/>
      </c>
      <c r="DD41" s="17">
        <f>IF(AND(105&gt;=ConStart,105&lt;=ConPayoffMonth),1,0)</f>
        <v/>
      </c>
      <c r="DE41" s="17">
        <f>IF(AND(106&gt;=ConStart,106&lt;=ConPayoffMonth),1,0)</f>
        <v/>
      </c>
      <c r="DF41" s="17">
        <f>IF(AND(107&gt;=ConStart,107&lt;=ConPayoffMonth),1,0)</f>
        <v/>
      </c>
      <c r="DG41" s="17">
        <f>IF(AND(108&gt;=ConStart,108&lt;=ConPayoffMonth),1,0)</f>
        <v/>
      </c>
      <c r="DH41" s="17">
        <f>IF(AND(109&gt;=ConStart,109&lt;=ConPayoffMonth),1,0)</f>
        <v/>
      </c>
      <c r="DI41" s="17">
        <f>IF(AND(110&gt;=ConStart,110&lt;=ConPayoffMonth),1,0)</f>
        <v/>
      </c>
      <c r="DJ41" s="17">
        <f>IF(AND(111&gt;=ConStart,111&lt;=ConPayoffMonth),1,0)</f>
        <v/>
      </c>
      <c r="DK41" s="17">
        <f>IF(AND(112&gt;=ConStart,112&lt;=ConPayoffMonth),1,0)</f>
        <v/>
      </c>
      <c r="DL41" s="17">
        <f>IF(AND(113&gt;=ConStart,113&lt;=ConPayoffMonth),1,0)</f>
        <v/>
      </c>
      <c r="DM41" s="17">
        <f>IF(AND(114&gt;=ConStart,114&lt;=ConPayoffMonth),1,0)</f>
        <v/>
      </c>
      <c r="DN41" s="17">
        <f>IF(AND(115&gt;=ConStart,115&lt;=ConPayoffMonth),1,0)</f>
        <v/>
      </c>
      <c r="DO41" s="17">
        <f>IF(AND(116&gt;=ConStart,116&lt;=ConPayoffMonth),1,0)</f>
        <v/>
      </c>
      <c r="DP41" s="17">
        <f>IF(AND(117&gt;=ConStart,117&lt;=ConPayoffMonth),1,0)</f>
        <v/>
      </c>
      <c r="DQ41" s="17">
        <f>IF(AND(118&gt;=ConStart,118&lt;=ConPayoffMonth),1,0)</f>
        <v/>
      </c>
      <c r="DR41" s="17">
        <f>IF(AND(119&gt;=ConStart,119&lt;=ConPayoffMonth),1,0)</f>
        <v/>
      </c>
      <c r="DS41" s="17">
        <f>IF(AND(120&gt;=ConStart,120&lt;=ConPayoffMonth),1,0)</f>
        <v/>
      </c>
      <c r="DT41" s="17">
        <f>IF(AND(121&gt;=ConStart,121&lt;=ConPayoffMonth),1,0)</f>
        <v/>
      </c>
      <c r="DU41" s="17">
        <f>IF(AND(122&gt;=ConStart,122&lt;=ConPayoffMonth),1,0)</f>
        <v/>
      </c>
      <c r="DV41" s="17">
        <f>IF(AND(123&gt;=ConStart,123&lt;=ConPayoffMonth),1,0)</f>
        <v/>
      </c>
      <c r="DW41" s="17">
        <f>IF(AND(124&gt;=ConStart,124&lt;=ConPayoffMonth),1,0)</f>
        <v/>
      </c>
      <c r="DX41" s="17">
        <f>IF(AND(125&gt;=ConStart,125&lt;=ConPayoffMonth),1,0)</f>
        <v/>
      </c>
      <c r="DY41" s="17">
        <f>IF(AND(126&gt;=ConStart,126&lt;=ConPayoffMonth),1,0)</f>
        <v/>
      </c>
      <c r="DZ41" s="17">
        <f>IF(AND(127&gt;=ConStart,127&lt;=ConPayoffMonth),1,0)</f>
        <v/>
      </c>
      <c r="EA41" s="17">
        <f>IF(AND(128&gt;=ConStart,128&lt;=ConPayoffMonth),1,0)</f>
        <v/>
      </c>
      <c r="EB41" s="17">
        <f>IF(AND(129&gt;=ConStart,129&lt;=ConPayoffMonth),1,0)</f>
        <v/>
      </c>
      <c r="EC41" s="17">
        <f>IF(AND(130&gt;=ConStart,130&lt;=ConPayoffMonth),1,0)</f>
        <v/>
      </c>
      <c r="ED41" s="17">
        <f>IF(AND(131&gt;=ConStart,131&lt;=ConPayoffMonth),1,0)</f>
        <v/>
      </c>
      <c r="EE41" s="17">
        <f>IF(AND(132&gt;=ConStart,132&lt;=ConPayoffMonth),1,0)</f>
        <v/>
      </c>
      <c r="EF41" s="17">
        <f>IF(AND(133&gt;=ConStart,133&lt;=ConPayoffMonth),1,0)</f>
        <v/>
      </c>
      <c r="EG41" s="17">
        <f>IF(AND(134&gt;=ConStart,134&lt;=ConPayoffMonth),1,0)</f>
        <v/>
      </c>
      <c r="EH41" s="17">
        <f>IF(AND(135&gt;=ConStart,135&lt;=ConPayoffMonth),1,0)</f>
        <v/>
      </c>
      <c r="EI41" s="17">
        <f>IF(AND(136&gt;=ConStart,136&lt;=ConPayoffMonth),1,0)</f>
        <v/>
      </c>
      <c r="EJ41" s="17">
        <f>IF(AND(137&gt;=ConStart,137&lt;=ConPayoffMonth),1,0)</f>
        <v/>
      </c>
      <c r="EK41" s="17">
        <f>IF(AND(138&gt;=ConStart,138&lt;=ConPayoffMonth),1,0)</f>
        <v/>
      </c>
      <c r="EL41" s="17">
        <f>IF(AND(139&gt;=ConStart,139&lt;=ConPayoffMonth),1,0)</f>
        <v/>
      </c>
      <c r="EM41" s="17">
        <f>IF(AND(140&gt;=ConStart,140&lt;=ConPayoffMonth),1,0)</f>
        <v/>
      </c>
      <c r="EN41" s="17">
        <f>IF(AND(141&gt;=ConStart,141&lt;=ConPayoffMonth),1,0)</f>
        <v/>
      </c>
      <c r="EO41" s="17">
        <f>IF(AND(142&gt;=ConStart,142&lt;=ConPayoffMonth),1,0)</f>
        <v/>
      </c>
      <c r="EP41" s="17">
        <f>IF(AND(143&gt;=ConStart,143&lt;=ConPayoffMonth),1,0)</f>
        <v/>
      </c>
      <c r="EQ41" s="17">
        <f>IF(AND(144&gt;=ConStart,144&lt;=ConPayoffMonth),1,0)</f>
        <v/>
      </c>
      <c r="ER41" s="17">
        <f>IF(AND(145&gt;=ConStart,145&lt;=ConPayoffMonth),1,0)</f>
        <v/>
      </c>
      <c r="ES41" s="17">
        <f>IF(AND(146&gt;=ConStart,146&lt;=ConPayoffMonth),1,0)</f>
        <v/>
      </c>
      <c r="ET41" s="17">
        <f>IF(AND(147&gt;=ConStart,147&lt;=ConPayoffMonth),1,0)</f>
        <v/>
      </c>
      <c r="EU41" s="17">
        <f>IF(AND(148&gt;=ConStart,148&lt;=ConPayoffMonth),1,0)</f>
        <v/>
      </c>
      <c r="EV41" s="17">
        <f>IF(AND(149&gt;=ConStart,149&lt;=ConPayoffMonth),1,0)</f>
        <v/>
      </c>
      <c r="EW41" s="17">
        <f>IF(AND(150&gt;=ConStart,150&lt;=ConPayoffMonth),1,0)</f>
        <v/>
      </c>
      <c r="EX41" s="17">
        <f>IF(AND(151&gt;=ConStart,151&lt;=ConPayoffMonth),1,0)</f>
        <v/>
      </c>
      <c r="EY41" s="17">
        <f>IF(AND(152&gt;=ConStart,152&lt;=ConPayoffMonth),1,0)</f>
        <v/>
      </c>
      <c r="EZ41" s="17">
        <f>IF(AND(153&gt;=ConStart,153&lt;=ConPayoffMonth),1,0)</f>
        <v/>
      </c>
      <c r="FA41" s="17">
        <f>IF(AND(154&gt;=ConStart,154&lt;=ConPayoffMonth),1,0)</f>
        <v/>
      </c>
      <c r="FB41" s="17">
        <f>IF(AND(155&gt;=ConStart,155&lt;=ConPayoffMonth),1,0)</f>
        <v/>
      </c>
      <c r="FC41" s="17">
        <f>IF(AND(156&gt;=ConStart,156&lt;=ConPayoffMonth),1,0)</f>
        <v/>
      </c>
      <c r="FD41" s="17">
        <f>IF(AND(157&gt;=ConStart,157&lt;=ConPayoffMonth),1,0)</f>
        <v/>
      </c>
      <c r="FE41" s="17">
        <f>IF(AND(158&gt;=ConStart,158&lt;=ConPayoffMonth),1,0)</f>
        <v/>
      </c>
      <c r="FF41" s="17">
        <f>IF(AND(159&gt;=ConStart,159&lt;=ConPayoffMonth),1,0)</f>
        <v/>
      </c>
      <c r="FG41" s="17">
        <f>IF(AND(160&gt;=ConStart,160&lt;=ConPayoffMonth),1,0)</f>
        <v/>
      </c>
      <c r="FH41" s="17">
        <f>IF(AND(161&gt;=ConStart,161&lt;=ConPayoffMonth),1,0)</f>
        <v/>
      </c>
      <c r="FI41" s="17">
        <f>IF(AND(162&gt;=ConStart,162&lt;=ConPayoffMonth),1,0)</f>
        <v/>
      </c>
      <c r="FJ41" s="17">
        <f>IF(AND(163&gt;=ConStart,163&lt;=ConPayoffMonth),1,0)</f>
        <v/>
      </c>
      <c r="FK41" s="17">
        <f>IF(AND(164&gt;=ConStart,164&lt;=ConPayoffMonth),1,0)</f>
        <v/>
      </c>
      <c r="FL41" s="17">
        <f>IF(AND(165&gt;=ConStart,165&lt;=ConPayoffMonth),1,0)</f>
        <v/>
      </c>
      <c r="FM41" s="17">
        <f>IF(AND(166&gt;=ConStart,166&lt;=ConPayoffMonth),1,0)</f>
        <v/>
      </c>
      <c r="FN41" s="17">
        <f>IF(AND(167&gt;=ConStart,167&lt;=ConPayoffMonth),1,0)</f>
        <v/>
      </c>
      <c r="FO41" s="17">
        <f>IF(AND(168&gt;=ConStart,168&lt;=ConPayoffMonth),1,0)</f>
        <v/>
      </c>
      <c r="FP41" s="17">
        <f>IF(AND(169&gt;=ConStart,169&lt;=ConPayoffMonth),1,0)</f>
        <v/>
      </c>
      <c r="FQ41" s="17">
        <f>IF(AND(170&gt;=ConStart,170&lt;=ConPayoffMonth),1,0)</f>
        <v/>
      </c>
      <c r="FR41" s="17">
        <f>IF(AND(171&gt;=ConStart,171&lt;=ConPayoffMonth),1,0)</f>
        <v/>
      </c>
      <c r="FS41" s="17">
        <f>IF(AND(172&gt;=ConStart,172&lt;=ConPayoffMonth),1,0)</f>
        <v/>
      </c>
      <c r="FT41" s="17">
        <f>IF(AND(173&gt;=ConStart,173&lt;=ConPayoffMonth),1,0)</f>
        <v/>
      </c>
      <c r="FU41" s="17">
        <f>IF(AND(174&gt;=ConStart,174&lt;=ConPayoffMonth),1,0)</f>
        <v/>
      </c>
      <c r="FV41" s="17">
        <f>IF(AND(175&gt;=ConStart,175&lt;=ConPayoffMonth),1,0)</f>
        <v/>
      </c>
      <c r="FW41" s="17">
        <f>IF(AND(176&gt;=ConStart,176&lt;=ConPayoffMonth),1,0)</f>
        <v/>
      </c>
      <c r="FX41" s="17">
        <f>IF(AND(177&gt;=ConStart,177&lt;=ConPayoffMonth),1,0)</f>
        <v/>
      </c>
      <c r="FY41" s="17">
        <f>IF(AND(178&gt;=ConStart,178&lt;=ConPayoffMonth),1,0)</f>
        <v/>
      </c>
      <c r="FZ41" s="17">
        <f>IF(AND(179&gt;=ConStart,179&lt;=ConPayoffMonth),1,0)</f>
        <v/>
      </c>
      <c r="GA41" s="17">
        <f>IF(AND(180&gt;=ConStart,180&lt;=ConPayoffMonth),1,0)</f>
        <v/>
      </c>
      <c r="GB41" s="17">
        <f>IF(AND(181&gt;=ConStart,181&lt;=ConPayoffMonth),1,0)</f>
        <v/>
      </c>
      <c r="GC41" s="17">
        <f>IF(AND(182&gt;=ConStart,182&lt;=ConPayoffMonth),1,0)</f>
        <v/>
      </c>
      <c r="GD41" s="17">
        <f>IF(AND(183&gt;=ConStart,183&lt;=ConPayoffMonth),1,0)</f>
        <v/>
      </c>
      <c r="GE41" s="17">
        <f>IF(AND(184&gt;=ConStart,184&lt;=ConPayoffMonth),1,0)</f>
        <v/>
      </c>
      <c r="GF41" s="17">
        <f>IF(AND(185&gt;=ConStart,185&lt;=ConPayoffMonth),1,0)</f>
        <v/>
      </c>
      <c r="GG41" s="17">
        <f>IF(AND(186&gt;=ConStart,186&lt;=ConPayoffMonth),1,0)</f>
        <v/>
      </c>
      <c r="GH41" s="17">
        <f>IF(AND(187&gt;=ConStart,187&lt;=ConPayoffMonth),1,0)</f>
        <v/>
      </c>
      <c r="GI41" s="17">
        <f>IF(AND(188&gt;=ConStart,188&lt;=ConPayoffMonth),1,0)</f>
        <v/>
      </c>
      <c r="GJ41" s="17">
        <f>IF(AND(189&gt;=ConStart,189&lt;=ConPayoffMonth),1,0)</f>
        <v/>
      </c>
      <c r="GK41" s="17">
        <f>IF(AND(190&gt;=ConStart,190&lt;=ConPayoffMonth),1,0)</f>
        <v/>
      </c>
      <c r="GL41" s="17">
        <f>IF(AND(191&gt;=ConStart,191&lt;=ConPayoffMonth),1,0)</f>
        <v/>
      </c>
      <c r="GM41" s="17">
        <f>IF(AND(192&gt;=ConStart,192&lt;=ConPayoffMonth),1,0)</f>
        <v/>
      </c>
      <c r="GN41" s="17">
        <f>IF(AND(193&gt;=ConStart,193&lt;=ConPayoffMonth),1,0)</f>
        <v/>
      </c>
      <c r="GO41" s="17">
        <f>IF(AND(194&gt;=ConStart,194&lt;=ConPayoffMonth),1,0)</f>
        <v/>
      </c>
      <c r="GP41" s="17">
        <f>IF(AND(195&gt;=ConStart,195&lt;=ConPayoffMonth),1,0)</f>
        <v/>
      </c>
      <c r="GQ41" s="17">
        <f>IF(AND(196&gt;=ConStart,196&lt;=ConPayoffMonth),1,0)</f>
        <v/>
      </c>
      <c r="GR41" s="17">
        <f>IF(AND(197&gt;=ConStart,197&lt;=ConPayoffMonth),1,0)</f>
        <v/>
      </c>
      <c r="GS41" s="17">
        <f>IF(AND(198&gt;=ConStart,198&lt;=ConPayoffMonth),1,0)</f>
        <v/>
      </c>
      <c r="GT41" s="17">
        <f>IF(AND(199&gt;=ConStart,199&lt;=ConPayoffMonth),1,0)</f>
        <v/>
      </c>
      <c r="GU41" s="17">
        <f>IF(AND(200&gt;=ConStart,200&lt;=ConPayoffMonth),1,0)</f>
        <v/>
      </c>
      <c r="GV41" s="17">
        <f>IF(AND(201&gt;=ConStart,201&lt;=ConPayoffMonth),1,0)</f>
        <v/>
      </c>
      <c r="GW41" s="17">
        <f>IF(AND(202&gt;=ConStart,202&lt;=ConPayoffMonth),1,0)</f>
        <v/>
      </c>
      <c r="GX41" s="17">
        <f>IF(AND(203&gt;=ConStart,203&lt;=ConPayoffMonth),1,0)</f>
        <v/>
      </c>
      <c r="GY41" s="17">
        <f>IF(AND(204&gt;=ConStart,204&lt;=ConPayoffMonth),1,0)</f>
        <v/>
      </c>
      <c r="GZ41" s="17">
        <f>IF(AND(205&gt;=ConStart,205&lt;=ConPayoffMonth),1,0)</f>
        <v/>
      </c>
      <c r="HA41" s="17">
        <f>IF(AND(206&gt;=ConStart,206&lt;=ConPayoffMonth),1,0)</f>
        <v/>
      </c>
      <c r="HB41" s="17">
        <f>IF(AND(207&gt;=ConStart,207&lt;=ConPayoffMonth),1,0)</f>
        <v/>
      </c>
      <c r="HC41" s="17">
        <f>IF(AND(208&gt;=ConStart,208&lt;=ConPayoffMonth),1,0)</f>
        <v/>
      </c>
      <c r="HD41" s="17">
        <f>IF(AND(209&gt;=ConStart,209&lt;=ConPayoffMonth),1,0)</f>
        <v/>
      </c>
      <c r="HE41" s="17">
        <f>IF(AND(210&gt;=ConStart,210&lt;=ConPayoffMonth),1,0)</f>
        <v/>
      </c>
      <c r="HF41" s="17">
        <f>IF(AND(211&gt;=ConStart,211&lt;=ConPayoffMonth),1,0)</f>
        <v/>
      </c>
      <c r="HG41" s="17">
        <f>IF(AND(212&gt;=ConStart,212&lt;=ConPayoffMonth),1,0)</f>
        <v/>
      </c>
      <c r="HH41" s="17">
        <f>IF(AND(213&gt;=ConStart,213&lt;=ConPayoffMonth),1,0)</f>
        <v/>
      </c>
      <c r="HI41" s="17">
        <f>IF(AND(214&gt;=ConStart,214&lt;=ConPayoffMonth),1,0)</f>
        <v/>
      </c>
      <c r="HJ41" s="17">
        <f>IF(AND(215&gt;=ConStart,215&lt;=ConPayoffMonth),1,0)</f>
        <v/>
      </c>
      <c r="HK41" s="17">
        <f>IF(AND(216&gt;=ConStart,216&lt;=ConPayoffMonth),1,0)</f>
        <v/>
      </c>
      <c r="HL41" s="17">
        <f>IF(AND(217&gt;=ConStart,217&lt;=ConPayoffMonth),1,0)</f>
        <v/>
      </c>
      <c r="HM41" s="17">
        <f>IF(AND(218&gt;=ConStart,218&lt;=ConPayoffMonth),1,0)</f>
        <v/>
      </c>
      <c r="HN41" s="17">
        <f>IF(AND(219&gt;=ConStart,219&lt;=ConPayoffMonth),1,0)</f>
        <v/>
      </c>
      <c r="HO41" s="17">
        <f>IF(AND(220&gt;=ConStart,220&lt;=ConPayoffMonth),1,0)</f>
        <v/>
      </c>
      <c r="HP41" s="17">
        <f>IF(AND(221&gt;=ConStart,221&lt;=ConPayoffMonth),1,0)</f>
        <v/>
      </c>
      <c r="HQ41" s="17">
        <f>IF(AND(222&gt;=ConStart,222&lt;=ConPayoffMonth),1,0)</f>
        <v/>
      </c>
      <c r="HR41" s="17">
        <f>IF(AND(223&gt;=ConStart,223&lt;=ConPayoffMonth),1,0)</f>
        <v/>
      </c>
      <c r="HS41" s="17">
        <f>IF(AND(224&gt;=ConStart,224&lt;=ConPayoffMonth),1,0)</f>
        <v/>
      </c>
      <c r="HT41" s="17">
        <f>IF(AND(225&gt;=ConStart,225&lt;=ConPayoffMonth),1,0)</f>
        <v/>
      </c>
      <c r="HU41" s="17">
        <f>IF(AND(226&gt;=ConStart,226&lt;=ConPayoffMonth),1,0)</f>
        <v/>
      </c>
      <c r="HV41" s="17">
        <f>IF(AND(227&gt;=ConStart,227&lt;=ConPayoffMonth),1,0)</f>
        <v/>
      </c>
      <c r="HW41" s="17">
        <f>IF(AND(228&gt;=ConStart,228&lt;=ConPayoffMonth),1,0)</f>
        <v/>
      </c>
      <c r="HX41" s="17">
        <f>IF(AND(229&gt;=ConStart,229&lt;=ConPayoffMonth),1,0)</f>
        <v/>
      </c>
      <c r="HY41" s="17">
        <f>IF(AND(230&gt;=ConStart,230&lt;=ConPayoffMonth),1,0)</f>
        <v/>
      </c>
      <c r="HZ41" s="17">
        <f>IF(AND(231&gt;=ConStart,231&lt;=ConPayoffMonth),1,0)</f>
        <v/>
      </c>
      <c r="IA41" s="17">
        <f>IF(AND(232&gt;=ConStart,232&lt;=ConPayoffMonth),1,0)</f>
        <v/>
      </c>
      <c r="IB41" s="17">
        <f>IF(AND(233&gt;=ConStart,233&lt;=ConPayoffMonth),1,0)</f>
        <v/>
      </c>
      <c r="IC41" s="17">
        <f>IF(AND(234&gt;=ConStart,234&lt;=ConPayoffMonth),1,0)</f>
        <v/>
      </c>
      <c r="ID41" s="17">
        <f>IF(AND(235&gt;=ConStart,235&lt;=ConPayoffMonth),1,0)</f>
        <v/>
      </c>
      <c r="IE41" s="17">
        <f>IF(AND(236&gt;=ConStart,236&lt;=ConPayoffMonth),1,0)</f>
        <v/>
      </c>
      <c r="IF41" s="17">
        <f>IF(AND(237&gt;=ConStart,237&lt;=ConPayoffMonth),1,0)</f>
        <v/>
      </c>
      <c r="IG41" s="17">
        <f>IF(AND(238&gt;=ConStart,238&lt;=ConPayoffMonth),1,0)</f>
        <v/>
      </c>
      <c r="IH41" s="17">
        <f>IF(AND(239&gt;=ConStart,239&lt;=ConPayoffMonth),1,0)</f>
        <v/>
      </c>
      <c r="II41" s="17">
        <f>IF(AND(240&gt;=ConStart,240&lt;=ConPayoffMonth),1,0)</f>
        <v/>
      </c>
      <c r="IJ41" s="17">
        <f>IF(AND(241&gt;=ConStart,241&lt;=ConPayoffMonth),1,0)</f>
        <v/>
      </c>
      <c r="IK41" s="17">
        <f>IF(AND(242&gt;=ConStart,242&lt;=ConPayoffMonth),1,0)</f>
        <v/>
      </c>
      <c r="IL41" s="17">
        <f>IF(AND(243&gt;=ConStart,243&lt;=ConPayoffMonth),1,0)</f>
        <v/>
      </c>
      <c r="IM41" s="17">
        <f>IF(AND(244&gt;=ConStart,244&lt;=ConPayoffMonth),1,0)</f>
        <v/>
      </c>
      <c r="IN41" s="17">
        <f>IF(AND(245&gt;=ConStart,245&lt;=ConPayoffMonth),1,0)</f>
        <v/>
      </c>
      <c r="IO41" s="17">
        <f>IF(AND(246&gt;=ConStart,246&lt;=ConPayoffMonth),1,0)</f>
        <v/>
      </c>
      <c r="IP41" s="17">
        <f>IF(AND(247&gt;=ConStart,247&lt;=ConPayoffMonth),1,0)</f>
        <v/>
      </c>
      <c r="IQ41" s="17">
        <f>IF(AND(248&gt;=ConStart,248&lt;=ConPayoffMonth),1,0)</f>
        <v/>
      </c>
      <c r="IR41" s="17">
        <f>IF(AND(249&gt;=ConStart,249&lt;=ConPayoffMonth),1,0)</f>
        <v/>
      </c>
      <c r="IS41" s="17">
        <f>IF(AND(250&gt;=ConStart,250&lt;=ConPayoffMonth),1,0)</f>
        <v/>
      </c>
      <c r="IT41" s="17">
        <f>IF(AND(251&gt;=ConStart,251&lt;=ConPayoffMonth),1,0)</f>
        <v/>
      </c>
      <c r="IU41" s="17">
        <f>IF(AND(252&gt;=ConStart,252&lt;=ConPayoffMonth),1,0)</f>
        <v/>
      </c>
      <c r="IV41" s="17">
        <f>IF(AND(253&gt;=ConStart,253&lt;=ConPayoffMonth),1,0)</f>
        <v/>
      </c>
      <c r="IW41" s="17">
        <f>IF(AND(254&gt;=ConStart,254&lt;=ConPayoffMonth),1,0)</f>
        <v/>
      </c>
      <c r="IX41" s="17">
        <f>IF(AND(255&gt;=ConStart,255&lt;=ConPayoffMonth),1,0)</f>
        <v/>
      </c>
      <c r="IY41" s="17">
        <f>IF(AND(256&gt;=ConStart,256&lt;=ConPayoffMonth),1,0)</f>
        <v/>
      </c>
      <c r="IZ41" s="17">
        <f>IF(AND(257&gt;=ConStart,257&lt;=ConPayoffMonth),1,0)</f>
        <v/>
      </c>
      <c r="JA41" s="17">
        <f>IF(AND(258&gt;=ConStart,258&lt;=ConPayoffMonth),1,0)</f>
        <v/>
      </c>
      <c r="JB41" s="17">
        <f>IF(AND(259&gt;=ConStart,259&lt;=ConPayoffMonth),1,0)</f>
        <v/>
      </c>
      <c r="JC41" s="17">
        <f>IF(AND(260&gt;=ConStart,260&lt;=ConPayoffMonth),1,0)</f>
        <v/>
      </c>
      <c r="JD41" s="17">
        <f>IF(AND(261&gt;=ConStart,261&lt;=ConPayoffMonth),1,0)</f>
        <v/>
      </c>
      <c r="JE41" s="17">
        <f>IF(AND(262&gt;=ConStart,262&lt;=ConPayoffMonth),1,0)</f>
        <v/>
      </c>
      <c r="JF41" s="17">
        <f>IF(AND(263&gt;=ConStart,263&lt;=ConPayoffMonth),1,0)</f>
        <v/>
      </c>
      <c r="JG41" s="17">
        <f>IF(AND(264&gt;=ConStart,264&lt;=ConPayoffMonth),1,0)</f>
        <v/>
      </c>
      <c r="JH41" s="17">
        <f>IF(AND(265&gt;=ConStart,265&lt;=ConPayoffMonth),1,0)</f>
        <v/>
      </c>
      <c r="JI41" s="17">
        <f>IF(AND(266&gt;=ConStart,266&lt;=ConPayoffMonth),1,0)</f>
        <v/>
      </c>
      <c r="JJ41" s="17">
        <f>IF(AND(267&gt;=ConStart,267&lt;=ConPayoffMonth),1,0)</f>
        <v/>
      </c>
      <c r="JK41" s="17">
        <f>IF(AND(268&gt;=ConStart,268&lt;=ConPayoffMonth),1,0)</f>
        <v/>
      </c>
      <c r="JL41" s="17">
        <f>IF(AND(269&gt;=ConStart,269&lt;=ConPayoffMonth),1,0)</f>
        <v/>
      </c>
      <c r="JM41" s="17">
        <f>IF(AND(270&gt;=ConStart,270&lt;=ConPayoffMonth),1,0)</f>
        <v/>
      </c>
      <c r="JN41" s="17">
        <f>IF(AND(271&gt;=ConStart,271&lt;=ConPayoffMonth),1,0)</f>
        <v/>
      </c>
      <c r="JO41" s="17">
        <f>IF(AND(272&gt;=ConStart,272&lt;=ConPayoffMonth),1,0)</f>
        <v/>
      </c>
      <c r="JP41" s="17">
        <f>IF(AND(273&gt;=ConStart,273&lt;=ConPayoffMonth),1,0)</f>
        <v/>
      </c>
      <c r="JQ41" s="17">
        <f>IF(AND(274&gt;=ConStart,274&lt;=ConPayoffMonth),1,0)</f>
        <v/>
      </c>
      <c r="JR41" s="17">
        <f>IF(AND(275&gt;=ConStart,275&lt;=ConPayoffMonth),1,0)</f>
        <v/>
      </c>
      <c r="JS41" s="17">
        <f>IF(AND(276&gt;=ConStart,276&lt;=ConPayoffMonth),1,0)</f>
        <v/>
      </c>
      <c r="JT41" s="17">
        <f>IF(AND(277&gt;=ConStart,277&lt;=ConPayoffMonth),1,0)</f>
        <v/>
      </c>
      <c r="JU41" s="17">
        <f>IF(AND(278&gt;=ConStart,278&lt;=ConPayoffMonth),1,0)</f>
        <v/>
      </c>
      <c r="JV41" s="17">
        <f>IF(AND(279&gt;=ConStart,279&lt;=ConPayoffMonth),1,0)</f>
        <v/>
      </c>
      <c r="JW41" s="17">
        <f>IF(AND(280&gt;=ConStart,280&lt;=ConPayoffMonth),1,0)</f>
        <v/>
      </c>
      <c r="JX41" s="17">
        <f>IF(AND(281&gt;=ConStart,281&lt;=ConPayoffMonth),1,0)</f>
        <v/>
      </c>
      <c r="JY41" s="17">
        <f>IF(AND(282&gt;=ConStart,282&lt;=ConPayoffMonth),1,0)</f>
        <v/>
      </c>
      <c r="JZ41" s="17">
        <f>IF(AND(283&gt;=ConStart,283&lt;=ConPayoffMonth),1,0)</f>
        <v/>
      </c>
      <c r="KA41" s="17">
        <f>IF(AND(284&gt;=ConStart,284&lt;=ConPayoffMonth),1,0)</f>
        <v/>
      </c>
      <c r="KB41" s="17">
        <f>IF(AND(285&gt;=ConStart,285&lt;=ConPayoffMonth),1,0)</f>
        <v/>
      </c>
      <c r="KC41" s="17">
        <f>IF(AND(286&gt;=ConStart,286&lt;=ConPayoffMonth),1,0)</f>
        <v/>
      </c>
      <c r="KD41" s="17">
        <f>IF(AND(287&gt;=ConStart,287&lt;=ConPayoffMonth),1,0)</f>
        <v/>
      </c>
      <c r="KE41" s="17">
        <f>IF(AND(288&gt;=ConStart,288&lt;=ConPayoffMonth),1,0)</f>
        <v/>
      </c>
      <c r="KF41" s="17">
        <f>IF(AND(289&gt;=ConStart,289&lt;=ConPayoffMonth),1,0)</f>
        <v/>
      </c>
      <c r="KG41" s="17">
        <f>IF(AND(290&gt;=ConStart,290&lt;=ConPayoffMonth),1,0)</f>
        <v/>
      </c>
      <c r="KH41" s="17">
        <f>IF(AND(291&gt;=ConStart,291&lt;=ConPayoffMonth),1,0)</f>
        <v/>
      </c>
      <c r="KI41" s="17">
        <f>IF(AND(292&gt;=ConStart,292&lt;=ConPayoffMonth),1,0)</f>
        <v/>
      </c>
      <c r="KJ41" s="17">
        <f>IF(AND(293&gt;=ConStart,293&lt;=ConPayoffMonth),1,0)</f>
        <v/>
      </c>
      <c r="KK41" s="17">
        <f>IF(AND(294&gt;=ConStart,294&lt;=ConPayoffMonth),1,0)</f>
        <v/>
      </c>
      <c r="KL41" s="17">
        <f>IF(AND(295&gt;=ConStart,295&lt;=ConPayoffMonth),1,0)</f>
        <v/>
      </c>
      <c r="KM41" s="17">
        <f>IF(AND(296&gt;=ConStart,296&lt;=ConPayoffMonth),1,0)</f>
        <v/>
      </c>
      <c r="KN41" s="17">
        <f>IF(AND(297&gt;=ConStart,297&lt;=ConPayoffMonth),1,0)</f>
        <v/>
      </c>
      <c r="KO41" s="17">
        <f>IF(AND(298&gt;=ConStart,298&lt;=ConPayoffMonth),1,0)</f>
        <v/>
      </c>
      <c r="KP41" s="17">
        <f>IF(AND(299&gt;=ConStart,299&lt;=ConPayoffMonth),1,0)</f>
        <v/>
      </c>
      <c r="KQ41" s="17">
        <f>IF(AND(300&gt;=ConStart,300&lt;=ConPayoffMonth),1,0)</f>
        <v/>
      </c>
      <c r="KR41" s="17">
        <f>IF(AND(301&gt;=ConStart,301&lt;=ConPayoffMonth),1,0)</f>
        <v/>
      </c>
      <c r="KS41" s="17">
        <f>IF(AND(302&gt;=ConStart,302&lt;=ConPayoffMonth),1,0)</f>
        <v/>
      </c>
      <c r="KT41" s="17">
        <f>IF(AND(303&gt;=ConStart,303&lt;=ConPayoffMonth),1,0)</f>
        <v/>
      </c>
      <c r="KU41" s="17">
        <f>IF(AND(304&gt;=ConStart,304&lt;=ConPayoffMonth),1,0)</f>
        <v/>
      </c>
      <c r="KV41" s="17">
        <f>IF(AND(305&gt;=ConStart,305&lt;=ConPayoffMonth),1,0)</f>
        <v/>
      </c>
      <c r="KW41" s="17">
        <f>IF(AND(306&gt;=ConStart,306&lt;=ConPayoffMonth),1,0)</f>
        <v/>
      </c>
      <c r="KX41" s="17">
        <f>IF(AND(307&gt;=ConStart,307&lt;=ConPayoffMonth),1,0)</f>
        <v/>
      </c>
      <c r="KY41" s="17">
        <f>IF(AND(308&gt;=ConStart,308&lt;=ConPayoffMonth),1,0)</f>
        <v/>
      </c>
      <c r="KZ41" s="17">
        <f>IF(AND(309&gt;=ConStart,309&lt;=ConPayoffMonth),1,0)</f>
        <v/>
      </c>
      <c r="LA41" s="17">
        <f>IF(AND(310&gt;=ConStart,310&lt;=ConPayoffMonth),1,0)</f>
        <v/>
      </c>
      <c r="LB41" s="17">
        <f>IF(AND(311&gt;=ConStart,311&lt;=ConPayoffMonth),1,0)</f>
        <v/>
      </c>
      <c r="LC41" s="17">
        <f>IF(AND(312&gt;=ConStart,312&lt;=ConPayoffMonth),1,0)</f>
        <v/>
      </c>
      <c r="LD41" s="17">
        <f>IF(AND(313&gt;=ConStart,313&lt;=ConPayoffMonth),1,0)</f>
        <v/>
      </c>
      <c r="LE41" s="17">
        <f>IF(AND(314&gt;=ConStart,314&lt;=ConPayoffMonth),1,0)</f>
        <v/>
      </c>
      <c r="LF41" s="17">
        <f>IF(AND(315&gt;=ConStart,315&lt;=ConPayoffMonth),1,0)</f>
        <v/>
      </c>
      <c r="LG41" s="17">
        <f>IF(AND(316&gt;=ConStart,316&lt;=ConPayoffMonth),1,0)</f>
        <v/>
      </c>
      <c r="LH41" s="17">
        <f>IF(AND(317&gt;=ConStart,317&lt;=ConPayoffMonth),1,0)</f>
        <v/>
      </c>
      <c r="LI41" s="17">
        <f>IF(AND(318&gt;=ConStart,318&lt;=ConPayoffMonth),1,0)</f>
        <v/>
      </c>
      <c r="LJ41" s="17">
        <f>IF(AND(319&gt;=ConStart,319&lt;=ConPayoffMonth),1,0)</f>
        <v/>
      </c>
      <c r="LK41" s="17">
        <f>IF(AND(320&gt;=ConStart,320&lt;=ConPayoffMonth),1,0)</f>
        <v/>
      </c>
      <c r="LL41" s="17">
        <f>IF(AND(321&gt;=ConStart,321&lt;=ConPayoffMonth),1,0)</f>
        <v/>
      </c>
      <c r="LM41" s="17">
        <f>IF(AND(322&gt;=ConStart,322&lt;=ConPayoffMonth),1,0)</f>
        <v/>
      </c>
      <c r="LN41" s="17">
        <f>IF(AND(323&gt;=ConStart,323&lt;=ConPayoffMonth),1,0)</f>
        <v/>
      </c>
      <c r="LO41" s="17">
        <f>IF(AND(324&gt;=ConStart,324&lt;=ConPayoffMonth),1,0)</f>
        <v/>
      </c>
      <c r="LP41" s="17">
        <f>IF(AND(325&gt;=ConStart,325&lt;=ConPayoffMonth),1,0)</f>
        <v/>
      </c>
      <c r="LQ41" s="17">
        <f>IF(AND(326&gt;=ConStart,326&lt;=ConPayoffMonth),1,0)</f>
        <v/>
      </c>
      <c r="LR41" s="17">
        <f>IF(AND(327&gt;=ConStart,327&lt;=ConPayoffMonth),1,0)</f>
        <v/>
      </c>
      <c r="LS41" s="17">
        <f>IF(AND(328&gt;=ConStart,328&lt;=ConPayoffMonth),1,0)</f>
        <v/>
      </c>
      <c r="LT41" s="17">
        <f>IF(AND(329&gt;=ConStart,329&lt;=ConPayoffMonth),1,0)</f>
        <v/>
      </c>
      <c r="LU41" s="17">
        <f>IF(AND(330&gt;=ConStart,330&lt;=ConPayoffMonth),1,0)</f>
        <v/>
      </c>
      <c r="LV41" s="17">
        <f>IF(AND(331&gt;=ConStart,331&lt;=ConPayoffMonth),1,0)</f>
        <v/>
      </c>
      <c r="LW41" s="17">
        <f>IF(AND(332&gt;=ConStart,332&lt;=ConPayoffMonth),1,0)</f>
        <v/>
      </c>
      <c r="LX41" s="17">
        <f>IF(AND(333&gt;=ConStart,333&lt;=ConPayoffMonth),1,0)</f>
        <v/>
      </c>
      <c r="LY41" s="17">
        <f>IF(AND(334&gt;=ConStart,334&lt;=ConPayoffMonth),1,0)</f>
        <v/>
      </c>
      <c r="LZ41" s="17">
        <f>IF(AND(335&gt;=ConStart,335&lt;=ConPayoffMonth),1,0)</f>
        <v/>
      </c>
      <c r="MA41" s="17">
        <f>IF(AND(336&gt;=ConStart,336&lt;=ConPayoffMonth),1,0)</f>
        <v/>
      </c>
      <c r="MB41" s="17">
        <f>IF(AND(337&gt;=ConStart,337&lt;=ConPayoffMonth),1,0)</f>
        <v/>
      </c>
      <c r="MC41" s="17">
        <f>IF(AND(338&gt;=ConStart,338&lt;=ConPayoffMonth),1,0)</f>
        <v/>
      </c>
      <c r="MD41" s="17">
        <f>IF(AND(339&gt;=ConStart,339&lt;=ConPayoffMonth),1,0)</f>
        <v/>
      </c>
      <c r="ME41" s="17">
        <f>IF(AND(340&gt;=ConStart,340&lt;=ConPayoffMonth),1,0)</f>
        <v/>
      </c>
      <c r="MF41" s="17">
        <f>IF(AND(341&gt;=ConStart,341&lt;=ConPayoffMonth),1,0)</f>
        <v/>
      </c>
      <c r="MG41" s="17">
        <f>IF(AND(342&gt;=ConStart,342&lt;=ConPayoffMonth),1,0)</f>
        <v/>
      </c>
      <c r="MH41" s="17">
        <f>IF(AND(343&gt;=ConStart,343&lt;=ConPayoffMonth),1,0)</f>
        <v/>
      </c>
      <c r="MI41" s="17">
        <f>IF(AND(344&gt;=ConStart,344&lt;=ConPayoffMonth),1,0)</f>
        <v/>
      </c>
      <c r="MJ41" s="17">
        <f>IF(AND(345&gt;=ConStart,345&lt;=ConPayoffMonth),1,0)</f>
        <v/>
      </c>
      <c r="MK41" s="17">
        <f>IF(AND(346&gt;=ConStart,346&lt;=ConPayoffMonth),1,0)</f>
        <v/>
      </c>
      <c r="ML41" s="17">
        <f>IF(AND(347&gt;=ConStart,347&lt;=ConPayoffMonth),1,0)</f>
        <v/>
      </c>
      <c r="MM41" s="17">
        <f>IF(AND(348&gt;=ConStart,348&lt;=ConPayoffMonth),1,0)</f>
        <v/>
      </c>
      <c r="MN41" s="17">
        <f>IF(AND(349&gt;=ConStart,349&lt;=ConPayoffMonth),1,0)</f>
        <v/>
      </c>
      <c r="MO41" s="17">
        <f>IF(AND(350&gt;=ConStart,350&lt;=ConPayoffMonth),1,0)</f>
        <v/>
      </c>
      <c r="MP41" s="17">
        <f>IF(AND(351&gt;=ConStart,351&lt;=ConPayoffMonth),1,0)</f>
        <v/>
      </c>
      <c r="MQ41" s="17">
        <f>IF(AND(352&gt;=ConStart,352&lt;=ConPayoffMonth),1,0)</f>
        <v/>
      </c>
      <c r="MR41" s="17">
        <f>IF(AND(353&gt;=ConStart,353&lt;=ConPayoffMonth),1,0)</f>
        <v/>
      </c>
      <c r="MS41" s="17">
        <f>IF(AND(354&gt;=ConStart,354&lt;=ConPayoffMonth),1,0)</f>
        <v/>
      </c>
      <c r="MT41" s="17">
        <f>IF(AND(355&gt;=ConStart,355&lt;=ConPayoffMonth),1,0)</f>
        <v/>
      </c>
      <c r="MU41" s="17">
        <f>IF(AND(356&gt;=ConStart,356&lt;=ConPayoffMonth),1,0)</f>
        <v/>
      </c>
      <c r="MV41" s="17">
        <f>IF(AND(357&gt;=ConStart,357&lt;=ConPayoffMonth),1,0)</f>
        <v/>
      </c>
      <c r="MW41" s="17">
        <f>IF(AND(358&gt;=ConStart,358&lt;=ConPayoffMonth),1,0)</f>
        <v/>
      </c>
      <c r="MX41" s="17">
        <f>IF(AND(359&gt;=ConStart,359&lt;=ConPayoffMonth),1,0)</f>
        <v/>
      </c>
      <c r="MY41" s="17">
        <f>IF(AND(360&gt;=ConStart,360&lt;=ConPayoffMonth),1,0)</f>
        <v/>
      </c>
      <c r="MZ41" s="17">
        <f>IF(AND(361&gt;=ConStart,361&lt;=ConPayoffMonth),1,0)</f>
        <v/>
      </c>
      <c r="NA41" s="17">
        <f>IF(AND(362&gt;=ConStart,362&lt;=ConPayoffMonth),1,0)</f>
        <v/>
      </c>
      <c r="NB41" s="17">
        <f>IF(AND(363&gt;=ConStart,363&lt;=ConPayoffMonth),1,0)</f>
        <v/>
      </c>
      <c r="NC41" s="17">
        <f>IF(AND(364&gt;=ConStart,364&lt;=ConPayoffMonth),1,0)</f>
        <v/>
      </c>
      <c r="ND41" s="17">
        <f>IF(AND(365&gt;=ConStart,365&lt;=ConPayoffMonth),1,0)</f>
        <v/>
      </c>
      <c r="NE41" s="17">
        <f>IF(AND(366&gt;=ConStart,366&lt;=ConPayoffMonth),1,0)</f>
        <v/>
      </c>
      <c r="NF41" s="17">
        <f>IF(AND(367&gt;=ConStart,367&lt;=ConPayoffMonth),1,0)</f>
        <v/>
      </c>
      <c r="NG41" s="17">
        <f>IF(AND(368&gt;=ConStart,368&lt;=ConPayoffMonth),1,0)</f>
        <v/>
      </c>
      <c r="NH41" s="17">
        <f>IF(AND(369&gt;=ConStart,369&lt;=ConPayoffMonth),1,0)</f>
        <v/>
      </c>
      <c r="NI41" s="17">
        <f>IF(AND(370&gt;=ConStart,370&lt;=ConPayoffMonth),1,0)</f>
        <v/>
      </c>
      <c r="NJ41" s="17">
        <f>IF(AND(371&gt;=ConStart,371&lt;=ConPayoffMonth),1,0)</f>
        <v/>
      </c>
      <c r="NK41" s="17">
        <f>IF(AND(372&gt;=ConStart,372&lt;=ConPayoffMonth),1,0)</f>
        <v/>
      </c>
    </row>
    <row r="42">
      <c r="A42" s="5" t="inlineStr">
        <is>
          <t>Flag: Perm Loan Active</t>
        </is>
      </c>
      <c r="C42" s="40" t="n"/>
      <c r="D42" s="17">
        <f>IF(AND(RefiFlag=1,1&gt;RefiMonth,1&lt;=DispoMonth),1,0)</f>
        <v/>
      </c>
      <c r="E42" s="17">
        <f>IF(AND(RefiFlag=1,2&gt;RefiMonth,2&lt;=DispoMonth),1,0)</f>
        <v/>
      </c>
      <c r="F42" s="17">
        <f>IF(AND(RefiFlag=1,3&gt;RefiMonth,3&lt;=DispoMonth),1,0)</f>
        <v/>
      </c>
      <c r="G42" s="17">
        <f>IF(AND(RefiFlag=1,4&gt;RefiMonth,4&lt;=DispoMonth),1,0)</f>
        <v/>
      </c>
      <c r="H42" s="17">
        <f>IF(AND(RefiFlag=1,5&gt;RefiMonth,5&lt;=DispoMonth),1,0)</f>
        <v/>
      </c>
      <c r="I42" s="17">
        <f>IF(AND(RefiFlag=1,6&gt;RefiMonth,6&lt;=DispoMonth),1,0)</f>
        <v/>
      </c>
      <c r="J42" s="17">
        <f>IF(AND(RefiFlag=1,7&gt;RefiMonth,7&lt;=DispoMonth),1,0)</f>
        <v/>
      </c>
      <c r="K42" s="17">
        <f>IF(AND(RefiFlag=1,8&gt;RefiMonth,8&lt;=DispoMonth),1,0)</f>
        <v/>
      </c>
      <c r="L42" s="17">
        <f>IF(AND(RefiFlag=1,9&gt;RefiMonth,9&lt;=DispoMonth),1,0)</f>
        <v/>
      </c>
      <c r="M42" s="17">
        <f>IF(AND(RefiFlag=1,10&gt;RefiMonth,10&lt;=DispoMonth),1,0)</f>
        <v/>
      </c>
      <c r="N42" s="17">
        <f>IF(AND(RefiFlag=1,11&gt;RefiMonth,11&lt;=DispoMonth),1,0)</f>
        <v/>
      </c>
      <c r="O42" s="17">
        <f>IF(AND(RefiFlag=1,12&gt;RefiMonth,12&lt;=DispoMonth),1,0)</f>
        <v/>
      </c>
      <c r="P42" s="17">
        <f>IF(AND(RefiFlag=1,13&gt;RefiMonth,13&lt;=DispoMonth),1,0)</f>
        <v/>
      </c>
      <c r="Q42" s="17">
        <f>IF(AND(RefiFlag=1,14&gt;RefiMonth,14&lt;=DispoMonth),1,0)</f>
        <v/>
      </c>
      <c r="R42" s="17">
        <f>IF(AND(RefiFlag=1,15&gt;RefiMonth,15&lt;=DispoMonth),1,0)</f>
        <v/>
      </c>
      <c r="S42" s="17">
        <f>IF(AND(RefiFlag=1,16&gt;RefiMonth,16&lt;=DispoMonth),1,0)</f>
        <v/>
      </c>
      <c r="T42" s="17">
        <f>IF(AND(RefiFlag=1,17&gt;RefiMonth,17&lt;=DispoMonth),1,0)</f>
        <v/>
      </c>
      <c r="U42" s="17">
        <f>IF(AND(RefiFlag=1,18&gt;RefiMonth,18&lt;=DispoMonth),1,0)</f>
        <v/>
      </c>
      <c r="V42" s="17">
        <f>IF(AND(RefiFlag=1,19&gt;RefiMonth,19&lt;=DispoMonth),1,0)</f>
        <v/>
      </c>
      <c r="W42" s="17">
        <f>IF(AND(RefiFlag=1,20&gt;RefiMonth,20&lt;=DispoMonth),1,0)</f>
        <v/>
      </c>
      <c r="X42" s="17">
        <f>IF(AND(RefiFlag=1,21&gt;RefiMonth,21&lt;=DispoMonth),1,0)</f>
        <v/>
      </c>
      <c r="Y42" s="17">
        <f>IF(AND(RefiFlag=1,22&gt;RefiMonth,22&lt;=DispoMonth),1,0)</f>
        <v/>
      </c>
      <c r="Z42" s="17">
        <f>IF(AND(RefiFlag=1,23&gt;RefiMonth,23&lt;=DispoMonth),1,0)</f>
        <v/>
      </c>
      <c r="AA42" s="17">
        <f>IF(AND(RefiFlag=1,24&gt;RefiMonth,24&lt;=DispoMonth),1,0)</f>
        <v/>
      </c>
      <c r="AB42" s="17">
        <f>IF(AND(RefiFlag=1,25&gt;RefiMonth,25&lt;=DispoMonth),1,0)</f>
        <v/>
      </c>
      <c r="AC42" s="17">
        <f>IF(AND(RefiFlag=1,26&gt;RefiMonth,26&lt;=DispoMonth),1,0)</f>
        <v/>
      </c>
      <c r="AD42" s="17">
        <f>IF(AND(RefiFlag=1,27&gt;RefiMonth,27&lt;=DispoMonth),1,0)</f>
        <v/>
      </c>
      <c r="AE42" s="17">
        <f>IF(AND(RefiFlag=1,28&gt;RefiMonth,28&lt;=DispoMonth),1,0)</f>
        <v/>
      </c>
      <c r="AF42" s="17">
        <f>IF(AND(RefiFlag=1,29&gt;RefiMonth,29&lt;=DispoMonth),1,0)</f>
        <v/>
      </c>
      <c r="AG42" s="17">
        <f>IF(AND(RefiFlag=1,30&gt;RefiMonth,30&lt;=DispoMonth),1,0)</f>
        <v/>
      </c>
      <c r="AH42" s="17">
        <f>IF(AND(RefiFlag=1,31&gt;RefiMonth,31&lt;=DispoMonth),1,0)</f>
        <v/>
      </c>
      <c r="AI42" s="17">
        <f>IF(AND(RefiFlag=1,32&gt;RefiMonth,32&lt;=DispoMonth),1,0)</f>
        <v/>
      </c>
      <c r="AJ42" s="17">
        <f>IF(AND(RefiFlag=1,33&gt;RefiMonth,33&lt;=DispoMonth),1,0)</f>
        <v/>
      </c>
      <c r="AK42" s="17">
        <f>IF(AND(RefiFlag=1,34&gt;RefiMonth,34&lt;=DispoMonth),1,0)</f>
        <v/>
      </c>
      <c r="AL42" s="17">
        <f>IF(AND(RefiFlag=1,35&gt;RefiMonth,35&lt;=DispoMonth),1,0)</f>
        <v/>
      </c>
      <c r="AM42" s="17">
        <f>IF(AND(RefiFlag=1,36&gt;RefiMonth,36&lt;=DispoMonth),1,0)</f>
        <v/>
      </c>
      <c r="AN42" s="17">
        <f>IF(AND(RefiFlag=1,37&gt;RefiMonth,37&lt;=DispoMonth),1,0)</f>
        <v/>
      </c>
      <c r="AO42" s="17">
        <f>IF(AND(RefiFlag=1,38&gt;RefiMonth,38&lt;=DispoMonth),1,0)</f>
        <v/>
      </c>
      <c r="AP42" s="17">
        <f>IF(AND(RefiFlag=1,39&gt;RefiMonth,39&lt;=DispoMonth),1,0)</f>
        <v/>
      </c>
      <c r="AQ42" s="17">
        <f>IF(AND(RefiFlag=1,40&gt;RefiMonth,40&lt;=DispoMonth),1,0)</f>
        <v/>
      </c>
      <c r="AR42" s="17">
        <f>IF(AND(RefiFlag=1,41&gt;RefiMonth,41&lt;=DispoMonth),1,0)</f>
        <v/>
      </c>
      <c r="AS42" s="17">
        <f>IF(AND(RefiFlag=1,42&gt;RefiMonth,42&lt;=DispoMonth),1,0)</f>
        <v/>
      </c>
      <c r="AT42" s="17">
        <f>IF(AND(RefiFlag=1,43&gt;RefiMonth,43&lt;=DispoMonth),1,0)</f>
        <v/>
      </c>
      <c r="AU42" s="17">
        <f>IF(AND(RefiFlag=1,44&gt;RefiMonth,44&lt;=DispoMonth),1,0)</f>
        <v/>
      </c>
      <c r="AV42" s="17">
        <f>IF(AND(RefiFlag=1,45&gt;RefiMonth,45&lt;=DispoMonth),1,0)</f>
        <v/>
      </c>
      <c r="AW42" s="17">
        <f>IF(AND(RefiFlag=1,46&gt;RefiMonth,46&lt;=DispoMonth),1,0)</f>
        <v/>
      </c>
      <c r="AX42" s="17">
        <f>IF(AND(RefiFlag=1,47&gt;RefiMonth,47&lt;=DispoMonth),1,0)</f>
        <v/>
      </c>
      <c r="AY42" s="17">
        <f>IF(AND(RefiFlag=1,48&gt;RefiMonth,48&lt;=DispoMonth),1,0)</f>
        <v/>
      </c>
      <c r="AZ42" s="17">
        <f>IF(AND(RefiFlag=1,49&gt;RefiMonth,49&lt;=DispoMonth),1,0)</f>
        <v/>
      </c>
      <c r="BA42" s="17">
        <f>IF(AND(RefiFlag=1,50&gt;RefiMonth,50&lt;=DispoMonth),1,0)</f>
        <v/>
      </c>
      <c r="BB42" s="17">
        <f>IF(AND(RefiFlag=1,51&gt;RefiMonth,51&lt;=DispoMonth),1,0)</f>
        <v/>
      </c>
      <c r="BC42" s="17">
        <f>IF(AND(RefiFlag=1,52&gt;RefiMonth,52&lt;=DispoMonth),1,0)</f>
        <v/>
      </c>
      <c r="BD42" s="17">
        <f>IF(AND(RefiFlag=1,53&gt;RefiMonth,53&lt;=DispoMonth),1,0)</f>
        <v/>
      </c>
      <c r="BE42" s="17">
        <f>IF(AND(RefiFlag=1,54&gt;RefiMonth,54&lt;=DispoMonth),1,0)</f>
        <v/>
      </c>
      <c r="BF42" s="17">
        <f>IF(AND(RefiFlag=1,55&gt;RefiMonth,55&lt;=DispoMonth),1,0)</f>
        <v/>
      </c>
      <c r="BG42" s="17">
        <f>IF(AND(RefiFlag=1,56&gt;RefiMonth,56&lt;=DispoMonth),1,0)</f>
        <v/>
      </c>
      <c r="BH42" s="17">
        <f>IF(AND(RefiFlag=1,57&gt;RefiMonth,57&lt;=DispoMonth),1,0)</f>
        <v/>
      </c>
      <c r="BI42" s="17">
        <f>IF(AND(RefiFlag=1,58&gt;RefiMonth,58&lt;=DispoMonth),1,0)</f>
        <v/>
      </c>
      <c r="BJ42" s="17">
        <f>IF(AND(RefiFlag=1,59&gt;RefiMonth,59&lt;=DispoMonth),1,0)</f>
        <v/>
      </c>
      <c r="BK42" s="17">
        <f>IF(AND(RefiFlag=1,60&gt;RefiMonth,60&lt;=DispoMonth),1,0)</f>
        <v/>
      </c>
      <c r="BL42" s="17">
        <f>IF(AND(RefiFlag=1,61&gt;RefiMonth,61&lt;=DispoMonth),1,0)</f>
        <v/>
      </c>
      <c r="BM42" s="17">
        <f>IF(AND(RefiFlag=1,62&gt;RefiMonth,62&lt;=DispoMonth),1,0)</f>
        <v/>
      </c>
      <c r="BN42" s="17">
        <f>IF(AND(RefiFlag=1,63&gt;RefiMonth,63&lt;=DispoMonth),1,0)</f>
        <v/>
      </c>
      <c r="BO42" s="17">
        <f>IF(AND(RefiFlag=1,64&gt;RefiMonth,64&lt;=DispoMonth),1,0)</f>
        <v/>
      </c>
      <c r="BP42" s="17">
        <f>IF(AND(RefiFlag=1,65&gt;RefiMonth,65&lt;=DispoMonth),1,0)</f>
        <v/>
      </c>
      <c r="BQ42" s="17">
        <f>IF(AND(RefiFlag=1,66&gt;RefiMonth,66&lt;=DispoMonth),1,0)</f>
        <v/>
      </c>
      <c r="BR42" s="17">
        <f>IF(AND(RefiFlag=1,67&gt;RefiMonth,67&lt;=DispoMonth),1,0)</f>
        <v/>
      </c>
      <c r="BS42" s="17">
        <f>IF(AND(RefiFlag=1,68&gt;RefiMonth,68&lt;=DispoMonth),1,0)</f>
        <v/>
      </c>
      <c r="BT42" s="17">
        <f>IF(AND(RefiFlag=1,69&gt;RefiMonth,69&lt;=DispoMonth),1,0)</f>
        <v/>
      </c>
      <c r="BU42" s="17">
        <f>IF(AND(RefiFlag=1,70&gt;RefiMonth,70&lt;=DispoMonth),1,0)</f>
        <v/>
      </c>
      <c r="BV42" s="17">
        <f>IF(AND(RefiFlag=1,71&gt;RefiMonth,71&lt;=DispoMonth),1,0)</f>
        <v/>
      </c>
      <c r="BW42" s="17">
        <f>IF(AND(RefiFlag=1,72&gt;RefiMonth,72&lt;=DispoMonth),1,0)</f>
        <v/>
      </c>
      <c r="BX42" s="17">
        <f>IF(AND(RefiFlag=1,73&gt;RefiMonth,73&lt;=DispoMonth),1,0)</f>
        <v/>
      </c>
      <c r="BY42" s="17">
        <f>IF(AND(RefiFlag=1,74&gt;RefiMonth,74&lt;=DispoMonth),1,0)</f>
        <v/>
      </c>
      <c r="BZ42" s="17">
        <f>IF(AND(RefiFlag=1,75&gt;RefiMonth,75&lt;=DispoMonth),1,0)</f>
        <v/>
      </c>
      <c r="CA42" s="17">
        <f>IF(AND(RefiFlag=1,76&gt;RefiMonth,76&lt;=DispoMonth),1,0)</f>
        <v/>
      </c>
      <c r="CB42" s="17">
        <f>IF(AND(RefiFlag=1,77&gt;RefiMonth,77&lt;=DispoMonth),1,0)</f>
        <v/>
      </c>
      <c r="CC42" s="17">
        <f>IF(AND(RefiFlag=1,78&gt;RefiMonth,78&lt;=DispoMonth),1,0)</f>
        <v/>
      </c>
      <c r="CD42" s="17">
        <f>IF(AND(RefiFlag=1,79&gt;RefiMonth,79&lt;=DispoMonth),1,0)</f>
        <v/>
      </c>
      <c r="CE42" s="17">
        <f>IF(AND(RefiFlag=1,80&gt;RefiMonth,80&lt;=DispoMonth),1,0)</f>
        <v/>
      </c>
      <c r="CF42" s="17">
        <f>IF(AND(RefiFlag=1,81&gt;RefiMonth,81&lt;=DispoMonth),1,0)</f>
        <v/>
      </c>
      <c r="CG42" s="17">
        <f>IF(AND(RefiFlag=1,82&gt;RefiMonth,82&lt;=DispoMonth),1,0)</f>
        <v/>
      </c>
      <c r="CH42" s="17">
        <f>IF(AND(RefiFlag=1,83&gt;RefiMonth,83&lt;=DispoMonth),1,0)</f>
        <v/>
      </c>
      <c r="CI42" s="17">
        <f>IF(AND(RefiFlag=1,84&gt;RefiMonth,84&lt;=DispoMonth),1,0)</f>
        <v/>
      </c>
      <c r="CJ42" s="17">
        <f>IF(AND(RefiFlag=1,85&gt;RefiMonth,85&lt;=DispoMonth),1,0)</f>
        <v/>
      </c>
      <c r="CK42" s="17">
        <f>IF(AND(RefiFlag=1,86&gt;RefiMonth,86&lt;=DispoMonth),1,0)</f>
        <v/>
      </c>
      <c r="CL42" s="17">
        <f>IF(AND(RefiFlag=1,87&gt;RefiMonth,87&lt;=DispoMonth),1,0)</f>
        <v/>
      </c>
      <c r="CM42" s="17">
        <f>IF(AND(RefiFlag=1,88&gt;RefiMonth,88&lt;=DispoMonth),1,0)</f>
        <v/>
      </c>
      <c r="CN42" s="17">
        <f>IF(AND(RefiFlag=1,89&gt;RefiMonth,89&lt;=DispoMonth),1,0)</f>
        <v/>
      </c>
      <c r="CO42" s="17">
        <f>IF(AND(RefiFlag=1,90&gt;RefiMonth,90&lt;=DispoMonth),1,0)</f>
        <v/>
      </c>
      <c r="CP42" s="17">
        <f>IF(AND(RefiFlag=1,91&gt;RefiMonth,91&lt;=DispoMonth),1,0)</f>
        <v/>
      </c>
      <c r="CQ42" s="17">
        <f>IF(AND(RefiFlag=1,92&gt;RefiMonth,92&lt;=DispoMonth),1,0)</f>
        <v/>
      </c>
      <c r="CR42" s="17">
        <f>IF(AND(RefiFlag=1,93&gt;RefiMonth,93&lt;=DispoMonth),1,0)</f>
        <v/>
      </c>
      <c r="CS42" s="17">
        <f>IF(AND(RefiFlag=1,94&gt;RefiMonth,94&lt;=DispoMonth),1,0)</f>
        <v/>
      </c>
      <c r="CT42" s="17">
        <f>IF(AND(RefiFlag=1,95&gt;RefiMonth,95&lt;=DispoMonth),1,0)</f>
        <v/>
      </c>
      <c r="CU42" s="17">
        <f>IF(AND(RefiFlag=1,96&gt;RefiMonth,96&lt;=DispoMonth),1,0)</f>
        <v/>
      </c>
      <c r="CV42" s="17">
        <f>IF(AND(RefiFlag=1,97&gt;RefiMonth,97&lt;=DispoMonth),1,0)</f>
        <v/>
      </c>
      <c r="CW42" s="17">
        <f>IF(AND(RefiFlag=1,98&gt;RefiMonth,98&lt;=DispoMonth),1,0)</f>
        <v/>
      </c>
      <c r="CX42" s="17">
        <f>IF(AND(RefiFlag=1,99&gt;RefiMonth,99&lt;=DispoMonth),1,0)</f>
        <v/>
      </c>
      <c r="CY42" s="17">
        <f>IF(AND(RefiFlag=1,100&gt;RefiMonth,100&lt;=DispoMonth),1,0)</f>
        <v/>
      </c>
      <c r="CZ42" s="17">
        <f>IF(AND(RefiFlag=1,101&gt;RefiMonth,101&lt;=DispoMonth),1,0)</f>
        <v/>
      </c>
      <c r="DA42" s="17">
        <f>IF(AND(RefiFlag=1,102&gt;RefiMonth,102&lt;=DispoMonth),1,0)</f>
        <v/>
      </c>
      <c r="DB42" s="17">
        <f>IF(AND(RefiFlag=1,103&gt;RefiMonth,103&lt;=DispoMonth),1,0)</f>
        <v/>
      </c>
      <c r="DC42" s="17">
        <f>IF(AND(RefiFlag=1,104&gt;RefiMonth,104&lt;=DispoMonth),1,0)</f>
        <v/>
      </c>
      <c r="DD42" s="17">
        <f>IF(AND(RefiFlag=1,105&gt;RefiMonth,105&lt;=DispoMonth),1,0)</f>
        <v/>
      </c>
      <c r="DE42" s="17">
        <f>IF(AND(RefiFlag=1,106&gt;RefiMonth,106&lt;=DispoMonth),1,0)</f>
        <v/>
      </c>
      <c r="DF42" s="17">
        <f>IF(AND(RefiFlag=1,107&gt;RefiMonth,107&lt;=DispoMonth),1,0)</f>
        <v/>
      </c>
      <c r="DG42" s="17">
        <f>IF(AND(RefiFlag=1,108&gt;RefiMonth,108&lt;=DispoMonth),1,0)</f>
        <v/>
      </c>
      <c r="DH42" s="17">
        <f>IF(AND(RefiFlag=1,109&gt;RefiMonth,109&lt;=DispoMonth),1,0)</f>
        <v/>
      </c>
      <c r="DI42" s="17">
        <f>IF(AND(RefiFlag=1,110&gt;RefiMonth,110&lt;=DispoMonth),1,0)</f>
        <v/>
      </c>
      <c r="DJ42" s="17">
        <f>IF(AND(RefiFlag=1,111&gt;RefiMonth,111&lt;=DispoMonth),1,0)</f>
        <v/>
      </c>
      <c r="DK42" s="17">
        <f>IF(AND(RefiFlag=1,112&gt;RefiMonth,112&lt;=DispoMonth),1,0)</f>
        <v/>
      </c>
      <c r="DL42" s="17">
        <f>IF(AND(RefiFlag=1,113&gt;RefiMonth,113&lt;=DispoMonth),1,0)</f>
        <v/>
      </c>
      <c r="DM42" s="17">
        <f>IF(AND(RefiFlag=1,114&gt;RefiMonth,114&lt;=DispoMonth),1,0)</f>
        <v/>
      </c>
      <c r="DN42" s="17">
        <f>IF(AND(RefiFlag=1,115&gt;RefiMonth,115&lt;=DispoMonth),1,0)</f>
        <v/>
      </c>
      <c r="DO42" s="17">
        <f>IF(AND(RefiFlag=1,116&gt;RefiMonth,116&lt;=DispoMonth),1,0)</f>
        <v/>
      </c>
      <c r="DP42" s="17">
        <f>IF(AND(RefiFlag=1,117&gt;RefiMonth,117&lt;=DispoMonth),1,0)</f>
        <v/>
      </c>
      <c r="DQ42" s="17">
        <f>IF(AND(RefiFlag=1,118&gt;RefiMonth,118&lt;=DispoMonth),1,0)</f>
        <v/>
      </c>
      <c r="DR42" s="17">
        <f>IF(AND(RefiFlag=1,119&gt;RefiMonth,119&lt;=DispoMonth),1,0)</f>
        <v/>
      </c>
      <c r="DS42" s="17">
        <f>IF(AND(RefiFlag=1,120&gt;RefiMonth,120&lt;=DispoMonth),1,0)</f>
        <v/>
      </c>
      <c r="DT42" s="17">
        <f>IF(AND(RefiFlag=1,121&gt;RefiMonth,121&lt;=DispoMonth),1,0)</f>
        <v/>
      </c>
      <c r="DU42" s="17">
        <f>IF(AND(RefiFlag=1,122&gt;RefiMonth,122&lt;=DispoMonth),1,0)</f>
        <v/>
      </c>
      <c r="DV42" s="17">
        <f>IF(AND(RefiFlag=1,123&gt;RefiMonth,123&lt;=DispoMonth),1,0)</f>
        <v/>
      </c>
      <c r="DW42" s="17">
        <f>IF(AND(RefiFlag=1,124&gt;RefiMonth,124&lt;=DispoMonth),1,0)</f>
        <v/>
      </c>
      <c r="DX42" s="17">
        <f>IF(AND(RefiFlag=1,125&gt;RefiMonth,125&lt;=DispoMonth),1,0)</f>
        <v/>
      </c>
      <c r="DY42" s="17">
        <f>IF(AND(RefiFlag=1,126&gt;RefiMonth,126&lt;=DispoMonth),1,0)</f>
        <v/>
      </c>
      <c r="DZ42" s="17">
        <f>IF(AND(RefiFlag=1,127&gt;RefiMonth,127&lt;=DispoMonth),1,0)</f>
        <v/>
      </c>
      <c r="EA42" s="17">
        <f>IF(AND(RefiFlag=1,128&gt;RefiMonth,128&lt;=DispoMonth),1,0)</f>
        <v/>
      </c>
      <c r="EB42" s="17">
        <f>IF(AND(RefiFlag=1,129&gt;RefiMonth,129&lt;=DispoMonth),1,0)</f>
        <v/>
      </c>
      <c r="EC42" s="17">
        <f>IF(AND(RefiFlag=1,130&gt;RefiMonth,130&lt;=DispoMonth),1,0)</f>
        <v/>
      </c>
      <c r="ED42" s="17">
        <f>IF(AND(RefiFlag=1,131&gt;RefiMonth,131&lt;=DispoMonth),1,0)</f>
        <v/>
      </c>
      <c r="EE42" s="17">
        <f>IF(AND(RefiFlag=1,132&gt;RefiMonth,132&lt;=DispoMonth),1,0)</f>
        <v/>
      </c>
      <c r="EF42" s="17">
        <f>IF(AND(RefiFlag=1,133&gt;RefiMonth,133&lt;=DispoMonth),1,0)</f>
        <v/>
      </c>
      <c r="EG42" s="17">
        <f>IF(AND(RefiFlag=1,134&gt;RefiMonth,134&lt;=DispoMonth),1,0)</f>
        <v/>
      </c>
      <c r="EH42" s="17">
        <f>IF(AND(RefiFlag=1,135&gt;RefiMonth,135&lt;=DispoMonth),1,0)</f>
        <v/>
      </c>
      <c r="EI42" s="17">
        <f>IF(AND(RefiFlag=1,136&gt;RefiMonth,136&lt;=DispoMonth),1,0)</f>
        <v/>
      </c>
      <c r="EJ42" s="17">
        <f>IF(AND(RefiFlag=1,137&gt;RefiMonth,137&lt;=DispoMonth),1,0)</f>
        <v/>
      </c>
      <c r="EK42" s="17">
        <f>IF(AND(RefiFlag=1,138&gt;RefiMonth,138&lt;=DispoMonth),1,0)</f>
        <v/>
      </c>
      <c r="EL42" s="17">
        <f>IF(AND(RefiFlag=1,139&gt;RefiMonth,139&lt;=DispoMonth),1,0)</f>
        <v/>
      </c>
      <c r="EM42" s="17">
        <f>IF(AND(RefiFlag=1,140&gt;RefiMonth,140&lt;=DispoMonth),1,0)</f>
        <v/>
      </c>
      <c r="EN42" s="17">
        <f>IF(AND(RefiFlag=1,141&gt;RefiMonth,141&lt;=DispoMonth),1,0)</f>
        <v/>
      </c>
      <c r="EO42" s="17">
        <f>IF(AND(RefiFlag=1,142&gt;RefiMonth,142&lt;=DispoMonth),1,0)</f>
        <v/>
      </c>
      <c r="EP42" s="17">
        <f>IF(AND(RefiFlag=1,143&gt;RefiMonth,143&lt;=DispoMonth),1,0)</f>
        <v/>
      </c>
      <c r="EQ42" s="17">
        <f>IF(AND(RefiFlag=1,144&gt;RefiMonth,144&lt;=DispoMonth),1,0)</f>
        <v/>
      </c>
      <c r="ER42" s="17">
        <f>IF(AND(RefiFlag=1,145&gt;RefiMonth,145&lt;=DispoMonth),1,0)</f>
        <v/>
      </c>
      <c r="ES42" s="17">
        <f>IF(AND(RefiFlag=1,146&gt;RefiMonth,146&lt;=DispoMonth),1,0)</f>
        <v/>
      </c>
      <c r="ET42" s="17">
        <f>IF(AND(RefiFlag=1,147&gt;RefiMonth,147&lt;=DispoMonth),1,0)</f>
        <v/>
      </c>
      <c r="EU42" s="17">
        <f>IF(AND(RefiFlag=1,148&gt;RefiMonth,148&lt;=DispoMonth),1,0)</f>
        <v/>
      </c>
      <c r="EV42" s="17">
        <f>IF(AND(RefiFlag=1,149&gt;RefiMonth,149&lt;=DispoMonth),1,0)</f>
        <v/>
      </c>
      <c r="EW42" s="17">
        <f>IF(AND(RefiFlag=1,150&gt;RefiMonth,150&lt;=DispoMonth),1,0)</f>
        <v/>
      </c>
      <c r="EX42" s="17">
        <f>IF(AND(RefiFlag=1,151&gt;RefiMonth,151&lt;=DispoMonth),1,0)</f>
        <v/>
      </c>
      <c r="EY42" s="17">
        <f>IF(AND(RefiFlag=1,152&gt;RefiMonth,152&lt;=DispoMonth),1,0)</f>
        <v/>
      </c>
      <c r="EZ42" s="17">
        <f>IF(AND(RefiFlag=1,153&gt;RefiMonth,153&lt;=DispoMonth),1,0)</f>
        <v/>
      </c>
      <c r="FA42" s="17">
        <f>IF(AND(RefiFlag=1,154&gt;RefiMonth,154&lt;=DispoMonth),1,0)</f>
        <v/>
      </c>
      <c r="FB42" s="17">
        <f>IF(AND(RefiFlag=1,155&gt;RefiMonth,155&lt;=DispoMonth),1,0)</f>
        <v/>
      </c>
      <c r="FC42" s="17">
        <f>IF(AND(RefiFlag=1,156&gt;RefiMonth,156&lt;=DispoMonth),1,0)</f>
        <v/>
      </c>
      <c r="FD42" s="17">
        <f>IF(AND(RefiFlag=1,157&gt;RefiMonth,157&lt;=DispoMonth),1,0)</f>
        <v/>
      </c>
      <c r="FE42" s="17">
        <f>IF(AND(RefiFlag=1,158&gt;RefiMonth,158&lt;=DispoMonth),1,0)</f>
        <v/>
      </c>
      <c r="FF42" s="17">
        <f>IF(AND(RefiFlag=1,159&gt;RefiMonth,159&lt;=DispoMonth),1,0)</f>
        <v/>
      </c>
      <c r="FG42" s="17">
        <f>IF(AND(RefiFlag=1,160&gt;RefiMonth,160&lt;=DispoMonth),1,0)</f>
        <v/>
      </c>
      <c r="FH42" s="17">
        <f>IF(AND(RefiFlag=1,161&gt;RefiMonth,161&lt;=DispoMonth),1,0)</f>
        <v/>
      </c>
      <c r="FI42" s="17">
        <f>IF(AND(RefiFlag=1,162&gt;RefiMonth,162&lt;=DispoMonth),1,0)</f>
        <v/>
      </c>
      <c r="FJ42" s="17">
        <f>IF(AND(RefiFlag=1,163&gt;RefiMonth,163&lt;=DispoMonth),1,0)</f>
        <v/>
      </c>
      <c r="FK42" s="17">
        <f>IF(AND(RefiFlag=1,164&gt;RefiMonth,164&lt;=DispoMonth),1,0)</f>
        <v/>
      </c>
      <c r="FL42" s="17">
        <f>IF(AND(RefiFlag=1,165&gt;RefiMonth,165&lt;=DispoMonth),1,0)</f>
        <v/>
      </c>
      <c r="FM42" s="17">
        <f>IF(AND(RefiFlag=1,166&gt;RefiMonth,166&lt;=DispoMonth),1,0)</f>
        <v/>
      </c>
      <c r="FN42" s="17">
        <f>IF(AND(RefiFlag=1,167&gt;RefiMonth,167&lt;=DispoMonth),1,0)</f>
        <v/>
      </c>
      <c r="FO42" s="17">
        <f>IF(AND(RefiFlag=1,168&gt;RefiMonth,168&lt;=DispoMonth),1,0)</f>
        <v/>
      </c>
      <c r="FP42" s="17">
        <f>IF(AND(RefiFlag=1,169&gt;RefiMonth,169&lt;=DispoMonth),1,0)</f>
        <v/>
      </c>
      <c r="FQ42" s="17">
        <f>IF(AND(RefiFlag=1,170&gt;RefiMonth,170&lt;=DispoMonth),1,0)</f>
        <v/>
      </c>
      <c r="FR42" s="17">
        <f>IF(AND(RefiFlag=1,171&gt;RefiMonth,171&lt;=DispoMonth),1,0)</f>
        <v/>
      </c>
      <c r="FS42" s="17">
        <f>IF(AND(RefiFlag=1,172&gt;RefiMonth,172&lt;=DispoMonth),1,0)</f>
        <v/>
      </c>
      <c r="FT42" s="17">
        <f>IF(AND(RefiFlag=1,173&gt;RefiMonth,173&lt;=DispoMonth),1,0)</f>
        <v/>
      </c>
      <c r="FU42" s="17">
        <f>IF(AND(RefiFlag=1,174&gt;RefiMonth,174&lt;=DispoMonth),1,0)</f>
        <v/>
      </c>
      <c r="FV42" s="17">
        <f>IF(AND(RefiFlag=1,175&gt;RefiMonth,175&lt;=DispoMonth),1,0)</f>
        <v/>
      </c>
      <c r="FW42" s="17">
        <f>IF(AND(RefiFlag=1,176&gt;RefiMonth,176&lt;=DispoMonth),1,0)</f>
        <v/>
      </c>
      <c r="FX42" s="17">
        <f>IF(AND(RefiFlag=1,177&gt;RefiMonth,177&lt;=DispoMonth),1,0)</f>
        <v/>
      </c>
      <c r="FY42" s="17">
        <f>IF(AND(RefiFlag=1,178&gt;RefiMonth,178&lt;=DispoMonth),1,0)</f>
        <v/>
      </c>
      <c r="FZ42" s="17">
        <f>IF(AND(RefiFlag=1,179&gt;RefiMonth,179&lt;=DispoMonth),1,0)</f>
        <v/>
      </c>
      <c r="GA42" s="17">
        <f>IF(AND(RefiFlag=1,180&gt;RefiMonth,180&lt;=DispoMonth),1,0)</f>
        <v/>
      </c>
      <c r="GB42" s="17">
        <f>IF(AND(RefiFlag=1,181&gt;RefiMonth,181&lt;=DispoMonth),1,0)</f>
        <v/>
      </c>
      <c r="GC42" s="17">
        <f>IF(AND(RefiFlag=1,182&gt;RefiMonth,182&lt;=DispoMonth),1,0)</f>
        <v/>
      </c>
      <c r="GD42" s="17">
        <f>IF(AND(RefiFlag=1,183&gt;RefiMonth,183&lt;=DispoMonth),1,0)</f>
        <v/>
      </c>
      <c r="GE42" s="17">
        <f>IF(AND(RefiFlag=1,184&gt;RefiMonth,184&lt;=DispoMonth),1,0)</f>
        <v/>
      </c>
      <c r="GF42" s="17">
        <f>IF(AND(RefiFlag=1,185&gt;RefiMonth,185&lt;=DispoMonth),1,0)</f>
        <v/>
      </c>
      <c r="GG42" s="17">
        <f>IF(AND(RefiFlag=1,186&gt;RefiMonth,186&lt;=DispoMonth),1,0)</f>
        <v/>
      </c>
      <c r="GH42" s="17">
        <f>IF(AND(RefiFlag=1,187&gt;RefiMonth,187&lt;=DispoMonth),1,0)</f>
        <v/>
      </c>
      <c r="GI42" s="17">
        <f>IF(AND(RefiFlag=1,188&gt;RefiMonth,188&lt;=DispoMonth),1,0)</f>
        <v/>
      </c>
      <c r="GJ42" s="17">
        <f>IF(AND(RefiFlag=1,189&gt;RefiMonth,189&lt;=DispoMonth),1,0)</f>
        <v/>
      </c>
      <c r="GK42" s="17">
        <f>IF(AND(RefiFlag=1,190&gt;RefiMonth,190&lt;=DispoMonth),1,0)</f>
        <v/>
      </c>
      <c r="GL42" s="17">
        <f>IF(AND(RefiFlag=1,191&gt;RefiMonth,191&lt;=DispoMonth),1,0)</f>
        <v/>
      </c>
      <c r="GM42" s="17">
        <f>IF(AND(RefiFlag=1,192&gt;RefiMonth,192&lt;=DispoMonth),1,0)</f>
        <v/>
      </c>
      <c r="GN42" s="17">
        <f>IF(AND(RefiFlag=1,193&gt;RefiMonth,193&lt;=DispoMonth),1,0)</f>
        <v/>
      </c>
      <c r="GO42" s="17">
        <f>IF(AND(RefiFlag=1,194&gt;RefiMonth,194&lt;=DispoMonth),1,0)</f>
        <v/>
      </c>
      <c r="GP42" s="17">
        <f>IF(AND(RefiFlag=1,195&gt;RefiMonth,195&lt;=DispoMonth),1,0)</f>
        <v/>
      </c>
      <c r="GQ42" s="17">
        <f>IF(AND(RefiFlag=1,196&gt;RefiMonth,196&lt;=DispoMonth),1,0)</f>
        <v/>
      </c>
      <c r="GR42" s="17">
        <f>IF(AND(RefiFlag=1,197&gt;RefiMonth,197&lt;=DispoMonth),1,0)</f>
        <v/>
      </c>
      <c r="GS42" s="17">
        <f>IF(AND(RefiFlag=1,198&gt;RefiMonth,198&lt;=DispoMonth),1,0)</f>
        <v/>
      </c>
      <c r="GT42" s="17">
        <f>IF(AND(RefiFlag=1,199&gt;RefiMonth,199&lt;=DispoMonth),1,0)</f>
        <v/>
      </c>
      <c r="GU42" s="17">
        <f>IF(AND(RefiFlag=1,200&gt;RefiMonth,200&lt;=DispoMonth),1,0)</f>
        <v/>
      </c>
      <c r="GV42" s="17">
        <f>IF(AND(RefiFlag=1,201&gt;RefiMonth,201&lt;=DispoMonth),1,0)</f>
        <v/>
      </c>
      <c r="GW42" s="17">
        <f>IF(AND(RefiFlag=1,202&gt;RefiMonth,202&lt;=DispoMonth),1,0)</f>
        <v/>
      </c>
      <c r="GX42" s="17">
        <f>IF(AND(RefiFlag=1,203&gt;RefiMonth,203&lt;=DispoMonth),1,0)</f>
        <v/>
      </c>
      <c r="GY42" s="17">
        <f>IF(AND(RefiFlag=1,204&gt;RefiMonth,204&lt;=DispoMonth),1,0)</f>
        <v/>
      </c>
      <c r="GZ42" s="17">
        <f>IF(AND(RefiFlag=1,205&gt;RefiMonth,205&lt;=DispoMonth),1,0)</f>
        <v/>
      </c>
      <c r="HA42" s="17">
        <f>IF(AND(RefiFlag=1,206&gt;RefiMonth,206&lt;=DispoMonth),1,0)</f>
        <v/>
      </c>
      <c r="HB42" s="17">
        <f>IF(AND(RefiFlag=1,207&gt;RefiMonth,207&lt;=DispoMonth),1,0)</f>
        <v/>
      </c>
      <c r="HC42" s="17">
        <f>IF(AND(RefiFlag=1,208&gt;RefiMonth,208&lt;=DispoMonth),1,0)</f>
        <v/>
      </c>
      <c r="HD42" s="17">
        <f>IF(AND(RefiFlag=1,209&gt;RefiMonth,209&lt;=DispoMonth),1,0)</f>
        <v/>
      </c>
      <c r="HE42" s="17">
        <f>IF(AND(RefiFlag=1,210&gt;RefiMonth,210&lt;=DispoMonth),1,0)</f>
        <v/>
      </c>
      <c r="HF42" s="17">
        <f>IF(AND(RefiFlag=1,211&gt;RefiMonth,211&lt;=DispoMonth),1,0)</f>
        <v/>
      </c>
      <c r="HG42" s="17">
        <f>IF(AND(RefiFlag=1,212&gt;RefiMonth,212&lt;=DispoMonth),1,0)</f>
        <v/>
      </c>
      <c r="HH42" s="17">
        <f>IF(AND(RefiFlag=1,213&gt;RefiMonth,213&lt;=DispoMonth),1,0)</f>
        <v/>
      </c>
      <c r="HI42" s="17">
        <f>IF(AND(RefiFlag=1,214&gt;RefiMonth,214&lt;=DispoMonth),1,0)</f>
        <v/>
      </c>
      <c r="HJ42" s="17">
        <f>IF(AND(RefiFlag=1,215&gt;RefiMonth,215&lt;=DispoMonth),1,0)</f>
        <v/>
      </c>
      <c r="HK42" s="17">
        <f>IF(AND(RefiFlag=1,216&gt;RefiMonth,216&lt;=DispoMonth),1,0)</f>
        <v/>
      </c>
      <c r="HL42" s="17">
        <f>IF(AND(RefiFlag=1,217&gt;RefiMonth,217&lt;=DispoMonth),1,0)</f>
        <v/>
      </c>
      <c r="HM42" s="17">
        <f>IF(AND(RefiFlag=1,218&gt;RefiMonth,218&lt;=DispoMonth),1,0)</f>
        <v/>
      </c>
      <c r="HN42" s="17">
        <f>IF(AND(RefiFlag=1,219&gt;RefiMonth,219&lt;=DispoMonth),1,0)</f>
        <v/>
      </c>
      <c r="HO42" s="17">
        <f>IF(AND(RefiFlag=1,220&gt;RefiMonth,220&lt;=DispoMonth),1,0)</f>
        <v/>
      </c>
      <c r="HP42" s="17">
        <f>IF(AND(RefiFlag=1,221&gt;RefiMonth,221&lt;=DispoMonth),1,0)</f>
        <v/>
      </c>
      <c r="HQ42" s="17">
        <f>IF(AND(RefiFlag=1,222&gt;RefiMonth,222&lt;=DispoMonth),1,0)</f>
        <v/>
      </c>
      <c r="HR42" s="17">
        <f>IF(AND(RefiFlag=1,223&gt;RefiMonth,223&lt;=DispoMonth),1,0)</f>
        <v/>
      </c>
      <c r="HS42" s="17">
        <f>IF(AND(RefiFlag=1,224&gt;RefiMonth,224&lt;=DispoMonth),1,0)</f>
        <v/>
      </c>
      <c r="HT42" s="17">
        <f>IF(AND(RefiFlag=1,225&gt;RefiMonth,225&lt;=DispoMonth),1,0)</f>
        <v/>
      </c>
      <c r="HU42" s="17">
        <f>IF(AND(RefiFlag=1,226&gt;RefiMonth,226&lt;=DispoMonth),1,0)</f>
        <v/>
      </c>
      <c r="HV42" s="17">
        <f>IF(AND(RefiFlag=1,227&gt;RefiMonth,227&lt;=DispoMonth),1,0)</f>
        <v/>
      </c>
      <c r="HW42" s="17">
        <f>IF(AND(RefiFlag=1,228&gt;RefiMonth,228&lt;=DispoMonth),1,0)</f>
        <v/>
      </c>
      <c r="HX42" s="17">
        <f>IF(AND(RefiFlag=1,229&gt;RefiMonth,229&lt;=DispoMonth),1,0)</f>
        <v/>
      </c>
      <c r="HY42" s="17">
        <f>IF(AND(RefiFlag=1,230&gt;RefiMonth,230&lt;=DispoMonth),1,0)</f>
        <v/>
      </c>
      <c r="HZ42" s="17">
        <f>IF(AND(RefiFlag=1,231&gt;RefiMonth,231&lt;=DispoMonth),1,0)</f>
        <v/>
      </c>
      <c r="IA42" s="17">
        <f>IF(AND(RefiFlag=1,232&gt;RefiMonth,232&lt;=DispoMonth),1,0)</f>
        <v/>
      </c>
      <c r="IB42" s="17">
        <f>IF(AND(RefiFlag=1,233&gt;RefiMonth,233&lt;=DispoMonth),1,0)</f>
        <v/>
      </c>
      <c r="IC42" s="17">
        <f>IF(AND(RefiFlag=1,234&gt;RefiMonth,234&lt;=DispoMonth),1,0)</f>
        <v/>
      </c>
      <c r="ID42" s="17">
        <f>IF(AND(RefiFlag=1,235&gt;RefiMonth,235&lt;=DispoMonth),1,0)</f>
        <v/>
      </c>
      <c r="IE42" s="17">
        <f>IF(AND(RefiFlag=1,236&gt;RefiMonth,236&lt;=DispoMonth),1,0)</f>
        <v/>
      </c>
      <c r="IF42" s="17">
        <f>IF(AND(RefiFlag=1,237&gt;RefiMonth,237&lt;=DispoMonth),1,0)</f>
        <v/>
      </c>
      <c r="IG42" s="17">
        <f>IF(AND(RefiFlag=1,238&gt;RefiMonth,238&lt;=DispoMonth),1,0)</f>
        <v/>
      </c>
      <c r="IH42" s="17">
        <f>IF(AND(RefiFlag=1,239&gt;RefiMonth,239&lt;=DispoMonth),1,0)</f>
        <v/>
      </c>
      <c r="II42" s="17">
        <f>IF(AND(RefiFlag=1,240&gt;RefiMonth,240&lt;=DispoMonth),1,0)</f>
        <v/>
      </c>
      <c r="IJ42" s="17">
        <f>IF(AND(RefiFlag=1,241&gt;RefiMonth,241&lt;=DispoMonth),1,0)</f>
        <v/>
      </c>
      <c r="IK42" s="17">
        <f>IF(AND(RefiFlag=1,242&gt;RefiMonth,242&lt;=DispoMonth),1,0)</f>
        <v/>
      </c>
      <c r="IL42" s="17">
        <f>IF(AND(RefiFlag=1,243&gt;RefiMonth,243&lt;=DispoMonth),1,0)</f>
        <v/>
      </c>
      <c r="IM42" s="17">
        <f>IF(AND(RefiFlag=1,244&gt;RefiMonth,244&lt;=DispoMonth),1,0)</f>
        <v/>
      </c>
      <c r="IN42" s="17">
        <f>IF(AND(RefiFlag=1,245&gt;RefiMonth,245&lt;=DispoMonth),1,0)</f>
        <v/>
      </c>
      <c r="IO42" s="17">
        <f>IF(AND(RefiFlag=1,246&gt;RefiMonth,246&lt;=DispoMonth),1,0)</f>
        <v/>
      </c>
      <c r="IP42" s="17">
        <f>IF(AND(RefiFlag=1,247&gt;RefiMonth,247&lt;=DispoMonth),1,0)</f>
        <v/>
      </c>
      <c r="IQ42" s="17">
        <f>IF(AND(RefiFlag=1,248&gt;RefiMonth,248&lt;=DispoMonth),1,0)</f>
        <v/>
      </c>
      <c r="IR42" s="17">
        <f>IF(AND(RefiFlag=1,249&gt;RefiMonth,249&lt;=DispoMonth),1,0)</f>
        <v/>
      </c>
      <c r="IS42" s="17">
        <f>IF(AND(RefiFlag=1,250&gt;RefiMonth,250&lt;=DispoMonth),1,0)</f>
        <v/>
      </c>
      <c r="IT42" s="17">
        <f>IF(AND(RefiFlag=1,251&gt;RefiMonth,251&lt;=DispoMonth),1,0)</f>
        <v/>
      </c>
      <c r="IU42" s="17">
        <f>IF(AND(RefiFlag=1,252&gt;RefiMonth,252&lt;=DispoMonth),1,0)</f>
        <v/>
      </c>
      <c r="IV42" s="17">
        <f>IF(AND(RefiFlag=1,253&gt;RefiMonth,253&lt;=DispoMonth),1,0)</f>
        <v/>
      </c>
      <c r="IW42" s="17">
        <f>IF(AND(RefiFlag=1,254&gt;RefiMonth,254&lt;=DispoMonth),1,0)</f>
        <v/>
      </c>
      <c r="IX42" s="17">
        <f>IF(AND(RefiFlag=1,255&gt;RefiMonth,255&lt;=DispoMonth),1,0)</f>
        <v/>
      </c>
      <c r="IY42" s="17">
        <f>IF(AND(RefiFlag=1,256&gt;RefiMonth,256&lt;=DispoMonth),1,0)</f>
        <v/>
      </c>
      <c r="IZ42" s="17">
        <f>IF(AND(RefiFlag=1,257&gt;RefiMonth,257&lt;=DispoMonth),1,0)</f>
        <v/>
      </c>
      <c r="JA42" s="17">
        <f>IF(AND(RefiFlag=1,258&gt;RefiMonth,258&lt;=DispoMonth),1,0)</f>
        <v/>
      </c>
      <c r="JB42" s="17">
        <f>IF(AND(RefiFlag=1,259&gt;RefiMonth,259&lt;=DispoMonth),1,0)</f>
        <v/>
      </c>
      <c r="JC42" s="17">
        <f>IF(AND(RefiFlag=1,260&gt;RefiMonth,260&lt;=DispoMonth),1,0)</f>
        <v/>
      </c>
      <c r="JD42" s="17">
        <f>IF(AND(RefiFlag=1,261&gt;RefiMonth,261&lt;=DispoMonth),1,0)</f>
        <v/>
      </c>
      <c r="JE42" s="17">
        <f>IF(AND(RefiFlag=1,262&gt;RefiMonth,262&lt;=DispoMonth),1,0)</f>
        <v/>
      </c>
      <c r="JF42" s="17">
        <f>IF(AND(RefiFlag=1,263&gt;RefiMonth,263&lt;=DispoMonth),1,0)</f>
        <v/>
      </c>
      <c r="JG42" s="17">
        <f>IF(AND(RefiFlag=1,264&gt;RefiMonth,264&lt;=DispoMonth),1,0)</f>
        <v/>
      </c>
      <c r="JH42" s="17">
        <f>IF(AND(RefiFlag=1,265&gt;RefiMonth,265&lt;=DispoMonth),1,0)</f>
        <v/>
      </c>
      <c r="JI42" s="17">
        <f>IF(AND(RefiFlag=1,266&gt;RefiMonth,266&lt;=DispoMonth),1,0)</f>
        <v/>
      </c>
      <c r="JJ42" s="17">
        <f>IF(AND(RefiFlag=1,267&gt;RefiMonth,267&lt;=DispoMonth),1,0)</f>
        <v/>
      </c>
      <c r="JK42" s="17">
        <f>IF(AND(RefiFlag=1,268&gt;RefiMonth,268&lt;=DispoMonth),1,0)</f>
        <v/>
      </c>
      <c r="JL42" s="17">
        <f>IF(AND(RefiFlag=1,269&gt;RefiMonth,269&lt;=DispoMonth),1,0)</f>
        <v/>
      </c>
      <c r="JM42" s="17">
        <f>IF(AND(RefiFlag=1,270&gt;RefiMonth,270&lt;=DispoMonth),1,0)</f>
        <v/>
      </c>
      <c r="JN42" s="17">
        <f>IF(AND(RefiFlag=1,271&gt;RefiMonth,271&lt;=DispoMonth),1,0)</f>
        <v/>
      </c>
      <c r="JO42" s="17">
        <f>IF(AND(RefiFlag=1,272&gt;RefiMonth,272&lt;=DispoMonth),1,0)</f>
        <v/>
      </c>
      <c r="JP42" s="17">
        <f>IF(AND(RefiFlag=1,273&gt;RefiMonth,273&lt;=DispoMonth),1,0)</f>
        <v/>
      </c>
      <c r="JQ42" s="17">
        <f>IF(AND(RefiFlag=1,274&gt;RefiMonth,274&lt;=DispoMonth),1,0)</f>
        <v/>
      </c>
      <c r="JR42" s="17">
        <f>IF(AND(RefiFlag=1,275&gt;RefiMonth,275&lt;=DispoMonth),1,0)</f>
        <v/>
      </c>
      <c r="JS42" s="17">
        <f>IF(AND(RefiFlag=1,276&gt;RefiMonth,276&lt;=DispoMonth),1,0)</f>
        <v/>
      </c>
      <c r="JT42" s="17">
        <f>IF(AND(RefiFlag=1,277&gt;RefiMonth,277&lt;=DispoMonth),1,0)</f>
        <v/>
      </c>
      <c r="JU42" s="17">
        <f>IF(AND(RefiFlag=1,278&gt;RefiMonth,278&lt;=DispoMonth),1,0)</f>
        <v/>
      </c>
      <c r="JV42" s="17">
        <f>IF(AND(RefiFlag=1,279&gt;RefiMonth,279&lt;=DispoMonth),1,0)</f>
        <v/>
      </c>
      <c r="JW42" s="17">
        <f>IF(AND(RefiFlag=1,280&gt;RefiMonth,280&lt;=DispoMonth),1,0)</f>
        <v/>
      </c>
      <c r="JX42" s="17">
        <f>IF(AND(RefiFlag=1,281&gt;RefiMonth,281&lt;=DispoMonth),1,0)</f>
        <v/>
      </c>
      <c r="JY42" s="17">
        <f>IF(AND(RefiFlag=1,282&gt;RefiMonth,282&lt;=DispoMonth),1,0)</f>
        <v/>
      </c>
      <c r="JZ42" s="17">
        <f>IF(AND(RefiFlag=1,283&gt;RefiMonth,283&lt;=DispoMonth),1,0)</f>
        <v/>
      </c>
      <c r="KA42" s="17">
        <f>IF(AND(RefiFlag=1,284&gt;RefiMonth,284&lt;=DispoMonth),1,0)</f>
        <v/>
      </c>
      <c r="KB42" s="17">
        <f>IF(AND(RefiFlag=1,285&gt;RefiMonth,285&lt;=DispoMonth),1,0)</f>
        <v/>
      </c>
      <c r="KC42" s="17">
        <f>IF(AND(RefiFlag=1,286&gt;RefiMonth,286&lt;=DispoMonth),1,0)</f>
        <v/>
      </c>
      <c r="KD42" s="17">
        <f>IF(AND(RefiFlag=1,287&gt;RefiMonth,287&lt;=DispoMonth),1,0)</f>
        <v/>
      </c>
      <c r="KE42" s="17">
        <f>IF(AND(RefiFlag=1,288&gt;RefiMonth,288&lt;=DispoMonth),1,0)</f>
        <v/>
      </c>
      <c r="KF42" s="17">
        <f>IF(AND(RefiFlag=1,289&gt;RefiMonth,289&lt;=DispoMonth),1,0)</f>
        <v/>
      </c>
      <c r="KG42" s="17">
        <f>IF(AND(RefiFlag=1,290&gt;RefiMonth,290&lt;=DispoMonth),1,0)</f>
        <v/>
      </c>
      <c r="KH42" s="17">
        <f>IF(AND(RefiFlag=1,291&gt;RefiMonth,291&lt;=DispoMonth),1,0)</f>
        <v/>
      </c>
      <c r="KI42" s="17">
        <f>IF(AND(RefiFlag=1,292&gt;RefiMonth,292&lt;=DispoMonth),1,0)</f>
        <v/>
      </c>
      <c r="KJ42" s="17">
        <f>IF(AND(RefiFlag=1,293&gt;RefiMonth,293&lt;=DispoMonth),1,0)</f>
        <v/>
      </c>
      <c r="KK42" s="17">
        <f>IF(AND(RefiFlag=1,294&gt;RefiMonth,294&lt;=DispoMonth),1,0)</f>
        <v/>
      </c>
      <c r="KL42" s="17">
        <f>IF(AND(RefiFlag=1,295&gt;RefiMonth,295&lt;=DispoMonth),1,0)</f>
        <v/>
      </c>
      <c r="KM42" s="17">
        <f>IF(AND(RefiFlag=1,296&gt;RefiMonth,296&lt;=DispoMonth),1,0)</f>
        <v/>
      </c>
      <c r="KN42" s="17">
        <f>IF(AND(RefiFlag=1,297&gt;RefiMonth,297&lt;=DispoMonth),1,0)</f>
        <v/>
      </c>
      <c r="KO42" s="17">
        <f>IF(AND(RefiFlag=1,298&gt;RefiMonth,298&lt;=DispoMonth),1,0)</f>
        <v/>
      </c>
      <c r="KP42" s="17">
        <f>IF(AND(RefiFlag=1,299&gt;RefiMonth,299&lt;=DispoMonth),1,0)</f>
        <v/>
      </c>
      <c r="KQ42" s="17">
        <f>IF(AND(RefiFlag=1,300&gt;RefiMonth,300&lt;=DispoMonth),1,0)</f>
        <v/>
      </c>
      <c r="KR42" s="17">
        <f>IF(AND(RefiFlag=1,301&gt;RefiMonth,301&lt;=DispoMonth),1,0)</f>
        <v/>
      </c>
      <c r="KS42" s="17">
        <f>IF(AND(RefiFlag=1,302&gt;RefiMonth,302&lt;=DispoMonth),1,0)</f>
        <v/>
      </c>
      <c r="KT42" s="17">
        <f>IF(AND(RefiFlag=1,303&gt;RefiMonth,303&lt;=DispoMonth),1,0)</f>
        <v/>
      </c>
      <c r="KU42" s="17">
        <f>IF(AND(RefiFlag=1,304&gt;RefiMonth,304&lt;=DispoMonth),1,0)</f>
        <v/>
      </c>
      <c r="KV42" s="17">
        <f>IF(AND(RefiFlag=1,305&gt;RefiMonth,305&lt;=DispoMonth),1,0)</f>
        <v/>
      </c>
      <c r="KW42" s="17">
        <f>IF(AND(RefiFlag=1,306&gt;RefiMonth,306&lt;=DispoMonth),1,0)</f>
        <v/>
      </c>
      <c r="KX42" s="17">
        <f>IF(AND(RefiFlag=1,307&gt;RefiMonth,307&lt;=DispoMonth),1,0)</f>
        <v/>
      </c>
      <c r="KY42" s="17">
        <f>IF(AND(RefiFlag=1,308&gt;RefiMonth,308&lt;=DispoMonth),1,0)</f>
        <v/>
      </c>
      <c r="KZ42" s="17">
        <f>IF(AND(RefiFlag=1,309&gt;RefiMonth,309&lt;=DispoMonth),1,0)</f>
        <v/>
      </c>
      <c r="LA42" s="17">
        <f>IF(AND(RefiFlag=1,310&gt;RefiMonth,310&lt;=DispoMonth),1,0)</f>
        <v/>
      </c>
      <c r="LB42" s="17">
        <f>IF(AND(RefiFlag=1,311&gt;RefiMonth,311&lt;=DispoMonth),1,0)</f>
        <v/>
      </c>
      <c r="LC42" s="17">
        <f>IF(AND(RefiFlag=1,312&gt;RefiMonth,312&lt;=DispoMonth),1,0)</f>
        <v/>
      </c>
      <c r="LD42" s="17">
        <f>IF(AND(RefiFlag=1,313&gt;RefiMonth,313&lt;=DispoMonth),1,0)</f>
        <v/>
      </c>
      <c r="LE42" s="17">
        <f>IF(AND(RefiFlag=1,314&gt;RefiMonth,314&lt;=DispoMonth),1,0)</f>
        <v/>
      </c>
      <c r="LF42" s="17">
        <f>IF(AND(RefiFlag=1,315&gt;RefiMonth,315&lt;=DispoMonth),1,0)</f>
        <v/>
      </c>
      <c r="LG42" s="17">
        <f>IF(AND(RefiFlag=1,316&gt;RefiMonth,316&lt;=DispoMonth),1,0)</f>
        <v/>
      </c>
      <c r="LH42" s="17">
        <f>IF(AND(RefiFlag=1,317&gt;RefiMonth,317&lt;=DispoMonth),1,0)</f>
        <v/>
      </c>
      <c r="LI42" s="17">
        <f>IF(AND(RefiFlag=1,318&gt;RefiMonth,318&lt;=DispoMonth),1,0)</f>
        <v/>
      </c>
      <c r="LJ42" s="17">
        <f>IF(AND(RefiFlag=1,319&gt;RefiMonth,319&lt;=DispoMonth),1,0)</f>
        <v/>
      </c>
      <c r="LK42" s="17">
        <f>IF(AND(RefiFlag=1,320&gt;RefiMonth,320&lt;=DispoMonth),1,0)</f>
        <v/>
      </c>
      <c r="LL42" s="17">
        <f>IF(AND(RefiFlag=1,321&gt;RefiMonth,321&lt;=DispoMonth),1,0)</f>
        <v/>
      </c>
      <c r="LM42" s="17">
        <f>IF(AND(RefiFlag=1,322&gt;RefiMonth,322&lt;=DispoMonth),1,0)</f>
        <v/>
      </c>
      <c r="LN42" s="17">
        <f>IF(AND(RefiFlag=1,323&gt;RefiMonth,323&lt;=DispoMonth),1,0)</f>
        <v/>
      </c>
      <c r="LO42" s="17">
        <f>IF(AND(RefiFlag=1,324&gt;RefiMonth,324&lt;=DispoMonth),1,0)</f>
        <v/>
      </c>
      <c r="LP42" s="17">
        <f>IF(AND(RefiFlag=1,325&gt;RefiMonth,325&lt;=DispoMonth),1,0)</f>
        <v/>
      </c>
      <c r="LQ42" s="17">
        <f>IF(AND(RefiFlag=1,326&gt;RefiMonth,326&lt;=DispoMonth),1,0)</f>
        <v/>
      </c>
      <c r="LR42" s="17">
        <f>IF(AND(RefiFlag=1,327&gt;RefiMonth,327&lt;=DispoMonth),1,0)</f>
        <v/>
      </c>
      <c r="LS42" s="17">
        <f>IF(AND(RefiFlag=1,328&gt;RefiMonth,328&lt;=DispoMonth),1,0)</f>
        <v/>
      </c>
      <c r="LT42" s="17">
        <f>IF(AND(RefiFlag=1,329&gt;RefiMonth,329&lt;=DispoMonth),1,0)</f>
        <v/>
      </c>
      <c r="LU42" s="17">
        <f>IF(AND(RefiFlag=1,330&gt;RefiMonth,330&lt;=DispoMonth),1,0)</f>
        <v/>
      </c>
      <c r="LV42" s="17">
        <f>IF(AND(RefiFlag=1,331&gt;RefiMonth,331&lt;=DispoMonth),1,0)</f>
        <v/>
      </c>
      <c r="LW42" s="17">
        <f>IF(AND(RefiFlag=1,332&gt;RefiMonth,332&lt;=DispoMonth),1,0)</f>
        <v/>
      </c>
      <c r="LX42" s="17">
        <f>IF(AND(RefiFlag=1,333&gt;RefiMonth,333&lt;=DispoMonth),1,0)</f>
        <v/>
      </c>
      <c r="LY42" s="17">
        <f>IF(AND(RefiFlag=1,334&gt;RefiMonth,334&lt;=DispoMonth),1,0)</f>
        <v/>
      </c>
      <c r="LZ42" s="17">
        <f>IF(AND(RefiFlag=1,335&gt;RefiMonth,335&lt;=DispoMonth),1,0)</f>
        <v/>
      </c>
      <c r="MA42" s="17">
        <f>IF(AND(RefiFlag=1,336&gt;RefiMonth,336&lt;=DispoMonth),1,0)</f>
        <v/>
      </c>
      <c r="MB42" s="17">
        <f>IF(AND(RefiFlag=1,337&gt;RefiMonth,337&lt;=DispoMonth),1,0)</f>
        <v/>
      </c>
      <c r="MC42" s="17">
        <f>IF(AND(RefiFlag=1,338&gt;RefiMonth,338&lt;=DispoMonth),1,0)</f>
        <v/>
      </c>
      <c r="MD42" s="17">
        <f>IF(AND(RefiFlag=1,339&gt;RefiMonth,339&lt;=DispoMonth),1,0)</f>
        <v/>
      </c>
      <c r="ME42" s="17">
        <f>IF(AND(RefiFlag=1,340&gt;RefiMonth,340&lt;=DispoMonth),1,0)</f>
        <v/>
      </c>
      <c r="MF42" s="17">
        <f>IF(AND(RefiFlag=1,341&gt;RefiMonth,341&lt;=DispoMonth),1,0)</f>
        <v/>
      </c>
      <c r="MG42" s="17">
        <f>IF(AND(RefiFlag=1,342&gt;RefiMonth,342&lt;=DispoMonth),1,0)</f>
        <v/>
      </c>
      <c r="MH42" s="17">
        <f>IF(AND(RefiFlag=1,343&gt;RefiMonth,343&lt;=DispoMonth),1,0)</f>
        <v/>
      </c>
      <c r="MI42" s="17">
        <f>IF(AND(RefiFlag=1,344&gt;RefiMonth,344&lt;=DispoMonth),1,0)</f>
        <v/>
      </c>
      <c r="MJ42" s="17">
        <f>IF(AND(RefiFlag=1,345&gt;RefiMonth,345&lt;=DispoMonth),1,0)</f>
        <v/>
      </c>
      <c r="MK42" s="17">
        <f>IF(AND(RefiFlag=1,346&gt;RefiMonth,346&lt;=DispoMonth),1,0)</f>
        <v/>
      </c>
      <c r="ML42" s="17">
        <f>IF(AND(RefiFlag=1,347&gt;RefiMonth,347&lt;=DispoMonth),1,0)</f>
        <v/>
      </c>
      <c r="MM42" s="17">
        <f>IF(AND(RefiFlag=1,348&gt;RefiMonth,348&lt;=DispoMonth),1,0)</f>
        <v/>
      </c>
      <c r="MN42" s="17">
        <f>IF(AND(RefiFlag=1,349&gt;RefiMonth,349&lt;=DispoMonth),1,0)</f>
        <v/>
      </c>
      <c r="MO42" s="17">
        <f>IF(AND(RefiFlag=1,350&gt;RefiMonth,350&lt;=DispoMonth),1,0)</f>
        <v/>
      </c>
      <c r="MP42" s="17">
        <f>IF(AND(RefiFlag=1,351&gt;RefiMonth,351&lt;=DispoMonth),1,0)</f>
        <v/>
      </c>
      <c r="MQ42" s="17">
        <f>IF(AND(RefiFlag=1,352&gt;RefiMonth,352&lt;=DispoMonth),1,0)</f>
        <v/>
      </c>
      <c r="MR42" s="17">
        <f>IF(AND(RefiFlag=1,353&gt;RefiMonth,353&lt;=DispoMonth),1,0)</f>
        <v/>
      </c>
      <c r="MS42" s="17">
        <f>IF(AND(RefiFlag=1,354&gt;RefiMonth,354&lt;=DispoMonth),1,0)</f>
        <v/>
      </c>
      <c r="MT42" s="17">
        <f>IF(AND(RefiFlag=1,355&gt;RefiMonth,355&lt;=DispoMonth),1,0)</f>
        <v/>
      </c>
      <c r="MU42" s="17">
        <f>IF(AND(RefiFlag=1,356&gt;RefiMonth,356&lt;=DispoMonth),1,0)</f>
        <v/>
      </c>
      <c r="MV42" s="17">
        <f>IF(AND(RefiFlag=1,357&gt;RefiMonth,357&lt;=DispoMonth),1,0)</f>
        <v/>
      </c>
      <c r="MW42" s="17">
        <f>IF(AND(RefiFlag=1,358&gt;RefiMonth,358&lt;=DispoMonth),1,0)</f>
        <v/>
      </c>
      <c r="MX42" s="17">
        <f>IF(AND(RefiFlag=1,359&gt;RefiMonth,359&lt;=DispoMonth),1,0)</f>
        <v/>
      </c>
      <c r="MY42" s="17">
        <f>IF(AND(RefiFlag=1,360&gt;RefiMonth,360&lt;=DispoMonth),1,0)</f>
        <v/>
      </c>
      <c r="MZ42" s="17">
        <f>IF(AND(RefiFlag=1,361&gt;RefiMonth,361&lt;=DispoMonth),1,0)</f>
        <v/>
      </c>
      <c r="NA42" s="17">
        <f>IF(AND(RefiFlag=1,362&gt;RefiMonth,362&lt;=DispoMonth),1,0)</f>
        <v/>
      </c>
      <c r="NB42" s="17">
        <f>IF(AND(RefiFlag=1,363&gt;RefiMonth,363&lt;=DispoMonth),1,0)</f>
        <v/>
      </c>
      <c r="NC42" s="17">
        <f>IF(AND(RefiFlag=1,364&gt;RefiMonth,364&lt;=DispoMonth),1,0)</f>
        <v/>
      </c>
      <c r="ND42" s="17">
        <f>IF(AND(RefiFlag=1,365&gt;RefiMonth,365&lt;=DispoMonth),1,0)</f>
        <v/>
      </c>
      <c r="NE42" s="17">
        <f>IF(AND(RefiFlag=1,366&gt;RefiMonth,366&lt;=DispoMonth),1,0)</f>
        <v/>
      </c>
      <c r="NF42" s="17">
        <f>IF(AND(RefiFlag=1,367&gt;RefiMonth,367&lt;=DispoMonth),1,0)</f>
        <v/>
      </c>
      <c r="NG42" s="17">
        <f>IF(AND(RefiFlag=1,368&gt;RefiMonth,368&lt;=DispoMonth),1,0)</f>
        <v/>
      </c>
      <c r="NH42" s="17">
        <f>IF(AND(RefiFlag=1,369&gt;RefiMonth,369&lt;=DispoMonth),1,0)</f>
        <v/>
      </c>
      <c r="NI42" s="17">
        <f>IF(AND(RefiFlag=1,370&gt;RefiMonth,370&lt;=DispoMonth),1,0)</f>
        <v/>
      </c>
      <c r="NJ42" s="17">
        <f>IF(AND(RefiFlag=1,371&gt;RefiMonth,371&lt;=DispoMonth),1,0)</f>
        <v/>
      </c>
      <c r="NK42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3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5" t="inlineStr">
        <is>
          <t>Land Acquisition</t>
        </is>
      </c>
      <c r="C5" s="41">
        <f>SUM(D5:NK5)</f>
        <v/>
      </c>
      <c r="D5" s="18">
        <f>IF(AND(1&gt;=$NQ$5,1&lt;=$NR$5),IF($NO$5="Single_Point",IF(1=$NQ$5,$NM$5,0),IF($NO$5="Bell_Curve",$NM$5*(1-$NQ$5+1)*($NR$5-1+1)/$NT$5,$NM$5/$NS$5)),0)</f>
        <v/>
      </c>
      <c r="E5" s="18">
        <f>IF(AND(2&gt;=$NQ$5,2&lt;=$NR$5),IF($NO$5="Single_Point",IF(2=$NQ$5,$NM$5,0),IF($NO$5="Bell_Curve",$NM$5*(2-$NQ$5+1)*($NR$5-2+1)/$NT$5,$NM$5/$NS$5)),0)</f>
        <v/>
      </c>
      <c r="F5" s="18">
        <f>IF(AND(3&gt;=$NQ$5,3&lt;=$NR$5),IF($NO$5="Single_Point",IF(3=$NQ$5,$NM$5,0),IF($NO$5="Bell_Curve",$NM$5*(3-$NQ$5+1)*($NR$5-3+1)/$NT$5,$NM$5/$NS$5)),0)</f>
        <v/>
      </c>
      <c r="G5" s="18">
        <f>IF(AND(4&gt;=$NQ$5,4&lt;=$NR$5),IF($NO$5="Single_Point",IF(4=$NQ$5,$NM$5,0),IF($NO$5="Bell_Curve",$NM$5*(4-$NQ$5+1)*($NR$5-4+1)/$NT$5,$NM$5/$NS$5)),0)</f>
        <v/>
      </c>
      <c r="H5" s="18">
        <f>IF(AND(5&gt;=$NQ$5,5&lt;=$NR$5),IF($NO$5="Single_Point",IF(5=$NQ$5,$NM$5,0),IF($NO$5="Bell_Curve",$NM$5*(5-$NQ$5+1)*($NR$5-5+1)/$NT$5,$NM$5/$NS$5)),0)</f>
        <v/>
      </c>
      <c r="I5" s="18">
        <f>IF(AND(6&gt;=$NQ$5,6&lt;=$NR$5),IF($NO$5="Single_Point",IF(6=$NQ$5,$NM$5,0),IF($NO$5="Bell_Curve",$NM$5*(6-$NQ$5+1)*($NR$5-6+1)/$NT$5,$NM$5/$NS$5)),0)</f>
        <v/>
      </c>
      <c r="J5" s="18">
        <f>IF(AND(7&gt;=$NQ$5,7&lt;=$NR$5),IF($NO$5="Single_Point",IF(7=$NQ$5,$NM$5,0),IF($NO$5="Bell_Curve",$NM$5*(7-$NQ$5+1)*($NR$5-7+1)/$NT$5,$NM$5/$NS$5)),0)</f>
        <v/>
      </c>
      <c r="K5" s="18">
        <f>IF(AND(8&gt;=$NQ$5,8&lt;=$NR$5),IF($NO$5="Single_Point",IF(8=$NQ$5,$NM$5,0),IF($NO$5="Bell_Curve",$NM$5*(8-$NQ$5+1)*($NR$5-8+1)/$NT$5,$NM$5/$NS$5)),0)</f>
        <v/>
      </c>
      <c r="L5" s="18">
        <f>IF(AND(9&gt;=$NQ$5,9&lt;=$NR$5),IF($NO$5="Single_Point",IF(9=$NQ$5,$NM$5,0),IF($NO$5="Bell_Curve",$NM$5*(9-$NQ$5+1)*($NR$5-9+1)/$NT$5,$NM$5/$NS$5)),0)</f>
        <v/>
      </c>
      <c r="M5" s="18">
        <f>IF(AND(10&gt;=$NQ$5,10&lt;=$NR$5),IF($NO$5="Single_Point",IF(10=$NQ$5,$NM$5,0),IF($NO$5="Bell_Curve",$NM$5*(10-$NQ$5+1)*($NR$5-10+1)/$NT$5,$NM$5/$NS$5)),0)</f>
        <v/>
      </c>
      <c r="N5" s="18">
        <f>IF(AND(11&gt;=$NQ$5,11&lt;=$NR$5),IF($NO$5="Single_Point",IF(11=$NQ$5,$NM$5,0),IF($NO$5="Bell_Curve",$NM$5*(11-$NQ$5+1)*($NR$5-11+1)/$NT$5,$NM$5/$NS$5)),0)</f>
        <v/>
      </c>
      <c r="O5" s="18">
        <f>IF(AND(12&gt;=$NQ$5,12&lt;=$NR$5),IF($NO$5="Single_Point",IF(12=$NQ$5,$NM$5,0),IF($NO$5="Bell_Curve",$NM$5*(12-$NQ$5+1)*($NR$5-12+1)/$NT$5,$NM$5/$NS$5)),0)</f>
        <v/>
      </c>
      <c r="P5" s="18">
        <f>IF(AND(13&gt;=$NQ$5,13&lt;=$NR$5),IF($NO$5="Single_Point",IF(13=$NQ$5,$NM$5,0),IF($NO$5="Bell_Curve",$NM$5*(13-$NQ$5+1)*($NR$5-13+1)/$NT$5,$NM$5/$NS$5)),0)</f>
        <v/>
      </c>
      <c r="Q5" s="18">
        <f>IF(AND(14&gt;=$NQ$5,14&lt;=$NR$5),IF($NO$5="Single_Point",IF(14=$NQ$5,$NM$5,0),IF($NO$5="Bell_Curve",$NM$5*(14-$NQ$5+1)*($NR$5-14+1)/$NT$5,$NM$5/$NS$5)),0)</f>
        <v/>
      </c>
      <c r="R5" s="18">
        <f>IF(AND(15&gt;=$NQ$5,15&lt;=$NR$5),IF($NO$5="Single_Point",IF(15=$NQ$5,$NM$5,0),IF($NO$5="Bell_Curve",$NM$5*(15-$NQ$5+1)*($NR$5-15+1)/$NT$5,$NM$5/$NS$5)),0)</f>
        <v/>
      </c>
      <c r="S5" s="18">
        <f>IF(AND(16&gt;=$NQ$5,16&lt;=$NR$5),IF($NO$5="Single_Point",IF(16=$NQ$5,$NM$5,0),IF($NO$5="Bell_Curve",$NM$5*(16-$NQ$5+1)*($NR$5-16+1)/$NT$5,$NM$5/$NS$5)),0)</f>
        <v/>
      </c>
      <c r="T5" s="18">
        <f>IF(AND(17&gt;=$NQ$5,17&lt;=$NR$5),IF($NO$5="Single_Point",IF(17=$NQ$5,$NM$5,0),IF($NO$5="Bell_Curve",$NM$5*(17-$NQ$5+1)*($NR$5-17+1)/$NT$5,$NM$5/$NS$5)),0)</f>
        <v/>
      </c>
      <c r="U5" s="18">
        <f>IF(AND(18&gt;=$NQ$5,18&lt;=$NR$5),IF($NO$5="Single_Point",IF(18=$NQ$5,$NM$5,0),IF($NO$5="Bell_Curve",$NM$5*(18-$NQ$5+1)*($NR$5-18+1)/$NT$5,$NM$5/$NS$5)),0)</f>
        <v/>
      </c>
      <c r="V5" s="18">
        <f>IF(AND(19&gt;=$NQ$5,19&lt;=$NR$5),IF($NO$5="Single_Point",IF(19=$NQ$5,$NM$5,0),IF($NO$5="Bell_Curve",$NM$5*(19-$NQ$5+1)*($NR$5-19+1)/$NT$5,$NM$5/$NS$5)),0)</f>
        <v/>
      </c>
      <c r="W5" s="18">
        <f>IF(AND(20&gt;=$NQ$5,20&lt;=$NR$5),IF($NO$5="Single_Point",IF(20=$NQ$5,$NM$5,0),IF($NO$5="Bell_Curve",$NM$5*(20-$NQ$5+1)*($NR$5-20+1)/$NT$5,$NM$5/$NS$5)),0)</f>
        <v/>
      </c>
      <c r="X5" s="18">
        <f>IF(AND(21&gt;=$NQ$5,21&lt;=$NR$5),IF($NO$5="Single_Point",IF(21=$NQ$5,$NM$5,0),IF($NO$5="Bell_Curve",$NM$5*(21-$NQ$5+1)*($NR$5-21+1)/$NT$5,$NM$5/$NS$5)),0)</f>
        <v/>
      </c>
      <c r="Y5" s="18">
        <f>IF(AND(22&gt;=$NQ$5,22&lt;=$NR$5),IF($NO$5="Single_Point",IF(22=$NQ$5,$NM$5,0),IF($NO$5="Bell_Curve",$NM$5*(22-$NQ$5+1)*($NR$5-22+1)/$NT$5,$NM$5/$NS$5)),0)</f>
        <v/>
      </c>
      <c r="Z5" s="18">
        <f>IF(AND(23&gt;=$NQ$5,23&lt;=$NR$5),IF($NO$5="Single_Point",IF(23=$NQ$5,$NM$5,0),IF($NO$5="Bell_Curve",$NM$5*(23-$NQ$5+1)*($NR$5-23+1)/$NT$5,$NM$5/$NS$5)),0)</f>
        <v/>
      </c>
      <c r="AA5" s="18">
        <f>IF(AND(24&gt;=$NQ$5,24&lt;=$NR$5),IF($NO$5="Single_Point",IF(24=$NQ$5,$NM$5,0),IF($NO$5="Bell_Curve",$NM$5*(24-$NQ$5+1)*($NR$5-24+1)/$NT$5,$NM$5/$NS$5)),0)</f>
        <v/>
      </c>
      <c r="AB5" s="18">
        <f>IF(AND(25&gt;=$NQ$5,25&lt;=$NR$5),IF($NO$5="Single_Point",IF(25=$NQ$5,$NM$5,0),IF($NO$5="Bell_Curve",$NM$5*(25-$NQ$5+1)*($NR$5-25+1)/$NT$5,$NM$5/$NS$5)),0)</f>
        <v/>
      </c>
      <c r="AC5" s="18">
        <f>IF(AND(26&gt;=$NQ$5,26&lt;=$NR$5),IF($NO$5="Single_Point",IF(26=$NQ$5,$NM$5,0),IF($NO$5="Bell_Curve",$NM$5*(26-$NQ$5+1)*($NR$5-26+1)/$NT$5,$NM$5/$NS$5)),0)</f>
        <v/>
      </c>
      <c r="AD5" s="18">
        <f>IF(AND(27&gt;=$NQ$5,27&lt;=$NR$5),IF($NO$5="Single_Point",IF(27=$NQ$5,$NM$5,0),IF($NO$5="Bell_Curve",$NM$5*(27-$NQ$5+1)*($NR$5-27+1)/$NT$5,$NM$5/$NS$5)),0)</f>
        <v/>
      </c>
      <c r="AE5" s="18">
        <f>IF(AND(28&gt;=$NQ$5,28&lt;=$NR$5),IF($NO$5="Single_Point",IF(28=$NQ$5,$NM$5,0),IF($NO$5="Bell_Curve",$NM$5*(28-$NQ$5+1)*($NR$5-28+1)/$NT$5,$NM$5/$NS$5)),0)</f>
        <v/>
      </c>
      <c r="AF5" s="18">
        <f>IF(AND(29&gt;=$NQ$5,29&lt;=$NR$5),IF($NO$5="Single_Point",IF(29=$NQ$5,$NM$5,0),IF($NO$5="Bell_Curve",$NM$5*(29-$NQ$5+1)*($NR$5-29+1)/$NT$5,$NM$5/$NS$5)),0)</f>
        <v/>
      </c>
      <c r="AG5" s="18">
        <f>IF(AND(30&gt;=$NQ$5,30&lt;=$NR$5),IF($NO$5="Single_Point",IF(30=$NQ$5,$NM$5,0),IF($NO$5="Bell_Curve",$NM$5*(30-$NQ$5+1)*($NR$5-30+1)/$NT$5,$NM$5/$NS$5)),0)</f>
        <v/>
      </c>
      <c r="AH5" s="18">
        <f>IF(AND(31&gt;=$NQ$5,31&lt;=$NR$5),IF($NO$5="Single_Point",IF(31=$NQ$5,$NM$5,0),IF($NO$5="Bell_Curve",$NM$5*(31-$NQ$5+1)*($NR$5-31+1)/$NT$5,$NM$5/$NS$5)),0)</f>
        <v/>
      </c>
      <c r="AI5" s="18">
        <f>IF(AND(32&gt;=$NQ$5,32&lt;=$NR$5),IF($NO$5="Single_Point",IF(32=$NQ$5,$NM$5,0),IF($NO$5="Bell_Curve",$NM$5*(32-$NQ$5+1)*($NR$5-32+1)/$NT$5,$NM$5/$NS$5)),0)</f>
        <v/>
      </c>
      <c r="AJ5" s="18">
        <f>IF(AND(33&gt;=$NQ$5,33&lt;=$NR$5),IF($NO$5="Single_Point",IF(33=$NQ$5,$NM$5,0),IF($NO$5="Bell_Curve",$NM$5*(33-$NQ$5+1)*($NR$5-33+1)/$NT$5,$NM$5/$NS$5)),0)</f>
        <v/>
      </c>
      <c r="AK5" s="18">
        <f>IF(AND(34&gt;=$NQ$5,34&lt;=$NR$5),IF($NO$5="Single_Point",IF(34=$NQ$5,$NM$5,0),IF($NO$5="Bell_Curve",$NM$5*(34-$NQ$5+1)*($NR$5-34+1)/$NT$5,$NM$5/$NS$5)),0)</f>
        <v/>
      </c>
      <c r="AL5" s="18">
        <f>IF(AND(35&gt;=$NQ$5,35&lt;=$NR$5),IF($NO$5="Single_Point",IF(35=$NQ$5,$NM$5,0),IF($NO$5="Bell_Curve",$NM$5*(35-$NQ$5+1)*($NR$5-35+1)/$NT$5,$NM$5/$NS$5)),0)</f>
        <v/>
      </c>
      <c r="AM5" s="18">
        <f>IF(AND(36&gt;=$NQ$5,36&lt;=$NR$5),IF($NO$5="Single_Point",IF(36=$NQ$5,$NM$5,0),IF($NO$5="Bell_Curve",$NM$5*(36-$NQ$5+1)*($NR$5-36+1)/$NT$5,$NM$5/$NS$5)),0)</f>
        <v/>
      </c>
      <c r="AN5" s="18">
        <f>IF(AND(37&gt;=$NQ$5,37&lt;=$NR$5),IF($NO$5="Single_Point",IF(37=$NQ$5,$NM$5,0),IF($NO$5="Bell_Curve",$NM$5*(37-$NQ$5+1)*($NR$5-37+1)/$NT$5,$NM$5/$NS$5)),0)</f>
        <v/>
      </c>
      <c r="AO5" s="18">
        <f>IF(AND(38&gt;=$NQ$5,38&lt;=$NR$5),IF($NO$5="Single_Point",IF(38=$NQ$5,$NM$5,0),IF($NO$5="Bell_Curve",$NM$5*(38-$NQ$5+1)*($NR$5-38+1)/$NT$5,$NM$5/$NS$5)),0)</f>
        <v/>
      </c>
      <c r="AP5" s="18">
        <f>IF(AND(39&gt;=$NQ$5,39&lt;=$NR$5),IF($NO$5="Single_Point",IF(39=$NQ$5,$NM$5,0),IF($NO$5="Bell_Curve",$NM$5*(39-$NQ$5+1)*($NR$5-39+1)/$NT$5,$NM$5/$NS$5)),0)</f>
        <v/>
      </c>
      <c r="AQ5" s="18">
        <f>IF(AND(40&gt;=$NQ$5,40&lt;=$NR$5),IF($NO$5="Single_Point",IF(40=$NQ$5,$NM$5,0),IF($NO$5="Bell_Curve",$NM$5*(40-$NQ$5+1)*($NR$5-40+1)/$NT$5,$NM$5/$NS$5)),0)</f>
        <v/>
      </c>
      <c r="AR5" s="18">
        <f>IF(AND(41&gt;=$NQ$5,41&lt;=$NR$5),IF($NO$5="Single_Point",IF(41=$NQ$5,$NM$5,0),IF($NO$5="Bell_Curve",$NM$5*(41-$NQ$5+1)*($NR$5-41+1)/$NT$5,$NM$5/$NS$5)),0)</f>
        <v/>
      </c>
      <c r="AS5" s="18">
        <f>IF(AND(42&gt;=$NQ$5,42&lt;=$NR$5),IF($NO$5="Single_Point",IF(42=$NQ$5,$NM$5,0),IF($NO$5="Bell_Curve",$NM$5*(42-$NQ$5+1)*($NR$5-42+1)/$NT$5,$NM$5/$NS$5)),0)</f>
        <v/>
      </c>
      <c r="AT5" s="18">
        <f>IF(AND(43&gt;=$NQ$5,43&lt;=$NR$5),IF($NO$5="Single_Point",IF(43=$NQ$5,$NM$5,0),IF($NO$5="Bell_Curve",$NM$5*(43-$NQ$5+1)*($NR$5-43+1)/$NT$5,$NM$5/$NS$5)),0)</f>
        <v/>
      </c>
      <c r="AU5" s="18">
        <f>IF(AND(44&gt;=$NQ$5,44&lt;=$NR$5),IF($NO$5="Single_Point",IF(44=$NQ$5,$NM$5,0),IF($NO$5="Bell_Curve",$NM$5*(44-$NQ$5+1)*($NR$5-44+1)/$NT$5,$NM$5/$NS$5)),0)</f>
        <v/>
      </c>
      <c r="AV5" s="18">
        <f>IF(AND(45&gt;=$NQ$5,45&lt;=$NR$5),IF($NO$5="Single_Point",IF(45=$NQ$5,$NM$5,0),IF($NO$5="Bell_Curve",$NM$5*(45-$NQ$5+1)*($NR$5-45+1)/$NT$5,$NM$5/$NS$5)),0)</f>
        <v/>
      </c>
      <c r="AW5" s="18">
        <f>IF(AND(46&gt;=$NQ$5,46&lt;=$NR$5),IF($NO$5="Single_Point",IF(46=$NQ$5,$NM$5,0),IF($NO$5="Bell_Curve",$NM$5*(46-$NQ$5+1)*($NR$5-46+1)/$NT$5,$NM$5/$NS$5)),0)</f>
        <v/>
      </c>
      <c r="AX5" s="18">
        <f>IF(AND(47&gt;=$NQ$5,47&lt;=$NR$5),IF($NO$5="Single_Point",IF(47=$NQ$5,$NM$5,0),IF($NO$5="Bell_Curve",$NM$5*(47-$NQ$5+1)*($NR$5-47+1)/$NT$5,$NM$5/$NS$5)),0)</f>
        <v/>
      </c>
      <c r="AY5" s="18">
        <f>IF(AND(48&gt;=$NQ$5,48&lt;=$NR$5),IF($NO$5="Single_Point",IF(48=$NQ$5,$NM$5,0),IF($NO$5="Bell_Curve",$NM$5*(48-$NQ$5+1)*($NR$5-48+1)/$NT$5,$NM$5/$NS$5)),0)</f>
        <v/>
      </c>
      <c r="AZ5" s="18">
        <f>IF(AND(49&gt;=$NQ$5,49&lt;=$NR$5),IF($NO$5="Single_Point",IF(49=$NQ$5,$NM$5,0),IF($NO$5="Bell_Curve",$NM$5*(49-$NQ$5+1)*($NR$5-49+1)/$NT$5,$NM$5/$NS$5)),0)</f>
        <v/>
      </c>
      <c r="BA5" s="18">
        <f>IF(AND(50&gt;=$NQ$5,50&lt;=$NR$5),IF($NO$5="Single_Point",IF(50=$NQ$5,$NM$5,0),IF($NO$5="Bell_Curve",$NM$5*(50-$NQ$5+1)*($NR$5-50+1)/$NT$5,$NM$5/$NS$5)),0)</f>
        <v/>
      </c>
      <c r="BB5" s="18">
        <f>IF(AND(51&gt;=$NQ$5,51&lt;=$NR$5),IF($NO$5="Single_Point",IF(51=$NQ$5,$NM$5,0),IF($NO$5="Bell_Curve",$NM$5*(51-$NQ$5+1)*($NR$5-51+1)/$NT$5,$NM$5/$NS$5)),0)</f>
        <v/>
      </c>
      <c r="BC5" s="18">
        <f>IF(AND(52&gt;=$NQ$5,52&lt;=$NR$5),IF($NO$5="Single_Point",IF(52=$NQ$5,$NM$5,0),IF($NO$5="Bell_Curve",$NM$5*(52-$NQ$5+1)*($NR$5-52+1)/$NT$5,$NM$5/$NS$5)),0)</f>
        <v/>
      </c>
      <c r="BD5" s="18">
        <f>IF(AND(53&gt;=$NQ$5,53&lt;=$NR$5),IF($NO$5="Single_Point",IF(53=$NQ$5,$NM$5,0),IF($NO$5="Bell_Curve",$NM$5*(53-$NQ$5+1)*($NR$5-53+1)/$NT$5,$NM$5/$NS$5)),0)</f>
        <v/>
      </c>
      <c r="BE5" s="18">
        <f>IF(AND(54&gt;=$NQ$5,54&lt;=$NR$5),IF($NO$5="Single_Point",IF(54=$NQ$5,$NM$5,0),IF($NO$5="Bell_Curve",$NM$5*(54-$NQ$5+1)*($NR$5-54+1)/$NT$5,$NM$5/$NS$5)),0)</f>
        <v/>
      </c>
      <c r="BF5" s="18">
        <f>IF(AND(55&gt;=$NQ$5,55&lt;=$NR$5),IF($NO$5="Single_Point",IF(55=$NQ$5,$NM$5,0),IF($NO$5="Bell_Curve",$NM$5*(55-$NQ$5+1)*($NR$5-55+1)/$NT$5,$NM$5/$NS$5)),0)</f>
        <v/>
      </c>
      <c r="BG5" s="18">
        <f>IF(AND(56&gt;=$NQ$5,56&lt;=$NR$5),IF($NO$5="Single_Point",IF(56=$NQ$5,$NM$5,0),IF($NO$5="Bell_Curve",$NM$5*(56-$NQ$5+1)*($NR$5-56+1)/$NT$5,$NM$5/$NS$5)),0)</f>
        <v/>
      </c>
      <c r="BH5" s="18">
        <f>IF(AND(57&gt;=$NQ$5,57&lt;=$NR$5),IF($NO$5="Single_Point",IF(57=$NQ$5,$NM$5,0),IF($NO$5="Bell_Curve",$NM$5*(57-$NQ$5+1)*($NR$5-57+1)/$NT$5,$NM$5/$NS$5)),0)</f>
        <v/>
      </c>
      <c r="BI5" s="18">
        <f>IF(AND(58&gt;=$NQ$5,58&lt;=$NR$5),IF($NO$5="Single_Point",IF(58=$NQ$5,$NM$5,0),IF($NO$5="Bell_Curve",$NM$5*(58-$NQ$5+1)*($NR$5-58+1)/$NT$5,$NM$5/$NS$5)),0)</f>
        <v/>
      </c>
      <c r="BJ5" s="18">
        <f>IF(AND(59&gt;=$NQ$5,59&lt;=$NR$5),IF($NO$5="Single_Point",IF(59=$NQ$5,$NM$5,0),IF($NO$5="Bell_Curve",$NM$5*(59-$NQ$5+1)*($NR$5-59+1)/$NT$5,$NM$5/$NS$5)),0)</f>
        <v/>
      </c>
      <c r="BK5" s="18">
        <f>IF(AND(60&gt;=$NQ$5,60&lt;=$NR$5),IF($NO$5="Single_Point",IF(60=$NQ$5,$NM$5,0),IF($NO$5="Bell_Curve",$NM$5*(60-$NQ$5+1)*($NR$5-60+1)/$NT$5,$NM$5/$NS$5)),0)</f>
        <v/>
      </c>
      <c r="BL5" s="18">
        <f>IF(AND(61&gt;=$NQ$5,61&lt;=$NR$5),IF($NO$5="Single_Point",IF(61=$NQ$5,$NM$5,0),IF($NO$5="Bell_Curve",$NM$5*(61-$NQ$5+1)*($NR$5-61+1)/$NT$5,$NM$5/$NS$5)),0)</f>
        <v/>
      </c>
      <c r="BM5" s="18">
        <f>IF(AND(62&gt;=$NQ$5,62&lt;=$NR$5),IF($NO$5="Single_Point",IF(62=$NQ$5,$NM$5,0),IF($NO$5="Bell_Curve",$NM$5*(62-$NQ$5+1)*($NR$5-62+1)/$NT$5,$NM$5/$NS$5)),0)</f>
        <v/>
      </c>
      <c r="BN5" s="18">
        <f>IF(AND(63&gt;=$NQ$5,63&lt;=$NR$5),IF($NO$5="Single_Point",IF(63=$NQ$5,$NM$5,0),IF($NO$5="Bell_Curve",$NM$5*(63-$NQ$5+1)*($NR$5-63+1)/$NT$5,$NM$5/$NS$5)),0)</f>
        <v/>
      </c>
      <c r="BO5" s="18">
        <f>IF(AND(64&gt;=$NQ$5,64&lt;=$NR$5),IF($NO$5="Single_Point",IF(64=$NQ$5,$NM$5,0),IF($NO$5="Bell_Curve",$NM$5*(64-$NQ$5+1)*($NR$5-64+1)/$NT$5,$NM$5/$NS$5)),0)</f>
        <v/>
      </c>
      <c r="BP5" s="18">
        <f>IF(AND(65&gt;=$NQ$5,65&lt;=$NR$5),IF($NO$5="Single_Point",IF(65=$NQ$5,$NM$5,0),IF($NO$5="Bell_Curve",$NM$5*(65-$NQ$5+1)*($NR$5-65+1)/$NT$5,$NM$5/$NS$5)),0)</f>
        <v/>
      </c>
      <c r="BQ5" s="18">
        <f>IF(AND(66&gt;=$NQ$5,66&lt;=$NR$5),IF($NO$5="Single_Point",IF(66=$NQ$5,$NM$5,0),IF($NO$5="Bell_Curve",$NM$5*(66-$NQ$5+1)*($NR$5-66+1)/$NT$5,$NM$5/$NS$5)),0)</f>
        <v/>
      </c>
      <c r="BR5" s="18">
        <f>IF(AND(67&gt;=$NQ$5,67&lt;=$NR$5),IF($NO$5="Single_Point",IF(67=$NQ$5,$NM$5,0),IF($NO$5="Bell_Curve",$NM$5*(67-$NQ$5+1)*($NR$5-67+1)/$NT$5,$NM$5/$NS$5)),0)</f>
        <v/>
      </c>
      <c r="BS5" s="18">
        <f>IF(AND(68&gt;=$NQ$5,68&lt;=$NR$5),IF($NO$5="Single_Point",IF(68=$NQ$5,$NM$5,0),IF($NO$5="Bell_Curve",$NM$5*(68-$NQ$5+1)*($NR$5-68+1)/$NT$5,$NM$5/$NS$5)),0)</f>
        <v/>
      </c>
      <c r="BT5" s="18">
        <f>IF(AND(69&gt;=$NQ$5,69&lt;=$NR$5),IF($NO$5="Single_Point",IF(69=$NQ$5,$NM$5,0),IF($NO$5="Bell_Curve",$NM$5*(69-$NQ$5+1)*($NR$5-69+1)/$NT$5,$NM$5/$NS$5)),0)</f>
        <v/>
      </c>
      <c r="BU5" s="18">
        <f>IF(AND(70&gt;=$NQ$5,70&lt;=$NR$5),IF($NO$5="Single_Point",IF(70=$NQ$5,$NM$5,0),IF($NO$5="Bell_Curve",$NM$5*(70-$NQ$5+1)*($NR$5-70+1)/$NT$5,$NM$5/$NS$5)),0)</f>
        <v/>
      </c>
      <c r="BV5" s="18">
        <f>IF(AND(71&gt;=$NQ$5,71&lt;=$NR$5),IF($NO$5="Single_Point",IF(71=$NQ$5,$NM$5,0),IF($NO$5="Bell_Curve",$NM$5*(71-$NQ$5+1)*($NR$5-71+1)/$NT$5,$NM$5/$NS$5)),0)</f>
        <v/>
      </c>
      <c r="BW5" s="18">
        <f>IF(AND(72&gt;=$NQ$5,72&lt;=$NR$5),IF($NO$5="Single_Point",IF(72=$NQ$5,$NM$5,0),IF($NO$5="Bell_Curve",$NM$5*(72-$NQ$5+1)*($NR$5-72+1)/$NT$5,$NM$5/$NS$5)),0)</f>
        <v/>
      </c>
      <c r="BX5" s="18">
        <f>IF(AND(73&gt;=$NQ$5,73&lt;=$NR$5),IF($NO$5="Single_Point",IF(73=$NQ$5,$NM$5,0),IF($NO$5="Bell_Curve",$NM$5*(73-$NQ$5+1)*($NR$5-73+1)/$NT$5,$NM$5/$NS$5)),0)</f>
        <v/>
      </c>
      <c r="BY5" s="18">
        <f>IF(AND(74&gt;=$NQ$5,74&lt;=$NR$5),IF($NO$5="Single_Point",IF(74=$NQ$5,$NM$5,0),IF($NO$5="Bell_Curve",$NM$5*(74-$NQ$5+1)*($NR$5-74+1)/$NT$5,$NM$5/$NS$5)),0)</f>
        <v/>
      </c>
      <c r="BZ5" s="18">
        <f>IF(AND(75&gt;=$NQ$5,75&lt;=$NR$5),IF($NO$5="Single_Point",IF(75=$NQ$5,$NM$5,0),IF($NO$5="Bell_Curve",$NM$5*(75-$NQ$5+1)*($NR$5-75+1)/$NT$5,$NM$5/$NS$5)),0)</f>
        <v/>
      </c>
      <c r="CA5" s="18">
        <f>IF(AND(76&gt;=$NQ$5,76&lt;=$NR$5),IF($NO$5="Single_Point",IF(76=$NQ$5,$NM$5,0),IF($NO$5="Bell_Curve",$NM$5*(76-$NQ$5+1)*($NR$5-76+1)/$NT$5,$NM$5/$NS$5)),0)</f>
        <v/>
      </c>
      <c r="CB5" s="18">
        <f>IF(AND(77&gt;=$NQ$5,77&lt;=$NR$5),IF($NO$5="Single_Point",IF(77=$NQ$5,$NM$5,0),IF($NO$5="Bell_Curve",$NM$5*(77-$NQ$5+1)*($NR$5-77+1)/$NT$5,$NM$5/$NS$5)),0)</f>
        <v/>
      </c>
      <c r="CC5" s="18">
        <f>IF(AND(78&gt;=$NQ$5,78&lt;=$NR$5),IF($NO$5="Single_Point",IF(78=$NQ$5,$NM$5,0),IF($NO$5="Bell_Curve",$NM$5*(78-$NQ$5+1)*($NR$5-78+1)/$NT$5,$NM$5/$NS$5)),0)</f>
        <v/>
      </c>
      <c r="CD5" s="18">
        <f>IF(AND(79&gt;=$NQ$5,79&lt;=$NR$5),IF($NO$5="Single_Point",IF(79=$NQ$5,$NM$5,0),IF($NO$5="Bell_Curve",$NM$5*(79-$NQ$5+1)*($NR$5-79+1)/$NT$5,$NM$5/$NS$5)),0)</f>
        <v/>
      </c>
      <c r="CE5" s="18">
        <f>IF(AND(80&gt;=$NQ$5,80&lt;=$NR$5),IF($NO$5="Single_Point",IF(80=$NQ$5,$NM$5,0),IF($NO$5="Bell_Curve",$NM$5*(80-$NQ$5+1)*($NR$5-80+1)/$NT$5,$NM$5/$NS$5)),0)</f>
        <v/>
      </c>
      <c r="CF5" s="18">
        <f>IF(AND(81&gt;=$NQ$5,81&lt;=$NR$5),IF($NO$5="Single_Point",IF(81=$NQ$5,$NM$5,0),IF($NO$5="Bell_Curve",$NM$5*(81-$NQ$5+1)*($NR$5-81+1)/$NT$5,$NM$5/$NS$5)),0)</f>
        <v/>
      </c>
      <c r="CG5" s="18">
        <f>IF(AND(82&gt;=$NQ$5,82&lt;=$NR$5),IF($NO$5="Single_Point",IF(82=$NQ$5,$NM$5,0),IF($NO$5="Bell_Curve",$NM$5*(82-$NQ$5+1)*($NR$5-82+1)/$NT$5,$NM$5/$NS$5)),0)</f>
        <v/>
      </c>
      <c r="CH5" s="18">
        <f>IF(AND(83&gt;=$NQ$5,83&lt;=$NR$5),IF($NO$5="Single_Point",IF(83=$NQ$5,$NM$5,0),IF($NO$5="Bell_Curve",$NM$5*(83-$NQ$5+1)*($NR$5-83+1)/$NT$5,$NM$5/$NS$5)),0)</f>
        <v/>
      </c>
      <c r="CI5" s="18">
        <f>IF(AND(84&gt;=$NQ$5,84&lt;=$NR$5),IF($NO$5="Single_Point",IF(84=$NQ$5,$NM$5,0),IF($NO$5="Bell_Curve",$NM$5*(84-$NQ$5+1)*($NR$5-84+1)/$NT$5,$NM$5/$NS$5)),0)</f>
        <v/>
      </c>
      <c r="CJ5" s="18">
        <f>IF(AND(85&gt;=$NQ$5,85&lt;=$NR$5),IF($NO$5="Single_Point",IF(85=$NQ$5,$NM$5,0),IF($NO$5="Bell_Curve",$NM$5*(85-$NQ$5+1)*($NR$5-85+1)/$NT$5,$NM$5/$NS$5)),0)</f>
        <v/>
      </c>
      <c r="CK5" s="18">
        <f>IF(AND(86&gt;=$NQ$5,86&lt;=$NR$5),IF($NO$5="Single_Point",IF(86=$NQ$5,$NM$5,0),IF($NO$5="Bell_Curve",$NM$5*(86-$NQ$5+1)*($NR$5-86+1)/$NT$5,$NM$5/$NS$5)),0)</f>
        <v/>
      </c>
      <c r="CL5" s="18">
        <f>IF(AND(87&gt;=$NQ$5,87&lt;=$NR$5),IF($NO$5="Single_Point",IF(87=$NQ$5,$NM$5,0),IF($NO$5="Bell_Curve",$NM$5*(87-$NQ$5+1)*($NR$5-87+1)/$NT$5,$NM$5/$NS$5)),0)</f>
        <v/>
      </c>
      <c r="CM5" s="18">
        <f>IF(AND(88&gt;=$NQ$5,88&lt;=$NR$5),IF($NO$5="Single_Point",IF(88=$NQ$5,$NM$5,0),IF($NO$5="Bell_Curve",$NM$5*(88-$NQ$5+1)*($NR$5-88+1)/$NT$5,$NM$5/$NS$5)),0)</f>
        <v/>
      </c>
      <c r="CN5" s="18">
        <f>IF(AND(89&gt;=$NQ$5,89&lt;=$NR$5),IF($NO$5="Single_Point",IF(89=$NQ$5,$NM$5,0),IF($NO$5="Bell_Curve",$NM$5*(89-$NQ$5+1)*($NR$5-89+1)/$NT$5,$NM$5/$NS$5)),0)</f>
        <v/>
      </c>
      <c r="CO5" s="18">
        <f>IF(AND(90&gt;=$NQ$5,90&lt;=$NR$5),IF($NO$5="Single_Point",IF(90=$NQ$5,$NM$5,0),IF($NO$5="Bell_Curve",$NM$5*(90-$NQ$5+1)*($NR$5-90+1)/$NT$5,$NM$5/$NS$5)),0)</f>
        <v/>
      </c>
      <c r="CP5" s="18">
        <f>IF(AND(91&gt;=$NQ$5,91&lt;=$NR$5),IF($NO$5="Single_Point",IF(91=$NQ$5,$NM$5,0),IF($NO$5="Bell_Curve",$NM$5*(91-$NQ$5+1)*($NR$5-91+1)/$NT$5,$NM$5/$NS$5)),0)</f>
        <v/>
      </c>
      <c r="CQ5" s="18">
        <f>IF(AND(92&gt;=$NQ$5,92&lt;=$NR$5),IF($NO$5="Single_Point",IF(92=$NQ$5,$NM$5,0),IF($NO$5="Bell_Curve",$NM$5*(92-$NQ$5+1)*($NR$5-92+1)/$NT$5,$NM$5/$NS$5)),0)</f>
        <v/>
      </c>
      <c r="CR5" s="18">
        <f>IF(AND(93&gt;=$NQ$5,93&lt;=$NR$5),IF($NO$5="Single_Point",IF(93=$NQ$5,$NM$5,0),IF($NO$5="Bell_Curve",$NM$5*(93-$NQ$5+1)*($NR$5-93+1)/$NT$5,$NM$5/$NS$5)),0)</f>
        <v/>
      </c>
      <c r="CS5" s="18">
        <f>IF(AND(94&gt;=$NQ$5,94&lt;=$NR$5),IF($NO$5="Single_Point",IF(94=$NQ$5,$NM$5,0),IF($NO$5="Bell_Curve",$NM$5*(94-$NQ$5+1)*($NR$5-94+1)/$NT$5,$NM$5/$NS$5)),0)</f>
        <v/>
      </c>
      <c r="CT5" s="18">
        <f>IF(AND(95&gt;=$NQ$5,95&lt;=$NR$5),IF($NO$5="Single_Point",IF(95=$NQ$5,$NM$5,0),IF($NO$5="Bell_Curve",$NM$5*(95-$NQ$5+1)*($NR$5-95+1)/$NT$5,$NM$5/$NS$5)),0)</f>
        <v/>
      </c>
      <c r="CU5" s="18">
        <f>IF(AND(96&gt;=$NQ$5,96&lt;=$NR$5),IF($NO$5="Single_Point",IF(96=$NQ$5,$NM$5,0),IF($NO$5="Bell_Curve",$NM$5*(96-$NQ$5+1)*($NR$5-96+1)/$NT$5,$NM$5/$NS$5)),0)</f>
        <v/>
      </c>
      <c r="CV5" s="18">
        <f>IF(AND(97&gt;=$NQ$5,97&lt;=$NR$5),IF($NO$5="Single_Point",IF(97=$NQ$5,$NM$5,0),IF($NO$5="Bell_Curve",$NM$5*(97-$NQ$5+1)*($NR$5-97+1)/$NT$5,$NM$5/$NS$5)),0)</f>
        <v/>
      </c>
      <c r="CW5" s="18">
        <f>IF(AND(98&gt;=$NQ$5,98&lt;=$NR$5),IF($NO$5="Single_Point",IF(98=$NQ$5,$NM$5,0),IF($NO$5="Bell_Curve",$NM$5*(98-$NQ$5+1)*($NR$5-98+1)/$NT$5,$NM$5/$NS$5)),0)</f>
        <v/>
      </c>
      <c r="CX5" s="18">
        <f>IF(AND(99&gt;=$NQ$5,99&lt;=$NR$5),IF($NO$5="Single_Point",IF(99=$NQ$5,$NM$5,0),IF($NO$5="Bell_Curve",$NM$5*(99-$NQ$5+1)*($NR$5-99+1)/$NT$5,$NM$5/$NS$5)),0)</f>
        <v/>
      </c>
      <c r="CY5" s="18">
        <f>IF(AND(100&gt;=$NQ$5,100&lt;=$NR$5),IF($NO$5="Single_Point",IF(100=$NQ$5,$NM$5,0),IF($NO$5="Bell_Curve",$NM$5*(100-$NQ$5+1)*($NR$5-100+1)/$NT$5,$NM$5/$NS$5)),0)</f>
        <v/>
      </c>
      <c r="CZ5" s="18">
        <f>IF(AND(101&gt;=$NQ$5,101&lt;=$NR$5),IF($NO$5="Single_Point",IF(101=$NQ$5,$NM$5,0),IF($NO$5="Bell_Curve",$NM$5*(101-$NQ$5+1)*($NR$5-101+1)/$NT$5,$NM$5/$NS$5)),0)</f>
        <v/>
      </c>
      <c r="DA5" s="18">
        <f>IF(AND(102&gt;=$NQ$5,102&lt;=$NR$5),IF($NO$5="Single_Point",IF(102=$NQ$5,$NM$5,0),IF($NO$5="Bell_Curve",$NM$5*(102-$NQ$5+1)*($NR$5-102+1)/$NT$5,$NM$5/$NS$5)),0)</f>
        <v/>
      </c>
      <c r="DB5" s="18">
        <f>IF(AND(103&gt;=$NQ$5,103&lt;=$NR$5),IF($NO$5="Single_Point",IF(103=$NQ$5,$NM$5,0),IF($NO$5="Bell_Curve",$NM$5*(103-$NQ$5+1)*($NR$5-103+1)/$NT$5,$NM$5/$NS$5)),0)</f>
        <v/>
      </c>
      <c r="DC5" s="18">
        <f>IF(AND(104&gt;=$NQ$5,104&lt;=$NR$5),IF($NO$5="Single_Point",IF(104=$NQ$5,$NM$5,0),IF($NO$5="Bell_Curve",$NM$5*(104-$NQ$5+1)*($NR$5-104+1)/$NT$5,$NM$5/$NS$5)),0)</f>
        <v/>
      </c>
      <c r="DD5" s="18">
        <f>IF(AND(105&gt;=$NQ$5,105&lt;=$NR$5),IF($NO$5="Single_Point",IF(105=$NQ$5,$NM$5,0),IF($NO$5="Bell_Curve",$NM$5*(105-$NQ$5+1)*($NR$5-105+1)/$NT$5,$NM$5/$NS$5)),0)</f>
        <v/>
      </c>
      <c r="DE5" s="18">
        <f>IF(AND(106&gt;=$NQ$5,106&lt;=$NR$5),IF($NO$5="Single_Point",IF(106=$NQ$5,$NM$5,0),IF($NO$5="Bell_Curve",$NM$5*(106-$NQ$5+1)*($NR$5-106+1)/$NT$5,$NM$5/$NS$5)),0)</f>
        <v/>
      </c>
      <c r="DF5" s="18">
        <f>IF(AND(107&gt;=$NQ$5,107&lt;=$NR$5),IF($NO$5="Single_Point",IF(107=$NQ$5,$NM$5,0),IF($NO$5="Bell_Curve",$NM$5*(107-$NQ$5+1)*($NR$5-107+1)/$NT$5,$NM$5/$NS$5)),0)</f>
        <v/>
      </c>
      <c r="DG5" s="18">
        <f>IF(AND(108&gt;=$NQ$5,108&lt;=$NR$5),IF($NO$5="Single_Point",IF(108=$NQ$5,$NM$5,0),IF($NO$5="Bell_Curve",$NM$5*(108-$NQ$5+1)*($NR$5-108+1)/$NT$5,$NM$5/$NS$5)),0)</f>
        <v/>
      </c>
      <c r="DH5" s="18">
        <f>IF(AND(109&gt;=$NQ$5,109&lt;=$NR$5),IF($NO$5="Single_Point",IF(109=$NQ$5,$NM$5,0),IF($NO$5="Bell_Curve",$NM$5*(109-$NQ$5+1)*($NR$5-109+1)/$NT$5,$NM$5/$NS$5)),0)</f>
        <v/>
      </c>
      <c r="DI5" s="18">
        <f>IF(AND(110&gt;=$NQ$5,110&lt;=$NR$5),IF($NO$5="Single_Point",IF(110=$NQ$5,$NM$5,0),IF($NO$5="Bell_Curve",$NM$5*(110-$NQ$5+1)*($NR$5-110+1)/$NT$5,$NM$5/$NS$5)),0)</f>
        <v/>
      </c>
      <c r="DJ5" s="18">
        <f>IF(AND(111&gt;=$NQ$5,111&lt;=$NR$5),IF($NO$5="Single_Point",IF(111=$NQ$5,$NM$5,0),IF($NO$5="Bell_Curve",$NM$5*(111-$NQ$5+1)*($NR$5-111+1)/$NT$5,$NM$5/$NS$5)),0)</f>
        <v/>
      </c>
      <c r="DK5" s="18">
        <f>IF(AND(112&gt;=$NQ$5,112&lt;=$NR$5),IF($NO$5="Single_Point",IF(112=$NQ$5,$NM$5,0),IF($NO$5="Bell_Curve",$NM$5*(112-$NQ$5+1)*($NR$5-112+1)/$NT$5,$NM$5/$NS$5)),0)</f>
        <v/>
      </c>
      <c r="DL5" s="18">
        <f>IF(AND(113&gt;=$NQ$5,113&lt;=$NR$5),IF($NO$5="Single_Point",IF(113=$NQ$5,$NM$5,0),IF($NO$5="Bell_Curve",$NM$5*(113-$NQ$5+1)*($NR$5-113+1)/$NT$5,$NM$5/$NS$5)),0)</f>
        <v/>
      </c>
      <c r="DM5" s="18">
        <f>IF(AND(114&gt;=$NQ$5,114&lt;=$NR$5),IF($NO$5="Single_Point",IF(114=$NQ$5,$NM$5,0),IF($NO$5="Bell_Curve",$NM$5*(114-$NQ$5+1)*($NR$5-114+1)/$NT$5,$NM$5/$NS$5)),0)</f>
        <v/>
      </c>
      <c r="DN5" s="18">
        <f>IF(AND(115&gt;=$NQ$5,115&lt;=$NR$5),IF($NO$5="Single_Point",IF(115=$NQ$5,$NM$5,0),IF($NO$5="Bell_Curve",$NM$5*(115-$NQ$5+1)*($NR$5-115+1)/$NT$5,$NM$5/$NS$5)),0)</f>
        <v/>
      </c>
      <c r="DO5" s="18">
        <f>IF(AND(116&gt;=$NQ$5,116&lt;=$NR$5),IF($NO$5="Single_Point",IF(116=$NQ$5,$NM$5,0),IF($NO$5="Bell_Curve",$NM$5*(116-$NQ$5+1)*($NR$5-116+1)/$NT$5,$NM$5/$NS$5)),0)</f>
        <v/>
      </c>
      <c r="DP5" s="18">
        <f>IF(AND(117&gt;=$NQ$5,117&lt;=$NR$5),IF($NO$5="Single_Point",IF(117=$NQ$5,$NM$5,0),IF($NO$5="Bell_Curve",$NM$5*(117-$NQ$5+1)*($NR$5-117+1)/$NT$5,$NM$5/$NS$5)),0)</f>
        <v/>
      </c>
      <c r="DQ5" s="18">
        <f>IF(AND(118&gt;=$NQ$5,118&lt;=$NR$5),IF($NO$5="Single_Point",IF(118=$NQ$5,$NM$5,0),IF($NO$5="Bell_Curve",$NM$5*(118-$NQ$5+1)*($NR$5-118+1)/$NT$5,$NM$5/$NS$5)),0)</f>
        <v/>
      </c>
      <c r="DR5" s="18">
        <f>IF(AND(119&gt;=$NQ$5,119&lt;=$NR$5),IF($NO$5="Single_Point",IF(119=$NQ$5,$NM$5,0),IF($NO$5="Bell_Curve",$NM$5*(119-$NQ$5+1)*($NR$5-119+1)/$NT$5,$NM$5/$NS$5)),0)</f>
        <v/>
      </c>
      <c r="DS5" s="18">
        <f>IF(AND(120&gt;=$NQ$5,120&lt;=$NR$5),IF($NO$5="Single_Point",IF(120=$NQ$5,$NM$5,0),IF($NO$5="Bell_Curve",$NM$5*(120-$NQ$5+1)*($NR$5-120+1)/$NT$5,$NM$5/$NS$5)),0)</f>
        <v/>
      </c>
      <c r="DT5" s="18">
        <f>IF(AND(121&gt;=$NQ$5,121&lt;=$NR$5),IF($NO$5="Single_Point",IF(121=$NQ$5,$NM$5,0),IF($NO$5="Bell_Curve",$NM$5*(121-$NQ$5+1)*($NR$5-121+1)/$NT$5,$NM$5/$NS$5)),0)</f>
        <v/>
      </c>
      <c r="DU5" s="18">
        <f>IF(AND(122&gt;=$NQ$5,122&lt;=$NR$5),IF($NO$5="Single_Point",IF(122=$NQ$5,$NM$5,0),IF($NO$5="Bell_Curve",$NM$5*(122-$NQ$5+1)*($NR$5-122+1)/$NT$5,$NM$5/$NS$5)),0)</f>
        <v/>
      </c>
      <c r="DV5" s="18">
        <f>IF(AND(123&gt;=$NQ$5,123&lt;=$NR$5),IF($NO$5="Single_Point",IF(123=$NQ$5,$NM$5,0),IF($NO$5="Bell_Curve",$NM$5*(123-$NQ$5+1)*($NR$5-123+1)/$NT$5,$NM$5/$NS$5)),0)</f>
        <v/>
      </c>
      <c r="DW5" s="18">
        <f>IF(AND(124&gt;=$NQ$5,124&lt;=$NR$5),IF($NO$5="Single_Point",IF(124=$NQ$5,$NM$5,0),IF($NO$5="Bell_Curve",$NM$5*(124-$NQ$5+1)*($NR$5-124+1)/$NT$5,$NM$5/$NS$5)),0)</f>
        <v/>
      </c>
      <c r="DX5" s="18">
        <f>IF(AND(125&gt;=$NQ$5,125&lt;=$NR$5),IF($NO$5="Single_Point",IF(125=$NQ$5,$NM$5,0),IF($NO$5="Bell_Curve",$NM$5*(125-$NQ$5+1)*($NR$5-125+1)/$NT$5,$NM$5/$NS$5)),0)</f>
        <v/>
      </c>
      <c r="DY5" s="18">
        <f>IF(AND(126&gt;=$NQ$5,126&lt;=$NR$5),IF($NO$5="Single_Point",IF(126=$NQ$5,$NM$5,0),IF($NO$5="Bell_Curve",$NM$5*(126-$NQ$5+1)*($NR$5-126+1)/$NT$5,$NM$5/$NS$5)),0)</f>
        <v/>
      </c>
      <c r="DZ5" s="18">
        <f>IF(AND(127&gt;=$NQ$5,127&lt;=$NR$5),IF($NO$5="Single_Point",IF(127=$NQ$5,$NM$5,0),IF($NO$5="Bell_Curve",$NM$5*(127-$NQ$5+1)*($NR$5-127+1)/$NT$5,$NM$5/$NS$5)),0)</f>
        <v/>
      </c>
      <c r="EA5" s="18">
        <f>IF(AND(128&gt;=$NQ$5,128&lt;=$NR$5),IF($NO$5="Single_Point",IF(128=$NQ$5,$NM$5,0),IF($NO$5="Bell_Curve",$NM$5*(128-$NQ$5+1)*($NR$5-128+1)/$NT$5,$NM$5/$NS$5)),0)</f>
        <v/>
      </c>
      <c r="EB5" s="18">
        <f>IF(AND(129&gt;=$NQ$5,129&lt;=$NR$5),IF($NO$5="Single_Point",IF(129=$NQ$5,$NM$5,0),IF($NO$5="Bell_Curve",$NM$5*(129-$NQ$5+1)*($NR$5-129+1)/$NT$5,$NM$5/$NS$5)),0)</f>
        <v/>
      </c>
      <c r="EC5" s="18">
        <f>IF(AND(130&gt;=$NQ$5,130&lt;=$NR$5),IF($NO$5="Single_Point",IF(130=$NQ$5,$NM$5,0),IF($NO$5="Bell_Curve",$NM$5*(130-$NQ$5+1)*($NR$5-130+1)/$NT$5,$NM$5/$NS$5)),0)</f>
        <v/>
      </c>
      <c r="ED5" s="18">
        <f>IF(AND(131&gt;=$NQ$5,131&lt;=$NR$5),IF($NO$5="Single_Point",IF(131=$NQ$5,$NM$5,0),IF($NO$5="Bell_Curve",$NM$5*(131-$NQ$5+1)*($NR$5-131+1)/$NT$5,$NM$5/$NS$5)),0)</f>
        <v/>
      </c>
      <c r="EE5" s="18">
        <f>IF(AND(132&gt;=$NQ$5,132&lt;=$NR$5),IF($NO$5="Single_Point",IF(132=$NQ$5,$NM$5,0),IF($NO$5="Bell_Curve",$NM$5*(132-$NQ$5+1)*($NR$5-132+1)/$NT$5,$NM$5/$NS$5)),0)</f>
        <v/>
      </c>
      <c r="EF5" s="18">
        <f>IF(AND(133&gt;=$NQ$5,133&lt;=$NR$5),IF($NO$5="Single_Point",IF(133=$NQ$5,$NM$5,0),IF($NO$5="Bell_Curve",$NM$5*(133-$NQ$5+1)*($NR$5-133+1)/$NT$5,$NM$5/$NS$5)),0)</f>
        <v/>
      </c>
      <c r="EG5" s="18">
        <f>IF(AND(134&gt;=$NQ$5,134&lt;=$NR$5),IF($NO$5="Single_Point",IF(134=$NQ$5,$NM$5,0),IF($NO$5="Bell_Curve",$NM$5*(134-$NQ$5+1)*($NR$5-134+1)/$NT$5,$NM$5/$NS$5)),0)</f>
        <v/>
      </c>
      <c r="EH5" s="18">
        <f>IF(AND(135&gt;=$NQ$5,135&lt;=$NR$5),IF($NO$5="Single_Point",IF(135=$NQ$5,$NM$5,0),IF($NO$5="Bell_Curve",$NM$5*(135-$NQ$5+1)*($NR$5-135+1)/$NT$5,$NM$5/$NS$5)),0)</f>
        <v/>
      </c>
      <c r="EI5" s="18">
        <f>IF(AND(136&gt;=$NQ$5,136&lt;=$NR$5),IF($NO$5="Single_Point",IF(136=$NQ$5,$NM$5,0),IF($NO$5="Bell_Curve",$NM$5*(136-$NQ$5+1)*($NR$5-136+1)/$NT$5,$NM$5/$NS$5)),0)</f>
        <v/>
      </c>
      <c r="EJ5" s="18">
        <f>IF(AND(137&gt;=$NQ$5,137&lt;=$NR$5),IF($NO$5="Single_Point",IF(137=$NQ$5,$NM$5,0),IF($NO$5="Bell_Curve",$NM$5*(137-$NQ$5+1)*($NR$5-137+1)/$NT$5,$NM$5/$NS$5)),0)</f>
        <v/>
      </c>
      <c r="EK5" s="18">
        <f>IF(AND(138&gt;=$NQ$5,138&lt;=$NR$5),IF($NO$5="Single_Point",IF(138=$NQ$5,$NM$5,0),IF($NO$5="Bell_Curve",$NM$5*(138-$NQ$5+1)*($NR$5-138+1)/$NT$5,$NM$5/$NS$5)),0)</f>
        <v/>
      </c>
      <c r="EL5" s="18">
        <f>IF(AND(139&gt;=$NQ$5,139&lt;=$NR$5),IF($NO$5="Single_Point",IF(139=$NQ$5,$NM$5,0),IF($NO$5="Bell_Curve",$NM$5*(139-$NQ$5+1)*($NR$5-139+1)/$NT$5,$NM$5/$NS$5)),0)</f>
        <v/>
      </c>
      <c r="EM5" s="18">
        <f>IF(AND(140&gt;=$NQ$5,140&lt;=$NR$5),IF($NO$5="Single_Point",IF(140=$NQ$5,$NM$5,0),IF($NO$5="Bell_Curve",$NM$5*(140-$NQ$5+1)*($NR$5-140+1)/$NT$5,$NM$5/$NS$5)),0)</f>
        <v/>
      </c>
      <c r="EN5" s="18">
        <f>IF(AND(141&gt;=$NQ$5,141&lt;=$NR$5),IF($NO$5="Single_Point",IF(141=$NQ$5,$NM$5,0),IF($NO$5="Bell_Curve",$NM$5*(141-$NQ$5+1)*($NR$5-141+1)/$NT$5,$NM$5/$NS$5)),0)</f>
        <v/>
      </c>
      <c r="EO5" s="18">
        <f>IF(AND(142&gt;=$NQ$5,142&lt;=$NR$5),IF($NO$5="Single_Point",IF(142=$NQ$5,$NM$5,0),IF($NO$5="Bell_Curve",$NM$5*(142-$NQ$5+1)*($NR$5-142+1)/$NT$5,$NM$5/$NS$5)),0)</f>
        <v/>
      </c>
      <c r="EP5" s="18">
        <f>IF(AND(143&gt;=$NQ$5,143&lt;=$NR$5),IF($NO$5="Single_Point",IF(143=$NQ$5,$NM$5,0),IF($NO$5="Bell_Curve",$NM$5*(143-$NQ$5+1)*($NR$5-143+1)/$NT$5,$NM$5/$NS$5)),0)</f>
        <v/>
      </c>
      <c r="EQ5" s="18">
        <f>IF(AND(144&gt;=$NQ$5,144&lt;=$NR$5),IF($NO$5="Single_Point",IF(144=$NQ$5,$NM$5,0),IF($NO$5="Bell_Curve",$NM$5*(144-$NQ$5+1)*($NR$5-144+1)/$NT$5,$NM$5/$NS$5)),0)</f>
        <v/>
      </c>
      <c r="ER5" s="18">
        <f>IF(AND(145&gt;=$NQ$5,145&lt;=$NR$5),IF($NO$5="Single_Point",IF(145=$NQ$5,$NM$5,0),IF($NO$5="Bell_Curve",$NM$5*(145-$NQ$5+1)*($NR$5-145+1)/$NT$5,$NM$5/$NS$5)),0)</f>
        <v/>
      </c>
      <c r="ES5" s="18">
        <f>IF(AND(146&gt;=$NQ$5,146&lt;=$NR$5),IF($NO$5="Single_Point",IF(146=$NQ$5,$NM$5,0),IF($NO$5="Bell_Curve",$NM$5*(146-$NQ$5+1)*($NR$5-146+1)/$NT$5,$NM$5/$NS$5)),0)</f>
        <v/>
      </c>
      <c r="ET5" s="18">
        <f>IF(AND(147&gt;=$NQ$5,147&lt;=$NR$5),IF($NO$5="Single_Point",IF(147=$NQ$5,$NM$5,0),IF($NO$5="Bell_Curve",$NM$5*(147-$NQ$5+1)*($NR$5-147+1)/$NT$5,$NM$5/$NS$5)),0)</f>
        <v/>
      </c>
      <c r="EU5" s="18">
        <f>IF(AND(148&gt;=$NQ$5,148&lt;=$NR$5),IF($NO$5="Single_Point",IF(148=$NQ$5,$NM$5,0),IF($NO$5="Bell_Curve",$NM$5*(148-$NQ$5+1)*($NR$5-148+1)/$NT$5,$NM$5/$NS$5)),0)</f>
        <v/>
      </c>
      <c r="EV5" s="18">
        <f>IF(AND(149&gt;=$NQ$5,149&lt;=$NR$5),IF($NO$5="Single_Point",IF(149=$NQ$5,$NM$5,0),IF($NO$5="Bell_Curve",$NM$5*(149-$NQ$5+1)*($NR$5-149+1)/$NT$5,$NM$5/$NS$5)),0)</f>
        <v/>
      </c>
      <c r="EW5" s="18">
        <f>IF(AND(150&gt;=$NQ$5,150&lt;=$NR$5),IF($NO$5="Single_Point",IF(150=$NQ$5,$NM$5,0),IF($NO$5="Bell_Curve",$NM$5*(150-$NQ$5+1)*($NR$5-150+1)/$NT$5,$NM$5/$NS$5)),0)</f>
        <v/>
      </c>
      <c r="EX5" s="18">
        <f>IF(AND(151&gt;=$NQ$5,151&lt;=$NR$5),IF($NO$5="Single_Point",IF(151=$NQ$5,$NM$5,0),IF($NO$5="Bell_Curve",$NM$5*(151-$NQ$5+1)*($NR$5-151+1)/$NT$5,$NM$5/$NS$5)),0)</f>
        <v/>
      </c>
      <c r="EY5" s="18">
        <f>IF(AND(152&gt;=$NQ$5,152&lt;=$NR$5),IF($NO$5="Single_Point",IF(152=$NQ$5,$NM$5,0),IF($NO$5="Bell_Curve",$NM$5*(152-$NQ$5+1)*($NR$5-152+1)/$NT$5,$NM$5/$NS$5)),0)</f>
        <v/>
      </c>
      <c r="EZ5" s="18">
        <f>IF(AND(153&gt;=$NQ$5,153&lt;=$NR$5),IF($NO$5="Single_Point",IF(153=$NQ$5,$NM$5,0),IF($NO$5="Bell_Curve",$NM$5*(153-$NQ$5+1)*($NR$5-153+1)/$NT$5,$NM$5/$NS$5)),0)</f>
        <v/>
      </c>
      <c r="FA5" s="18">
        <f>IF(AND(154&gt;=$NQ$5,154&lt;=$NR$5),IF($NO$5="Single_Point",IF(154=$NQ$5,$NM$5,0),IF($NO$5="Bell_Curve",$NM$5*(154-$NQ$5+1)*($NR$5-154+1)/$NT$5,$NM$5/$NS$5)),0)</f>
        <v/>
      </c>
      <c r="FB5" s="18">
        <f>IF(AND(155&gt;=$NQ$5,155&lt;=$NR$5),IF($NO$5="Single_Point",IF(155=$NQ$5,$NM$5,0),IF($NO$5="Bell_Curve",$NM$5*(155-$NQ$5+1)*($NR$5-155+1)/$NT$5,$NM$5/$NS$5)),0)</f>
        <v/>
      </c>
      <c r="FC5" s="18">
        <f>IF(AND(156&gt;=$NQ$5,156&lt;=$NR$5),IF($NO$5="Single_Point",IF(156=$NQ$5,$NM$5,0),IF($NO$5="Bell_Curve",$NM$5*(156-$NQ$5+1)*($NR$5-156+1)/$NT$5,$NM$5/$NS$5)),0)</f>
        <v/>
      </c>
      <c r="FD5" s="18">
        <f>IF(AND(157&gt;=$NQ$5,157&lt;=$NR$5),IF($NO$5="Single_Point",IF(157=$NQ$5,$NM$5,0),IF($NO$5="Bell_Curve",$NM$5*(157-$NQ$5+1)*($NR$5-157+1)/$NT$5,$NM$5/$NS$5)),0)</f>
        <v/>
      </c>
      <c r="FE5" s="18">
        <f>IF(AND(158&gt;=$NQ$5,158&lt;=$NR$5),IF($NO$5="Single_Point",IF(158=$NQ$5,$NM$5,0),IF($NO$5="Bell_Curve",$NM$5*(158-$NQ$5+1)*($NR$5-158+1)/$NT$5,$NM$5/$NS$5)),0)</f>
        <v/>
      </c>
      <c r="FF5" s="18">
        <f>IF(AND(159&gt;=$NQ$5,159&lt;=$NR$5),IF($NO$5="Single_Point",IF(159=$NQ$5,$NM$5,0),IF($NO$5="Bell_Curve",$NM$5*(159-$NQ$5+1)*($NR$5-159+1)/$NT$5,$NM$5/$NS$5)),0)</f>
        <v/>
      </c>
      <c r="FG5" s="18">
        <f>IF(AND(160&gt;=$NQ$5,160&lt;=$NR$5),IF($NO$5="Single_Point",IF(160=$NQ$5,$NM$5,0),IF($NO$5="Bell_Curve",$NM$5*(160-$NQ$5+1)*($NR$5-160+1)/$NT$5,$NM$5/$NS$5)),0)</f>
        <v/>
      </c>
      <c r="FH5" s="18">
        <f>IF(AND(161&gt;=$NQ$5,161&lt;=$NR$5),IF($NO$5="Single_Point",IF(161=$NQ$5,$NM$5,0),IF($NO$5="Bell_Curve",$NM$5*(161-$NQ$5+1)*($NR$5-161+1)/$NT$5,$NM$5/$NS$5)),0)</f>
        <v/>
      </c>
      <c r="FI5" s="18">
        <f>IF(AND(162&gt;=$NQ$5,162&lt;=$NR$5),IF($NO$5="Single_Point",IF(162=$NQ$5,$NM$5,0),IF($NO$5="Bell_Curve",$NM$5*(162-$NQ$5+1)*($NR$5-162+1)/$NT$5,$NM$5/$NS$5)),0)</f>
        <v/>
      </c>
      <c r="FJ5" s="18">
        <f>IF(AND(163&gt;=$NQ$5,163&lt;=$NR$5),IF($NO$5="Single_Point",IF(163=$NQ$5,$NM$5,0),IF($NO$5="Bell_Curve",$NM$5*(163-$NQ$5+1)*($NR$5-163+1)/$NT$5,$NM$5/$NS$5)),0)</f>
        <v/>
      </c>
      <c r="FK5" s="18">
        <f>IF(AND(164&gt;=$NQ$5,164&lt;=$NR$5),IF($NO$5="Single_Point",IF(164=$NQ$5,$NM$5,0),IF($NO$5="Bell_Curve",$NM$5*(164-$NQ$5+1)*($NR$5-164+1)/$NT$5,$NM$5/$NS$5)),0)</f>
        <v/>
      </c>
      <c r="FL5" s="18">
        <f>IF(AND(165&gt;=$NQ$5,165&lt;=$NR$5),IF($NO$5="Single_Point",IF(165=$NQ$5,$NM$5,0),IF($NO$5="Bell_Curve",$NM$5*(165-$NQ$5+1)*($NR$5-165+1)/$NT$5,$NM$5/$NS$5)),0)</f>
        <v/>
      </c>
      <c r="FM5" s="18">
        <f>IF(AND(166&gt;=$NQ$5,166&lt;=$NR$5),IF($NO$5="Single_Point",IF(166=$NQ$5,$NM$5,0),IF($NO$5="Bell_Curve",$NM$5*(166-$NQ$5+1)*($NR$5-166+1)/$NT$5,$NM$5/$NS$5)),0)</f>
        <v/>
      </c>
      <c r="FN5" s="18">
        <f>IF(AND(167&gt;=$NQ$5,167&lt;=$NR$5),IF($NO$5="Single_Point",IF(167=$NQ$5,$NM$5,0),IF($NO$5="Bell_Curve",$NM$5*(167-$NQ$5+1)*($NR$5-167+1)/$NT$5,$NM$5/$NS$5)),0)</f>
        <v/>
      </c>
      <c r="FO5" s="18">
        <f>IF(AND(168&gt;=$NQ$5,168&lt;=$NR$5),IF($NO$5="Single_Point",IF(168=$NQ$5,$NM$5,0),IF($NO$5="Bell_Curve",$NM$5*(168-$NQ$5+1)*($NR$5-168+1)/$NT$5,$NM$5/$NS$5)),0)</f>
        <v/>
      </c>
      <c r="FP5" s="18">
        <f>IF(AND(169&gt;=$NQ$5,169&lt;=$NR$5),IF($NO$5="Single_Point",IF(169=$NQ$5,$NM$5,0),IF($NO$5="Bell_Curve",$NM$5*(169-$NQ$5+1)*($NR$5-169+1)/$NT$5,$NM$5/$NS$5)),0)</f>
        <v/>
      </c>
      <c r="FQ5" s="18">
        <f>IF(AND(170&gt;=$NQ$5,170&lt;=$NR$5),IF($NO$5="Single_Point",IF(170=$NQ$5,$NM$5,0),IF($NO$5="Bell_Curve",$NM$5*(170-$NQ$5+1)*($NR$5-170+1)/$NT$5,$NM$5/$NS$5)),0)</f>
        <v/>
      </c>
      <c r="FR5" s="18">
        <f>IF(AND(171&gt;=$NQ$5,171&lt;=$NR$5),IF($NO$5="Single_Point",IF(171=$NQ$5,$NM$5,0),IF($NO$5="Bell_Curve",$NM$5*(171-$NQ$5+1)*($NR$5-171+1)/$NT$5,$NM$5/$NS$5)),0)</f>
        <v/>
      </c>
      <c r="FS5" s="18">
        <f>IF(AND(172&gt;=$NQ$5,172&lt;=$NR$5),IF($NO$5="Single_Point",IF(172=$NQ$5,$NM$5,0),IF($NO$5="Bell_Curve",$NM$5*(172-$NQ$5+1)*($NR$5-172+1)/$NT$5,$NM$5/$NS$5)),0)</f>
        <v/>
      </c>
      <c r="FT5" s="18">
        <f>IF(AND(173&gt;=$NQ$5,173&lt;=$NR$5),IF($NO$5="Single_Point",IF(173=$NQ$5,$NM$5,0),IF($NO$5="Bell_Curve",$NM$5*(173-$NQ$5+1)*($NR$5-173+1)/$NT$5,$NM$5/$NS$5)),0)</f>
        <v/>
      </c>
      <c r="FU5" s="18">
        <f>IF(AND(174&gt;=$NQ$5,174&lt;=$NR$5),IF($NO$5="Single_Point",IF(174=$NQ$5,$NM$5,0),IF($NO$5="Bell_Curve",$NM$5*(174-$NQ$5+1)*($NR$5-174+1)/$NT$5,$NM$5/$NS$5)),0)</f>
        <v/>
      </c>
      <c r="FV5" s="18">
        <f>IF(AND(175&gt;=$NQ$5,175&lt;=$NR$5),IF($NO$5="Single_Point",IF(175=$NQ$5,$NM$5,0),IF($NO$5="Bell_Curve",$NM$5*(175-$NQ$5+1)*($NR$5-175+1)/$NT$5,$NM$5/$NS$5)),0)</f>
        <v/>
      </c>
      <c r="FW5" s="18">
        <f>IF(AND(176&gt;=$NQ$5,176&lt;=$NR$5),IF($NO$5="Single_Point",IF(176=$NQ$5,$NM$5,0),IF($NO$5="Bell_Curve",$NM$5*(176-$NQ$5+1)*($NR$5-176+1)/$NT$5,$NM$5/$NS$5)),0)</f>
        <v/>
      </c>
      <c r="FX5" s="18">
        <f>IF(AND(177&gt;=$NQ$5,177&lt;=$NR$5),IF($NO$5="Single_Point",IF(177=$NQ$5,$NM$5,0),IF($NO$5="Bell_Curve",$NM$5*(177-$NQ$5+1)*($NR$5-177+1)/$NT$5,$NM$5/$NS$5)),0)</f>
        <v/>
      </c>
      <c r="FY5" s="18">
        <f>IF(AND(178&gt;=$NQ$5,178&lt;=$NR$5),IF($NO$5="Single_Point",IF(178=$NQ$5,$NM$5,0),IF($NO$5="Bell_Curve",$NM$5*(178-$NQ$5+1)*($NR$5-178+1)/$NT$5,$NM$5/$NS$5)),0)</f>
        <v/>
      </c>
      <c r="FZ5" s="18">
        <f>IF(AND(179&gt;=$NQ$5,179&lt;=$NR$5),IF($NO$5="Single_Point",IF(179=$NQ$5,$NM$5,0),IF($NO$5="Bell_Curve",$NM$5*(179-$NQ$5+1)*($NR$5-179+1)/$NT$5,$NM$5/$NS$5)),0)</f>
        <v/>
      </c>
      <c r="GA5" s="18">
        <f>IF(AND(180&gt;=$NQ$5,180&lt;=$NR$5),IF($NO$5="Single_Point",IF(180=$NQ$5,$NM$5,0),IF($NO$5="Bell_Curve",$NM$5*(180-$NQ$5+1)*($NR$5-180+1)/$NT$5,$NM$5/$NS$5)),0)</f>
        <v/>
      </c>
      <c r="GB5" s="18">
        <f>IF(AND(181&gt;=$NQ$5,181&lt;=$NR$5),IF($NO$5="Single_Point",IF(181=$NQ$5,$NM$5,0),IF($NO$5="Bell_Curve",$NM$5*(181-$NQ$5+1)*($NR$5-181+1)/$NT$5,$NM$5/$NS$5)),0)</f>
        <v/>
      </c>
      <c r="GC5" s="18">
        <f>IF(AND(182&gt;=$NQ$5,182&lt;=$NR$5),IF($NO$5="Single_Point",IF(182=$NQ$5,$NM$5,0),IF($NO$5="Bell_Curve",$NM$5*(182-$NQ$5+1)*($NR$5-182+1)/$NT$5,$NM$5/$NS$5)),0)</f>
        <v/>
      </c>
      <c r="GD5" s="18">
        <f>IF(AND(183&gt;=$NQ$5,183&lt;=$NR$5),IF($NO$5="Single_Point",IF(183=$NQ$5,$NM$5,0),IF($NO$5="Bell_Curve",$NM$5*(183-$NQ$5+1)*($NR$5-183+1)/$NT$5,$NM$5/$NS$5)),0)</f>
        <v/>
      </c>
      <c r="GE5" s="18">
        <f>IF(AND(184&gt;=$NQ$5,184&lt;=$NR$5),IF($NO$5="Single_Point",IF(184=$NQ$5,$NM$5,0),IF($NO$5="Bell_Curve",$NM$5*(184-$NQ$5+1)*($NR$5-184+1)/$NT$5,$NM$5/$NS$5)),0)</f>
        <v/>
      </c>
      <c r="GF5" s="18">
        <f>IF(AND(185&gt;=$NQ$5,185&lt;=$NR$5),IF($NO$5="Single_Point",IF(185=$NQ$5,$NM$5,0),IF($NO$5="Bell_Curve",$NM$5*(185-$NQ$5+1)*($NR$5-185+1)/$NT$5,$NM$5/$NS$5)),0)</f>
        <v/>
      </c>
      <c r="GG5" s="18">
        <f>IF(AND(186&gt;=$NQ$5,186&lt;=$NR$5),IF($NO$5="Single_Point",IF(186=$NQ$5,$NM$5,0),IF($NO$5="Bell_Curve",$NM$5*(186-$NQ$5+1)*($NR$5-186+1)/$NT$5,$NM$5/$NS$5)),0)</f>
        <v/>
      </c>
      <c r="GH5" s="18">
        <f>IF(AND(187&gt;=$NQ$5,187&lt;=$NR$5),IF($NO$5="Single_Point",IF(187=$NQ$5,$NM$5,0),IF($NO$5="Bell_Curve",$NM$5*(187-$NQ$5+1)*($NR$5-187+1)/$NT$5,$NM$5/$NS$5)),0)</f>
        <v/>
      </c>
      <c r="GI5" s="18">
        <f>IF(AND(188&gt;=$NQ$5,188&lt;=$NR$5),IF($NO$5="Single_Point",IF(188=$NQ$5,$NM$5,0),IF($NO$5="Bell_Curve",$NM$5*(188-$NQ$5+1)*($NR$5-188+1)/$NT$5,$NM$5/$NS$5)),0)</f>
        <v/>
      </c>
      <c r="GJ5" s="18">
        <f>IF(AND(189&gt;=$NQ$5,189&lt;=$NR$5),IF($NO$5="Single_Point",IF(189=$NQ$5,$NM$5,0),IF($NO$5="Bell_Curve",$NM$5*(189-$NQ$5+1)*($NR$5-189+1)/$NT$5,$NM$5/$NS$5)),0)</f>
        <v/>
      </c>
      <c r="GK5" s="18">
        <f>IF(AND(190&gt;=$NQ$5,190&lt;=$NR$5),IF($NO$5="Single_Point",IF(190=$NQ$5,$NM$5,0),IF($NO$5="Bell_Curve",$NM$5*(190-$NQ$5+1)*($NR$5-190+1)/$NT$5,$NM$5/$NS$5)),0)</f>
        <v/>
      </c>
      <c r="GL5" s="18">
        <f>IF(AND(191&gt;=$NQ$5,191&lt;=$NR$5),IF($NO$5="Single_Point",IF(191=$NQ$5,$NM$5,0),IF($NO$5="Bell_Curve",$NM$5*(191-$NQ$5+1)*($NR$5-191+1)/$NT$5,$NM$5/$NS$5)),0)</f>
        <v/>
      </c>
      <c r="GM5" s="18">
        <f>IF(AND(192&gt;=$NQ$5,192&lt;=$NR$5),IF($NO$5="Single_Point",IF(192=$NQ$5,$NM$5,0),IF($NO$5="Bell_Curve",$NM$5*(192-$NQ$5+1)*($NR$5-192+1)/$NT$5,$NM$5/$NS$5)),0)</f>
        <v/>
      </c>
      <c r="GN5" s="18">
        <f>IF(AND(193&gt;=$NQ$5,193&lt;=$NR$5),IF($NO$5="Single_Point",IF(193=$NQ$5,$NM$5,0),IF($NO$5="Bell_Curve",$NM$5*(193-$NQ$5+1)*($NR$5-193+1)/$NT$5,$NM$5/$NS$5)),0)</f>
        <v/>
      </c>
      <c r="GO5" s="18">
        <f>IF(AND(194&gt;=$NQ$5,194&lt;=$NR$5),IF($NO$5="Single_Point",IF(194=$NQ$5,$NM$5,0),IF($NO$5="Bell_Curve",$NM$5*(194-$NQ$5+1)*($NR$5-194+1)/$NT$5,$NM$5/$NS$5)),0)</f>
        <v/>
      </c>
      <c r="GP5" s="18">
        <f>IF(AND(195&gt;=$NQ$5,195&lt;=$NR$5),IF($NO$5="Single_Point",IF(195=$NQ$5,$NM$5,0),IF($NO$5="Bell_Curve",$NM$5*(195-$NQ$5+1)*($NR$5-195+1)/$NT$5,$NM$5/$NS$5)),0)</f>
        <v/>
      </c>
      <c r="GQ5" s="18">
        <f>IF(AND(196&gt;=$NQ$5,196&lt;=$NR$5),IF($NO$5="Single_Point",IF(196=$NQ$5,$NM$5,0),IF($NO$5="Bell_Curve",$NM$5*(196-$NQ$5+1)*($NR$5-196+1)/$NT$5,$NM$5/$NS$5)),0)</f>
        <v/>
      </c>
      <c r="GR5" s="18">
        <f>IF(AND(197&gt;=$NQ$5,197&lt;=$NR$5),IF($NO$5="Single_Point",IF(197=$NQ$5,$NM$5,0),IF($NO$5="Bell_Curve",$NM$5*(197-$NQ$5+1)*($NR$5-197+1)/$NT$5,$NM$5/$NS$5)),0)</f>
        <v/>
      </c>
      <c r="GS5" s="18">
        <f>IF(AND(198&gt;=$NQ$5,198&lt;=$NR$5),IF($NO$5="Single_Point",IF(198=$NQ$5,$NM$5,0),IF($NO$5="Bell_Curve",$NM$5*(198-$NQ$5+1)*($NR$5-198+1)/$NT$5,$NM$5/$NS$5)),0)</f>
        <v/>
      </c>
      <c r="GT5" s="18">
        <f>IF(AND(199&gt;=$NQ$5,199&lt;=$NR$5),IF($NO$5="Single_Point",IF(199=$NQ$5,$NM$5,0),IF($NO$5="Bell_Curve",$NM$5*(199-$NQ$5+1)*($NR$5-199+1)/$NT$5,$NM$5/$NS$5)),0)</f>
        <v/>
      </c>
      <c r="GU5" s="18">
        <f>IF(AND(200&gt;=$NQ$5,200&lt;=$NR$5),IF($NO$5="Single_Point",IF(200=$NQ$5,$NM$5,0),IF($NO$5="Bell_Curve",$NM$5*(200-$NQ$5+1)*($NR$5-200+1)/$NT$5,$NM$5/$NS$5)),0)</f>
        <v/>
      </c>
      <c r="GV5" s="18">
        <f>IF(AND(201&gt;=$NQ$5,201&lt;=$NR$5),IF($NO$5="Single_Point",IF(201=$NQ$5,$NM$5,0),IF($NO$5="Bell_Curve",$NM$5*(201-$NQ$5+1)*($NR$5-201+1)/$NT$5,$NM$5/$NS$5)),0)</f>
        <v/>
      </c>
      <c r="GW5" s="18">
        <f>IF(AND(202&gt;=$NQ$5,202&lt;=$NR$5),IF($NO$5="Single_Point",IF(202=$NQ$5,$NM$5,0),IF($NO$5="Bell_Curve",$NM$5*(202-$NQ$5+1)*($NR$5-202+1)/$NT$5,$NM$5/$NS$5)),0)</f>
        <v/>
      </c>
      <c r="GX5" s="18">
        <f>IF(AND(203&gt;=$NQ$5,203&lt;=$NR$5),IF($NO$5="Single_Point",IF(203=$NQ$5,$NM$5,0),IF($NO$5="Bell_Curve",$NM$5*(203-$NQ$5+1)*($NR$5-203+1)/$NT$5,$NM$5/$NS$5)),0)</f>
        <v/>
      </c>
      <c r="GY5" s="18">
        <f>IF(AND(204&gt;=$NQ$5,204&lt;=$NR$5),IF($NO$5="Single_Point",IF(204=$NQ$5,$NM$5,0),IF($NO$5="Bell_Curve",$NM$5*(204-$NQ$5+1)*($NR$5-204+1)/$NT$5,$NM$5/$NS$5)),0)</f>
        <v/>
      </c>
      <c r="GZ5" s="18">
        <f>IF(AND(205&gt;=$NQ$5,205&lt;=$NR$5),IF($NO$5="Single_Point",IF(205=$NQ$5,$NM$5,0),IF($NO$5="Bell_Curve",$NM$5*(205-$NQ$5+1)*($NR$5-205+1)/$NT$5,$NM$5/$NS$5)),0)</f>
        <v/>
      </c>
      <c r="HA5" s="18">
        <f>IF(AND(206&gt;=$NQ$5,206&lt;=$NR$5),IF($NO$5="Single_Point",IF(206=$NQ$5,$NM$5,0),IF($NO$5="Bell_Curve",$NM$5*(206-$NQ$5+1)*($NR$5-206+1)/$NT$5,$NM$5/$NS$5)),0)</f>
        <v/>
      </c>
      <c r="HB5" s="18">
        <f>IF(AND(207&gt;=$NQ$5,207&lt;=$NR$5),IF($NO$5="Single_Point",IF(207=$NQ$5,$NM$5,0),IF($NO$5="Bell_Curve",$NM$5*(207-$NQ$5+1)*($NR$5-207+1)/$NT$5,$NM$5/$NS$5)),0)</f>
        <v/>
      </c>
      <c r="HC5" s="18">
        <f>IF(AND(208&gt;=$NQ$5,208&lt;=$NR$5),IF($NO$5="Single_Point",IF(208=$NQ$5,$NM$5,0),IF($NO$5="Bell_Curve",$NM$5*(208-$NQ$5+1)*($NR$5-208+1)/$NT$5,$NM$5/$NS$5)),0)</f>
        <v/>
      </c>
      <c r="HD5" s="18">
        <f>IF(AND(209&gt;=$NQ$5,209&lt;=$NR$5),IF($NO$5="Single_Point",IF(209=$NQ$5,$NM$5,0),IF($NO$5="Bell_Curve",$NM$5*(209-$NQ$5+1)*($NR$5-209+1)/$NT$5,$NM$5/$NS$5)),0)</f>
        <v/>
      </c>
      <c r="HE5" s="18">
        <f>IF(AND(210&gt;=$NQ$5,210&lt;=$NR$5),IF($NO$5="Single_Point",IF(210=$NQ$5,$NM$5,0),IF($NO$5="Bell_Curve",$NM$5*(210-$NQ$5+1)*($NR$5-210+1)/$NT$5,$NM$5/$NS$5)),0)</f>
        <v/>
      </c>
      <c r="HF5" s="18">
        <f>IF(AND(211&gt;=$NQ$5,211&lt;=$NR$5),IF($NO$5="Single_Point",IF(211=$NQ$5,$NM$5,0),IF($NO$5="Bell_Curve",$NM$5*(211-$NQ$5+1)*($NR$5-211+1)/$NT$5,$NM$5/$NS$5)),0)</f>
        <v/>
      </c>
      <c r="HG5" s="18">
        <f>IF(AND(212&gt;=$NQ$5,212&lt;=$NR$5),IF($NO$5="Single_Point",IF(212=$NQ$5,$NM$5,0),IF($NO$5="Bell_Curve",$NM$5*(212-$NQ$5+1)*($NR$5-212+1)/$NT$5,$NM$5/$NS$5)),0)</f>
        <v/>
      </c>
      <c r="HH5" s="18">
        <f>IF(AND(213&gt;=$NQ$5,213&lt;=$NR$5),IF($NO$5="Single_Point",IF(213=$NQ$5,$NM$5,0),IF($NO$5="Bell_Curve",$NM$5*(213-$NQ$5+1)*($NR$5-213+1)/$NT$5,$NM$5/$NS$5)),0)</f>
        <v/>
      </c>
      <c r="HI5" s="18">
        <f>IF(AND(214&gt;=$NQ$5,214&lt;=$NR$5),IF($NO$5="Single_Point",IF(214=$NQ$5,$NM$5,0),IF($NO$5="Bell_Curve",$NM$5*(214-$NQ$5+1)*($NR$5-214+1)/$NT$5,$NM$5/$NS$5)),0)</f>
        <v/>
      </c>
      <c r="HJ5" s="18">
        <f>IF(AND(215&gt;=$NQ$5,215&lt;=$NR$5),IF($NO$5="Single_Point",IF(215=$NQ$5,$NM$5,0),IF($NO$5="Bell_Curve",$NM$5*(215-$NQ$5+1)*($NR$5-215+1)/$NT$5,$NM$5/$NS$5)),0)</f>
        <v/>
      </c>
      <c r="HK5" s="18">
        <f>IF(AND(216&gt;=$NQ$5,216&lt;=$NR$5),IF($NO$5="Single_Point",IF(216=$NQ$5,$NM$5,0),IF($NO$5="Bell_Curve",$NM$5*(216-$NQ$5+1)*($NR$5-216+1)/$NT$5,$NM$5/$NS$5)),0)</f>
        <v/>
      </c>
      <c r="HL5" s="18">
        <f>IF(AND(217&gt;=$NQ$5,217&lt;=$NR$5),IF($NO$5="Single_Point",IF(217=$NQ$5,$NM$5,0),IF($NO$5="Bell_Curve",$NM$5*(217-$NQ$5+1)*($NR$5-217+1)/$NT$5,$NM$5/$NS$5)),0)</f>
        <v/>
      </c>
      <c r="HM5" s="18">
        <f>IF(AND(218&gt;=$NQ$5,218&lt;=$NR$5),IF($NO$5="Single_Point",IF(218=$NQ$5,$NM$5,0),IF($NO$5="Bell_Curve",$NM$5*(218-$NQ$5+1)*($NR$5-218+1)/$NT$5,$NM$5/$NS$5)),0)</f>
        <v/>
      </c>
      <c r="HN5" s="18">
        <f>IF(AND(219&gt;=$NQ$5,219&lt;=$NR$5),IF($NO$5="Single_Point",IF(219=$NQ$5,$NM$5,0),IF($NO$5="Bell_Curve",$NM$5*(219-$NQ$5+1)*($NR$5-219+1)/$NT$5,$NM$5/$NS$5)),0)</f>
        <v/>
      </c>
      <c r="HO5" s="18">
        <f>IF(AND(220&gt;=$NQ$5,220&lt;=$NR$5),IF($NO$5="Single_Point",IF(220=$NQ$5,$NM$5,0),IF($NO$5="Bell_Curve",$NM$5*(220-$NQ$5+1)*($NR$5-220+1)/$NT$5,$NM$5/$NS$5)),0)</f>
        <v/>
      </c>
      <c r="HP5" s="18">
        <f>IF(AND(221&gt;=$NQ$5,221&lt;=$NR$5),IF($NO$5="Single_Point",IF(221=$NQ$5,$NM$5,0),IF($NO$5="Bell_Curve",$NM$5*(221-$NQ$5+1)*($NR$5-221+1)/$NT$5,$NM$5/$NS$5)),0)</f>
        <v/>
      </c>
      <c r="HQ5" s="18">
        <f>IF(AND(222&gt;=$NQ$5,222&lt;=$NR$5),IF($NO$5="Single_Point",IF(222=$NQ$5,$NM$5,0),IF($NO$5="Bell_Curve",$NM$5*(222-$NQ$5+1)*($NR$5-222+1)/$NT$5,$NM$5/$NS$5)),0)</f>
        <v/>
      </c>
      <c r="HR5" s="18">
        <f>IF(AND(223&gt;=$NQ$5,223&lt;=$NR$5),IF($NO$5="Single_Point",IF(223=$NQ$5,$NM$5,0),IF($NO$5="Bell_Curve",$NM$5*(223-$NQ$5+1)*($NR$5-223+1)/$NT$5,$NM$5/$NS$5)),0)</f>
        <v/>
      </c>
      <c r="HS5" s="18">
        <f>IF(AND(224&gt;=$NQ$5,224&lt;=$NR$5),IF($NO$5="Single_Point",IF(224=$NQ$5,$NM$5,0),IF($NO$5="Bell_Curve",$NM$5*(224-$NQ$5+1)*($NR$5-224+1)/$NT$5,$NM$5/$NS$5)),0)</f>
        <v/>
      </c>
      <c r="HT5" s="18">
        <f>IF(AND(225&gt;=$NQ$5,225&lt;=$NR$5),IF($NO$5="Single_Point",IF(225=$NQ$5,$NM$5,0),IF($NO$5="Bell_Curve",$NM$5*(225-$NQ$5+1)*($NR$5-225+1)/$NT$5,$NM$5/$NS$5)),0)</f>
        <v/>
      </c>
      <c r="HU5" s="18">
        <f>IF(AND(226&gt;=$NQ$5,226&lt;=$NR$5),IF($NO$5="Single_Point",IF(226=$NQ$5,$NM$5,0),IF($NO$5="Bell_Curve",$NM$5*(226-$NQ$5+1)*($NR$5-226+1)/$NT$5,$NM$5/$NS$5)),0)</f>
        <v/>
      </c>
      <c r="HV5" s="18">
        <f>IF(AND(227&gt;=$NQ$5,227&lt;=$NR$5),IF($NO$5="Single_Point",IF(227=$NQ$5,$NM$5,0),IF($NO$5="Bell_Curve",$NM$5*(227-$NQ$5+1)*($NR$5-227+1)/$NT$5,$NM$5/$NS$5)),0)</f>
        <v/>
      </c>
      <c r="HW5" s="18">
        <f>IF(AND(228&gt;=$NQ$5,228&lt;=$NR$5),IF($NO$5="Single_Point",IF(228=$NQ$5,$NM$5,0),IF($NO$5="Bell_Curve",$NM$5*(228-$NQ$5+1)*($NR$5-228+1)/$NT$5,$NM$5/$NS$5)),0)</f>
        <v/>
      </c>
      <c r="HX5" s="18">
        <f>IF(AND(229&gt;=$NQ$5,229&lt;=$NR$5),IF($NO$5="Single_Point",IF(229=$NQ$5,$NM$5,0),IF($NO$5="Bell_Curve",$NM$5*(229-$NQ$5+1)*($NR$5-229+1)/$NT$5,$NM$5/$NS$5)),0)</f>
        <v/>
      </c>
      <c r="HY5" s="18">
        <f>IF(AND(230&gt;=$NQ$5,230&lt;=$NR$5),IF($NO$5="Single_Point",IF(230=$NQ$5,$NM$5,0),IF($NO$5="Bell_Curve",$NM$5*(230-$NQ$5+1)*($NR$5-230+1)/$NT$5,$NM$5/$NS$5)),0)</f>
        <v/>
      </c>
      <c r="HZ5" s="18">
        <f>IF(AND(231&gt;=$NQ$5,231&lt;=$NR$5),IF($NO$5="Single_Point",IF(231=$NQ$5,$NM$5,0),IF($NO$5="Bell_Curve",$NM$5*(231-$NQ$5+1)*($NR$5-231+1)/$NT$5,$NM$5/$NS$5)),0)</f>
        <v/>
      </c>
      <c r="IA5" s="18">
        <f>IF(AND(232&gt;=$NQ$5,232&lt;=$NR$5),IF($NO$5="Single_Point",IF(232=$NQ$5,$NM$5,0),IF($NO$5="Bell_Curve",$NM$5*(232-$NQ$5+1)*($NR$5-232+1)/$NT$5,$NM$5/$NS$5)),0)</f>
        <v/>
      </c>
      <c r="IB5" s="18">
        <f>IF(AND(233&gt;=$NQ$5,233&lt;=$NR$5),IF($NO$5="Single_Point",IF(233=$NQ$5,$NM$5,0),IF($NO$5="Bell_Curve",$NM$5*(233-$NQ$5+1)*($NR$5-233+1)/$NT$5,$NM$5/$NS$5)),0)</f>
        <v/>
      </c>
      <c r="IC5" s="18">
        <f>IF(AND(234&gt;=$NQ$5,234&lt;=$NR$5),IF($NO$5="Single_Point",IF(234=$NQ$5,$NM$5,0),IF($NO$5="Bell_Curve",$NM$5*(234-$NQ$5+1)*($NR$5-234+1)/$NT$5,$NM$5/$NS$5)),0)</f>
        <v/>
      </c>
      <c r="ID5" s="18">
        <f>IF(AND(235&gt;=$NQ$5,235&lt;=$NR$5),IF($NO$5="Single_Point",IF(235=$NQ$5,$NM$5,0),IF($NO$5="Bell_Curve",$NM$5*(235-$NQ$5+1)*($NR$5-235+1)/$NT$5,$NM$5/$NS$5)),0)</f>
        <v/>
      </c>
      <c r="IE5" s="18">
        <f>IF(AND(236&gt;=$NQ$5,236&lt;=$NR$5),IF($NO$5="Single_Point",IF(236=$NQ$5,$NM$5,0),IF($NO$5="Bell_Curve",$NM$5*(236-$NQ$5+1)*($NR$5-236+1)/$NT$5,$NM$5/$NS$5)),0)</f>
        <v/>
      </c>
      <c r="IF5" s="18">
        <f>IF(AND(237&gt;=$NQ$5,237&lt;=$NR$5),IF($NO$5="Single_Point",IF(237=$NQ$5,$NM$5,0),IF($NO$5="Bell_Curve",$NM$5*(237-$NQ$5+1)*($NR$5-237+1)/$NT$5,$NM$5/$NS$5)),0)</f>
        <v/>
      </c>
      <c r="IG5" s="18">
        <f>IF(AND(238&gt;=$NQ$5,238&lt;=$NR$5),IF($NO$5="Single_Point",IF(238=$NQ$5,$NM$5,0),IF($NO$5="Bell_Curve",$NM$5*(238-$NQ$5+1)*($NR$5-238+1)/$NT$5,$NM$5/$NS$5)),0)</f>
        <v/>
      </c>
      <c r="IH5" s="18">
        <f>IF(AND(239&gt;=$NQ$5,239&lt;=$NR$5),IF($NO$5="Single_Point",IF(239=$NQ$5,$NM$5,0),IF($NO$5="Bell_Curve",$NM$5*(239-$NQ$5+1)*($NR$5-239+1)/$NT$5,$NM$5/$NS$5)),0)</f>
        <v/>
      </c>
      <c r="II5" s="18">
        <f>IF(AND(240&gt;=$NQ$5,240&lt;=$NR$5),IF($NO$5="Single_Point",IF(240=$NQ$5,$NM$5,0),IF($NO$5="Bell_Curve",$NM$5*(240-$NQ$5+1)*($NR$5-240+1)/$NT$5,$NM$5/$NS$5)),0)</f>
        <v/>
      </c>
      <c r="IJ5" s="18">
        <f>IF(AND(241&gt;=$NQ$5,241&lt;=$NR$5),IF($NO$5="Single_Point",IF(241=$NQ$5,$NM$5,0),IF($NO$5="Bell_Curve",$NM$5*(241-$NQ$5+1)*($NR$5-241+1)/$NT$5,$NM$5/$NS$5)),0)</f>
        <v/>
      </c>
      <c r="IK5" s="18">
        <f>IF(AND(242&gt;=$NQ$5,242&lt;=$NR$5),IF($NO$5="Single_Point",IF(242=$NQ$5,$NM$5,0),IF($NO$5="Bell_Curve",$NM$5*(242-$NQ$5+1)*($NR$5-242+1)/$NT$5,$NM$5/$NS$5)),0)</f>
        <v/>
      </c>
      <c r="IL5" s="18">
        <f>IF(AND(243&gt;=$NQ$5,243&lt;=$NR$5),IF($NO$5="Single_Point",IF(243=$NQ$5,$NM$5,0),IF($NO$5="Bell_Curve",$NM$5*(243-$NQ$5+1)*($NR$5-243+1)/$NT$5,$NM$5/$NS$5)),0)</f>
        <v/>
      </c>
      <c r="IM5" s="18">
        <f>IF(AND(244&gt;=$NQ$5,244&lt;=$NR$5),IF($NO$5="Single_Point",IF(244=$NQ$5,$NM$5,0),IF($NO$5="Bell_Curve",$NM$5*(244-$NQ$5+1)*($NR$5-244+1)/$NT$5,$NM$5/$NS$5)),0)</f>
        <v/>
      </c>
      <c r="IN5" s="18">
        <f>IF(AND(245&gt;=$NQ$5,245&lt;=$NR$5),IF($NO$5="Single_Point",IF(245=$NQ$5,$NM$5,0),IF($NO$5="Bell_Curve",$NM$5*(245-$NQ$5+1)*($NR$5-245+1)/$NT$5,$NM$5/$NS$5)),0)</f>
        <v/>
      </c>
      <c r="IO5" s="18">
        <f>IF(AND(246&gt;=$NQ$5,246&lt;=$NR$5),IF($NO$5="Single_Point",IF(246=$NQ$5,$NM$5,0),IF($NO$5="Bell_Curve",$NM$5*(246-$NQ$5+1)*($NR$5-246+1)/$NT$5,$NM$5/$NS$5)),0)</f>
        <v/>
      </c>
      <c r="IP5" s="18">
        <f>IF(AND(247&gt;=$NQ$5,247&lt;=$NR$5),IF($NO$5="Single_Point",IF(247=$NQ$5,$NM$5,0),IF($NO$5="Bell_Curve",$NM$5*(247-$NQ$5+1)*($NR$5-247+1)/$NT$5,$NM$5/$NS$5)),0)</f>
        <v/>
      </c>
      <c r="IQ5" s="18">
        <f>IF(AND(248&gt;=$NQ$5,248&lt;=$NR$5),IF($NO$5="Single_Point",IF(248=$NQ$5,$NM$5,0),IF($NO$5="Bell_Curve",$NM$5*(248-$NQ$5+1)*($NR$5-248+1)/$NT$5,$NM$5/$NS$5)),0)</f>
        <v/>
      </c>
      <c r="IR5" s="18">
        <f>IF(AND(249&gt;=$NQ$5,249&lt;=$NR$5),IF($NO$5="Single_Point",IF(249=$NQ$5,$NM$5,0),IF($NO$5="Bell_Curve",$NM$5*(249-$NQ$5+1)*($NR$5-249+1)/$NT$5,$NM$5/$NS$5)),0)</f>
        <v/>
      </c>
      <c r="IS5" s="18">
        <f>IF(AND(250&gt;=$NQ$5,250&lt;=$NR$5),IF($NO$5="Single_Point",IF(250=$NQ$5,$NM$5,0),IF($NO$5="Bell_Curve",$NM$5*(250-$NQ$5+1)*($NR$5-250+1)/$NT$5,$NM$5/$NS$5)),0)</f>
        <v/>
      </c>
      <c r="IT5" s="18">
        <f>IF(AND(251&gt;=$NQ$5,251&lt;=$NR$5),IF($NO$5="Single_Point",IF(251=$NQ$5,$NM$5,0),IF($NO$5="Bell_Curve",$NM$5*(251-$NQ$5+1)*($NR$5-251+1)/$NT$5,$NM$5/$NS$5)),0)</f>
        <v/>
      </c>
      <c r="IU5" s="18">
        <f>IF(AND(252&gt;=$NQ$5,252&lt;=$NR$5),IF($NO$5="Single_Point",IF(252=$NQ$5,$NM$5,0),IF($NO$5="Bell_Curve",$NM$5*(252-$NQ$5+1)*($NR$5-252+1)/$NT$5,$NM$5/$NS$5)),0)</f>
        <v/>
      </c>
      <c r="IV5" s="18">
        <f>IF(AND(253&gt;=$NQ$5,253&lt;=$NR$5),IF($NO$5="Single_Point",IF(253=$NQ$5,$NM$5,0),IF($NO$5="Bell_Curve",$NM$5*(253-$NQ$5+1)*($NR$5-253+1)/$NT$5,$NM$5/$NS$5)),0)</f>
        <v/>
      </c>
      <c r="IW5" s="18">
        <f>IF(AND(254&gt;=$NQ$5,254&lt;=$NR$5),IF($NO$5="Single_Point",IF(254=$NQ$5,$NM$5,0),IF($NO$5="Bell_Curve",$NM$5*(254-$NQ$5+1)*($NR$5-254+1)/$NT$5,$NM$5/$NS$5)),0)</f>
        <v/>
      </c>
      <c r="IX5" s="18">
        <f>IF(AND(255&gt;=$NQ$5,255&lt;=$NR$5),IF($NO$5="Single_Point",IF(255=$NQ$5,$NM$5,0),IF($NO$5="Bell_Curve",$NM$5*(255-$NQ$5+1)*($NR$5-255+1)/$NT$5,$NM$5/$NS$5)),0)</f>
        <v/>
      </c>
      <c r="IY5" s="18">
        <f>IF(AND(256&gt;=$NQ$5,256&lt;=$NR$5),IF($NO$5="Single_Point",IF(256=$NQ$5,$NM$5,0),IF($NO$5="Bell_Curve",$NM$5*(256-$NQ$5+1)*($NR$5-256+1)/$NT$5,$NM$5/$NS$5)),0)</f>
        <v/>
      </c>
      <c r="IZ5" s="18">
        <f>IF(AND(257&gt;=$NQ$5,257&lt;=$NR$5),IF($NO$5="Single_Point",IF(257=$NQ$5,$NM$5,0),IF($NO$5="Bell_Curve",$NM$5*(257-$NQ$5+1)*($NR$5-257+1)/$NT$5,$NM$5/$NS$5)),0)</f>
        <v/>
      </c>
      <c r="JA5" s="18">
        <f>IF(AND(258&gt;=$NQ$5,258&lt;=$NR$5),IF($NO$5="Single_Point",IF(258=$NQ$5,$NM$5,0),IF($NO$5="Bell_Curve",$NM$5*(258-$NQ$5+1)*($NR$5-258+1)/$NT$5,$NM$5/$NS$5)),0)</f>
        <v/>
      </c>
      <c r="JB5" s="18">
        <f>IF(AND(259&gt;=$NQ$5,259&lt;=$NR$5),IF($NO$5="Single_Point",IF(259=$NQ$5,$NM$5,0),IF($NO$5="Bell_Curve",$NM$5*(259-$NQ$5+1)*($NR$5-259+1)/$NT$5,$NM$5/$NS$5)),0)</f>
        <v/>
      </c>
      <c r="JC5" s="18">
        <f>IF(AND(260&gt;=$NQ$5,260&lt;=$NR$5),IF($NO$5="Single_Point",IF(260=$NQ$5,$NM$5,0),IF($NO$5="Bell_Curve",$NM$5*(260-$NQ$5+1)*($NR$5-260+1)/$NT$5,$NM$5/$NS$5)),0)</f>
        <v/>
      </c>
      <c r="JD5" s="18">
        <f>IF(AND(261&gt;=$NQ$5,261&lt;=$NR$5),IF($NO$5="Single_Point",IF(261=$NQ$5,$NM$5,0),IF($NO$5="Bell_Curve",$NM$5*(261-$NQ$5+1)*($NR$5-261+1)/$NT$5,$NM$5/$NS$5)),0)</f>
        <v/>
      </c>
      <c r="JE5" s="18">
        <f>IF(AND(262&gt;=$NQ$5,262&lt;=$NR$5),IF($NO$5="Single_Point",IF(262=$NQ$5,$NM$5,0),IF($NO$5="Bell_Curve",$NM$5*(262-$NQ$5+1)*($NR$5-262+1)/$NT$5,$NM$5/$NS$5)),0)</f>
        <v/>
      </c>
      <c r="JF5" s="18">
        <f>IF(AND(263&gt;=$NQ$5,263&lt;=$NR$5),IF($NO$5="Single_Point",IF(263=$NQ$5,$NM$5,0),IF($NO$5="Bell_Curve",$NM$5*(263-$NQ$5+1)*($NR$5-263+1)/$NT$5,$NM$5/$NS$5)),0)</f>
        <v/>
      </c>
      <c r="JG5" s="18">
        <f>IF(AND(264&gt;=$NQ$5,264&lt;=$NR$5),IF($NO$5="Single_Point",IF(264=$NQ$5,$NM$5,0),IF($NO$5="Bell_Curve",$NM$5*(264-$NQ$5+1)*($NR$5-264+1)/$NT$5,$NM$5/$NS$5)),0)</f>
        <v/>
      </c>
      <c r="JH5" s="18">
        <f>IF(AND(265&gt;=$NQ$5,265&lt;=$NR$5),IF($NO$5="Single_Point",IF(265=$NQ$5,$NM$5,0),IF($NO$5="Bell_Curve",$NM$5*(265-$NQ$5+1)*($NR$5-265+1)/$NT$5,$NM$5/$NS$5)),0)</f>
        <v/>
      </c>
      <c r="JI5" s="18">
        <f>IF(AND(266&gt;=$NQ$5,266&lt;=$NR$5),IF($NO$5="Single_Point",IF(266=$NQ$5,$NM$5,0),IF($NO$5="Bell_Curve",$NM$5*(266-$NQ$5+1)*($NR$5-266+1)/$NT$5,$NM$5/$NS$5)),0)</f>
        <v/>
      </c>
      <c r="JJ5" s="18">
        <f>IF(AND(267&gt;=$NQ$5,267&lt;=$NR$5),IF($NO$5="Single_Point",IF(267=$NQ$5,$NM$5,0),IF($NO$5="Bell_Curve",$NM$5*(267-$NQ$5+1)*($NR$5-267+1)/$NT$5,$NM$5/$NS$5)),0)</f>
        <v/>
      </c>
      <c r="JK5" s="18">
        <f>IF(AND(268&gt;=$NQ$5,268&lt;=$NR$5),IF($NO$5="Single_Point",IF(268=$NQ$5,$NM$5,0),IF($NO$5="Bell_Curve",$NM$5*(268-$NQ$5+1)*($NR$5-268+1)/$NT$5,$NM$5/$NS$5)),0)</f>
        <v/>
      </c>
      <c r="JL5" s="18">
        <f>IF(AND(269&gt;=$NQ$5,269&lt;=$NR$5),IF($NO$5="Single_Point",IF(269=$NQ$5,$NM$5,0),IF($NO$5="Bell_Curve",$NM$5*(269-$NQ$5+1)*($NR$5-269+1)/$NT$5,$NM$5/$NS$5)),0)</f>
        <v/>
      </c>
      <c r="JM5" s="18">
        <f>IF(AND(270&gt;=$NQ$5,270&lt;=$NR$5),IF($NO$5="Single_Point",IF(270=$NQ$5,$NM$5,0),IF($NO$5="Bell_Curve",$NM$5*(270-$NQ$5+1)*($NR$5-270+1)/$NT$5,$NM$5/$NS$5)),0)</f>
        <v/>
      </c>
      <c r="JN5" s="18">
        <f>IF(AND(271&gt;=$NQ$5,271&lt;=$NR$5),IF($NO$5="Single_Point",IF(271=$NQ$5,$NM$5,0),IF($NO$5="Bell_Curve",$NM$5*(271-$NQ$5+1)*($NR$5-271+1)/$NT$5,$NM$5/$NS$5)),0)</f>
        <v/>
      </c>
      <c r="JO5" s="18">
        <f>IF(AND(272&gt;=$NQ$5,272&lt;=$NR$5),IF($NO$5="Single_Point",IF(272=$NQ$5,$NM$5,0),IF($NO$5="Bell_Curve",$NM$5*(272-$NQ$5+1)*($NR$5-272+1)/$NT$5,$NM$5/$NS$5)),0)</f>
        <v/>
      </c>
      <c r="JP5" s="18">
        <f>IF(AND(273&gt;=$NQ$5,273&lt;=$NR$5),IF($NO$5="Single_Point",IF(273=$NQ$5,$NM$5,0),IF($NO$5="Bell_Curve",$NM$5*(273-$NQ$5+1)*($NR$5-273+1)/$NT$5,$NM$5/$NS$5)),0)</f>
        <v/>
      </c>
      <c r="JQ5" s="18">
        <f>IF(AND(274&gt;=$NQ$5,274&lt;=$NR$5),IF($NO$5="Single_Point",IF(274=$NQ$5,$NM$5,0),IF($NO$5="Bell_Curve",$NM$5*(274-$NQ$5+1)*($NR$5-274+1)/$NT$5,$NM$5/$NS$5)),0)</f>
        <v/>
      </c>
      <c r="JR5" s="18">
        <f>IF(AND(275&gt;=$NQ$5,275&lt;=$NR$5),IF($NO$5="Single_Point",IF(275=$NQ$5,$NM$5,0),IF($NO$5="Bell_Curve",$NM$5*(275-$NQ$5+1)*($NR$5-275+1)/$NT$5,$NM$5/$NS$5)),0)</f>
        <v/>
      </c>
      <c r="JS5" s="18">
        <f>IF(AND(276&gt;=$NQ$5,276&lt;=$NR$5),IF($NO$5="Single_Point",IF(276=$NQ$5,$NM$5,0),IF($NO$5="Bell_Curve",$NM$5*(276-$NQ$5+1)*($NR$5-276+1)/$NT$5,$NM$5/$NS$5)),0)</f>
        <v/>
      </c>
      <c r="JT5" s="18">
        <f>IF(AND(277&gt;=$NQ$5,277&lt;=$NR$5),IF($NO$5="Single_Point",IF(277=$NQ$5,$NM$5,0),IF($NO$5="Bell_Curve",$NM$5*(277-$NQ$5+1)*($NR$5-277+1)/$NT$5,$NM$5/$NS$5)),0)</f>
        <v/>
      </c>
      <c r="JU5" s="18">
        <f>IF(AND(278&gt;=$NQ$5,278&lt;=$NR$5),IF($NO$5="Single_Point",IF(278=$NQ$5,$NM$5,0),IF($NO$5="Bell_Curve",$NM$5*(278-$NQ$5+1)*($NR$5-278+1)/$NT$5,$NM$5/$NS$5)),0)</f>
        <v/>
      </c>
      <c r="JV5" s="18">
        <f>IF(AND(279&gt;=$NQ$5,279&lt;=$NR$5),IF($NO$5="Single_Point",IF(279=$NQ$5,$NM$5,0),IF($NO$5="Bell_Curve",$NM$5*(279-$NQ$5+1)*($NR$5-279+1)/$NT$5,$NM$5/$NS$5)),0)</f>
        <v/>
      </c>
      <c r="JW5" s="18">
        <f>IF(AND(280&gt;=$NQ$5,280&lt;=$NR$5),IF($NO$5="Single_Point",IF(280=$NQ$5,$NM$5,0),IF($NO$5="Bell_Curve",$NM$5*(280-$NQ$5+1)*($NR$5-280+1)/$NT$5,$NM$5/$NS$5)),0)</f>
        <v/>
      </c>
      <c r="JX5" s="18">
        <f>IF(AND(281&gt;=$NQ$5,281&lt;=$NR$5),IF($NO$5="Single_Point",IF(281=$NQ$5,$NM$5,0),IF($NO$5="Bell_Curve",$NM$5*(281-$NQ$5+1)*($NR$5-281+1)/$NT$5,$NM$5/$NS$5)),0)</f>
        <v/>
      </c>
      <c r="JY5" s="18">
        <f>IF(AND(282&gt;=$NQ$5,282&lt;=$NR$5),IF($NO$5="Single_Point",IF(282=$NQ$5,$NM$5,0),IF($NO$5="Bell_Curve",$NM$5*(282-$NQ$5+1)*($NR$5-282+1)/$NT$5,$NM$5/$NS$5)),0)</f>
        <v/>
      </c>
      <c r="JZ5" s="18">
        <f>IF(AND(283&gt;=$NQ$5,283&lt;=$NR$5),IF($NO$5="Single_Point",IF(283=$NQ$5,$NM$5,0),IF($NO$5="Bell_Curve",$NM$5*(283-$NQ$5+1)*($NR$5-283+1)/$NT$5,$NM$5/$NS$5)),0)</f>
        <v/>
      </c>
      <c r="KA5" s="18">
        <f>IF(AND(284&gt;=$NQ$5,284&lt;=$NR$5),IF($NO$5="Single_Point",IF(284=$NQ$5,$NM$5,0),IF($NO$5="Bell_Curve",$NM$5*(284-$NQ$5+1)*($NR$5-284+1)/$NT$5,$NM$5/$NS$5)),0)</f>
        <v/>
      </c>
      <c r="KB5" s="18">
        <f>IF(AND(285&gt;=$NQ$5,285&lt;=$NR$5),IF($NO$5="Single_Point",IF(285=$NQ$5,$NM$5,0),IF($NO$5="Bell_Curve",$NM$5*(285-$NQ$5+1)*($NR$5-285+1)/$NT$5,$NM$5/$NS$5)),0)</f>
        <v/>
      </c>
      <c r="KC5" s="18">
        <f>IF(AND(286&gt;=$NQ$5,286&lt;=$NR$5),IF($NO$5="Single_Point",IF(286=$NQ$5,$NM$5,0),IF($NO$5="Bell_Curve",$NM$5*(286-$NQ$5+1)*($NR$5-286+1)/$NT$5,$NM$5/$NS$5)),0)</f>
        <v/>
      </c>
      <c r="KD5" s="18">
        <f>IF(AND(287&gt;=$NQ$5,287&lt;=$NR$5),IF($NO$5="Single_Point",IF(287=$NQ$5,$NM$5,0),IF($NO$5="Bell_Curve",$NM$5*(287-$NQ$5+1)*($NR$5-287+1)/$NT$5,$NM$5/$NS$5)),0)</f>
        <v/>
      </c>
      <c r="KE5" s="18">
        <f>IF(AND(288&gt;=$NQ$5,288&lt;=$NR$5),IF($NO$5="Single_Point",IF(288=$NQ$5,$NM$5,0),IF($NO$5="Bell_Curve",$NM$5*(288-$NQ$5+1)*($NR$5-288+1)/$NT$5,$NM$5/$NS$5)),0)</f>
        <v/>
      </c>
      <c r="KF5" s="18">
        <f>IF(AND(289&gt;=$NQ$5,289&lt;=$NR$5),IF($NO$5="Single_Point",IF(289=$NQ$5,$NM$5,0),IF($NO$5="Bell_Curve",$NM$5*(289-$NQ$5+1)*($NR$5-289+1)/$NT$5,$NM$5/$NS$5)),0)</f>
        <v/>
      </c>
      <c r="KG5" s="18">
        <f>IF(AND(290&gt;=$NQ$5,290&lt;=$NR$5),IF($NO$5="Single_Point",IF(290=$NQ$5,$NM$5,0),IF($NO$5="Bell_Curve",$NM$5*(290-$NQ$5+1)*($NR$5-290+1)/$NT$5,$NM$5/$NS$5)),0)</f>
        <v/>
      </c>
      <c r="KH5" s="18">
        <f>IF(AND(291&gt;=$NQ$5,291&lt;=$NR$5),IF($NO$5="Single_Point",IF(291=$NQ$5,$NM$5,0),IF($NO$5="Bell_Curve",$NM$5*(291-$NQ$5+1)*($NR$5-291+1)/$NT$5,$NM$5/$NS$5)),0)</f>
        <v/>
      </c>
      <c r="KI5" s="18">
        <f>IF(AND(292&gt;=$NQ$5,292&lt;=$NR$5),IF($NO$5="Single_Point",IF(292=$NQ$5,$NM$5,0),IF($NO$5="Bell_Curve",$NM$5*(292-$NQ$5+1)*($NR$5-292+1)/$NT$5,$NM$5/$NS$5)),0)</f>
        <v/>
      </c>
      <c r="KJ5" s="18">
        <f>IF(AND(293&gt;=$NQ$5,293&lt;=$NR$5),IF($NO$5="Single_Point",IF(293=$NQ$5,$NM$5,0),IF($NO$5="Bell_Curve",$NM$5*(293-$NQ$5+1)*($NR$5-293+1)/$NT$5,$NM$5/$NS$5)),0)</f>
        <v/>
      </c>
      <c r="KK5" s="18">
        <f>IF(AND(294&gt;=$NQ$5,294&lt;=$NR$5),IF($NO$5="Single_Point",IF(294=$NQ$5,$NM$5,0),IF($NO$5="Bell_Curve",$NM$5*(294-$NQ$5+1)*($NR$5-294+1)/$NT$5,$NM$5/$NS$5)),0)</f>
        <v/>
      </c>
      <c r="KL5" s="18">
        <f>IF(AND(295&gt;=$NQ$5,295&lt;=$NR$5),IF($NO$5="Single_Point",IF(295=$NQ$5,$NM$5,0),IF($NO$5="Bell_Curve",$NM$5*(295-$NQ$5+1)*($NR$5-295+1)/$NT$5,$NM$5/$NS$5)),0)</f>
        <v/>
      </c>
      <c r="KM5" s="18">
        <f>IF(AND(296&gt;=$NQ$5,296&lt;=$NR$5),IF($NO$5="Single_Point",IF(296=$NQ$5,$NM$5,0),IF($NO$5="Bell_Curve",$NM$5*(296-$NQ$5+1)*($NR$5-296+1)/$NT$5,$NM$5/$NS$5)),0)</f>
        <v/>
      </c>
      <c r="KN5" s="18">
        <f>IF(AND(297&gt;=$NQ$5,297&lt;=$NR$5),IF($NO$5="Single_Point",IF(297=$NQ$5,$NM$5,0),IF($NO$5="Bell_Curve",$NM$5*(297-$NQ$5+1)*($NR$5-297+1)/$NT$5,$NM$5/$NS$5)),0)</f>
        <v/>
      </c>
      <c r="KO5" s="18">
        <f>IF(AND(298&gt;=$NQ$5,298&lt;=$NR$5),IF($NO$5="Single_Point",IF(298=$NQ$5,$NM$5,0),IF($NO$5="Bell_Curve",$NM$5*(298-$NQ$5+1)*($NR$5-298+1)/$NT$5,$NM$5/$NS$5)),0)</f>
        <v/>
      </c>
      <c r="KP5" s="18">
        <f>IF(AND(299&gt;=$NQ$5,299&lt;=$NR$5),IF($NO$5="Single_Point",IF(299=$NQ$5,$NM$5,0),IF($NO$5="Bell_Curve",$NM$5*(299-$NQ$5+1)*($NR$5-299+1)/$NT$5,$NM$5/$NS$5)),0)</f>
        <v/>
      </c>
      <c r="KQ5" s="18">
        <f>IF(AND(300&gt;=$NQ$5,300&lt;=$NR$5),IF($NO$5="Single_Point",IF(300=$NQ$5,$NM$5,0),IF($NO$5="Bell_Curve",$NM$5*(300-$NQ$5+1)*($NR$5-300+1)/$NT$5,$NM$5/$NS$5)),0)</f>
        <v/>
      </c>
      <c r="KR5" s="18">
        <f>IF(AND(301&gt;=$NQ$5,301&lt;=$NR$5),IF($NO$5="Single_Point",IF(301=$NQ$5,$NM$5,0),IF($NO$5="Bell_Curve",$NM$5*(301-$NQ$5+1)*($NR$5-301+1)/$NT$5,$NM$5/$NS$5)),0)</f>
        <v/>
      </c>
      <c r="KS5" s="18">
        <f>IF(AND(302&gt;=$NQ$5,302&lt;=$NR$5),IF($NO$5="Single_Point",IF(302=$NQ$5,$NM$5,0),IF($NO$5="Bell_Curve",$NM$5*(302-$NQ$5+1)*($NR$5-302+1)/$NT$5,$NM$5/$NS$5)),0)</f>
        <v/>
      </c>
      <c r="KT5" s="18">
        <f>IF(AND(303&gt;=$NQ$5,303&lt;=$NR$5),IF($NO$5="Single_Point",IF(303=$NQ$5,$NM$5,0),IF($NO$5="Bell_Curve",$NM$5*(303-$NQ$5+1)*($NR$5-303+1)/$NT$5,$NM$5/$NS$5)),0)</f>
        <v/>
      </c>
      <c r="KU5" s="18">
        <f>IF(AND(304&gt;=$NQ$5,304&lt;=$NR$5),IF($NO$5="Single_Point",IF(304=$NQ$5,$NM$5,0),IF($NO$5="Bell_Curve",$NM$5*(304-$NQ$5+1)*($NR$5-304+1)/$NT$5,$NM$5/$NS$5)),0)</f>
        <v/>
      </c>
      <c r="KV5" s="18">
        <f>IF(AND(305&gt;=$NQ$5,305&lt;=$NR$5),IF($NO$5="Single_Point",IF(305=$NQ$5,$NM$5,0),IF($NO$5="Bell_Curve",$NM$5*(305-$NQ$5+1)*($NR$5-305+1)/$NT$5,$NM$5/$NS$5)),0)</f>
        <v/>
      </c>
      <c r="KW5" s="18">
        <f>IF(AND(306&gt;=$NQ$5,306&lt;=$NR$5),IF($NO$5="Single_Point",IF(306=$NQ$5,$NM$5,0),IF($NO$5="Bell_Curve",$NM$5*(306-$NQ$5+1)*($NR$5-306+1)/$NT$5,$NM$5/$NS$5)),0)</f>
        <v/>
      </c>
      <c r="KX5" s="18">
        <f>IF(AND(307&gt;=$NQ$5,307&lt;=$NR$5),IF($NO$5="Single_Point",IF(307=$NQ$5,$NM$5,0),IF($NO$5="Bell_Curve",$NM$5*(307-$NQ$5+1)*($NR$5-307+1)/$NT$5,$NM$5/$NS$5)),0)</f>
        <v/>
      </c>
      <c r="KY5" s="18">
        <f>IF(AND(308&gt;=$NQ$5,308&lt;=$NR$5),IF($NO$5="Single_Point",IF(308=$NQ$5,$NM$5,0),IF($NO$5="Bell_Curve",$NM$5*(308-$NQ$5+1)*($NR$5-308+1)/$NT$5,$NM$5/$NS$5)),0)</f>
        <v/>
      </c>
      <c r="KZ5" s="18">
        <f>IF(AND(309&gt;=$NQ$5,309&lt;=$NR$5),IF($NO$5="Single_Point",IF(309=$NQ$5,$NM$5,0),IF($NO$5="Bell_Curve",$NM$5*(309-$NQ$5+1)*($NR$5-309+1)/$NT$5,$NM$5/$NS$5)),0)</f>
        <v/>
      </c>
      <c r="LA5" s="18">
        <f>IF(AND(310&gt;=$NQ$5,310&lt;=$NR$5),IF($NO$5="Single_Point",IF(310=$NQ$5,$NM$5,0),IF($NO$5="Bell_Curve",$NM$5*(310-$NQ$5+1)*($NR$5-310+1)/$NT$5,$NM$5/$NS$5)),0)</f>
        <v/>
      </c>
      <c r="LB5" s="18">
        <f>IF(AND(311&gt;=$NQ$5,311&lt;=$NR$5),IF($NO$5="Single_Point",IF(311=$NQ$5,$NM$5,0),IF($NO$5="Bell_Curve",$NM$5*(311-$NQ$5+1)*($NR$5-311+1)/$NT$5,$NM$5/$NS$5)),0)</f>
        <v/>
      </c>
      <c r="LC5" s="18">
        <f>IF(AND(312&gt;=$NQ$5,312&lt;=$NR$5),IF($NO$5="Single_Point",IF(312=$NQ$5,$NM$5,0),IF($NO$5="Bell_Curve",$NM$5*(312-$NQ$5+1)*($NR$5-312+1)/$NT$5,$NM$5/$NS$5)),0)</f>
        <v/>
      </c>
      <c r="LD5" s="18">
        <f>IF(AND(313&gt;=$NQ$5,313&lt;=$NR$5),IF($NO$5="Single_Point",IF(313=$NQ$5,$NM$5,0),IF($NO$5="Bell_Curve",$NM$5*(313-$NQ$5+1)*($NR$5-313+1)/$NT$5,$NM$5/$NS$5)),0)</f>
        <v/>
      </c>
      <c r="LE5" s="18">
        <f>IF(AND(314&gt;=$NQ$5,314&lt;=$NR$5),IF($NO$5="Single_Point",IF(314=$NQ$5,$NM$5,0),IF($NO$5="Bell_Curve",$NM$5*(314-$NQ$5+1)*($NR$5-314+1)/$NT$5,$NM$5/$NS$5)),0)</f>
        <v/>
      </c>
      <c r="LF5" s="18">
        <f>IF(AND(315&gt;=$NQ$5,315&lt;=$NR$5),IF($NO$5="Single_Point",IF(315=$NQ$5,$NM$5,0),IF($NO$5="Bell_Curve",$NM$5*(315-$NQ$5+1)*($NR$5-315+1)/$NT$5,$NM$5/$NS$5)),0)</f>
        <v/>
      </c>
      <c r="LG5" s="18">
        <f>IF(AND(316&gt;=$NQ$5,316&lt;=$NR$5),IF($NO$5="Single_Point",IF(316=$NQ$5,$NM$5,0),IF($NO$5="Bell_Curve",$NM$5*(316-$NQ$5+1)*($NR$5-316+1)/$NT$5,$NM$5/$NS$5)),0)</f>
        <v/>
      </c>
      <c r="LH5" s="18">
        <f>IF(AND(317&gt;=$NQ$5,317&lt;=$NR$5),IF($NO$5="Single_Point",IF(317=$NQ$5,$NM$5,0),IF($NO$5="Bell_Curve",$NM$5*(317-$NQ$5+1)*($NR$5-317+1)/$NT$5,$NM$5/$NS$5)),0)</f>
        <v/>
      </c>
      <c r="LI5" s="18">
        <f>IF(AND(318&gt;=$NQ$5,318&lt;=$NR$5),IF($NO$5="Single_Point",IF(318=$NQ$5,$NM$5,0),IF($NO$5="Bell_Curve",$NM$5*(318-$NQ$5+1)*($NR$5-318+1)/$NT$5,$NM$5/$NS$5)),0)</f>
        <v/>
      </c>
      <c r="LJ5" s="18">
        <f>IF(AND(319&gt;=$NQ$5,319&lt;=$NR$5),IF($NO$5="Single_Point",IF(319=$NQ$5,$NM$5,0),IF($NO$5="Bell_Curve",$NM$5*(319-$NQ$5+1)*($NR$5-319+1)/$NT$5,$NM$5/$NS$5)),0)</f>
        <v/>
      </c>
      <c r="LK5" s="18">
        <f>IF(AND(320&gt;=$NQ$5,320&lt;=$NR$5),IF($NO$5="Single_Point",IF(320=$NQ$5,$NM$5,0),IF($NO$5="Bell_Curve",$NM$5*(320-$NQ$5+1)*($NR$5-320+1)/$NT$5,$NM$5/$NS$5)),0)</f>
        <v/>
      </c>
      <c r="LL5" s="18">
        <f>IF(AND(321&gt;=$NQ$5,321&lt;=$NR$5),IF($NO$5="Single_Point",IF(321=$NQ$5,$NM$5,0),IF($NO$5="Bell_Curve",$NM$5*(321-$NQ$5+1)*($NR$5-321+1)/$NT$5,$NM$5/$NS$5)),0)</f>
        <v/>
      </c>
      <c r="LM5" s="18">
        <f>IF(AND(322&gt;=$NQ$5,322&lt;=$NR$5),IF($NO$5="Single_Point",IF(322=$NQ$5,$NM$5,0),IF($NO$5="Bell_Curve",$NM$5*(322-$NQ$5+1)*($NR$5-322+1)/$NT$5,$NM$5/$NS$5)),0)</f>
        <v/>
      </c>
      <c r="LN5" s="18">
        <f>IF(AND(323&gt;=$NQ$5,323&lt;=$NR$5),IF($NO$5="Single_Point",IF(323=$NQ$5,$NM$5,0),IF($NO$5="Bell_Curve",$NM$5*(323-$NQ$5+1)*($NR$5-323+1)/$NT$5,$NM$5/$NS$5)),0)</f>
        <v/>
      </c>
      <c r="LO5" s="18">
        <f>IF(AND(324&gt;=$NQ$5,324&lt;=$NR$5),IF($NO$5="Single_Point",IF(324=$NQ$5,$NM$5,0),IF($NO$5="Bell_Curve",$NM$5*(324-$NQ$5+1)*($NR$5-324+1)/$NT$5,$NM$5/$NS$5)),0)</f>
        <v/>
      </c>
      <c r="LP5" s="18">
        <f>IF(AND(325&gt;=$NQ$5,325&lt;=$NR$5),IF($NO$5="Single_Point",IF(325=$NQ$5,$NM$5,0),IF($NO$5="Bell_Curve",$NM$5*(325-$NQ$5+1)*($NR$5-325+1)/$NT$5,$NM$5/$NS$5)),0)</f>
        <v/>
      </c>
      <c r="LQ5" s="18">
        <f>IF(AND(326&gt;=$NQ$5,326&lt;=$NR$5),IF($NO$5="Single_Point",IF(326=$NQ$5,$NM$5,0),IF($NO$5="Bell_Curve",$NM$5*(326-$NQ$5+1)*($NR$5-326+1)/$NT$5,$NM$5/$NS$5)),0)</f>
        <v/>
      </c>
      <c r="LR5" s="18">
        <f>IF(AND(327&gt;=$NQ$5,327&lt;=$NR$5),IF($NO$5="Single_Point",IF(327=$NQ$5,$NM$5,0),IF($NO$5="Bell_Curve",$NM$5*(327-$NQ$5+1)*($NR$5-327+1)/$NT$5,$NM$5/$NS$5)),0)</f>
        <v/>
      </c>
      <c r="LS5" s="18">
        <f>IF(AND(328&gt;=$NQ$5,328&lt;=$NR$5),IF($NO$5="Single_Point",IF(328=$NQ$5,$NM$5,0),IF($NO$5="Bell_Curve",$NM$5*(328-$NQ$5+1)*($NR$5-328+1)/$NT$5,$NM$5/$NS$5)),0)</f>
        <v/>
      </c>
      <c r="LT5" s="18">
        <f>IF(AND(329&gt;=$NQ$5,329&lt;=$NR$5),IF($NO$5="Single_Point",IF(329=$NQ$5,$NM$5,0),IF($NO$5="Bell_Curve",$NM$5*(329-$NQ$5+1)*($NR$5-329+1)/$NT$5,$NM$5/$NS$5)),0)</f>
        <v/>
      </c>
      <c r="LU5" s="18">
        <f>IF(AND(330&gt;=$NQ$5,330&lt;=$NR$5),IF($NO$5="Single_Point",IF(330=$NQ$5,$NM$5,0),IF($NO$5="Bell_Curve",$NM$5*(330-$NQ$5+1)*($NR$5-330+1)/$NT$5,$NM$5/$NS$5)),0)</f>
        <v/>
      </c>
      <c r="LV5" s="18">
        <f>IF(AND(331&gt;=$NQ$5,331&lt;=$NR$5),IF($NO$5="Single_Point",IF(331=$NQ$5,$NM$5,0),IF($NO$5="Bell_Curve",$NM$5*(331-$NQ$5+1)*($NR$5-331+1)/$NT$5,$NM$5/$NS$5)),0)</f>
        <v/>
      </c>
      <c r="LW5" s="18">
        <f>IF(AND(332&gt;=$NQ$5,332&lt;=$NR$5),IF($NO$5="Single_Point",IF(332=$NQ$5,$NM$5,0),IF($NO$5="Bell_Curve",$NM$5*(332-$NQ$5+1)*($NR$5-332+1)/$NT$5,$NM$5/$NS$5)),0)</f>
        <v/>
      </c>
      <c r="LX5" s="18">
        <f>IF(AND(333&gt;=$NQ$5,333&lt;=$NR$5),IF($NO$5="Single_Point",IF(333=$NQ$5,$NM$5,0),IF($NO$5="Bell_Curve",$NM$5*(333-$NQ$5+1)*($NR$5-333+1)/$NT$5,$NM$5/$NS$5)),0)</f>
        <v/>
      </c>
      <c r="LY5" s="18">
        <f>IF(AND(334&gt;=$NQ$5,334&lt;=$NR$5),IF($NO$5="Single_Point",IF(334=$NQ$5,$NM$5,0),IF($NO$5="Bell_Curve",$NM$5*(334-$NQ$5+1)*($NR$5-334+1)/$NT$5,$NM$5/$NS$5)),0)</f>
        <v/>
      </c>
      <c r="LZ5" s="18">
        <f>IF(AND(335&gt;=$NQ$5,335&lt;=$NR$5),IF($NO$5="Single_Point",IF(335=$NQ$5,$NM$5,0),IF($NO$5="Bell_Curve",$NM$5*(335-$NQ$5+1)*($NR$5-335+1)/$NT$5,$NM$5/$NS$5)),0)</f>
        <v/>
      </c>
      <c r="MA5" s="18">
        <f>IF(AND(336&gt;=$NQ$5,336&lt;=$NR$5),IF($NO$5="Single_Point",IF(336=$NQ$5,$NM$5,0),IF($NO$5="Bell_Curve",$NM$5*(336-$NQ$5+1)*($NR$5-336+1)/$NT$5,$NM$5/$NS$5)),0)</f>
        <v/>
      </c>
      <c r="MB5" s="18">
        <f>IF(AND(337&gt;=$NQ$5,337&lt;=$NR$5),IF($NO$5="Single_Point",IF(337=$NQ$5,$NM$5,0),IF($NO$5="Bell_Curve",$NM$5*(337-$NQ$5+1)*($NR$5-337+1)/$NT$5,$NM$5/$NS$5)),0)</f>
        <v/>
      </c>
      <c r="MC5" s="18">
        <f>IF(AND(338&gt;=$NQ$5,338&lt;=$NR$5),IF($NO$5="Single_Point",IF(338=$NQ$5,$NM$5,0),IF($NO$5="Bell_Curve",$NM$5*(338-$NQ$5+1)*($NR$5-338+1)/$NT$5,$NM$5/$NS$5)),0)</f>
        <v/>
      </c>
      <c r="MD5" s="18">
        <f>IF(AND(339&gt;=$NQ$5,339&lt;=$NR$5),IF($NO$5="Single_Point",IF(339=$NQ$5,$NM$5,0),IF($NO$5="Bell_Curve",$NM$5*(339-$NQ$5+1)*($NR$5-339+1)/$NT$5,$NM$5/$NS$5)),0)</f>
        <v/>
      </c>
      <c r="ME5" s="18">
        <f>IF(AND(340&gt;=$NQ$5,340&lt;=$NR$5),IF($NO$5="Single_Point",IF(340=$NQ$5,$NM$5,0),IF($NO$5="Bell_Curve",$NM$5*(340-$NQ$5+1)*($NR$5-340+1)/$NT$5,$NM$5/$NS$5)),0)</f>
        <v/>
      </c>
      <c r="MF5" s="18">
        <f>IF(AND(341&gt;=$NQ$5,341&lt;=$NR$5),IF($NO$5="Single_Point",IF(341=$NQ$5,$NM$5,0),IF($NO$5="Bell_Curve",$NM$5*(341-$NQ$5+1)*($NR$5-341+1)/$NT$5,$NM$5/$NS$5)),0)</f>
        <v/>
      </c>
      <c r="MG5" s="18">
        <f>IF(AND(342&gt;=$NQ$5,342&lt;=$NR$5),IF($NO$5="Single_Point",IF(342=$NQ$5,$NM$5,0),IF($NO$5="Bell_Curve",$NM$5*(342-$NQ$5+1)*($NR$5-342+1)/$NT$5,$NM$5/$NS$5)),0)</f>
        <v/>
      </c>
      <c r="MH5" s="18">
        <f>IF(AND(343&gt;=$NQ$5,343&lt;=$NR$5),IF($NO$5="Single_Point",IF(343=$NQ$5,$NM$5,0),IF($NO$5="Bell_Curve",$NM$5*(343-$NQ$5+1)*($NR$5-343+1)/$NT$5,$NM$5/$NS$5)),0)</f>
        <v/>
      </c>
      <c r="MI5" s="18">
        <f>IF(AND(344&gt;=$NQ$5,344&lt;=$NR$5),IF($NO$5="Single_Point",IF(344=$NQ$5,$NM$5,0),IF($NO$5="Bell_Curve",$NM$5*(344-$NQ$5+1)*($NR$5-344+1)/$NT$5,$NM$5/$NS$5)),0)</f>
        <v/>
      </c>
      <c r="MJ5" s="18">
        <f>IF(AND(345&gt;=$NQ$5,345&lt;=$NR$5),IF($NO$5="Single_Point",IF(345=$NQ$5,$NM$5,0),IF($NO$5="Bell_Curve",$NM$5*(345-$NQ$5+1)*($NR$5-345+1)/$NT$5,$NM$5/$NS$5)),0)</f>
        <v/>
      </c>
      <c r="MK5" s="18">
        <f>IF(AND(346&gt;=$NQ$5,346&lt;=$NR$5),IF($NO$5="Single_Point",IF(346=$NQ$5,$NM$5,0),IF($NO$5="Bell_Curve",$NM$5*(346-$NQ$5+1)*($NR$5-346+1)/$NT$5,$NM$5/$NS$5)),0)</f>
        <v/>
      </c>
      <c r="ML5" s="18">
        <f>IF(AND(347&gt;=$NQ$5,347&lt;=$NR$5),IF($NO$5="Single_Point",IF(347=$NQ$5,$NM$5,0),IF($NO$5="Bell_Curve",$NM$5*(347-$NQ$5+1)*($NR$5-347+1)/$NT$5,$NM$5/$NS$5)),0)</f>
        <v/>
      </c>
      <c r="MM5" s="18">
        <f>IF(AND(348&gt;=$NQ$5,348&lt;=$NR$5),IF($NO$5="Single_Point",IF(348=$NQ$5,$NM$5,0),IF($NO$5="Bell_Curve",$NM$5*(348-$NQ$5+1)*($NR$5-348+1)/$NT$5,$NM$5/$NS$5)),0)</f>
        <v/>
      </c>
      <c r="MN5" s="18">
        <f>IF(AND(349&gt;=$NQ$5,349&lt;=$NR$5),IF($NO$5="Single_Point",IF(349=$NQ$5,$NM$5,0),IF($NO$5="Bell_Curve",$NM$5*(349-$NQ$5+1)*($NR$5-349+1)/$NT$5,$NM$5/$NS$5)),0)</f>
        <v/>
      </c>
      <c r="MO5" s="18">
        <f>IF(AND(350&gt;=$NQ$5,350&lt;=$NR$5),IF($NO$5="Single_Point",IF(350=$NQ$5,$NM$5,0),IF($NO$5="Bell_Curve",$NM$5*(350-$NQ$5+1)*($NR$5-350+1)/$NT$5,$NM$5/$NS$5)),0)</f>
        <v/>
      </c>
      <c r="MP5" s="18">
        <f>IF(AND(351&gt;=$NQ$5,351&lt;=$NR$5),IF($NO$5="Single_Point",IF(351=$NQ$5,$NM$5,0),IF($NO$5="Bell_Curve",$NM$5*(351-$NQ$5+1)*($NR$5-351+1)/$NT$5,$NM$5/$NS$5)),0)</f>
        <v/>
      </c>
      <c r="MQ5" s="18">
        <f>IF(AND(352&gt;=$NQ$5,352&lt;=$NR$5),IF($NO$5="Single_Point",IF(352=$NQ$5,$NM$5,0),IF($NO$5="Bell_Curve",$NM$5*(352-$NQ$5+1)*($NR$5-352+1)/$NT$5,$NM$5/$NS$5)),0)</f>
        <v/>
      </c>
      <c r="MR5" s="18">
        <f>IF(AND(353&gt;=$NQ$5,353&lt;=$NR$5),IF($NO$5="Single_Point",IF(353=$NQ$5,$NM$5,0),IF($NO$5="Bell_Curve",$NM$5*(353-$NQ$5+1)*($NR$5-353+1)/$NT$5,$NM$5/$NS$5)),0)</f>
        <v/>
      </c>
      <c r="MS5" s="18">
        <f>IF(AND(354&gt;=$NQ$5,354&lt;=$NR$5),IF($NO$5="Single_Point",IF(354=$NQ$5,$NM$5,0),IF($NO$5="Bell_Curve",$NM$5*(354-$NQ$5+1)*($NR$5-354+1)/$NT$5,$NM$5/$NS$5)),0)</f>
        <v/>
      </c>
      <c r="MT5" s="18">
        <f>IF(AND(355&gt;=$NQ$5,355&lt;=$NR$5),IF($NO$5="Single_Point",IF(355=$NQ$5,$NM$5,0),IF($NO$5="Bell_Curve",$NM$5*(355-$NQ$5+1)*($NR$5-355+1)/$NT$5,$NM$5/$NS$5)),0)</f>
        <v/>
      </c>
      <c r="MU5" s="18">
        <f>IF(AND(356&gt;=$NQ$5,356&lt;=$NR$5),IF($NO$5="Single_Point",IF(356=$NQ$5,$NM$5,0),IF($NO$5="Bell_Curve",$NM$5*(356-$NQ$5+1)*($NR$5-356+1)/$NT$5,$NM$5/$NS$5)),0)</f>
        <v/>
      </c>
      <c r="MV5" s="18">
        <f>IF(AND(357&gt;=$NQ$5,357&lt;=$NR$5),IF($NO$5="Single_Point",IF(357=$NQ$5,$NM$5,0),IF($NO$5="Bell_Curve",$NM$5*(357-$NQ$5+1)*($NR$5-357+1)/$NT$5,$NM$5/$NS$5)),0)</f>
        <v/>
      </c>
      <c r="MW5" s="18">
        <f>IF(AND(358&gt;=$NQ$5,358&lt;=$NR$5),IF($NO$5="Single_Point",IF(358=$NQ$5,$NM$5,0),IF($NO$5="Bell_Curve",$NM$5*(358-$NQ$5+1)*($NR$5-358+1)/$NT$5,$NM$5/$NS$5)),0)</f>
        <v/>
      </c>
      <c r="MX5" s="18">
        <f>IF(AND(359&gt;=$NQ$5,359&lt;=$NR$5),IF($NO$5="Single_Point",IF(359=$NQ$5,$NM$5,0),IF($NO$5="Bell_Curve",$NM$5*(359-$NQ$5+1)*($NR$5-359+1)/$NT$5,$NM$5/$NS$5)),0)</f>
        <v/>
      </c>
      <c r="MY5" s="18">
        <f>IF(AND(360&gt;=$NQ$5,360&lt;=$NR$5),IF($NO$5="Single_Point",IF(360=$NQ$5,$NM$5,0),IF($NO$5="Bell_Curve",$NM$5*(360-$NQ$5+1)*($NR$5-360+1)/$NT$5,$NM$5/$NS$5)),0)</f>
        <v/>
      </c>
      <c r="MZ5" s="18">
        <f>IF(AND(361&gt;=$NQ$5,361&lt;=$NR$5),IF($NO$5="Single_Point",IF(361=$NQ$5,$NM$5,0),IF($NO$5="Bell_Curve",$NM$5*(361-$NQ$5+1)*($NR$5-361+1)/$NT$5,$NM$5/$NS$5)),0)</f>
        <v/>
      </c>
      <c r="NA5" s="18">
        <f>IF(AND(362&gt;=$NQ$5,362&lt;=$NR$5),IF($NO$5="Single_Point",IF(362=$NQ$5,$NM$5,0),IF($NO$5="Bell_Curve",$NM$5*(362-$NQ$5+1)*($NR$5-362+1)/$NT$5,$NM$5/$NS$5)),0)</f>
        <v/>
      </c>
      <c r="NB5" s="18">
        <f>IF(AND(363&gt;=$NQ$5,363&lt;=$NR$5),IF($NO$5="Single_Point",IF(363=$NQ$5,$NM$5,0),IF($NO$5="Bell_Curve",$NM$5*(363-$NQ$5+1)*($NR$5-363+1)/$NT$5,$NM$5/$NS$5)),0)</f>
        <v/>
      </c>
      <c r="NC5" s="18">
        <f>IF(AND(364&gt;=$NQ$5,364&lt;=$NR$5),IF($NO$5="Single_Point",IF(364=$NQ$5,$NM$5,0),IF($NO$5="Bell_Curve",$NM$5*(364-$NQ$5+1)*($NR$5-364+1)/$NT$5,$NM$5/$NS$5)),0)</f>
        <v/>
      </c>
      <c r="ND5" s="18">
        <f>IF(AND(365&gt;=$NQ$5,365&lt;=$NR$5),IF($NO$5="Single_Point",IF(365=$NQ$5,$NM$5,0),IF($NO$5="Bell_Curve",$NM$5*(365-$NQ$5+1)*($NR$5-365+1)/$NT$5,$NM$5/$NS$5)),0)</f>
        <v/>
      </c>
      <c r="NE5" s="18">
        <f>IF(AND(366&gt;=$NQ$5,366&lt;=$NR$5),IF($NO$5="Single_Point",IF(366=$NQ$5,$NM$5,0),IF($NO$5="Bell_Curve",$NM$5*(366-$NQ$5+1)*($NR$5-366+1)/$NT$5,$NM$5/$NS$5)),0)</f>
        <v/>
      </c>
      <c r="NF5" s="18">
        <f>IF(AND(367&gt;=$NQ$5,367&lt;=$NR$5),IF($NO$5="Single_Point",IF(367=$NQ$5,$NM$5,0),IF($NO$5="Bell_Curve",$NM$5*(367-$NQ$5+1)*($NR$5-367+1)/$NT$5,$NM$5/$NS$5)),0)</f>
        <v/>
      </c>
      <c r="NG5" s="18">
        <f>IF(AND(368&gt;=$NQ$5,368&lt;=$NR$5),IF($NO$5="Single_Point",IF(368=$NQ$5,$NM$5,0),IF($NO$5="Bell_Curve",$NM$5*(368-$NQ$5+1)*($NR$5-368+1)/$NT$5,$NM$5/$NS$5)),0)</f>
        <v/>
      </c>
      <c r="NH5" s="18">
        <f>IF(AND(369&gt;=$NQ$5,369&lt;=$NR$5),IF($NO$5="Single_Point",IF(369=$NQ$5,$NM$5,0),IF($NO$5="Bell_Curve",$NM$5*(369-$NQ$5+1)*($NR$5-369+1)/$NT$5,$NM$5/$NS$5)),0)</f>
        <v/>
      </c>
      <c r="NI5" s="18">
        <f>IF(AND(370&gt;=$NQ$5,370&lt;=$NR$5),IF($NO$5="Single_Point",IF(370=$NQ$5,$NM$5,0),IF($NO$5="Bell_Curve",$NM$5*(370-$NQ$5+1)*($NR$5-370+1)/$NT$5,$NM$5/$NS$5)),0)</f>
        <v/>
      </c>
      <c r="NJ5" s="18">
        <f>IF(AND(371&gt;=$NQ$5,371&lt;=$NR$5),IF($NO$5="Single_Point",IF(371=$NQ$5,$NM$5,0),IF($NO$5="Bell_Curve",$NM$5*(371-$NQ$5+1)*($NR$5-371+1)/$NT$5,$NM$5/$NS$5)),0)</f>
        <v/>
      </c>
      <c r="NK5" s="18">
        <f>IF(AND(372&gt;=$NQ$5,372&lt;=$NR$5),IF($NO$5="Single_Point",IF(372=$NQ$5,$NM$5,0),IF($NO$5="Bell_Curve",$NM$5*(372-$NQ$5+1)*($NR$5-372+1)/$NT$5,$NM$5/$NS$5)),0)</f>
        <v/>
      </c>
      <c r="NM5" s="18">
        <f>Budget!I5</f>
        <v/>
      </c>
      <c r="NN5" s="42">
        <f>Budget!F5</f>
        <v/>
      </c>
      <c r="NO5" s="42">
        <f>Budget!G5</f>
        <v/>
      </c>
      <c r="NP5" s="17">
        <f>Budget!H5</f>
        <v/>
      </c>
      <c r="NQ5" s="32">
        <f>MAX(1,MIN(372,INDEX(MilestoneStart,MATCH(NN5,MilestoneNames,0))+NP5))</f>
        <v/>
      </c>
      <c r="NR5" s="32">
        <f>MAX(NQ5,MIN(372,INDEX(MilestoneEnd,MATCH(NN5,MilestoneNames,0))+NP5))</f>
        <v/>
      </c>
      <c r="NS5" s="17">
        <f>NR5-NQ5+1</f>
        <v/>
      </c>
      <c r="NT5" s="17">
        <f>NS5*(NS5+1)*(NS5+2)/6</f>
        <v/>
      </c>
    </row>
    <row r="6">
      <c r="A6" s="5" t="inlineStr">
        <is>
          <t>Existing Structure/Demo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Budget!I6</f>
        <v/>
      </c>
      <c r="NN6" s="42">
        <f>Budget!F6</f>
        <v/>
      </c>
      <c r="NO6" s="42">
        <f>Budget!G6</f>
        <v/>
      </c>
      <c r="NP6" s="17">
        <f>Budget!H6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Due Diligence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Budget!I7</f>
        <v/>
      </c>
      <c r="NN7" s="42">
        <f>Budget!F7</f>
        <v/>
      </c>
      <c r="NO7" s="42">
        <f>Budget!G7</f>
        <v/>
      </c>
      <c r="NP7" s="17">
        <f>Budget!H7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Entitlements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Budget!I8</f>
        <v/>
      </c>
      <c r="NN8" s="42">
        <f>Budget!F8</f>
        <v/>
      </c>
      <c r="NO8" s="42">
        <f>Budget!G8</f>
        <v/>
      </c>
      <c r="NP8" s="17">
        <f>Budget!H8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Architecture &amp; Eng.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Budget!I9</f>
        <v/>
      </c>
      <c r="NN9" s="42">
        <f>Budget!F9</f>
        <v/>
      </c>
      <c r="NO9" s="42">
        <f>Budget!G9</f>
        <v/>
      </c>
      <c r="NP9" s="17">
        <f>Budget!H9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Consultants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Budget!I10</f>
        <v/>
      </c>
      <c r="NN10" s="42">
        <f>Budget!F10</f>
        <v/>
      </c>
      <c r="NO10" s="42">
        <f>Budget!G10</f>
        <v/>
      </c>
      <c r="NP10" s="17">
        <f>Budget!H10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Legal &amp; Org.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Budget!I11</f>
        <v/>
      </c>
      <c r="NN11" s="42">
        <f>Budget!F11</f>
        <v/>
      </c>
      <c r="NO11" s="42">
        <f>Budget!G11</f>
        <v/>
      </c>
      <c r="NP11" s="17">
        <f>Budget!H11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Marketing &amp; Lease-Up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Budget!I12</f>
        <v/>
      </c>
      <c r="NN12" s="42">
        <f>Budget!F12</f>
        <v/>
      </c>
      <c r="NO12" s="42">
        <f>Budget!G12</f>
        <v/>
      </c>
      <c r="NP12" s="17">
        <f>Budget!H12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Property Taxes (Dev)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Budget!I13</f>
        <v/>
      </c>
      <c r="NN13" s="42">
        <f>Budget!F13</f>
        <v/>
      </c>
      <c r="NO13" s="42">
        <f>Budget!G13</f>
        <v/>
      </c>
      <c r="NP13" s="17">
        <f>Budget!H13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Budget!I14</f>
        <v/>
      </c>
      <c r="NN14" s="42">
        <f>Budget!F14</f>
        <v/>
      </c>
      <c r="NO14" s="42">
        <f>Budget!G14</f>
        <v/>
      </c>
      <c r="NP14" s="17">
        <f>Budget!H14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Budget!I15</f>
        <v/>
      </c>
      <c r="NN15" s="42">
        <f>Budget!F15</f>
        <v/>
      </c>
      <c r="NO15" s="42">
        <f>Budget!G15</f>
        <v/>
      </c>
      <c r="NP15" s="17">
        <f>Budget!H15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Budget!I16</f>
        <v/>
      </c>
      <c r="NN16" s="42">
        <f>Budget!F16</f>
        <v/>
      </c>
      <c r="NO16" s="42">
        <f>Budget!G16</f>
        <v/>
      </c>
      <c r="NP16" s="17">
        <f>Budget!H16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Budget!I17</f>
        <v/>
      </c>
      <c r="NN17" s="42">
        <f>Budget!F17</f>
        <v/>
      </c>
      <c r="NO17" s="42">
        <f>Budget!G17</f>
        <v/>
      </c>
      <c r="NP17" s="17">
        <f>Budget!H17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Budget!I18</f>
        <v/>
      </c>
      <c r="NN18" s="42">
        <f>Budget!F18</f>
        <v/>
      </c>
      <c r="NO18" s="42">
        <f>Budget!G18</f>
        <v/>
      </c>
      <c r="NP18" s="17">
        <f>Budget!H18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Budget!I19</f>
        <v/>
      </c>
      <c r="NN19" s="42">
        <f>Budget!F19</f>
        <v/>
      </c>
      <c r="NO19" s="42">
        <f>Budget!G19</f>
        <v/>
      </c>
      <c r="NP19" s="17">
        <f>Budget!H19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Budget!I20</f>
        <v/>
      </c>
      <c r="NN20" s="42">
        <f>Budget!F20</f>
        <v/>
      </c>
      <c r="NO20" s="42">
        <f>Budget!G20</f>
        <v/>
      </c>
      <c r="NP20" s="17">
        <f>Budget!H20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Budget!I21</f>
        <v/>
      </c>
      <c r="NN21" s="42">
        <f>Budget!F21</f>
        <v/>
      </c>
      <c r="NO21" s="42">
        <f>Budget!G21</f>
        <v/>
      </c>
      <c r="NP21" s="17">
        <f>Budget!H21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Budget!I22</f>
        <v/>
      </c>
      <c r="NN22" s="42">
        <f>Budget!F22</f>
        <v/>
      </c>
      <c r="NO22" s="42">
        <f>Budget!G22</f>
        <v/>
      </c>
      <c r="NP22" s="17">
        <f>Budget!H22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Budget!I23</f>
        <v/>
      </c>
      <c r="NN23" s="42">
        <f>Budget!F23</f>
        <v/>
      </c>
      <c r="NO23" s="42">
        <f>Budget!G23</f>
        <v/>
      </c>
      <c r="NP23" s="17">
        <f>Budget!H23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Budget!I24</f>
        <v/>
      </c>
      <c r="NN24" s="42">
        <f>Budget!F24</f>
        <v/>
      </c>
      <c r="NO24" s="42">
        <f>Budget!G24</f>
        <v/>
      </c>
      <c r="NP24" s="17">
        <f>Budget!H24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Budget!I25</f>
        <v/>
      </c>
      <c r="NN25" s="42">
        <f>Budget!F25</f>
        <v/>
      </c>
      <c r="NO25" s="42">
        <f>Budget!G25</f>
        <v/>
      </c>
      <c r="NP25" s="17">
        <f>Budget!H25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Budget!I26</f>
        <v/>
      </c>
      <c r="NN26" s="42">
        <f>Budget!F26</f>
        <v/>
      </c>
      <c r="NO26" s="42">
        <f>Budget!G26</f>
        <v/>
      </c>
      <c r="NP26" s="17">
        <f>Budget!H26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Budget!I27</f>
        <v/>
      </c>
      <c r="NN27" s="42">
        <f>Budget!F27</f>
        <v/>
      </c>
      <c r="NO27" s="42">
        <f>Budget!G27</f>
        <v/>
      </c>
      <c r="NP27" s="17">
        <f>Budget!H27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Budget!I28</f>
        <v/>
      </c>
      <c r="NN28" s="42">
        <f>Budget!F28</f>
        <v/>
      </c>
      <c r="NO28" s="42">
        <f>Budget!G28</f>
        <v/>
      </c>
      <c r="NP28" s="17">
        <f>Budget!H28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Budget!I29</f>
        <v/>
      </c>
      <c r="NN29" s="42">
        <f>Budget!F29</f>
        <v/>
      </c>
      <c r="NO29" s="42">
        <f>Budget!G29</f>
        <v/>
      </c>
      <c r="NP29" s="17">
        <f>Budget!H29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Budget!I30</f>
        <v/>
      </c>
      <c r="NN30" s="42">
        <f>Budget!F30</f>
        <v/>
      </c>
      <c r="NO30" s="42">
        <f>Budget!G30</f>
        <v/>
      </c>
      <c r="NP30" s="17">
        <f>Budget!H30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Budget!I31</f>
        <v/>
      </c>
      <c r="NN31" s="42">
        <f>Budget!F31</f>
        <v/>
      </c>
      <c r="NO31" s="42">
        <f>Budget!G31</f>
        <v/>
      </c>
      <c r="NP31" s="17">
        <f>Budget!H31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Budget!I32</f>
        <v/>
      </c>
      <c r="NN32" s="42">
        <f>Budget!F32</f>
        <v/>
      </c>
      <c r="NO32" s="42">
        <f>Budget!G32</f>
        <v/>
      </c>
      <c r="NP32" s="17">
        <f>Budget!H32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SUM(D5:D32)</f>
        <v/>
      </c>
      <c r="E34" s="43">
        <f>SUM(E5:E32)</f>
        <v/>
      </c>
      <c r="F34" s="43">
        <f>SUM(F5:F32)</f>
        <v/>
      </c>
      <c r="G34" s="43">
        <f>SUM(G5:G32)</f>
        <v/>
      </c>
      <c r="H34" s="43">
        <f>SUM(H5:H32)</f>
        <v/>
      </c>
      <c r="I34" s="43">
        <f>SUM(I5:I32)</f>
        <v/>
      </c>
      <c r="J34" s="43">
        <f>SUM(J5:J32)</f>
        <v/>
      </c>
      <c r="K34" s="43">
        <f>SUM(K5:K32)</f>
        <v/>
      </c>
      <c r="L34" s="43">
        <f>SUM(L5:L32)</f>
        <v/>
      </c>
      <c r="M34" s="43">
        <f>SUM(M5:M32)</f>
        <v/>
      </c>
      <c r="N34" s="43">
        <f>SUM(N5:N32)</f>
        <v/>
      </c>
      <c r="O34" s="43">
        <f>SUM(O5:O32)</f>
        <v/>
      </c>
      <c r="P34" s="43">
        <f>SUM(P5:P32)</f>
        <v/>
      </c>
      <c r="Q34" s="43">
        <f>SUM(Q5:Q32)</f>
        <v/>
      </c>
      <c r="R34" s="43">
        <f>SUM(R5:R32)</f>
        <v/>
      </c>
      <c r="S34" s="43">
        <f>SUM(S5:S32)</f>
        <v/>
      </c>
      <c r="T34" s="43">
        <f>SUM(T5:T32)</f>
        <v/>
      </c>
      <c r="U34" s="43">
        <f>SUM(U5:U32)</f>
        <v/>
      </c>
      <c r="V34" s="43">
        <f>SUM(V5:V32)</f>
        <v/>
      </c>
      <c r="W34" s="43">
        <f>SUM(W5:W32)</f>
        <v/>
      </c>
      <c r="X34" s="43">
        <f>SUM(X5:X32)</f>
        <v/>
      </c>
      <c r="Y34" s="43">
        <f>SUM(Y5:Y32)</f>
        <v/>
      </c>
      <c r="Z34" s="43">
        <f>SUM(Z5:Z32)</f>
        <v/>
      </c>
      <c r="AA34" s="43">
        <f>SUM(AA5:AA32)</f>
        <v/>
      </c>
      <c r="AB34" s="43">
        <f>SUM(AB5:AB32)</f>
        <v/>
      </c>
      <c r="AC34" s="43">
        <f>SUM(AC5:AC32)</f>
        <v/>
      </c>
      <c r="AD34" s="43">
        <f>SUM(AD5:AD32)</f>
        <v/>
      </c>
      <c r="AE34" s="43">
        <f>SUM(AE5:AE32)</f>
        <v/>
      </c>
      <c r="AF34" s="43">
        <f>SUM(AF5:AF32)</f>
        <v/>
      </c>
      <c r="AG34" s="43">
        <f>SUM(AG5:AG32)</f>
        <v/>
      </c>
      <c r="AH34" s="43">
        <f>SUM(AH5:AH32)</f>
        <v/>
      </c>
      <c r="AI34" s="43">
        <f>SUM(AI5:AI32)</f>
        <v/>
      </c>
      <c r="AJ34" s="43">
        <f>SUM(AJ5:AJ32)</f>
        <v/>
      </c>
      <c r="AK34" s="43">
        <f>SUM(AK5:AK32)</f>
        <v/>
      </c>
      <c r="AL34" s="43">
        <f>SUM(AL5:AL32)</f>
        <v/>
      </c>
      <c r="AM34" s="43">
        <f>SUM(AM5:AM32)</f>
        <v/>
      </c>
      <c r="AN34" s="43">
        <f>SUM(AN5:AN32)</f>
        <v/>
      </c>
      <c r="AO34" s="43">
        <f>SUM(AO5:AO32)</f>
        <v/>
      </c>
      <c r="AP34" s="43">
        <f>SUM(AP5:AP32)</f>
        <v/>
      </c>
      <c r="AQ34" s="43">
        <f>SUM(AQ5:AQ32)</f>
        <v/>
      </c>
      <c r="AR34" s="43">
        <f>SUM(AR5:AR32)</f>
        <v/>
      </c>
      <c r="AS34" s="43">
        <f>SUM(AS5:AS32)</f>
        <v/>
      </c>
      <c r="AT34" s="43">
        <f>SUM(AT5:AT32)</f>
        <v/>
      </c>
      <c r="AU34" s="43">
        <f>SUM(AU5:AU32)</f>
        <v/>
      </c>
      <c r="AV34" s="43">
        <f>SUM(AV5:AV32)</f>
        <v/>
      </c>
      <c r="AW34" s="43">
        <f>SUM(AW5:AW32)</f>
        <v/>
      </c>
      <c r="AX34" s="43">
        <f>SUM(AX5:AX32)</f>
        <v/>
      </c>
      <c r="AY34" s="43">
        <f>SUM(AY5:AY32)</f>
        <v/>
      </c>
      <c r="AZ34" s="43">
        <f>SUM(AZ5:AZ32)</f>
        <v/>
      </c>
      <c r="BA34" s="43">
        <f>SUM(BA5:BA32)</f>
        <v/>
      </c>
      <c r="BB34" s="43">
        <f>SUM(BB5:BB32)</f>
        <v/>
      </c>
      <c r="BC34" s="43">
        <f>SUM(BC5:BC32)</f>
        <v/>
      </c>
      <c r="BD34" s="43">
        <f>SUM(BD5:BD32)</f>
        <v/>
      </c>
      <c r="BE34" s="43">
        <f>SUM(BE5:BE32)</f>
        <v/>
      </c>
      <c r="BF34" s="43">
        <f>SUM(BF5:BF32)</f>
        <v/>
      </c>
      <c r="BG34" s="43">
        <f>SUM(BG5:BG32)</f>
        <v/>
      </c>
      <c r="BH34" s="43">
        <f>SUM(BH5:BH32)</f>
        <v/>
      </c>
      <c r="BI34" s="43">
        <f>SUM(BI5:BI32)</f>
        <v/>
      </c>
      <c r="BJ34" s="43">
        <f>SUM(BJ5:BJ32)</f>
        <v/>
      </c>
      <c r="BK34" s="43">
        <f>SUM(BK5:BK32)</f>
        <v/>
      </c>
      <c r="BL34" s="43">
        <f>SUM(BL5:BL32)</f>
        <v/>
      </c>
      <c r="BM34" s="43">
        <f>SUM(BM5:BM32)</f>
        <v/>
      </c>
      <c r="BN34" s="43">
        <f>SUM(BN5:BN32)</f>
        <v/>
      </c>
      <c r="BO34" s="43">
        <f>SUM(BO5:BO32)</f>
        <v/>
      </c>
      <c r="BP34" s="43">
        <f>SUM(BP5:BP32)</f>
        <v/>
      </c>
      <c r="BQ34" s="43">
        <f>SUM(BQ5:BQ32)</f>
        <v/>
      </c>
      <c r="BR34" s="43">
        <f>SUM(BR5:BR32)</f>
        <v/>
      </c>
      <c r="BS34" s="43">
        <f>SUM(BS5:BS32)</f>
        <v/>
      </c>
      <c r="BT34" s="43">
        <f>SUM(BT5:BT32)</f>
        <v/>
      </c>
      <c r="BU34" s="43">
        <f>SUM(BU5:BU32)</f>
        <v/>
      </c>
      <c r="BV34" s="43">
        <f>SUM(BV5:BV32)</f>
        <v/>
      </c>
      <c r="BW34" s="43">
        <f>SUM(BW5:BW32)</f>
        <v/>
      </c>
      <c r="BX34" s="43">
        <f>SUM(BX5:BX32)</f>
        <v/>
      </c>
      <c r="BY34" s="43">
        <f>SUM(BY5:BY32)</f>
        <v/>
      </c>
      <c r="BZ34" s="43">
        <f>SUM(BZ5:BZ32)</f>
        <v/>
      </c>
      <c r="CA34" s="43">
        <f>SUM(CA5:CA32)</f>
        <v/>
      </c>
      <c r="CB34" s="43">
        <f>SUM(CB5:CB32)</f>
        <v/>
      </c>
      <c r="CC34" s="43">
        <f>SUM(CC5:CC32)</f>
        <v/>
      </c>
      <c r="CD34" s="43">
        <f>SUM(CD5:CD32)</f>
        <v/>
      </c>
      <c r="CE34" s="43">
        <f>SUM(CE5:CE32)</f>
        <v/>
      </c>
      <c r="CF34" s="43">
        <f>SUM(CF5:CF32)</f>
        <v/>
      </c>
      <c r="CG34" s="43">
        <f>SUM(CG5:CG32)</f>
        <v/>
      </c>
      <c r="CH34" s="43">
        <f>SUM(CH5:CH32)</f>
        <v/>
      </c>
      <c r="CI34" s="43">
        <f>SUM(CI5:CI32)</f>
        <v/>
      </c>
      <c r="CJ34" s="43">
        <f>SUM(CJ5:CJ32)</f>
        <v/>
      </c>
      <c r="CK34" s="43">
        <f>SUM(CK5:CK32)</f>
        <v/>
      </c>
      <c r="CL34" s="43">
        <f>SUM(CL5:CL32)</f>
        <v/>
      </c>
      <c r="CM34" s="43">
        <f>SUM(CM5:CM32)</f>
        <v/>
      </c>
      <c r="CN34" s="43">
        <f>SUM(CN5:CN32)</f>
        <v/>
      </c>
      <c r="CO34" s="43">
        <f>SUM(CO5:CO32)</f>
        <v/>
      </c>
      <c r="CP34" s="43">
        <f>SUM(CP5:CP32)</f>
        <v/>
      </c>
      <c r="CQ34" s="43">
        <f>SUM(CQ5:CQ32)</f>
        <v/>
      </c>
      <c r="CR34" s="43">
        <f>SUM(CR5:CR32)</f>
        <v/>
      </c>
      <c r="CS34" s="43">
        <f>SUM(CS5:CS32)</f>
        <v/>
      </c>
      <c r="CT34" s="43">
        <f>SUM(CT5:CT32)</f>
        <v/>
      </c>
      <c r="CU34" s="43">
        <f>SUM(CU5:CU32)</f>
        <v/>
      </c>
      <c r="CV34" s="43">
        <f>SUM(CV5:CV32)</f>
        <v/>
      </c>
      <c r="CW34" s="43">
        <f>SUM(CW5:CW32)</f>
        <v/>
      </c>
      <c r="CX34" s="43">
        <f>SUM(CX5:CX32)</f>
        <v/>
      </c>
      <c r="CY34" s="43">
        <f>SUM(CY5:CY32)</f>
        <v/>
      </c>
      <c r="CZ34" s="43">
        <f>SUM(CZ5:CZ32)</f>
        <v/>
      </c>
      <c r="DA34" s="43">
        <f>SUM(DA5:DA32)</f>
        <v/>
      </c>
      <c r="DB34" s="43">
        <f>SUM(DB5:DB32)</f>
        <v/>
      </c>
      <c r="DC34" s="43">
        <f>SUM(DC5:DC32)</f>
        <v/>
      </c>
      <c r="DD34" s="43">
        <f>SUM(DD5:DD32)</f>
        <v/>
      </c>
      <c r="DE34" s="43">
        <f>SUM(DE5:DE32)</f>
        <v/>
      </c>
      <c r="DF34" s="43">
        <f>SUM(DF5:DF32)</f>
        <v/>
      </c>
      <c r="DG34" s="43">
        <f>SUM(DG5:DG32)</f>
        <v/>
      </c>
      <c r="DH34" s="43">
        <f>SUM(DH5:DH32)</f>
        <v/>
      </c>
      <c r="DI34" s="43">
        <f>SUM(DI5:DI32)</f>
        <v/>
      </c>
      <c r="DJ34" s="43">
        <f>SUM(DJ5:DJ32)</f>
        <v/>
      </c>
      <c r="DK34" s="43">
        <f>SUM(DK5:DK32)</f>
        <v/>
      </c>
      <c r="DL34" s="43">
        <f>SUM(DL5:DL32)</f>
        <v/>
      </c>
      <c r="DM34" s="43">
        <f>SUM(DM5:DM32)</f>
        <v/>
      </c>
      <c r="DN34" s="43">
        <f>SUM(DN5:DN32)</f>
        <v/>
      </c>
      <c r="DO34" s="43">
        <f>SUM(DO5:DO32)</f>
        <v/>
      </c>
      <c r="DP34" s="43">
        <f>SUM(DP5:DP32)</f>
        <v/>
      </c>
      <c r="DQ34" s="43">
        <f>SUM(DQ5:DQ32)</f>
        <v/>
      </c>
      <c r="DR34" s="43">
        <f>SUM(DR5:DR32)</f>
        <v/>
      </c>
      <c r="DS34" s="43">
        <f>SUM(DS5:DS32)</f>
        <v/>
      </c>
      <c r="DT34" s="43">
        <f>SUM(DT5:DT32)</f>
        <v/>
      </c>
      <c r="DU34" s="43">
        <f>SUM(DU5:DU32)</f>
        <v/>
      </c>
      <c r="DV34" s="43">
        <f>SUM(DV5:DV32)</f>
        <v/>
      </c>
      <c r="DW34" s="43">
        <f>SUM(DW5:DW32)</f>
        <v/>
      </c>
      <c r="DX34" s="43">
        <f>SUM(DX5:DX32)</f>
        <v/>
      </c>
      <c r="DY34" s="43">
        <f>SUM(DY5:DY32)</f>
        <v/>
      </c>
      <c r="DZ34" s="43">
        <f>SUM(DZ5:DZ32)</f>
        <v/>
      </c>
      <c r="EA34" s="43">
        <f>SUM(EA5:EA32)</f>
        <v/>
      </c>
      <c r="EB34" s="43">
        <f>SUM(EB5:EB32)</f>
        <v/>
      </c>
      <c r="EC34" s="43">
        <f>SUM(EC5:EC32)</f>
        <v/>
      </c>
      <c r="ED34" s="43">
        <f>SUM(ED5:ED32)</f>
        <v/>
      </c>
      <c r="EE34" s="43">
        <f>SUM(EE5:EE32)</f>
        <v/>
      </c>
      <c r="EF34" s="43">
        <f>SUM(EF5:EF32)</f>
        <v/>
      </c>
      <c r="EG34" s="43">
        <f>SUM(EG5:EG32)</f>
        <v/>
      </c>
      <c r="EH34" s="43">
        <f>SUM(EH5:EH32)</f>
        <v/>
      </c>
      <c r="EI34" s="43">
        <f>SUM(EI5:EI32)</f>
        <v/>
      </c>
      <c r="EJ34" s="43">
        <f>SUM(EJ5:EJ32)</f>
        <v/>
      </c>
      <c r="EK34" s="43">
        <f>SUM(EK5:EK32)</f>
        <v/>
      </c>
      <c r="EL34" s="43">
        <f>SUM(EL5:EL32)</f>
        <v/>
      </c>
      <c r="EM34" s="43">
        <f>SUM(EM5:EM32)</f>
        <v/>
      </c>
      <c r="EN34" s="43">
        <f>SUM(EN5:EN32)</f>
        <v/>
      </c>
      <c r="EO34" s="43">
        <f>SUM(EO5:EO32)</f>
        <v/>
      </c>
      <c r="EP34" s="43">
        <f>SUM(EP5:EP32)</f>
        <v/>
      </c>
      <c r="EQ34" s="43">
        <f>SUM(EQ5:EQ32)</f>
        <v/>
      </c>
      <c r="ER34" s="43">
        <f>SUM(ER5:ER32)</f>
        <v/>
      </c>
      <c r="ES34" s="43">
        <f>SUM(ES5:ES32)</f>
        <v/>
      </c>
      <c r="ET34" s="43">
        <f>SUM(ET5:ET32)</f>
        <v/>
      </c>
      <c r="EU34" s="43">
        <f>SUM(EU5:EU32)</f>
        <v/>
      </c>
      <c r="EV34" s="43">
        <f>SUM(EV5:EV32)</f>
        <v/>
      </c>
      <c r="EW34" s="43">
        <f>SUM(EW5:EW32)</f>
        <v/>
      </c>
      <c r="EX34" s="43">
        <f>SUM(EX5:EX32)</f>
        <v/>
      </c>
      <c r="EY34" s="43">
        <f>SUM(EY5:EY32)</f>
        <v/>
      </c>
      <c r="EZ34" s="43">
        <f>SUM(EZ5:EZ32)</f>
        <v/>
      </c>
      <c r="FA34" s="43">
        <f>SUM(FA5:FA32)</f>
        <v/>
      </c>
      <c r="FB34" s="43">
        <f>SUM(FB5:FB32)</f>
        <v/>
      </c>
      <c r="FC34" s="43">
        <f>SUM(FC5:FC32)</f>
        <v/>
      </c>
      <c r="FD34" s="43">
        <f>SUM(FD5:FD32)</f>
        <v/>
      </c>
      <c r="FE34" s="43">
        <f>SUM(FE5:FE32)</f>
        <v/>
      </c>
      <c r="FF34" s="43">
        <f>SUM(FF5:FF32)</f>
        <v/>
      </c>
      <c r="FG34" s="43">
        <f>SUM(FG5:FG32)</f>
        <v/>
      </c>
      <c r="FH34" s="43">
        <f>SUM(FH5:FH32)</f>
        <v/>
      </c>
      <c r="FI34" s="43">
        <f>SUM(FI5:FI32)</f>
        <v/>
      </c>
      <c r="FJ34" s="43">
        <f>SUM(FJ5:FJ32)</f>
        <v/>
      </c>
      <c r="FK34" s="43">
        <f>SUM(FK5:FK32)</f>
        <v/>
      </c>
      <c r="FL34" s="43">
        <f>SUM(FL5:FL32)</f>
        <v/>
      </c>
      <c r="FM34" s="43">
        <f>SUM(FM5:FM32)</f>
        <v/>
      </c>
      <c r="FN34" s="43">
        <f>SUM(FN5:FN32)</f>
        <v/>
      </c>
      <c r="FO34" s="43">
        <f>SUM(FO5:FO32)</f>
        <v/>
      </c>
      <c r="FP34" s="43">
        <f>SUM(FP5:FP32)</f>
        <v/>
      </c>
      <c r="FQ34" s="43">
        <f>SUM(FQ5:FQ32)</f>
        <v/>
      </c>
      <c r="FR34" s="43">
        <f>SUM(FR5:FR32)</f>
        <v/>
      </c>
      <c r="FS34" s="43">
        <f>SUM(FS5:FS32)</f>
        <v/>
      </c>
      <c r="FT34" s="43">
        <f>SUM(FT5:FT32)</f>
        <v/>
      </c>
      <c r="FU34" s="43">
        <f>SUM(FU5:FU32)</f>
        <v/>
      </c>
      <c r="FV34" s="43">
        <f>SUM(FV5:FV32)</f>
        <v/>
      </c>
      <c r="FW34" s="43">
        <f>SUM(FW5:FW32)</f>
        <v/>
      </c>
      <c r="FX34" s="43">
        <f>SUM(FX5:FX32)</f>
        <v/>
      </c>
      <c r="FY34" s="43">
        <f>SUM(FY5:FY32)</f>
        <v/>
      </c>
      <c r="FZ34" s="43">
        <f>SUM(FZ5:FZ32)</f>
        <v/>
      </c>
      <c r="GA34" s="43">
        <f>SUM(GA5:GA32)</f>
        <v/>
      </c>
      <c r="GB34" s="43">
        <f>SUM(GB5:GB32)</f>
        <v/>
      </c>
      <c r="GC34" s="43">
        <f>SUM(GC5:GC32)</f>
        <v/>
      </c>
      <c r="GD34" s="43">
        <f>SUM(GD5:GD32)</f>
        <v/>
      </c>
      <c r="GE34" s="43">
        <f>SUM(GE5:GE32)</f>
        <v/>
      </c>
      <c r="GF34" s="43">
        <f>SUM(GF5:GF32)</f>
        <v/>
      </c>
      <c r="GG34" s="43">
        <f>SUM(GG5:GG32)</f>
        <v/>
      </c>
      <c r="GH34" s="43">
        <f>SUM(GH5:GH32)</f>
        <v/>
      </c>
      <c r="GI34" s="43">
        <f>SUM(GI5:GI32)</f>
        <v/>
      </c>
      <c r="GJ34" s="43">
        <f>SUM(GJ5:GJ32)</f>
        <v/>
      </c>
      <c r="GK34" s="43">
        <f>SUM(GK5:GK32)</f>
        <v/>
      </c>
      <c r="GL34" s="43">
        <f>SUM(GL5:GL32)</f>
        <v/>
      </c>
      <c r="GM34" s="43">
        <f>SUM(GM5:GM32)</f>
        <v/>
      </c>
      <c r="GN34" s="43">
        <f>SUM(GN5:GN32)</f>
        <v/>
      </c>
      <c r="GO34" s="43">
        <f>SUM(GO5:GO32)</f>
        <v/>
      </c>
      <c r="GP34" s="43">
        <f>SUM(GP5:GP32)</f>
        <v/>
      </c>
      <c r="GQ34" s="43">
        <f>SUM(GQ5:GQ32)</f>
        <v/>
      </c>
      <c r="GR34" s="43">
        <f>SUM(GR5:GR32)</f>
        <v/>
      </c>
      <c r="GS34" s="43">
        <f>SUM(GS5:GS32)</f>
        <v/>
      </c>
      <c r="GT34" s="43">
        <f>SUM(GT5:GT32)</f>
        <v/>
      </c>
      <c r="GU34" s="43">
        <f>SUM(GU5:GU32)</f>
        <v/>
      </c>
      <c r="GV34" s="43">
        <f>SUM(GV5:GV32)</f>
        <v/>
      </c>
      <c r="GW34" s="43">
        <f>SUM(GW5:GW32)</f>
        <v/>
      </c>
      <c r="GX34" s="43">
        <f>SUM(GX5:GX32)</f>
        <v/>
      </c>
      <c r="GY34" s="43">
        <f>SUM(GY5:GY32)</f>
        <v/>
      </c>
      <c r="GZ34" s="43">
        <f>SUM(GZ5:GZ32)</f>
        <v/>
      </c>
      <c r="HA34" s="43">
        <f>SUM(HA5:HA32)</f>
        <v/>
      </c>
      <c r="HB34" s="43">
        <f>SUM(HB5:HB32)</f>
        <v/>
      </c>
      <c r="HC34" s="43">
        <f>SUM(HC5:HC32)</f>
        <v/>
      </c>
      <c r="HD34" s="43">
        <f>SUM(HD5:HD32)</f>
        <v/>
      </c>
      <c r="HE34" s="43">
        <f>SUM(HE5:HE32)</f>
        <v/>
      </c>
      <c r="HF34" s="43">
        <f>SUM(HF5:HF32)</f>
        <v/>
      </c>
      <c r="HG34" s="43">
        <f>SUM(HG5:HG32)</f>
        <v/>
      </c>
      <c r="HH34" s="43">
        <f>SUM(HH5:HH32)</f>
        <v/>
      </c>
      <c r="HI34" s="43">
        <f>SUM(HI5:HI32)</f>
        <v/>
      </c>
      <c r="HJ34" s="43">
        <f>SUM(HJ5:HJ32)</f>
        <v/>
      </c>
      <c r="HK34" s="43">
        <f>SUM(HK5:HK32)</f>
        <v/>
      </c>
      <c r="HL34" s="43">
        <f>SUM(HL5:HL32)</f>
        <v/>
      </c>
      <c r="HM34" s="43">
        <f>SUM(HM5:HM32)</f>
        <v/>
      </c>
      <c r="HN34" s="43">
        <f>SUM(HN5:HN32)</f>
        <v/>
      </c>
      <c r="HO34" s="43">
        <f>SUM(HO5:HO32)</f>
        <v/>
      </c>
      <c r="HP34" s="43">
        <f>SUM(HP5:HP32)</f>
        <v/>
      </c>
      <c r="HQ34" s="43">
        <f>SUM(HQ5:HQ32)</f>
        <v/>
      </c>
      <c r="HR34" s="43">
        <f>SUM(HR5:HR32)</f>
        <v/>
      </c>
      <c r="HS34" s="43">
        <f>SUM(HS5:HS32)</f>
        <v/>
      </c>
      <c r="HT34" s="43">
        <f>SUM(HT5:HT32)</f>
        <v/>
      </c>
      <c r="HU34" s="43">
        <f>SUM(HU5:HU32)</f>
        <v/>
      </c>
      <c r="HV34" s="43">
        <f>SUM(HV5:HV32)</f>
        <v/>
      </c>
      <c r="HW34" s="43">
        <f>SUM(HW5:HW32)</f>
        <v/>
      </c>
      <c r="HX34" s="43">
        <f>SUM(HX5:HX32)</f>
        <v/>
      </c>
      <c r="HY34" s="43">
        <f>SUM(HY5:HY32)</f>
        <v/>
      </c>
      <c r="HZ34" s="43">
        <f>SUM(HZ5:HZ32)</f>
        <v/>
      </c>
      <c r="IA34" s="43">
        <f>SUM(IA5:IA32)</f>
        <v/>
      </c>
      <c r="IB34" s="43">
        <f>SUM(IB5:IB32)</f>
        <v/>
      </c>
      <c r="IC34" s="43">
        <f>SUM(IC5:IC32)</f>
        <v/>
      </c>
      <c r="ID34" s="43">
        <f>SUM(ID5:ID32)</f>
        <v/>
      </c>
      <c r="IE34" s="43">
        <f>SUM(IE5:IE32)</f>
        <v/>
      </c>
      <c r="IF34" s="43">
        <f>SUM(IF5:IF32)</f>
        <v/>
      </c>
      <c r="IG34" s="43">
        <f>SUM(IG5:IG32)</f>
        <v/>
      </c>
      <c r="IH34" s="43">
        <f>SUM(IH5:IH32)</f>
        <v/>
      </c>
      <c r="II34" s="43">
        <f>SUM(II5:II32)</f>
        <v/>
      </c>
      <c r="IJ34" s="43">
        <f>SUM(IJ5:IJ32)</f>
        <v/>
      </c>
      <c r="IK34" s="43">
        <f>SUM(IK5:IK32)</f>
        <v/>
      </c>
      <c r="IL34" s="43">
        <f>SUM(IL5:IL32)</f>
        <v/>
      </c>
      <c r="IM34" s="43">
        <f>SUM(IM5:IM32)</f>
        <v/>
      </c>
      <c r="IN34" s="43">
        <f>SUM(IN5:IN32)</f>
        <v/>
      </c>
      <c r="IO34" s="43">
        <f>SUM(IO5:IO32)</f>
        <v/>
      </c>
      <c r="IP34" s="43">
        <f>SUM(IP5:IP32)</f>
        <v/>
      </c>
      <c r="IQ34" s="43">
        <f>SUM(IQ5:IQ32)</f>
        <v/>
      </c>
      <c r="IR34" s="43">
        <f>SUM(IR5:IR32)</f>
        <v/>
      </c>
      <c r="IS34" s="43">
        <f>SUM(IS5:IS32)</f>
        <v/>
      </c>
      <c r="IT34" s="43">
        <f>SUM(IT5:IT32)</f>
        <v/>
      </c>
      <c r="IU34" s="43">
        <f>SUM(IU5:IU32)</f>
        <v/>
      </c>
      <c r="IV34" s="43">
        <f>SUM(IV5:IV32)</f>
        <v/>
      </c>
      <c r="IW34" s="43">
        <f>SUM(IW5:IW32)</f>
        <v/>
      </c>
      <c r="IX34" s="43">
        <f>SUM(IX5:IX32)</f>
        <v/>
      </c>
      <c r="IY34" s="43">
        <f>SUM(IY5:IY32)</f>
        <v/>
      </c>
      <c r="IZ34" s="43">
        <f>SUM(IZ5:IZ32)</f>
        <v/>
      </c>
      <c r="JA34" s="43">
        <f>SUM(JA5:JA32)</f>
        <v/>
      </c>
      <c r="JB34" s="43">
        <f>SUM(JB5:JB32)</f>
        <v/>
      </c>
      <c r="JC34" s="43">
        <f>SUM(JC5:JC32)</f>
        <v/>
      </c>
      <c r="JD34" s="43">
        <f>SUM(JD5:JD32)</f>
        <v/>
      </c>
      <c r="JE34" s="43">
        <f>SUM(JE5:JE32)</f>
        <v/>
      </c>
      <c r="JF34" s="43">
        <f>SUM(JF5:JF32)</f>
        <v/>
      </c>
      <c r="JG34" s="43">
        <f>SUM(JG5:JG32)</f>
        <v/>
      </c>
      <c r="JH34" s="43">
        <f>SUM(JH5:JH32)</f>
        <v/>
      </c>
      <c r="JI34" s="43">
        <f>SUM(JI5:JI32)</f>
        <v/>
      </c>
      <c r="JJ34" s="43">
        <f>SUM(JJ5:JJ32)</f>
        <v/>
      </c>
      <c r="JK34" s="43">
        <f>SUM(JK5:JK32)</f>
        <v/>
      </c>
      <c r="JL34" s="43">
        <f>SUM(JL5:JL32)</f>
        <v/>
      </c>
      <c r="JM34" s="43">
        <f>SUM(JM5:JM32)</f>
        <v/>
      </c>
      <c r="JN34" s="43">
        <f>SUM(JN5:JN32)</f>
        <v/>
      </c>
      <c r="JO34" s="43">
        <f>SUM(JO5:JO32)</f>
        <v/>
      </c>
      <c r="JP34" s="43">
        <f>SUM(JP5:JP32)</f>
        <v/>
      </c>
      <c r="JQ34" s="43">
        <f>SUM(JQ5:JQ32)</f>
        <v/>
      </c>
      <c r="JR34" s="43">
        <f>SUM(JR5:JR32)</f>
        <v/>
      </c>
      <c r="JS34" s="43">
        <f>SUM(JS5:JS32)</f>
        <v/>
      </c>
      <c r="JT34" s="43">
        <f>SUM(JT5:JT32)</f>
        <v/>
      </c>
      <c r="JU34" s="43">
        <f>SUM(JU5:JU32)</f>
        <v/>
      </c>
      <c r="JV34" s="43">
        <f>SUM(JV5:JV32)</f>
        <v/>
      </c>
      <c r="JW34" s="43">
        <f>SUM(JW5:JW32)</f>
        <v/>
      </c>
      <c r="JX34" s="43">
        <f>SUM(JX5:JX32)</f>
        <v/>
      </c>
      <c r="JY34" s="43">
        <f>SUM(JY5:JY32)</f>
        <v/>
      </c>
      <c r="JZ34" s="43">
        <f>SUM(JZ5:JZ32)</f>
        <v/>
      </c>
      <c r="KA34" s="43">
        <f>SUM(KA5:KA32)</f>
        <v/>
      </c>
      <c r="KB34" s="43">
        <f>SUM(KB5:KB32)</f>
        <v/>
      </c>
      <c r="KC34" s="43">
        <f>SUM(KC5:KC32)</f>
        <v/>
      </c>
      <c r="KD34" s="43">
        <f>SUM(KD5:KD32)</f>
        <v/>
      </c>
      <c r="KE34" s="43">
        <f>SUM(KE5:KE32)</f>
        <v/>
      </c>
      <c r="KF34" s="43">
        <f>SUM(KF5:KF32)</f>
        <v/>
      </c>
      <c r="KG34" s="43">
        <f>SUM(KG5:KG32)</f>
        <v/>
      </c>
      <c r="KH34" s="43">
        <f>SUM(KH5:KH32)</f>
        <v/>
      </c>
      <c r="KI34" s="43">
        <f>SUM(KI5:KI32)</f>
        <v/>
      </c>
      <c r="KJ34" s="43">
        <f>SUM(KJ5:KJ32)</f>
        <v/>
      </c>
      <c r="KK34" s="43">
        <f>SUM(KK5:KK32)</f>
        <v/>
      </c>
      <c r="KL34" s="43">
        <f>SUM(KL5:KL32)</f>
        <v/>
      </c>
      <c r="KM34" s="43">
        <f>SUM(KM5:KM32)</f>
        <v/>
      </c>
      <c r="KN34" s="43">
        <f>SUM(KN5:KN32)</f>
        <v/>
      </c>
      <c r="KO34" s="43">
        <f>SUM(KO5:KO32)</f>
        <v/>
      </c>
      <c r="KP34" s="43">
        <f>SUM(KP5:KP32)</f>
        <v/>
      </c>
      <c r="KQ34" s="43">
        <f>SUM(KQ5:KQ32)</f>
        <v/>
      </c>
      <c r="KR34" s="43">
        <f>SUM(KR5:KR32)</f>
        <v/>
      </c>
      <c r="KS34" s="43">
        <f>SUM(KS5:KS32)</f>
        <v/>
      </c>
      <c r="KT34" s="43">
        <f>SUM(KT5:KT32)</f>
        <v/>
      </c>
      <c r="KU34" s="43">
        <f>SUM(KU5:KU32)</f>
        <v/>
      </c>
      <c r="KV34" s="43">
        <f>SUM(KV5:KV32)</f>
        <v/>
      </c>
      <c r="KW34" s="43">
        <f>SUM(KW5:KW32)</f>
        <v/>
      </c>
      <c r="KX34" s="43">
        <f>SUM(KX5:KX32)</f>
        <v/>
      </c>
      <c r="KY34" s="43">
        <f>SUM(KY5:KY32)</f>
        <v/>
      </c>
      <c r="KZ34" s="43">
        <f>SUM(KZ5:KZ32)</f>
        <v/>
      </c>
      <c r="LA34" s="43">
        <f>SUM(LA5:LA32)</f>
        <v/>
      </c>
      <c r="LB34" s="43">
        <f>SUM(LB5:LB32)</f>
        <v/>
      </c>
      <c r="LC34" s="43">
        <f>SUM(LC5:LC32)</f>
        <v/>
      </c>
      <c r="LD34" s="43">
        <f>SUM(LD5:LD32)</f>
        <v/>
      </c>
      <c r="LE34" s="43">
        <f>SUM(LE5:LE32)</f>
        <v/>
      </c>
      <c r="LF34" s="43">
        <f>SUM(LF5:LF32)</f>
        <v/>
      </c>
      <c r="LG34" s="43">
        <f>SUM(LG5:LG32)</f>
        <v/>
      </c>
      <c r="LH34" s="43">
        <f>SUM(LH5:LH32)</f>
        <v/>
      </c>
      <c r="LI34" s="43">
        <f>SUM(LI5:LI32)</f>
        <v/>
      </c>
      <c r="LJ34" s="43">
        <f>SUM(LJ5:LJ32)</f>
        <v/>
      </c>
      <c r="LK34" s="43">
        <f>SUM(LK5:LK32)</f>
        <v/>
      </c>
      <c r="LL34" s="43">
        <f>SUM(LL5:LL32)</f>
        <v/>
      </c>
      <c r="LM34" s="43">
        <f>SUM(LM5:LM32)</f>
        <v/>
      </c>
      <c r="LN34" s="43">
        <f>SUM(LN5:LN32)</f>
        <v/>
      </c>
      <c r="LO34" s="43">
        <f>SUM(LO5:LO32)</f>
        <v/>
      </c>
      <c r="LP34" s="43">
        <f>SUM(LP5:LP32)</f>
        <v/>
      </c>
      <c r="LQ34" s="43">
        <f>SUM(LQ5:LQ32)</f>
        <v/>
      </c>
      <c r="LR34" s="43">
        <f>SUM(LR5:LR32)</f>
        <v/>
      </c>
      <c r="LS34" s="43">
        <f>SUM(LS5:LS32)</f>
        <v/>
      </c>
      <c r="LT34" s="43">
        <f>SUM(LT5:LT32)</f>
        <v/>
      </c>
      <c r="LU34" s="43">
        <f>SUM(LU5:LU32)</f>
        <v/>
      </c>
      <c r="LV34" s="43">
        <f>SUM(LV5:LV32)</f>
        <v/>
      </c>
      <c r="LW34" s="43">
        <f>SUM(LW5:LW32)</f>
        <v/>
      </c>
      <c r="LX34" s="43">
        <f>SUM(LX5:LX32)</f>
        <v/>
      </c>
      <c r="LY34" s="43">
        <f>SUM(LY5:LY32)</f>
        <v/>
      </c>
      <c r="LZ34" s="43">
        <f>SUM(LZ5:LZ32)</f>
        <v/>
      </c>
      <c r="MA34" s="43">
        <f>SUM(MA5:MA32)</f>
        <v/>
      </c>
      <c r="MB34" s="43">
        <f>SUM(MB5:MB32)</f>
        <v/>
      </c>
      <c r="MC34" s="43">
        <f>SUM(MC5:MC32)</f>
        <v/>
      </c>
      <c r="MD34" s="43">
        <f>SUM(MD5:MD32)</f>
        <v/>
      </c>
      <c r="ME34" s="43">
        <f>SUM(ME5:ME32)</f>
        <v/>
      </c>
      <c r="MF34" s="43">
        <f>SUM(MF5:MF32)</f>
        <v/>
      </c>
      <c r="MG34" s="43">
        <f>SUM(MG5:MG32)</f>
        <v/>
      </c>
      <c r="MH34" s="43">
        <f>SUM(MH5:MH32)</f>
        <v/>
      </c>
      <c r="MI34" s="43">
        <f>SUM(MI5:MI32)</f>
        <v/>
      </c>
      <c r="MJ34" s="43">
        <f>SUM(MJ5:MJ32)</f>
        <v/>
      </c>
      <c r="MK34" s="43">
        <f>SUM(MK5:MK32)</f>
        <v/>
      </c>
      <c r="ML34" s="43">
        <f>SUM(ML5:ML32)</f>
        <v/>
      </c>
      <c r="MM34" s="43">
        <f>SUM(MM5:MM32)</f>
        <v/>
      </c>
      <c r="MN34" s="43">
        <f>SUM(MN5:MN32)</f>
        <v/>
      </c>
      <c r="MO34" s="43">
        <f>SUM(MO5:MO32)</f>
        <v/>
      </c>
      <c r="MP34" s="43">
        <f>SUM(MP5:MP32)</f>
        <v/>
      </c>
      <c r="MQ34" s="43">
        <f>SUM(MQ5:MQ32)</f>
        <v/>
      </c>
      <c r="MR34" s="43">
        <f>SUM(MR5:MR32)</f>
        <v/>
      </c>
      <c r="MS34" s="43">
        <f>SUM(MS5:MS32)</f>
        <v/>
      </c>
      <c r="MT34" s="43">
        <f>SUM(MT5:MT32)</f>
        <v/>
      </c>
      <c r="MU34" s="43">
        <f>SUM(MU5:MU32)</f>
        <v/>
      </c>
      <c r="MV34" s="43">
        <f>SUM(MV5:MV32)</f>
        <v/>
      </c>
      <c r="MW34" s="43">
        <f>SUM(MW5:MW32)</f>
        <v/>
      </c>
      <c r="MX34" s="43">
        <f>SUM(MX5:MX32)</f>
        <v/>
      </c>
      <c r="MY34" s="43">
        <f>SUM(MY5:MY32)</f>
        <v/>
      </c>
      <c r="MZ34" s="43">
        <f>SUM(MZ5:MZ32)</f>
        <v/>
      </c>
      <c r="NA34" s="43">
        <f>SUM(NA5:NA32)</f>
        <v/>
      </c>
      <c r="NB34" s="43">
        <f>SUM(NB5:NB32)</f>
        <v/>
      </c>
      <c r="NC34" s="43">
        <f>SUM(NC5:NC32)</f>
        <v/>
      </c>
      <c r="ND34" s="43">
        <f>SUM(ND5:ND32)</f>
        <v/>
      </c>
      <c r="NE34" s="43">
        <f>SUM(NE5:NE32)</f>
        <v/>
      </c>
      <c r="NF34" s="43">
        <f>SUM(NF5:NF32)</f>
        <v/>
      </c>
      <c r="NG34" s="43">
        <f>SUM(NG5:NG32)</f>
        <v/>
      </c>
      <c r="NH34" s="43">
        <f>SUM(NH5:NH32)</f>
        <v/>
      </c>
      <c r="NI34" s="43">
        <f>SUM(NI5:NI32)</f>
        <v/>
      </c>
      <c r="NJ34" s="43">
        <f>SUM(NJ5:NJ32)</f>
        <v/>
      </c>
      <c r="NK34" s="43">
        <f>SUM(NK5:NK32)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7">
      <c r="A37" s="3" t="inlineStr">
        <is>
          <t>Cost-Curve Reconciliation</t>
        </is>
      </c>
      <c r="B37" s="4" t="n"/>
      <c r="C37" s="4" t="n"/>
    </row>
    <row r="38">
      <c r="A38" s="5" t="inlineStr">
        <is>
          <t>Max |line curve sum − Budget total|</t>
        </is>
      </c>
      <c r="C38" s="43">
        <f>MAX(ABS('DevSpend'!$C$5-Budget!I5),ABS('DevSpend'!$C$6-Budget!I6),ABS('DevSpend'!$C$7-Budget!I7),ABS('DevSpend'!$C$8-Budget!I8),ABS('DevSpend'!$C$9-Budget!I9),ABS('DevSpend'!$C$10-Budget!I10),ABS('DevSpend'!$C$11-Budget!I11),ABS('DevSpend'!$C$12-Budget!I12),ABS('DevSpend'!$C$13-Budget!I13),ABS('DevSpend'!$C$14-Budget!I14),ABS('DevSpend'!$C$15-Budget!I15),ABS('DevSpend'!$C$16-Budget!I16),ABS('DevSpend'!$C$17-Budget!I17),ABS('DevSpend'!$C$18-Budget!I18),ABS('DevSpend'!$C$19-Budget!I19),ABS('DevSpend'!$C$20-Budget!I20),ABS('DevSpend'!$C$21-Budget!I21),ABS('DevSpend'!$C$22-Budget!I22),ABS('DevSpend'!$C$23-Budget!I23),ABS('DevSpend'!$C$24-Budget!I24),ABS('DevSpend'!$C$25-Budget!I25),ABS('DevSpend'!$C$26-Budget!I26),ABS('DevSpend'!$C$27-Budget!I27),ABS('DevSpend'!$C$28-Budget!I28),ABS('DevSpend'!$C$29-Budget!I29),ABS('DevSpend'!$C$30-Budget!I30),ABS('DevSpend'!$C$31-Budget!I31),ABS('DevSpend'!$C$32-Budget!I32))</f>
        <v/>
      </c>
    </row>
    <row r="39">
      <c r="A39" s="5" t="inlineStr">
        <is>
          <t>Dev fee curve sum − DevFee</t>
        </is>
      </c>
      <c r="C39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K4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4" customWidth="1" min="1" max="1"/>
    <col width="18" customWidth="1" min="2" max="2"/>
    <col width="16" customWidth="1" min="3" max="3"/>
  </cols>
  <sheetData>
    <row r="1">
      <c r="A1" s="1" t="inlineStr">
        <is>
          <t>Construction Loan — Sizing &amp; Monthly Draw Schedule</t>
        </is>
      </c>
    </row>
    <row r="3">
      <c r="A3" s="15" t="inlineStr">
        <is>
          <t>Loan Sizing (min of LTC / Debt Yield / DSCR)</t>
        </is>
      </c>
      <c r="B3" s="23" t="n"/>
      <c r="C3" s="23" t="n"/>
    </row>
    <row r="4">
      <c r="A4" s="5" t="inlineStr">
        <is>
          <t>Cost Basis for LTC (excl. cap. int.)</t>
        </is>
      </c>
      <c r="B4" s="44">
        <f>DirectCosts+DevFee+ConOtherCosts+OpReserve</f>
        <v/>
      </c>
    </row>
    <row r="5">
      <c r="A5" s="5" t="inlineStr">
        <is>
          <t>Max Loan by Target LTC</t>
        </is>
      </c>
      <c r="B5" s="44">
        <f>TargetLTC*ConCostBasis</f>
        <v/>
      </c>
    </row>
    <row r="6">
      <c r="A6" s="5" t="inlineStr">
        <is>
          <t>Max Loan by Min Debt Yield</t>
        </is>
      </c>
      <c r="B6" s="44">
        <f>StabNOI/ConMinDebtYield</f>
        <v/>
      </c>
    </row>
    <row r="7">
      <c r="A7" s="5" t="inlineStr">
        <is>
          <t>Max Loan by Min DSCR (I/O)</t>
        </is>
      </c>
      <c r="B7" s="44">
        <f>StabNOI/(ConMinDSCR*ConRate)</f>
        <v/>
      </c>
    </row>
    <row r="8">
      <c r="A8" s="5" t="inlineStr">
        <is>
          <t>Construction Loan Commitment</t>
        </is>
      </c>
      <c r="B8" s="44">
        <f>MIN(MaxByLTC,MaxByDebtYield,MaxByDSCR)</f>
        <v/>
      </c>
    </row>
    <row r="9">
      <c r="A9" s="5" t="inlineStr">
        <is>
          <t>Origination Points</t>
        </is>
      </c>
      <c r="B9" s="44">
        <f>ConPointsPct*ConCostCommit</f>
        <v/>
      </c>
    </row>
    <row r="10">
      <c r="A10" s="5" t="inlineStr">
        <is>
          <t>Loan Recourse / Indemnity Fee</t>
        </is>
      </c>
      <c r="B10" s="44">
        <f>RecourseFeePct*ConCostCommit</f>
        <v/>
      </c>
    </row>
    <row r="11">
      <c r="A11" s="5" t="inlineStr">
        <is>
          <t>Total Uses ex-Interest (final)</t>
        </is>
      </c>
      <c r="B11" s="44">
        <f>DirectCosts+DevFee+ConOtherCosts+ConPoints+RecourseFee+OpReserve</f>
        <v/>
      </c>
    </row>
    <row r="12">
      <c r="A12" s="5" t="inlineStr">
        <is>
          <t>Debt Share of Uses</t>
        </is>
      </c>
      <c r="B12" s="45">
        <f>ConCostCommit/ConCostExInt</f>
        <v/>
      </c>
    </row>
    <row r="13">
      <c r="A13" s="5" t="inlineStr">
        <is>
          <t>Equity Budget (ex-Interest)</t>
        </is>
      </c>
      <c r="B13" s="44">
        <f>ConCostExInt-ConCostCommit</f>
        <v/>
      </c>
    </row>
    <row r="15">
      <c r="A15" s="15" t="inlineStr">
        <is>
          <t>Construction Sizing Tests</t>
        </is>
      </c>
      <c r="B15" s="23" t="n"/>
      <c r="C15" s="23" t="n"/>
    </row>
    <row r="16">
      <c r="A16" s="5" t="inlineStr">
        <is>
          <t>Debt Yield at Commitment</t>
        </is>
      </c>
      <c r="B16" s="46">
        <f>StabNOI/ConCostCommit</f>
        <v/>
      </c>
    </row>
    <row r="17">
      <c r="A17" s="5" t="inlineStr">
        <is>
          <t>DSCR at Commitment (I/O)</t>
        </is>
      </c>
      <c r="B17" s="47">
        <f>StabNOI/(ConRate*ConCostCommit)</f>
        <v/>
      </c>
    </row>
    <row r="18">
      <c r="A18" s="5" t="inlineStr">
        <is>
          <t>Realized LTC (incl. int.)</t>
        </is>
      </c>
      <c r="B18" s="46">
        <f>ConLoanTotal/TDC_Total</f>
        <v/>
      </c>
    </row>
    <row r="19">
      <c r="A19" s="5" t="inlineStr">
        <is>
          <t>Debt Yield Test Pass</t>
        </is>
      </c>
      <c r="B19" s="42">
        <f>IF(ConDYtest&gt;=ConMinDebtYield,"PASS","FAIL")</f>
        <v/>
      </c>
    </row>
    <row r="20">
      <c r="A20" s="5" t="inlineStr">
        <is>
          <t>DSCR Test Pass</t>
        </is>
      </c>
      <c r="B20" s="42">
        <f>IF(ConDSCRtest&gt;=ConMinDSCR,"PASS","FAIL")</f>
        <v/>
      </c>
    </row>
    <row r="22">
      <c r="A22" s="3" t="inlineStr">
        <is>
          <t>Monthly Draw Schedule</t>
        </is>
      </c>
      <c r="B22" s="4" t="n"/>
      <c r="C22" s="4" t="n"/>
    </row>
    <row r="23">
      <c r="A23" s="36" t="inlineStr">
        <is>
          <t>Period →</t>
        </is>
      </c>
      <c r="C23" s="27" t="inlineStr">
        <is>
          <t>Total</t>
        </is>
      </c>
      <c r="D23" s="37" t="n">
        <v>1</v>
      </c>
      <c r="E23" s="37" t="n">
        <v>2</v>
      </c>
      <c r="F23" s="37" t="n">
        <v>3</v>
      </c>
      <c r="G23" s="37" t="n">
        <v>4</v>
      </c>
      <c r="H23" s="37" t="n">
        <v>5</v>
      </c>
      <c r="I23" s="37" t="n">
        <v>6</v>
      </c>
      <c r="J23" s="37" t="n">
        <v>7</v>
      </c>
      <c r="K23" s="37" t="n">
        <v>8</v>
      </c>
      <c r="L23" s="37" t="n">
        <v>9</v>
      </c>
      <c r="M23" s="37" t="n">
        <v>10</v>
      </c>
      <c r="N23" s="37" t="n">
        <v>11</v>
      </c>
      <c r="O23" s="37" t="n">
        <v>12</v>
      </c>
      <c r="P23" s="37" t="n">
        <v>13</v>
      </c>
      <c r="Q23" s="37" t="n">
        <v>14</v>
      </c>
      <c r="R23" s="37" t="n">
        <v>15</v>
      </c>
      <c r="S23" s="37" t="n">
        <v>16</v>
      </c>
      <c r="T23" s="37" t="n">
        <v>17</v>
      </c>
      <c r="U23" s="37" t="n">
        <v>18</v>
      </c>
      <c r="V23" s="37" t="n">
        <v>19</v>
      </c>
      <c r="W23" s="37" t="n">
        <v>20</v>
      </c>
      <c r="X23" s="37" t="n">
        <v>21</v>
      </c>
      <c r="Y23" s="37" t="n">
        <v>22</v>
      </c>
      <c r="Z23" s="37" t="n">
        <v>23</v>
      </c>
      <c r="AA23" s="37" t="n">
        <v>24</v>
      </c>
      <c r="AB23" s="37" t="n">
        <v>25</v>
      </c>
      <c r="AC23" s="37" t="n">
        <v>26</v>
      </c>
      <c r="AD23" s="37" t="n">
        <v>27</v>
      </c>
      <c r="AE23" s="37" t="n">
        <v>28</v>
      </c>
      <c r="AF23" s="37" t="n">
        <v>29</v>
      </c>
      <c r="AG23" s="37" t="n">
        <v>30</v>
      </c>
      <c r="AH23" s="37" t="n">
        <v>31</v>
      </c>
      <c r="AI23" s="37" t="n">
        <v>32</v>
      </c>
      <c r="AJ23" s="37" t="n">
        <v>33</v>
      </c>
      <c r="AK23" s="37" t="n">
        <v>34</v>
      </c>
      <c r="AL23" s="37" t="n">
        <v>35</v>
      </c>
      <c r="AM23" s="37" t="n">
        <v>36</v>
      </c>
      <c r="AN23" s="37" t="n">
        <v>37</v>
      </c>
      <c r="AO23" s="37" t="n">
        <v>38</v>
      </c>
      <c r="AP23" s="37" t="n">
        <v>39</v>
      </c>
      <c r="AQ23" s="37" t="n">
        <v>40</v>
      </c>
      <c r="AR23" s="37" t="n">
        <v>41</v>
      </c>
      <c r="AS23" s="37" t="n">
        <v>42</v>
      </c>
      <c r="AT23" s="37" t="n">
        <v>43</v>
      </c>
      <c r="AU23" s="37" t="n">
        <v>44</v>
      </c>
      <c r="AV23" s="37" t="n">
        <v>45</v>
      </c>
      <c r="AW23" s="37" t="n">
        <v>46</v>
      </c>
      <c r="AX23" s="37" t="n">
        <v>47</v>
      </c>
      <c r="AY23" s="37" t="n">
        <v>48</v>
      </c>
      <c r="AZ23" s="37" t="n">
        <v>49</v>
      </c>
      <c r="BA23" s="37" t="n">
        <v>50</v>
      </c>
      <c r="BB23" s="37" t="n">
        <v>51</v>
      </c>
      <c r="BC23" s="37" t="n">
        <v>52</v>
      </c>
      <c r="BD23" s="37" t="n">
        <v>53</v>
      </c>
      <c r="BE23" s="37" t="n">
        <v>54</v>
      </c>
      <c r="BF23" s="37" t="n">
        <v>55</v>
      </c>
      <c r="BG23" s="37" t="n">
        <v>56</v>
      </c>
      <c r="BH23" s="37" t="n">
        <v>57</v>
      </c>
      <c r="BI23" s="37" t="n">
        <v>58</v>
      </c>
      <c r="BJ23" s="37" t="n">
        <v>59</v>
      </c>
      <c r="BK23" s="37" t="n">
        <v>60</v>
      </c>
      <c r="BL23" s="37" t="n">
        <v>61</v>
      </c>
      <c r="BM23" s="37" t="n">
        <v>62</v>
      </c>
      <c r="BN23" s="37" t="n">
        <v>63</v>
      </c>
      <c r="BO23" s="37" t="n">
        <v>64</v>
      </c>
      <c r="BP23" s="37" t="n">
        <v>65</v>
      </c>
      <c r="BQ23" s="37" t="n">
        <v>66</v>
      </c>
      <c r="BR23" s="37" t="n">
        <v>67</v>
      </c>
      <c r="BS23" s="37" t="n">
        <v>68</v>
      </c>
      <c r="BT23" s="37" t="n">
        <v>69</v>
      </c>
      <c r="BU23" s="37" t="n">
        <v>70</v>
      </c>
      <c r="BV23" s="37" t="n">
        <v>71</v>
      </c>
      <c r="BW23" s="37" t="n">
        <v>72</v>
      </c>
      <c r="BX23" s="37" t="n">
        <v>73</v>
      </c>
      <c r="BY23" s="37" t="n">
        <v>74</v>
      </c>
      <c r="BZ23" s="37" t="n">
        <v>75</v>
      </c>
      <c r="CA23" s="37" t="n">
        <v>76</v>
      </c>
      <c r="CB23" s="37" t="n">
        <v>77</v>
      </c>
      <c r="CC23" s="37" t="n">
        <v>78</v>
      </c>
      <c r="CD23" s="37" t="n">
        <v>79</v>
      </c>
      <c r="CE23" s="37" t="n">
        <v>80</v>
      </c>
      <c r="CF23" s="37" t="n">
        <v>81</v>
      </c>
      <c r="CG23" s="37" t="n">
        <v>82</v>
      </c>
      <c r="CH23" s="37" t="n">
        <v>83</v>
      </c>
      <c r="CI23" s="37" t="n">
        <v>84</v>
      </c>
      <c r="CJ23" s="37" t="n">
        <v>85</v>
      </c>
      <c r="CK23" s="37" t="n">
        <v>86</v>
      </c>
      <c r="CL23" s="37" t="n">
        <v>87</v>
      </c>
      <c r="CM23" s="37" t="n">
        <v>88</v>
      </c>
      <c r="CN23" s="37" t="n">
        <v>89</v>
      </c>
      <c r="CO23" s="37" t="n">
        <v>90</v>
      </c>
      <c r="CP23" s="37" t="n">
        <v>91</v>
      </c>
      <c r="CQ23" s="37" t="n">
        <v>92</v>
      </c>
      <c r="CR23" s="37" t="n">
        <v>93</v>
      </c>
      <c r="CS23" s="37" t="n">
        <v>94</v>
      </c>
      <c r="CT23" s="37" t="n">
        <v>95</v>
      </c>
      <c r="CU23" s="37" t="n">
        <v>96</v>
      </c>
      <c r="CV23" s="37" t="n">
        <v>97</v>
      </c>
      <c r="CW23" s="37" t="n">
        <v>98</v>
      </c>
      <c r="CX23" s="37" t="n">
        <v>99</v>
      </c>
      <c r="CY23" s="37" t="n">
        <v>100</v>
      </c>
      <c r="CZ23" s="37" t="n">
        <v>101</v>
      </c>
      <c r="DA23" s="37" t="n">
        <v>102</v>
      </c>
      <c r="DB23" s="37" t="n">
        <v>103</v>
      </c>
      <c r="DC23" s="37" t="n">
        <v>104</v>
      </c>
      <c r="DD23" s="37" t="n">
        <v>105</v>
      </c>
      <c r="DE23" s="37" t="n">
        <v>106</v>
      </c>
      <c r="DF23" s="37" t="n">
        <v>107</v>
      </c>
      <c r="DG23" s="37" t="n">
        <v>108</v>
      </c>
      <c r="DH23" s="37" t="n">
        <v>109</v>
      </c>
      <c r="DI23" s="37" t="n">
        <v>110</v>
      </c>
      <c r="DJ23" s="37" t="n">
        <v>111</v>
      </c>
      <c r="DK23" s="37" t="n">
        <v>112</v>
      </c>
      <c r="DL23" s="37" t="n">
        <v>113</v>
      </c>
      <c r="DM23" s="37" t="n">
        <v>114</v>
      </c>
      <c r="DN23" s="37" t="n">
        <v>115</v>
      </c>
      <c r="DO23" s="37" t="n">
        <v>116</v>
      </c>
      <c r="DP23" s="37" t="n">
        <v>117</v>
      </c>
      <c r="DQ23" s="37" t="n">
        <v>118</v>
      </c>
      <c r="DR23" s="37" t="n">
        <v>119</v>
      </c>
      <c r="DS23" s="37" t="n">
        <v>120</v>
      </c>
      <c r="DT23" s="37" t="n">
        <v>121</v>
      </c>
      <c r="DU23" s="37" t="n">
        <v>122</v>
      </c>
      <c r="DV23" s="37" t="n">
        <v>123</v>
      </c>
      <c r="DW23" s="37" t="n">
        <v>124</v>
      </c>
      <c r="DX23" s="37" t="n">
        <v>125</v>
      </c>
      <c r="DY23" s="37" t="n">
        <v>126</v>
      </c>
      <c r="DZ23" s="37" t="n">
        <v>127</v>
      </c>
      <c r="EA23" s="37" t="n">
        <v>128</v>
      </c>
      <c r="EB23" s="37" t="n">
        <v>129</v>
      </c>
      <c r="EC23" s="37" t="n">
        <v>130</v>
      </c>
      <c r="ED23" s="37" t="n">
        <v>131</v>
      </c>
      <c r="EE23" s="37" t="n">
        <v>132</v>
      </c>
      <c r="EF23" s="37" t="n">
        <v>133</v>
      </c>
      <c r="EG23" s="37" t="n">
        <v>134</v>
      </c>
      <c r="EH23" s="37" t="n">
        <v>135</v>
      </c>
      <c r="EI23" s="37" t="n">
        <v>136</v>
      </c>
      <c r="EJ23" s="37" t="n">
        <v>137</v>
      </c>
      <c r="EK23" s="37" t="n">
        <v>138</v>
      </c>
      <c r="EL23" s="37" t="n">
        <v>139</v>
      </c>
      <c r="EM23" s="37" t="n">
        <v>140</v>
      </c>
      <c r="EN23" s="37" t="n">
        <v>141</v>
      </c>
      <c r="EO23" s="37" t="n">
        <v>142</v>
      </c>
      <c r="EP23" s="37" t="n">
        <v>143</v>
      </c>
      <c r="EQ23" s="37" t="n">
        <v>144</v>
      </c>
      <c r="ER23" s="37" t="n">
        <v>145</v>
      </c>
      <c r="ES23" s="37" t="n">
        <v>146</v>
      </c>
      <c r="ET23" s="37" t="n">
        <v>147</v>
      </c>
      <c r="EU23" s="37" t="n">
        <v>148</v>
      </c>
      <c r="EV23" s="37" t="n">
        <v>149</v>
      </c>
      <c r="EW23" s="37" t="n">
        <v>150</v>
      </c>
      <c r="EX23" s="37" t="n">
        <v>151</v>
      </c>
      <c r="EY23" s="37" t="n">
        <v>152</v>
      </c>
      <c r="EZ23" s="37" t="n">
        <v>153</v>
      </c>
      <c r="FA23" s="37" t="n">
        <v>154</v>
      </c>
      <c r="FB23" s="37" t="n">
        <v>155</v>
      </c>
      <c r="FC23" s="37" t="n">
        <v>156</v>
      </c>
      <c r="FD23" s="37" t="n">
        <v>157</v>
      </c>
      <c r="FE23" s="37" t="n">
        <v>158</v>
      </c>
      <c r="FF23" s="37" t="n">
        <v>159</v>
      </c>
      <c r="FG23" s="37" t="n">
        <v>160</v>
      </c>
      <c r="FH23" s="37" t="n">
        <v>161</v>
      </c>
      <c r="FI23" s="37" t="n">
        <v>162</v>
      </c>
      <c r="FJ23" s="37" t="n">
        <v>163</v>
      </c>
      <c r="FK23" s="37" t="n">
        <v>164</v>
      </c>
      <c r="FL23" s="37" t="n">
        <v>165</v>
      </c>
      <c r="FM23" s="37" t="n">
        <v>166</v>
      </c>
      <c r="FN23" s="37" t="n">
        <v>167</v>
      </c>
      <c r="FO23" s="37" t="n">
        <v>168</v>
      </c>
      <c r="FP23" s="37" t="n">
        <v>169</v>
      </c>
      <c r="FQ23" s="37" t="n">
        <v>170</v>
      </c>
      <c r="FR23" s="37" t="n">
        <v>171</v>
      </c>
      <c r="FS23" s="37" t="n">
        <v>172</v>
      </c>
      <c r="FT23" s="37" t="n">
        <v>173</v>
      </c>
      <c r="FU23" s="37" t="n">
        <v>174</v>
      </c>
      <c r="FV23" s="37" t="n">
        <v>175</v>
      </c>
      <c r="FW23" s="37" t="n">
        <v>176</v>
      </c>
      <c r="FX23" s="37" t="n">
        <v>177</v>
      </c>
      <c r="FY23" s="37" t="n">
        <v>178</v>
      </c>
      <c r="FZ23" s="37" t="n">
        <v>179</v>
      </c>
      <c r="GA23" s="37" t="n">
        <v>180</v>
      </c>
      <c r="GB23" s="37" t="n">
        <v>181</v>
      </c>
      <c r="GC23" s="37" t="n">
        <v>182</v>
      </c>
      <c r="GD23" s="37" t="n">
        <v>183</v>
      </c>
      <c r="GE23" s="37" t="n">
        <v>184</v>
      </c>
      <c r="GF23" s="37" t="n">
        <v>185</v>
      </c>
      <c r="GG23" s="37" t="n">
        <v>186</v>
      </c>
      <c r="GH23" s="37" t="n">
        <v>187</v>
      </c>
      <c r="GI23" s="37" t="n">
        <v>188</v>
      </c>
      <c r="GJ23" s="37" t="n">
        <v>189</v>
      </c>
      <c r="GK23" s="37" t="n">
        <v>190</v>
      </c>
      <c r="GL23" s="37" t="n">
        <v>191</v>
      </c>
      <c r="GM23" s="37" t="n">
        <v>192</v>
      </c>
      <c r="GN23" s="37" t="n">
        <v>193</v>
      </c>
      <c r="GO23" s="37" t="n">
        <v>194</v>
      </c>
      <c r="GP23" s="37" t="n">
        <v>195</v>
      </c>
      <c r="GQ23" s="37" t="n">
        <v>196</v>
      </c>
      <c r="GR23" s="37" t="n">
        <v>197</v>
      </c>
      <c r="GS23" s="37" t="n">
        <v>198</v>
      </c>
      <c r="GT23" s="37" t="n">
        <v>199</v>
      </c>
      <c r="GU23" s="37" t="n">
        <v>200</v>
      </c>
      <c r="GV23" s="37" t="n">
        <v>201</v>
      </c>
      <c r="GW23" s="37" t="n">
        <v>202</v>
      </c>
      <c r="GX23" s="37" t="n">
        <v>203</v>
      </c>
      <c r="GY23" s="37" t="n">
        <v>204</v>
      </c>
      <c r="GZ23" s="37" t="n">
        <v>205</v>
      </c>
      <c r="HA23" s="37" t="n">
        <v>206</v>
      </c>
      <c r="HB23" s="37" t="n">
        <v>207</v>
      </c>
      <c r="HC23" s="37" t="n">
        <v>208</v>
      </c>
      <c r="HD23" s="37" t="n">
        <v>209</v>
      </c>
      <c r="HE23" s="37" t="n">
        <v>210</v>
      </c>
      <c r="HF23" s="37" t="n">
        <v>211</v>
      </c>
      <c r="HG23" s="37" t="n">
        <v>212</v>
      </c>
      <c r="HH23" s="37" t="n">
        <v>213</v>
      </c>
      <c r="HI23" s="37" t="n">
        <v>214</v>
      </c>
      <c r="HJ23" s="37" t="n">
        <v>215</v>
      </c>
      <c r="HK23" s="37" t="n">
        <v>216</v>
      </c>
      <c r="HL23" s="37" t="n">
        <v>217</v>
      </c>
      <c r="HM23" s="37" t="n">
        <v>218</v>
      </c>
      <c r="HN23" s="37" t="n">
        <v>219</v>
      </c>
      <c r="HO23" s="37" t="n">
        <v>220</v>
      </c>
      <c r="HP23" s="37" t="n">
        <v>221</v>
      </c>
      <c r="HQ23" s="37" t="n">
        <v>222</v>
      </c>
      <c r="HR23" s="37" t="n">
        <v>223</v>
      </c>
      <c r="HS23" s="37" t="n">
        <v>224</v>
      </c>
      <c r="HT23" s="37" t="n">
        <v>225</v>
      </c>
      <c r="HU23" s="37" t="n">
        <v>226</v>
      </c>
      <c r="HV23" s="37" t="n">
        <v>227</v>
      </c>
      <c r="HW23" s="37" t="n">
        <v>228</v>
      </c>
      <c r="HX23" s="37" t="n">
        <v>229</v>
      </c>
      <c r="HY23" s="37" t="n">
        <v>230</v>
      </c>
      <c r="HZ23" s="37" t="n">
        <v>231</v>
      </c>
      <c r="IA23" s="37" t="n">
        <v>232</v>
      </c>
      <c r="IB23" s="37" t="n">
        <v>233</v>
      </c>
      <c r="IC23" s="37" t="n">
        <v>234</v>
      </c>
      <c r="ID23" s="37" t="n">
        <v>235</v>
      </c>
      <c r="IE23" s="37" t="n">
        <v>236</v>
      </c>
      <c r="IF23" s="37" t="n">
        <v>237</v>
      </c>
      <c r="IG23" s="37" t="n">
        <v>238</v>
      </c>
      <c r="IH23" s="37" t="n">
        <v>239</v>
      </c>
      <c r="II23" s="37" t="n">
        <v>240</v>
      </c>
      <c r="IJ23" s="37" t="n">
        <v>241</v>
      </c>
      <c r="IK23" s="37" t="n">
        <v>242</v>
      </c>
      <c r="IL23" s="37" t="n">
        <v>243</v>
      </c>
      <c r="IM23" s="37" t="n">
        <v>244</v>
      </c>
      <c r="IN23" s="37" t="n">
        <v>245</v>
      </c>
      <c r="IO23" s="37" t="n">
        <v>246</v>
      </c>
      <c r="IP23" s="37" t="n">
        <v>247</v>
      </c>
      <c r="IQ23" s="37" t="n">
        <v>248</v>
      </c>
      <c r="IR23" s="37" t="n">
        <v>249</v>
      </c>
      <c r="IS23" s="37" t="n">
        <v>250</v>
      </c>
      <c r="IT23" s="37" t="n">
        <v>251</v>
      </c>
      <c r="IU23" s="37" t="n">
        <v>252</v>
      </c>
      <c r="IV23" s="37" t="n">
        <v>253</v>
      </c>
      <c r="IW23" s="37" t="n">
        <v>254</v>
      </c>
      <c r="IX23" s="37" t="n">
        <v>255</v>
      </c>
      <c r="IY23" s="37" t="n">
        <v>256</v>
      </c>
      <c r="IZ23" s="37" t="n">
        <v>257</v>
      </c>
      <c r="JA23" s="37" t="n">
        <v>258</v>
      </c>
      <c r="JB23" s="37" t="n">
        <v>259</v>
      </c>
      <c r="JC23" s="37" t="n">
        <v>260</v>
      </c>
      <c r="JD23" s="37" t="n">
        <v>261</v>
      </c>
      <c r="JE23" s="37" t="n">
        <v>262</v>
      </c>
      <c r="JF23" s="37" t="n">
        <v>263</v>
      </c>
      <c r="JG23" s="37" t="n">
        <v>264</v>
      </c>
      <c r="JH23" s="37" t="n">
        <v>265</v>
      </c>
      <c r="JI23" s="37" t="n">
        <v>266</v>
      </c>
      <c r="JJ23" s="37" t="n">
        <v>267</v>
      </c>
      <c r="JK23" s="37" t="n">
        <v>268</v>
      </c>
      <c r="JL23" s="37" t="n">
        <v>269</v>
      </c>
      <c r="JM23" s="37" t="n">
        <v>270</v>
      </c>
      <c r="JN23" s="37" t="n">
        <v>271</v>
      </c>
      <c r="JO23" s="37" t="n">
        <v>272</v>
      </c>
      <c r="JP23" s="37" t="n">
        <v>273</v>
      </c>
      <c r="JQ23" s="37" t="n">
        <v>274</v>
      </c>
      <c r="JR23" s="37" t="n">
        <v>275</v>
      </c>
      <c r="JS23" s="37" t="n">
        <v>276</v>
      </c>
      <c r="JT23" s="37" t="n">
        <v>277</v>
      </c>
      <c r="JU23" s="37" t="n">
        <v>278</v>
      </c>
      <c r="JV23" s="37" t="n">
        <v>279</v>
      </c>
      <c r="JW23" s="37" t="n">
        <v>280</v>
      </c>
      <c r="JX23" s="37" t="n">
        <v>281</v>
      </c>
      <c r="JY23" s="37" t="n">
        <v>282</v>
      </c>
      <c r="JZ23" s="37" t="n">
        <v>283</v>
      </c>
      <c r="KA23" s="37" t="n">
        <v>284</v>
      </c>
      <c r="KB23" s="37" t="n">
        <v>285</v>
      </c>
      <c r="KC23" s="37" t="n">
        <v>286</v>
      </c>
      <c r="KD23" s="37" t="n">
        <v>287</v>
      </c>
      <c r="KE23" s="37" t="n">
        <v>288</v>
      </c>
      <c r="KF23" s="37" t="n">
        <v>289</v>
      </c>
      <c r="KG23" s="37" t="n">
        <v>290</v>
      </c>
      <c r="KH23" s="37" t="n">
        <v>291</v>
      </c>
      <c r="KI23" s="37" t="n">
        <v>292</v>
      </c>
      <c r="KJ23" s="37" t="n">
        <v>293</v>
      </c>
      <c r="KK23" s="37" t="n">
        <v>294</v>
      </c>
      <c r="KL23" s="37" t="n">
        <v>295</v>
      </c>
      <c r="KM23" s="37" t="n">
        <v>296</v>
      </c>
      <c r="KN23" s="37" t="n">
        <v>297</v>
      </c>
      <c r="KO23" s="37" t="n">
        <v>298</v>
      </c>
      <c r="KP23" s="37" t="n">
        <v>299</v>
      </c>
      <c r="KQ23" s="37" t="n">
        <v>300</v>
      </c>
      <c r="KR23" s="37" t="n">
        <v>301</v>
      </c>
      <c r="KS23" s="37" t="n">
        <v>302</v>
      </c>
      <c r="KT23" s="37" t="n">
        <v>303</v>
      </c>
      <c r="KU23" s="37" t="n">
        <v>304</v>
      </c>
      <c r="KV23" s="37" t="n">
        <v>305</v>
      </c>
      <c r="KW23" s="37" t="n">
        <v>306</v>
      </c>
      <c r="KX23" s="37" t="n">
        <v>307</v>
      </c>
      <c r="KY23" s="37" t="n">
        <v>308</v>
      </c>
      <c r="KZ23" s="37" t="n">
        <v>309</v>
      </c>
      <c r="LA23" s="37" t="n">
        <v>310</v>
      </c>
      <c r="LB23" s="37" t="n">
        <v>311</v>
      </c>
      <c r="LC23" s="37" t="n">
        <v>312</v>
      </c>
      <c r="LD23" s="37" t="n">
        <v>313</v>
      </c>
      <c r="LE23" s="37" t="n">
        <v>314</v>
      </c>
      <c r="LF23" s="37" t="n">
        <v>315</v>
      </c>
      <c r="LG23" s="37" t="n">
        <v>316</v>
      </c>
      <c r="LH23" s="37" t="n">
        <v>317</v>
      </c>
      <c r="LI23" s="37" t="n">
        <v>318</v>
      </c>
      <c r="LJ23" s="37" t="n">
        <v>319</v>
      </c>
      <c r="LK23" s="37" t="n">
        <v>320</v>
      </c>
      <c r="LL23" s="37" t="n">
        <v>321</v>
      </c>
      <c r="LM23" s="37" t="n">
        <v>322</v>
      </c>
      <c r="LN23" s="37" t="n">
        <v>323</v>
      </c>
      <c r="LO23" s="37" t="n">
        <v>324</v>
      </c>
      <c r="LP23" s="37" t="n">
        <v>325</v>
      </c>
      <c r="LQ23" s="37" t="n">
        <v>326</v>
      </c>
      <c r="LR23" s="37" t="n">
        <v>327</v>
      </c>
      <c r="LS23" s="37" t="n">
        <v>328</v>
      </c>
      <c r="LT23" s="37" t="n">
        <v>329</v>
      </c>
      <c r="LU23" s="37" t="n">
        <v>330</v>
      </c>
      <c r="LV23" s="37" t="n">
        <v>331</v>
      </c>
      <c r="LW23" s="37" t="n">
        <v>332</v>
      </c>
      <c r="LX23" s="37" t="n">
        <v>333</v>
      </c>
      <c r="LY23" s="37" t="n">
        <v>334</v>
      </c>
      <c r="LZ23" s="37" t="n">
        <v>335</v>
      </c>
      <c r="MA23" s="37" t="n">
        <v>336</v>
      </c>
      <c r="MB23" s="37" t="n">
        <v>337</v>
      </c>
      <c r="MC23" s="37" t="n">
        <v>338</v>
      </c>
      <c r="MD23" s="37" t="n">
        <v>339</v>
      </c>
      <c r="ME23" s="37" t="n">
        <v>340</v>
      </c>
      <c r="MF23" s="37" t="n">
        <v>341</v>
      </c>
      <c r="MG23" s="37" t="n">
        <v>342</v>
      </c>
      <c r="MH23" s="37" t="n">
        <v>343</v>
      </c>
      <c r="MI23" s="37" t="n">
        <v>344</v>
      </c>
      <c r="MJ23" s="37" t="n">
        <v>345</v>
      </c>
      <c r="MK23" s="37" t="n">
        <v>346</v>
      </c>
      <c r="ML23" s="37" t="n">
        <v>347</v>
      </c>
      <c r="MM23" s="37" t="n">
        <v>348</v>
      </c>
      <c r="MN23" s="37" t="n">
        <v>349</v>
      </c>
      <c r="MO23" s="37" t="n">
        <v>350</v>
      </c>
      <c r="MP23" s="37" t="n">
        <v>351</v>
      </c>
      <c r="MQ23" s="37" t="n">
        <v>352</v>
      </c>
      <c r="MR23" s="37" t="n">
        <v>353</v>
      </c>
      <c r="MS23" s="37" t="n">
        <v>354</v>
      </c>
      <c r="MT23" s="37" t="n">
        <v>355</v>
      </c>
      <c r="MU23" s="37" t="n">
        <v>356</v>
      </c>
      <c r="MV23" s="37" t="n">
        <v>357</v>
      </c>
      <c r="MW23" s="37" t="n">
        <v>358</v>
      </c>
      <c r="MX23" s="37" t="n">
        <v>359</v>
      </c>
      <c r="MY23" s="37" t="n">
        <v>360</v>
      </c>
      <c r="MZ23" s="37" t="n">
        <v>361</v>
      </c>
      <c r="NA23" s="37" t="n">
        <v>362</v>
      </c>
      <c r="NB23" s="37" t="n">
        <v>363</v>
      </c>
      <c r="NC23" s="37" t="n">
        <v>364</v>
      </c>
      <c r="ND23" s="37" t="n">
        <v>365</v>
      </c>
      <c r="NE23" s="37" t="n">
        <v>366</v>
      </c>
      <c r="NF23" s="37" t="n">
        <v>367</v>
      </c>
      <c r="NG23" s="37" t="n">
        <v>368</v>
      </c>
      <c r="NH23" s="37" t="n">
        <v>369</v>
      </c>
      <c r="NI23" s="37" t="n">
        <v>370</v>
      </c>
      <c r="NJ23" s="37" t="n">
        <v>371</v>
      </c>
      <c r="NK23" s="37" t="n">
        <v>372</v>
      </c>
    </row>
    <row r="24">
      <c r="A24" s="38" t="inlineStr">
        <is>
          <t>Month Start</t>
        </is>
      </c>
      <c r="D24" s="39">
        <f>EDATE(InceptionDate,0)</f>
        <v/>
      </c>
      <c r="E24" s="39">
        <f>EDATE(InceptionDate,1)</f>
        <v/>
      </c>
      <c r="F24" s="39">
        <f>EDATE(InceptionDate,2)</f>
        <v/>
      </c>
      <c r="G24" s="39">
        <f>EDATE(InceptionDate,3)</f>
        <v/>
      </c>
      <c r="H24" s="39">
        <f>EDATE(InceptionDate,4)</f>
        <v/>
      </c>
      <c r="I24" s="39">
        <f>EDATE(InceptionDate,5)</f>
        <v/>
      </c>
      <c r="J24" s="39">
        <f>EDATE(InceptionDate,6)</f>
        <v/>
      </c>
      <c r="K24" s="39">
        <f>EDATE(InceptionDate,7)</f>
        <v/>
      </c>
      <c r="L24" s="39">
        <f>EDATE(InceptionDate,8)</f>
        <v/>
      </c>
      <c r="M24" s="39">
        <f>EDATE(InceptionDate,9)</f>
        <v/>
      </c>
      <c r="N24" s="39">
        <f>EDATE(InceptionDate,10)</f>
        <v/>
      </c>
      <c r="O24" s="39">
        <f>EDATE(InceptionDate,11)</f>
        <v/>
      </c>
      <c r="P24" s="39">
        <f>EDATE(InceptionDate,12)</f>
        <v/>
      </c>
      <c r="Q24" s="39">
        <f>EDATE(InceptionDate,13)</f>
        <v/>
      </c>
      <c r="R24" s="39">
        <f>EDATE(InceptionDate,14)</f>
        <v/>
      </c>
      <c r="S24" s="39">
        <f>EDATE(InceptionDate,15)</f>
        <v/>
      </c>
      <c r="T24" s="39">
        <f>EDATE(InceptionDate,16)</f>
        <v/>
      </c>
      <c r="U24" s="39">
        <f>EDATE(InceptionDate,17)</f>
        <v/>
      </c>
      <c r="V24" s="39">
        <f>EDATE(InceptionDate,18)</f>
        <v/>
      </c>
      <c r="W24" s="39">
        <f>EDATE(InceptionDate,19)</f>
        <v/>
      </c>
      <c r="X24" s="39">
        <f>EDATE(InceptionDate,20)</f>
        <v/>
      </c>
      <c r="Y24" s="39">
        <f>EDATE(InceptionDate,21)</f>
        <v/>
      </c>
      <c r="Z24" s="39">
        <f>EDATE(InceptionDate,22)</f>
        <v/>
      </c>
      <c r="AA24" s="39">
        <f>EDATE(InceptionDate,23)</f>
        <v/>
      </c>
      <c r="AB24" s="39">
        <f>EDATE(InceptionDate,24)</f>
        <v/>
      </c>
      <c r="AC24" s="39">
        <f>EDATE(InceptionDate,25)</f>
        <v/>
      </c>
      <c r="AD24" s="39">
        <f>EDATE(InceptionDate,26)</f>
        <v/>
      </c>
      <c r="AE24" s="39">
        <f>EDATE(InceptionDate,27)</f>
        <v/>
      </c>
      <c r="AF24" s="39">
        <f>EDATE(InceptionDate,28)</f>
        <v/>
      </c>
      <c r="AG24" s="39">
        <f>EDATE(InceptionDate,29)</f>
        <v/>
      </c>
      <c r="AH24" s="39">
        <f>EDATE(InceptionDate,30)</f>
        <v/>
      </c>
      <c r="AI24" s="39">
        <f>EDATE(InceptionDate,31)</f>
        <v/>
      </c>
      <c r="AJ24" s="39">
        <f>EDATE(InceptionDate,32)</f>
        <v/>
      </c>
      <c r="AK24" s="39">
        <f>EDATE(InceptionDate,33)</f>
        <v/>
      </c>
      <c r="AL24" s="39">
        <f>EDATE(InceptionDate,34)</f>
        <v/>
      </c>
      <c r="AM24" s="39">
        <f>EDATE(InceptionDate,35)</f>
        <v/>
      </c>
      <c r="AN24" s="39">
        <f>EDATE(InceptionDate,36)</f>
        <v/>
      </c>
      <c r="AO24" s="39">
        <f>EDATE(InceptionDate,37)</f>
        <v/>
      </c>
      <c r="AP24" s="39">
        <f>EDATE(InceptionDate,38)</f>
        <v/>
      </c>
      <c r="AQ24" s="39">
        <f>EDATE(InceptionDate,39)</f>
        <v/>
      </c>
      <c r="AR24" s="39">
        <f>EDATE(InceptionDate,40)</f>
        <v/>
      </c>
      <c r="AS24" s="39">
        <f>EDATE(InceptionDate,41)</f>
        <v/>
      </c>
      <c r="AT24" s="39">
        <f>EDATE(InceptionDate,42)</f>
        <v/>
      </c>
      <c r="AU24" s="39">
        <f>EDATE(InceptionDate,43)</f>
        <v/>
      </c>
      <c r="AV24" s="39">
        <f>EDATE(InceptionDate,44)</f>
        <v/>
      </c>
      <c r="AW24" s="39">
        <f>EDATE(InceptionDate,45)</f>
        <v/>
      </c>
      <c r="AX24" s="39">
        <f>EDATE(InceptionDate,46)</f>
        <v/>
      </c>
      <c r="AY24" s="39">
        <f>EDATE(InceptionDate,47)</f>
        <v/>
      </c>
      <c r="AZ24" s="39">
        <f>EDATE(InceptionDate,48)</f>
        <v/>
      </c>
      <c r="BA24" s="39">
        <f>EDATE(InceptionDate,49)</f>
        <v/>
      </c>
      <c r="BB24" s="39">
        <f>EDATE(InceptionDate,50)</f>
        <v/>
      </c>
      <c r="BC24" s="39">
        <f>EDATE(InceptionDate,51)</f>
        <v/>
      </c>
      <c r="BD24" s="39">
        <f>EDATE(InceptionDate,52)</f>
        <v/>
      </c>
      <c r="BE24" s="39">
        <f>EDATE(InceptionDate,53)</f>
        <v/>
      </c>
      <c r="BF24" s="39">
        <f>EDATE(InceptionDate,54)</f>
        <v/>
      </c>
      <c r="BG24" s="39">
        <f>EDATE(InceptionDate,55)</f>
        <v/>
      </c>
      <c r="BH24" s="39">
        <f>EDATE(InceptionDate,56)</f>
        <v/>
      </c>
      <c r="BI24" s="39">
        <f>EDATE(InceptionDate,57)</f>
        <v/>
      </c>
      <c r="BJ24" s="39">
        <f>EDATE(InceptionDate,58)</f>
        <v/>
      </c>
      <c r="BK24" s="39">
        <f>EDATE(InceptionDate,59)</f>
        <v/>
      </c>
      <c r="BL24" s="39">
        <f>EDATE(InceptionDate,60)</f>
        <v/>
      </c>
      <c r="BM24" s="39">
        <f>EDATE(InceptionDate,61)</f>
        <v/>
      </c>
      <c r="BN24" s="39">
        <f>EDATE(InceptionDate,62)</f>
        <v/>
      </c>
      <c r="BO24" s="39">
        <f>EDATE(InceptionDate,63)</f>
        <v/>
      </c>
      <c r="BP24" s="39">
        <f>EDATE(InceptionDate,64)</f>
        <v/>
      </c>
      <c r="BQ24" s="39">
        <f>EDATE(InceptionDate,65)</f>
        <v/>
      </c>
      <c r="BR24" s="39">
        <f>EDATE(InceptionDate,66)</f>
        <v/>
      </c>
      <c r="BS24" s="39">
        <f>EDATE(InceptionDate,67)</f>
        <v/>
      </c>
      <c r="BT24" s="39">
        <f>EDATE(InceptionDate,68)</f>
        <v/>
      </c>
      <c r="BU24" s="39">
        <f>EDATE(InceptionDate,69)</f>
        <v/>
      </c>
      <c r="BV24" s="39">
        <f>EDATE(InceptionDate,70)</f>
        <v/>
      </c>
      <c r="BW24" s="39">
        <f>EDATE(InceptionDate,71)</f>
        <v/>
      </c>
      <c r="BX24" s="39">
        <f>EDATE(InceptionDate,72)</f>
        <v/>
      </c>
      <c r="BY24" s="39">
        <f>EDATE(InceptionDate,73)</f>
        <v/>
      </c>
      <c r="BZ24" s="39">
        <f>EDATE(InceptionDate,74)</f>
        <v/>
      </c>
      <c r="CA24" s="39">
        <f>EDATE(InceptionDate,75)</f>
        <v/>
      </c>
      <c r="CB24" s="39">
        <f>EDATE(InceptionDate,76)</f>
        <v/>
      </c>
      <c r="CC24" s="39">
        <f>EDATE(InceptionDate,77)</f>
        <v/>
      </c>
      <c r="CD24" s="39">
        <f>EDATE(InceptionDate,78)</f>
        <v/>
      </c>
      <c r="CE24" s="39">
        <f>EDATE(InceptionDate,79)</f>
        <v/>
      </c>
      <c r="CF24" s="39">
        <f>EDATE(InceptionDate,80)</f>
        <v/>
      </c>
      <c r="CG24" s="39">
        <f>EDATE(InceptionDate,81)</f>
        <v/>
      </c>
      <c r="CH24" s="39">
        <f>EDATE(InceptionDate,82)</f>
        <v/>
      </c>
      <c r="CI24" s="39">
        <f>EDATE(InceptionDate,83)</f>
        <v/>
      </c>
      <c r="CJ24" s="39">
        <f>EDATE(InceptionDate,84)</f>
        <v/>
      </c>
      <c r="CK24" s="39">
        <f>EDATE(InceptionDate,85)</f>
        <v/>
      </c>
      <c r="CL24" s="39">
        <f>EDATE(InceptionDate,86)</f>
        <v/>
      </c>
      <c r="CM24" s="39">
        <f>EDATE(InceptionDate,87)</f>
        <v/>
      </c>
      <c r="CN24" s="39">
        <f>EDATE(InceptionDate,88)</f>
        <v/>
      </c>
      <c r="CO24" s="39">
        <f>EDATE(InceptionDate,89)</f>
        <v/>
      </c>
      <c r="CP24" s="39">
        <f>EDATE(InceptionDate,90)</f>
        <v/>
      </c>
      <c r="CQ24" s="39">
        <f>EDATE(InceptionDate,91)</f>
        <v/>
      </c>
      <c r="CR24" s="39">
        <f>EDATE(InceptionDate,92)</f>
        <v/>
      </c>
      <c r="CS24" s="39">
        <f>EDATE(InceptionDate,93)</f>
        <v/>
      </c>
      <c r="CT24" s="39">
        <f>EDATE(InceptionDate,94)</f>
        <v/>
      </c>
      <c r="CU24" s="39">
        <f>EDATE(InceptionDate,95)</f>
        <v/>
      </c>
      <c r="CV24" s="39">
        <f>EDATE(InceptionDate,96)</f>
        <v/>
      </c>
      <c r="CW24" s="39">
        <f>EDATE(InceptionDate,97)</f>
        <v/>
      </c>
      <c r="CX24" s="39">
        <f>EDATE(InceptionDate,98)</f>
        <v/>
      </c>
      <c r="CY24" s="39">
        <f>EDATE(InceptionDate,99)</f>
        <v/>
      </c>
      <c r="CZ24" s="39">
        <f>EDATE(InceptionDate,100)</f>
        <v/>
      </c>
      <c r="DA24" s="39">
        <f>EDATE(InceptionDate,101)</f>
        <v/>
      </c>
      <c r="DB24" s="39">
        <f>EDATE(InceptionDate,102)</f>
        <v/>
      </c>
      <c r="DC24" s="39">
        <f>EDATE(InceptionDate,103)</f>
        <v/>
      </c>
      <c r="DD24" s="39">
        <f>EDATE(InceptionDate,104)</f>
        <v/>
      </c>
      <c r="DE24" s="39">
        <f>EDATE(InceptionDate,105)</f>
        <v/>
      </c>
      <c r="DF24" s="39">
        <f>EDATE(InceptionDate,106)</f>
        <v/>
      </c>
      <c r="DG24" s="39">
        <f>EDATE(InceptionDate,107)</f>
        <v/>
      </c>
      <c r="DH24" s="39">
        <f>EDATE(InceptionDate,108)</f>
        <v/>
      </c>
      <c r="DI24" s="39">
        <f>EDATE(InceptionDate,109)</f>
        <v/>
      </c>
      <c r="DJ24" s="39">
        <f>EDATE(InceptionDate,110)</f>
        <v/>
      </c>
      <c r="DK24" s="39">
        <f>EDATE(InceptionDate,111)</f>
        <v/>
      </c>
      <c r="DL24" s="39">
        <f>EDATE(InceptionDate,112)</f>
        <v/>
      </c>
      <c r="DM24" s="39">
        <f>EDATE(InceptionDate,113)</f>
        <v/>
      </c>
      <c r="DN24" s="39">
        <f>EDATE(InceptionDate,114)</f>
        <v/>
      </c>
      <c r="DO24" s="39">
        <f>EDATE(InceptionDate,115)</f>
        <v/>
      </c>
      <c r="DP24" s="39">
        <f>EDATE(InceptionDate,116)</f>
        <v/>
      </c>
      <c r="DQ24" s="39">
        <f>EDATE(InceptionDate,117)</f>
        <v/>
      </c>
      <c r="DR24" s="39">
        <f>EDATE(InceptionDate,118)</f>
        <v/>
      </c>
      <c r="DS24" s="39">
        <f>EDATE(InceptionDate,119)</f>
        <v/>
      </c>
      <c r="DT24" s="39">
        <f>EDATE(InceptionDate,120)</f>
        <v/>
      </c>
      <c r="DU24" s="39">
        <f>EDATE(InceptionDate,121)</f>
        <v/>
      </c>
      <c r="DV24" s="39">
        <f>EDATE(InceptionDate,122)</f>
        <v/>
      </c>
      <c r="DW24" s="39">
        <f>EDATE(InceptionDate,123)</f>
        <v/>
      </c>
      <c r="DX24" s="39">
        <f>EDATE(InceptionDate,124)</f>
        <v/>
      </c>
      <c r="DY24" s="39">
        <f>EDATE(InceptionDate,125)</f>
        <v/>
      </c>
      <c r="DZ24" s="39">
        <f>EDATE(InceptionDate,126)</f>
        <v/>
      </c>
      <c r="EA24" s="39">
        <f>EDATE(InceptionDate,127)</f>
        <v/>
      </c>
      <c r="EB24" s="39">
        <f>EDATE(InceptionDate,128)</f>
        <v/>
      </c>
      <c r="EC24" s="39">
        <f>EDATE(InceptionDate,129)</f>
        <v/>
      </c>
      <c r="ED24" s="39">
        <f>EDATE(InceptionDate,130)</f>
        <v/>
      </c>
      <c r="EE24" s="39">
        <f>EDATE(InceptionDate,131)</f>
        <v/>
      </c>
      <c r="EF24" s="39">
        <f>EDATE(InceptionDate,132)</f>
        <v/>
      </c>
      <c r="EG24" s="39">
        <f>EDATE(InceptionDate,133)</f>
        <v/>
      </c>
      <c r="EH24" s="39">
        <f>EDATE(InceptionDate,134)</f>
        <v/>
      </c>
      <c r="EI24" s="39">
        <f>EDATE(InceptionDate,135)</f>
        <v/>
      </c>
      <c r="EJ24" s="39">
        <f>EDATE(InceptionDate,136)</f>
        <v/>
      </c>
      <c r="EK24" s="39">
        <f>EDATE(InceptionDate,137)</f>
        <v/>
      </c>
      <c r="EL24" s="39">
        <f>EDATE(InceptionDate,138)</f>
        <v/>
      </c>
      <c r="EM24" s="39">
        <f>EDATE(InceptionDate,139)</f>
        <v/>
      </c>
      <c r="EN24" s="39">
        <f>EDATE(InceptionDate,140)</f>
        <v/>
      </c>
      <c r="EO24" s="39">
        <f>EDATE(InceptionDate,141)</f>
        <v/>
      </c>
      <c r="EP24" s="39">
        <f>EDATE(InceptionDate,142)</f>
        <v/>
      </c>
      <c r="EQ24" s="39">
        <f>EDATE(InceptionDate,143)</f>
        <v/>
      </c>
      <c r="ER24" s="39">
        <f>EDATE(InceptionDate,144)</f>
        <v/>
      </c>
      <c r="ES24" s="39">
        <f>EDATE(InceptionDate,145)</f>
        <v/>
      </c>
      <c r="ET24" s="39">
        <f>EDATE(InceptionDate,146)</f>
        <v/>
      </c>
      <c r="EU24" s="39">
        <f>EDATE(InceptionDate,147)</f>
        <v/>
      </c>
      <c r="EV24" s="39">
        <f>EDATE(InceptionDate,148)</f>
        <v/>
      </c>
      <c r="EW24" s="39">
        <f>EDATE(InceptionDate,149)</f>
        <v/>
      </c>
      <c r="EX24" s="39">
        <f>EDATE(InceptionDate,150)</f>
        <v/>
      </c>
      <c r="EY24" s="39">
        <f>EDATE(InceptionDate,151)</f>
        <v/>
      </c>
      <c r="EZ24" s="39">
        <f>EDATE(InceptionDate,152)</f>
        <v/>
      </c>
      <c r="FA24" s="39">
        <f>EDATE(InceptionDate,153)</f>
        <v/>
      </c>
      <c r="FB24" s="39">
        <f>EDATE(InceptionDate,154)</f>
        <v/>
      </c>
      <c r="FC24" s="39">
        <f>EDATE(InceptionDate,155)</f>
        <v/>
      </c>
      <c r="FD24" s="39">
        <f>EDATE(InceptionDate,156)</f>
        <v/>
      </c>
      <c r="FE24" s="39">
        <f>EDATE(InceptionDate,157)</f>
        <v/>
      </c>
      <c r="FF24" s="39">
        <f>EDATE(InceptionDate,158)</f>
        <v/>
      </c>
      <c r="FG24" s="39">
        <f>EDATE(InceptionDate,159)</f>
        <v/>
      </c>
      <c r="FH24" s="39">
        <f>EDATE(InceptionDate,160)</f>
        <v/>
      </c>
      <c r="FI24" s="39">
        <f>EDATE(InceptionDate,161)</f>
        <v/>
      </c>
      <c r="FJ24" s="39">
        <f>EDATE(InceptionDate,162)</f>
        <v/>
      </c>
      <c r="FK24" s="39">
        <f>EDATE(InceptionDate,163)</f>
        <v/>
      </c>
      <c r="FL24" s="39">
        <f>EDATE(InceptionDate,164)</f>
        <v/>
      </c>
      <c r="FM24" s="39">
        <f>EDATE(InceptionDate,165)</f>
        <v/>
      </c>
      <c r="FN24" s="39">
        <f>EDATE(InceptionDate,166)</f>
        <v/>
      </c>
      <c r="FO24" s="39">
        <f>EDATE(InceptionDate,167)</f>
        <v/>
      </c>
      <c r="FP24" s="39">
        <f>EDATE(InceptionDate,168)</f>
        <v/>
      </c>
      <c r="FQ24" s="39">
        <f>EDATE(InceptionDate,169)</f>
        <v/>
      </c>
      <c r="FR24" s="39">
        <f>EDATE(InceptionDate,170)</f>
        <v/>
      </c>
      <c r="FS24" s="39">
        <f>EDATE(InceptionDate,171)</f>
        <v/>
      </c>
      <c r="FT24" s="39">
        <f>EDATE(InceptionDate,172)</f>
        <v/>
      </c>
      <c r="FU24" s="39">
        <f>EDATE(InceptionDate,173)</f>
        <v/>
      </c>
      <c r="FV24" s="39">
        <f>EDATE(InceptionDate,174)</f>
        <v/>
      </c>
      <c r="FW24" s="39">
        <f>EDATE(InceptionDate,175)</f>
        <v/>
      </c>
      <c r="FX24" s="39">
        <f>EDATE(InceptionDate,176)</f>
        <v/>
      </c>
      <c r="FY24" s="39">
        <f>EDATE(InceptionDate,177)</f>
        <v/>
      </c>
      <c r="FZ24" s="39">
        <f>EDATE(InceptionDate,178)</f>
        <v/>
      </c>
      <c r="GA24" s="39">
        <f>EDATE(InceptionDate,179)</f>
        <v/>
      </c>
      <c r="GB24" s="39">
        <f>EDATE(InceptionDate,180)</f>
        <v/>
      </c>
      <c r="GC24" s="39">
        <f>EDATE(InceptionDate,181)</f>
        <v/>
      </c>
      <c r="GD24" s="39">
        <f>EDATE(InceptionDate,182)</f>
        <v/>
      </c>
      <c r="GE24" s="39">
        <f>EDATE(InceptionDate,183)</f>
        <v/>
      </c>
      <c r="GF24" s="39">
        <f>EDATE(InceptionDate,184)</f>
        <v/>
      </c>
      <c r="GG24" s="39">
        <f>EDATE(InceptionDate,185)</f>
        <v/>
      </c>
      <c r="GH24" s="39">
        <f>EDATE(InceptionDate,186)</f>
        <v/>
      </c>
      <c r="GI24" s="39">
        <f>EDATE(InceptionDate,187)</f>
        <v/>
      </c>
      <c r="GJ24" s="39">
        <f>EDATE(InceptionDate,188)</f>
        <v/>
      </c>
      <c r="GK24" s="39">
        <f>EDATE(InceptionDate,189)</f>
        <v/>
      </c>
      <c r="GL24" s="39">
        <f>EDATE(InceptionDate,190)</f>
        <v/>
      </c>
      <c r="GM24" s="39">
        <f>EDATE(InceptionDate,191)</f>
        <v/>
      </c>
      <c r="GN24" s="39">
        <f>EDATE(InceptionDate,192)</f>
        <v/>
      </c>
      <c r="GO24" s="39">
        <f>EDATE(InceptionDate,193)</f>
        <v/>
      </c>
      <c r="GP24" s="39">
        <f>EDATE(InceptionDate,194)</f>
        <v/>
      </c>
      <c r="GQ24" s="39">
        <f>EDATE(InceptionDate,195)</f>
        <v/>
      </c>
      <c r="GR24" s="39">
        <f>EDATE(InceptionDate,196)</f>
        <v/>
      </c>
      <c r="GS24" s="39">
        <f>EDATE(InceptionDate,197)</f>
        <v/>
      </c>
      <c r="GT24" s="39">
        <f>EDATE(InceptionDate,198)</f>
        <v/>
      </c>
      <c r="GU24" s="39">
        <f>EDATE(InceptionDate,199)</f>
        <v/>
      </c>
      <c r="GV24" s="39">
        <f>EDATE(InceptionDate,200)</f>
        <v/>
      </c>
      <c r="GW24" s="39">
        <f>EDATE(InceptionDate,201)</f>
        <v/>
      </c>
      <c r="GX24" s="39">
        <f>EDATE(InceptionDate,202)</f>
        <v/>
      </c>
      <c r="GY24" s="39">
        <f>EDATE(InceptionDate,203)</f>
        <v/>
      </c>
      <c r="GZ24" s="39">
        <f>EDATE(InceptionDate,204)</f>
        <v/>
      </c>
      <c r="HA24" s="39">
        <f>EDATE(InceptionDate,205)</f>
        <v/>
      </c>
      <c r="HB24" s="39">
        <f>EDATE(InceptionDate,206)</f>
        <v/>
      </c>
      <c r="HC24" s="39">
        <f>EDATE(InceptionDate,207)</f>
        <v/>
      </c>
      <c r="HD24" s="39">
        <f>EDATE(InceptionDate,208)</f>
        <v/>
      </c>
      <c r="HE24" s="39">
        <f>EDATE(InceptionDate,209)</f>
        <v/>
      </c>
      <c r="HF24" s="39">
        <f>EDATE(InceptionDate,210)</f>
        <v/>
      </c>
      <c r="HG24" s="39">
        <f>EDATE(InceptionDate,211)</f>
        <v/>
      </c>
      <c r="HH24" s="39">
        <f>EDATE(InceptionDate,212)</f>
        <v/>
      </c>
      <c r="HI24" s="39">
        <f>EDATE(InceptionDate,213)</f>
        <v/>
      </c>
      <c r="HJ24" s="39">
        <f>EDATE(InceptionDate,214)</f>
        <v/>
      </c>
      <c r="HK24" s="39">
        <f>EDATE(InceptionDate,215)</f>
        <v/>
      </c>
      <c r="HL24" s="39">
        <f>EDATE(InceptionDate,216)</f>
        <v/>
      </c>
      <c r="HM24" s="39">
        <f>EDATE(InceptionDate,217)</f>
        <v/>
      </c>
      <c r="HN24" s="39">
        <f>EDATE(InceptionDate,218)</f>
        <v/>
      </c>
      <c r="HO24" s="39">
        <f>EDATE(InceptionDate,219)</f>
        <v/>
      </c>
      <c r="HP24" s="39">
        <f>EDATE(InceptionDate,220)</f>
        <v/>
      </c>
      <c r="HQ24" s="39">
        <f>EDATE(InceptionDate,221)</f>
        <v/>
      </c>
      <c r="HR24" s="39">
        <f>EDATE(InceptionDate,222)</f>
        <v/>
      </c>
      <c r="HS24" s="39">
        <f>EDATE(InceptionDate,223)</f>
        <v/>
      </c>
      <c r="HT24" s="39">
        <f>EDATE(InceptionDate,224)</f>
        <v/>
      </c>
      <c r="HU24" s="39">
        <f>EDATE(InceptionDate,225)</f>
        <v/>
      </c>
      <c r="HV24" s="39">
        <f>EDATE(InceptionDate,226)</f>
        <v/>
      </c>
      <c r="HW24" s="39">
        <f>EDATE(InceptionDate,227)</f>
        <v/>
      </c>
      <c r="HX24" s="39">
        <f>EDATE(InceptionDate,228)</f>
        <v/>
      </c>
      <c r="HY24" s="39">
        <f>EDATE(InceptionDate,229)</f>
        <v/>
      </c>
      <c r="HZ24" s="39">
        <f>EDATE(InceptionDate,230)</f>
        <v/>
      </c>
      <c r="IA24" s="39">
        <f>EDATE(InceptionDate,231)</f>
        <v/>
      </c>
      <c r="IB24" s="39">
        <f>EDATE(InceptionDate,232)</f>
        <v/>
      </c>
      <c r="IC24" s="39">
        <f>EDATE(InceptionDate,233)</f>
        <v/>
      </c>
      <c r="ID24" s="39">
        <f>EDATE(InceptionDate,234)</f>
        <v/>
      </c>
      <c r="IE24" s="39">
        <f>EDATE(InceptionDate,235)</f>
        <v/>
      </c>
      <c r="IF24" s="39">
        <f>EDATE(InceptionDate,236)</f>
        <v/>
      </c>
      <c r="IG24" s="39">
        <f>EDATE(InceptionDate,237)</f>
        <v/>
      </c>
      <c r="IH24" s="39">
        <f>EDATE(InceptionDate,238)</f>
        <v/>
      </c>
      <c r="II24" s="39">
        <f>EDATE(InceptionDate,239)</f>
        <v/>
      </c>
      <c r="IJ24" s="39">
        <f>EDATE(InceptionDate,240)</f>
        <v/>
      </c>
      <c r="IK24" s="39">
        <f>EDATE(InceptionDate,241)</f>
        <v/>
      </c>
      <c r="IL24" s="39">
        <f>EDATE(InceptionDate,242)</f>
        <v/>
      </c>
      <c r="IM24" s="39">
        <f>EDATE(InceptionDate,243)</f>
        <v/>
      </c>
      <c r="IN24" s="39">
        <f>EDATE(InceptionDate,244)</f>
        <v/>
      </c>
      <c r="IO24" s="39">
        <f>EDATE(InceptionDate,245)</f>
        <v/>
      </c>
      <c r="IP24" s="39">
        <f>EDATE(InceptionDate,246)</f>
        <v/>
      </c>
      <c r="IQ24" s="39">
        <f>EDATE(InceptionDate,247)</f>
        <v/>
      </c>
      <c r="IR24" s="39">
        <f>EDATE(InceptionDate,248)</f>
        <v/>
      </c>
      <c r="IS24" s="39">
        <f>EDATE(InceptionDate,249)</f>
        <v/>
      </c>
      <c r="IT24" s="39">
        <f>EDATE(InceptionDate,250)</f>
        <v/>
      </c>
      <c r="IU24" s="39">
        <f>EDATE(InceptionDate,251)</f>
        <v/>
      </c>
      <c r="IV24" s="39">
        <f>EDATE(InceptionDate,252)</f>
        <v/>
      </c>
      <c r="IW24" s="39">
        <f>EDATE(InceptionDate,253)</f>
        <v/>
      </c>
      <c r="IX24" s="39">
        <f>EDATE(InceptionDate,254)</f>
        <v/>
      </c>
      <c r="IY24" s="39">
        <f>EDATE(InceptionDate,255)</f>
        <v/>
      </c>
      <c r="IZ24" s="39">
        <f>EDATE(InceptionDate,256)</f>
        <v/>
      </c>
      <c r="JA24" s="39">
        <f>EDATE(InceptionDate,257)</f>
        <v/>
      </c>
      <c r="JB24" s="39">
        <f>EDATE(InceptionDate,258)</f>
        <v/>
      </c>
      <c r="JC24" s="39">
        <f>EDATE(InceptionDate,259)</f>
        <v/>
      </c>
      <c r="JD24" s="39">
        <f>EDATE(InceptionDate,260)</f>
        <v/>
      </c>
      <c r="JE24" s="39">
        <f>EDATE(InceptionDate,261)</f>
        <v/>
      </c>
      <c r="JF24" s="39">
        <f>EDATE(InceptionDate,262)</f>
        <v/>
      </c>
      <c r="JG24" s="39">
        <f>EDATE(InceptionDate,263)</f>
        <v/>
      </c>
      <c r="JH24" s="39">
        <f>EDATE(InceptionDate,264)</f>
        <v/>
      </c>
      <c r="JI24" s="39">
        <f>EDATE(InceptionDate,265)</f>
        <v/>
      </c>
      <c r="JJ24" s="39">
        <f>EDATE(InceptionDate,266)</f>
        <v/>
      </c>
      <c r="JK24" s="39">
        <f>EDATE(InceptionDate,267)</f>
        <v/>
      </c>
      <c r="JL24" s="39">
        <f>EDATE(InceptionDate,268)</f>
        <v/>
      </c>
      <c r="JM24" s="39">
        <f>EDATE(InceptionDate,269)</f>
        <v/>
      </c>
      <c r="JN24" s="39">
        <f>EDATE(InceptionDate,270)</f>
        <v/>
      </c>
      <c r="JO24" s="39">
        <f>EDATE(InceptionDate,271)</f>
        <v/>
      </c>
      <c r="JP24" s="39">
        <f>EDATE(InceptionDate,272)</f>
        <v/>
      </c>
      <c r="JQ24" s="39">
        <f>EDATE(InceptionDate,273)</f>
        <v/>
      </c>
      <c r="JR24" s="39">
        <f>EDATE(InceptionDate,274)</f>
        <v/>
      </c>
      <c r="JS24" s="39">
        <f>EDATE(InceptionDate,275)</f>
        <v/>
      </c>
      <c r="JT24" s="39">
        <f>EDATE(InceptionDate,276)</f>
        <v/>
      </c>
      <c r="JU24" s="39">
        <f>EDATE(InceptionDate,277)</f>
        <v/>
      </c>
      <c r="JV24" s="39">
        <f>EDATE(InceptionDate,278)</f>
        <v/>
      </c>
      <c r="JW24" s="39">
        <f>EDATE(InceptionDate,279)</f>
        <v/>
      </c>
      <c r="JX24" s="39">
        <f>EDATE(InceptionDate,280)</f>
        <v/>
      </c>
      <c r="JY24" s="39">
        <f>EDATE(InceptionDate,281)</f>
        <v/>
      </c>
      <c r="JZ24" s="39">
        <f>EDATE(InceptionDate,282)</f>
        <v/>
      </c>
      <c r="KA24" s="39">
        <f>EDATE(InceptionDate,283)</f>
        <v/>
      </c>
      <c r="KB24" s="39">
        <f>EDATE(InceptionDate,284)</f>
        <v/>
      </c>
      <c r="KC24" s="39">
        <f>EDATE(InceptionDate,285)</f>
        <v/>
      </c>
      <c r="KD24" s="39">
        <f>EDATE(InceptionDate,286)</f>
        <v/>
      </c>
      <c r="KE24" s="39">
        <f>EDATE(InceptionDate,287)</f>
        <v/>
      </c>
      <c r="KF24" s="39">
        <f>EDATE(InceptionDate,288)</f>
        <v/>
      </c>
      <c r="KG24" s="39">
        <f>EDATE(InceptionDate,289)</f>
        <v/>
      </c>
      <c r="KH24" s="39">
        <f>EDATE(InceptionDate,290)</f>
        <v/>
      </c>
      <c r="KI24" s="39">
        <f>EDATE(InceptionDate,291)</f>
        <v/>
      </c>
      <c r="KJ24" s="39">
        <f>EDATE(InceptionDate,292)</f>
        <v/>
      </c>
      <c r="KK24" s="39">
        <f>EDATE(InceptionDate,293)</f>
        <v/>
      </c>
      <c r="KL24" s="39">
        <f>EDATE(InceptionDate,294)</f>
        <v/>
      </c>
      <c r="KM24" s="39">
        <f>EDATE(InceptionDate,295)</f>
        <v/>
      </c>
      <c r="KN24" s="39">
        <f>EDATE(InceptionDate,296)</f>
        <v/>
      </c>
      <c r="KO24" s="39">
        <f>EDATE(InceptionDate,297)</f>
        <v/>
      </c>
      <c r="KP24" s="39">
        <f>EDATE(InceptionDate,298)</f>
        <v/>
      </c>
      <c r="KQ24" s="39">
        <f>EDATE(InceptionDate,299)</f>
        <v/>
      </c>
      <c r="KR24" s="39">
        <f>EDATE(InceptionDate,300)</f>
        <v/>
      </c>
      <c r="KS24" s="39">
        <f>EDATE(InceptionDate,301)</f>
        <v/>
      </c>
      <c r="KT24" s="39">
        <f>EDATE(InceptionDate,302)</f>
        <v/>
      </c>
      <c r="KU24" s="39">
        <f>EDATE(InceptionDate,303)</f>
        <v/>
      </c>
      <c r="KV24" s="39">
        <f>EDATE(InceptionDate,304)</f>
        <v/>
      </c>
      <c r="KW24" s="39">
        <f>EDATE(InceptionDate,305)</f>
        <v/>
      </c>
      <c r="KX24" s="39">
        <f>EDATE(InceptionDate,306)</f>
        <v/>
      </c>
      <c r="KY24" s="39">
        <f>EDATE(InceptionDate,307)</f>
        <v/>
      </c>
      <c r="KZ24" s="39">
        <f>EDATE(InceptionDate,308)</f>
        <v/>
      </c>
      <c r="LA24" s="39">
        <f>EDATE(InceptionDate,309)</f>
        <v/>
      </c>
      <c r="LB24" s="39">
        <f>EDATE(InceptionDate,310)</f>
        <v/>
      </c>
      <c r="LC24" s="39">
        <f>EDATE(InceptionDate,311)</f>
        <v/>
      </c>
      <c r="LD24" s="39">
        <f>EDATE(InceptionDate,312)</f>
        <v/>
      </c>
      <c r="LE24" s="39">
        <f>EDATE(InceptionDate,313)</f>
        <v/>
      </c>
      <c r="LF24" s="39">
        <f>EDATE(InceptionDate,314)</f>
        <v/>
      </c>
      <c r="LG24" s="39">
        <f>EDATE(InceptionDate,315)</f>
        <v/>
      </c>
      <c r="LH24" s="39">
        <f>EDATE(InceptionDate,316)</f>
        <v/>
      </c>
      <c r="LI24" s="39">
        <f>EDATE(InceptionDate,317)</f>
        <v/>
      </c>
      <c r="LJ24" s="39">
        <f>EDATE(InceptionDate,318)</f>
        <v/>
      </c>
      <c r="LK24" s="39">
        <f>EDATE(InceptionDate,319)</f>
        <v/>
      </c>
      <c r="LL24" s="39">
        <f>EDATE(InceptionDate,320)</f>
        <v/>
      </c>
      <c r="LM24" s="39">
        <f>EDATE(InceptionDate,321)</f>
        <v/>
      </c>
      <c r="LN24" s="39">
        <f>EDATE(InceptionDate,322)</f>
        <v/>
      </c>
      <c r="LO24" s="39">
        <f>EDATE(InceptionDate,323)</f>
        <v/>
      </c>
      <c r="LP24" s="39">
        <f>EDATE(InceptionDate,324)</f>
        <v/>
      </c>
      <c r="LQ24" s="39">
        <f>EDATE(InceptionDate,325)</f>
        <v/>
      </c>
      <c r="LR24" s="39">
        <f>EDATE(InceptionDate,326)</f>
        <v/>
      </c>
      <c r="LS24" s="39">
        <f>EDATE(InceptionDate,327)</f>
        <v/>
      </c>
      <c r="LT24" s="39">
        <f>EDATE(InceptionDate,328)</f>
        <v/>
      </c>
      <c r="LU24" s="39">
        <f>EDATE(InceptionDate,329)</f>
        <v/>
      </c>
      <c r="LV24" s="39">
        <f>EDATE(InceptionDate,330)</f>
        <v/>
      </c>
      <c r="LW24" s="39">
        <f>EDATE(InceptionDate,331)</f>
        <v/>
      </c>
      <c r="LX24" s="39">
        <f>EDATE(InceptionDate,332)</f>
        <v/>
      </c>
      <c r="LY24" s="39">
        <f>EDATE(InceptionDate,333)</f>
        <v/>
      </c>
      <c r="LZ24" s="39">
        <f>EDATE(InceptionDate,334)</f>
        <v/>
      </c>
      <c r="MA24" s="39">
        <f>EDATE(InceptionDate,335)</f>
        <v/>
      </c>
      <c r="MB24" s="39">
        <f>EDATE(InceptionDate,336)</f>
        <v/>
      </c>
      <c r="MC24" s="39">
        <f>EDATE(InceptionDate,337)</f>
        <v/>
      </c>
      <c r="MD24" s="39">
        <f>EDATE(InceptionDate,338)</f>
        <v/>
      </c>
      <c r="ME24" s="39">
        <f>EDATE(InceptionDate,339)</f>
        <v/>
      </c>
      <c r="MF24" s="39">
        <f>EDATE(InceptionDate,340)</f>
        <v/>
      </c>
      <c r="MG24" s="39">
        <f>EDATE(InceptionDate,341)</f>
        <v/>
      </c>
      <c r="MH24" s="39">
        <f>EDATE(InceptionDate,342)</f>
        <v/>
      </c>
      <c r="MI24" s="39">
        <f>EDATE(InceptionDate,343)</f>
        <v/>
      </c>
      <c r="MJ24" s="39">
        <f>EDATE(InceptionDate,344)</f>
        <v/>
      </c>
      <c r="MK24" s="39">
        <f>EDATE(InceptionDate,345)</f>
        <v/>
      </c>
      <c r="ML24" s="39">
        <f>EDATE(InceptionDate,346)</f>
        <v/>
      </c>
      <c r="MM24" s="39">
        <f>EDATE(InceptionDate,347)</f>
        <v/>
      </c>
      <c r="MN24" s="39">
        <f>EDATE(InceptionDate,348)</f>
        <v/>
      </c>
      <c r="MO24" s="39">
        <f>EDATE(InceptionDate,349)</f>
        <v/>
      </c>
      <c r="MP24" s="39">
        <f>EDATE(InceptionDate,350)</f>
        <v/>
      </c>
      <c r="MQ24" s="39">
        <f>EDATE(InceptionDate,351)</f>
        <v/>
      </c>
      <c r="MR24" s="39">
        <f>EDATE(InceptionDate,352)</f>
        <v/>
      </c>
      <c r="MS24" s="39">
        <f>EDATE(InceptionDate,353)</f>
        <v/>
      </c>
      <c r="MT24" s="39">
        <f>EDATE(InceptionDate,354)</f>
        <v/>
      </c>
      <c r="MU24" s="39">
        <f>EDATE(InceptionDate,355)</f>
        <v/>
      </c>
      <c r="MV24" s="39">
        <f>EDATE(InceptionDate,356)</f>
        <v/>
      </c>
      <c r="MW24" s="39">
        <f>EDATE(InceptionDate,357)</f>
        <v/>
      </c>
      <c r="MX24" s="39">
        <f>EDATE(InceptionDate,358)</f>
        <v/>
      </c>
      <c r="MY24" s="39">
        <f>EDATE(InceptionDate,359)</f>
        <v/>
      </c>
      <c r="MZ24" s="39">
        <f>EDATE(InceptionDate,360)</f>
        <v/>
      </c>
      <c r="NA24" s="39">
        <f>EDATE(InceptionDate,361)</f>
        <v/>
      </c>
      <c r="NB24" s="39">
        <f>EDATE(InceptionDate,362)</f>
        <v/>
      </c>
      <c r="NC24" s="39">
        <f>EDATE(InceptionDate,363)</f>
        <v/>
      </c>
      <c r="ND24" s="39">
        <f>EDATE(InceptionDate,364)</f>
        <v/>
      </c>
      <c r="NE24" s="39">
        <f>EDATE(InceptionDate,365)</f>
        <v/>
      </c>
      <c r="NF24" s="39">
        <f>EDATE(InceptionDate,366)</f>
        <v/>
      </c>
      <c r="NG24" s="39">
        <f>EDATE(InceptionDate,367)</f>
        <v/>
      </c>
      <c r="NH24" s="39">
        <f>EDATE(InceptionDate,368)</f>
        <v/>
      </c>
      <c r="NI24" s="39">
        <f>EDATE(InceptionDate,369)</f>
        <v/>
      </c>
      <c r="NJ24" s="39">
        <f>EDATE(InceptionDate,370)</f>
        <v/>
      </c>
      <c r="NK24" s="39">
        <f>EDATE(InceptionDate,371)</f>
        <v/>
      </c>
    </row>
    <row r="25">
      <c r="A25" s="5" t="inlineStr">
        <is>
          <t>Days in Month</t>
        </is>
      </c>
      <c r="C25" s="40" t="n"/>
      <c r="D25" s="17">
        <f>DAY(EOMONTH(EDATE(InceptionDate,1-1),0))</f>
        <v/>
      </c>
      <c r="E25" s="17">
        <f>DAY(EOMONTH(EDATE(InceptionDate,2-1),0))</f>
        <v/>
      </c>
      <c r="F25" s="17">
        <f>DAY(EOMONTH(EDATE(InceptionDate,3-1),0))</f>
        <v/>
      </c>
      <c r="G25" s="17">
        <f>DAY(EOMONTH(EDATE(InceptionDate,4-1),0))</f>
        <v/>
      </c>
      <c r="H25" s="17">
        <f>DAY(EOMONTH(EDATE(InceptionDate,5-1),0))</f>
        <v/>
      </c>
      <c r="I25" s="17">
        <f>DAY(EOMONTH(EDATE(InceptionDate,6-1),0))</f>
        <v/>
      </c>
      <c r="J25" s="17">
        <f>DAY(EOMONTH(EDATE(InceptionDate,7-1),0))</f>
        <v/>
      </c>
      <c r="K25" s="17">
        <f>DAY(EOMONTH(EDATE(InceptionDate,8-1),0))</f>
        <v/>
      </c>
      <c r="L25" s="17">
        <f>DAY(EOMONTH(EDATE(InceptionDate,9-1),0))</f>
        <v/>
      </c>
      <c r="M25" s="17">
        <f>DAY(EOMONTH(EDATE(InceptionDate,10-1),0))</f>
        <v/>
      </c>
      <c r="N25" s="17">
        <f>DAY(EOMONTH(EDATE(InceptionDate,11-1),0))</f>
        <v/>
      </c>
      <c r="O25" s="17">
        <f>DAY(EOMONTH(EDATE(InceptionDate,12-1),0))</f>
        <v/>
      </c>
      <c r="P25" s="17">
        <f>DAY(EOMONTH(EDATE(InceptionDate,13-1),0))</f>
        <v/>
      </c>
      <c r="Q25" s="17">
        <f>DAY(EOMONTH(EDATE(InceptionDate,14-1),0))</f>
        <v/>
      </c>
      <c r="R25" s="17">
        <f>DAY(EOMONTH(EDATE(InceptionDate,15-1),0))</f>
        <v/>
      </c>
      <c r="S25" s="17">
        <f>DAY(EOMONTH(EDATE(InceptionDate,16-1),0))</f>
        <v/>
      </c>
      <c r="T25" s="17">
        <f>DAY(EOMONTH(EDATE(InceptionDate,17-1),0))</f>
        <v/>
      </c>
      <c r="U25" s="17">
        <f>DAY(EOMONTH(EDATE(InceptionDate,18-1),0))</f>
        <v/>
      </c>
      <c r="V25" s="17">
        <f>DAY(EOMONTH(EDATE(InceptionDate,19-1),0))</f>
        <v/>
      </c>
      <c r="W25" s="17">
        <f>DAY(EOMONTH(EDATE(InceptionDate,20-1),0))</f>
        <v/>
      </c>
      <c r="X25" s="17">
        <f>DAY(EOMONTH(EDATE(InceptionDate,21-1),0))</f>
        <v/>
      </c>
      <c r="Y25" s="17">
        <f>DAY(EOMONTH(EDATE(InceptionDate,22-1),0))</f>
        <v/>
      </c>
      <c r="Z25" s="17">
        <f>DAY(EOMONTH(EDATE(InceptionDate,23-1),0))</f>
        <v/>
      </c>
      <c r="AA25" s="17">
        <f>DAY(EOMONTH(EDATE(InceptionDate,24-1),0))</f>
        <v/>
      </c>
      <c r="AB25" s="17">
        <f>DAY(EOMONTH(EDATE(InceptionDate,25-1),0))</f>
        <v/>
      </c>
      <c r="AC25" s="17">
        <f>DAY(EOMONTH(EDATE(InceptionDate,26-1),0))</f>
        <v/>
      </c>
      <c r="AD25" s="17">
        <f>DAY(EOMONTH(EDATE(InceptionDate,27-1),0))</f>
        <v/>
      </c>
      <c r="AE25" s="17">
        <f>DAY(EOMONTH(EDATE(InceptionDate,28-1),0))</f>
        <v/>
      </c>
      <c r="AF25" s="17">
        <f>DAY(EOMONTH(EDATE(InceptionDate,29-1),0))</f>
        <v/>
      </c>
      <c r="AG25" s="17">
        <f>DAY(EOMONTH(EDATE(InceptionDate,30-1),0))</f>
        <v/>
      </c>
      <c r="AH25" s="17">
        <f>DAY(EOMONTH(EDATE(InceptionDate,31-1),0))</f>
        <v/>
      </c>
      <c r="AI25" s="17">
        <f>DAY(EOMONTH(EDATE(InceptionDate,32-1),0))</f>
        <v/>
      </c>
      <c r="AJ25" s="17">
        <f>DAY(EOMONTH(EDATE(InceptionDate,33-1),0))</f>
        <v/>
      </c>
      <c r="AK25" s="17">
        <f>DAY(EOMONTH(EDATE(InceptionDate,34-1),0))</f>
        <v/>
      </c>
      <c r="AL25" s="17">
        <f>DAY(EOMONTH(EDATE(InceptionDate,35-1),0))</f>
        <v/>
      </c>
      <c r="AM25" s="17">
        <f>DAY(EOMONTH(EDATE(InceptionDate,36-1),0))</f>
        <v/>
      </c>
      <c r="AN25" s="17">
        <f>DAY(EOMONTH(EDATE(InceptionDate,37-1),0))</f>
        <v/>
      </c>
      <c r="AO25" s="17">
        <f>DAY(EOMONTH(EDATE(InceptionDate,38-1),0))</f>
        <v/>
      </c>
      <c r="AP25" s="17">
        <f>DAY(EOMONTH(EDATE(InceptionDate,39-1),0))</f>
        <v/>
      </c>
      <c r="AQ25" s="17">
        <f>DAY(EOMONTH(EDATE(InceptionDate,40-1),0))</f>
        <v/>
      </c>
      <c r="AR25" s="17">
        <f>DAY(EOMONTH(EDATE(InceptionDate,41-1),0))</f>
        <v/>
      </c>
      <c r="AS25" s="17">
        <f>DAY(EOMONTH(EDATE(InceptionDate,42-1),0))</f>
        <v/>
      </c>
      <c r="AT25" s="17">
        <f>DAY(EOMONTH(EDATE(InceptionDate,43-1),0))</f>
        <v/>
      </c>
      <c r="AU25" s="17">
        <f>DAY(EOMONTH(EDATE(InceptionDate,44-1),0))</f>
        <v/>
      </c>
      <c r="AV25" s="17">
        <f>DAY(EOMONTH(EDATE(InceptionDate,45-1),0))</f>
        <v/>
      </c>
      <c r="AW25" s="17">
        <f>DAY(EOMONTH(EDATE(InceptionDate,46-1),0))</f>
        <v/>
      </c>
      <c r="AX25" s="17">
        <f>DAY(EOMONTH(EDATE(InceptionDate,47-1),0))</f>
        <v/>
      </c>
      <c r="AY25" s="17">
        <f>DAY(EOMONTH(EDATE(InceptionDate,48-1),0))</f>
        <v/>
      </c>
      <c r="AZ25" s="17">
        <f>DAY(EOMONTH(EDATE(InceptionDate,49-1),0))</f>
        <v/>
      </c>
      <c r="BA25" s="17">
        <f>DAY(EOMONTH(EDATE(InceptionDate,50-1),0))</f>
        <v/>
      </c>
      <c r="BB25" s="17">
        <f>DAY(EOMONTH(EDATE(InceptionDate,51-1),0))</f>
        <v/>
      </c>
      <c r="BC25" s="17">
        <f>DAY(EOMONTH(EDATE(InceptionDate,52-1),0))</f>
        <v/>
      </c>
      <c r="BD25" s="17">
        <f>DAY(EOMONTH(EDATE(InceptionDate,53-1),0))</f>
        <v/>
      </c>
      <c r="BE25" s="17">
        <f>DAY(EOMONTH(EDATE(InceptionDate,54-1),0))</f>
        <v/>
      </c>
      <c r="BF25" s="17">
        <f>DAY(EOMONTH(EDATE(InceptionDate,55-1),0))</f>
        <v/>
      </c>
      <c r="BG25" s="17">
        <f>DAY(EOMONTH(EDATE(InceptionDate,56-1),0))</f>
        <v/>
      </c>
      <c r="BH25" s="17">
        <f>DAY(EOMONTH(EDATE(InceptionDate,57-1),0))</f>
        <v/>
      </c>
      <c r="BI25" s="17">
        <f>DAY(EOMONTH(EDATE(InceptionDate,58-1),0))</f>
        <v/>
      </c>
      <c r="BJ25" s="17">
        <f>DAY(EOMONTH(EDATE(InceptionDate,59-1),0))</f>
        <v/>
      </c>
      <c r="BK25" s="17">
        <f>DAY(EOMONTH(EDATE(InceptionDate,60-1),0))</f>
        <v/>
      </c>
      <c r="BL25" s="17">
        <f>DAY(EOMONTH(EDATE(InceptionDate,61-1),0))</f>
        <v/>
      </c>
      <c r="BM25" s="17">
        <f>DAY(EOMONTH(EDATE(InceptionDate,62-1),0))</f>
        <v/>
      </c>
      <c r="BN25" s="17">
        <f>DAY(EOMONTH(EDATE(InceptionDate,63-1),0))</f>
        <v/>
      </c>
      <c r="BO25" s="17">
        <f>DAY(EOMONTH(EDATE(InceptionDate,64-1),0))</f>
        <v/>
      </c>
      <c r="BP25" s="17">
        <f>DAY(EOMONTH(EDATE(InceptionDate,65-1),0))</f>
        <v/>
      </c>
      <c r="BQ25" s="17">
        <f>DAY(EOMONTH(EDATE(InceptionDate,66-1),0))</f>
        <v/>
      </c>
      <c r="BR25" s="17">
        <f>DAY(EOMONTH(EDATE(InceptionDate,67-1),0))</f>
        <v/>
      </c>
      <c r="BS25" s="17">
        <f>DAY(EOMONTH(EDATE(InceptionDate,68-1),0))</f>
        <v/>
      </c>
      <c r="BT25" s="17">
        <f>DAY(EOMONTH(EDATE(InceptionDate,69-1),0))</f>
        <v/>
      </c>
      <c r="BU25" s="17">
        <f>DAY(EOMONTH(EDATE(InceptionDate,70-1),0))</f>
        <v/>
      </c>
      <c r="BV25" s="17">
        <f>DAY(EOMONTH(EDATE(InceptionDate,71-1),0))</f>
        <v/>
      </c>
      <c r="BW25" s="17">
        <f>DAY(EOMONTH(EDATE(InceptionDate,72-1),0))</f>
        <v/>
      </c>
      <c r="BX25" s="17">
        <f>DAY(EOMONTH(EDATE(InceptionDate,73-1),0))</f>
        <v/>
      </c>
      <c r="BY25" s="17">
        <f>DAY(EOMONTH(EDATE(InceptionDate,74-1),0))</f>
        <v/>
      </c>
      <c r="BZ25" s="17">
        <f>DAY(EOMONTH(EDATE(InceptionDate,75-1),0))</f>
        <v/>
      </c>
      <c r="CA25" s="17">
        <f>DAY(EOMONTH(EDATE(InceptionDate,76-1),0))</f>
        <v/>
      </c>
      <c r="CB25" s="17">
        <f>DAY(EOMONTH(EDATE(InceptionDate,77-1),0))</f>
        <v/>
      </c>
      <c r="CC25" s="17">
        <f>DAY(EOMONTH(EDATE(InceptionDate,78-1),0))</f>
        <v/>
      </c>
      <c r="CD25" s="17">
        <f>DAY(EOMONTH(EDATE(InceptionDate,79-1),0))</f>
        <v/>
      </c>
      <c r="CE25" s="17">
        <f>DAY(EOMONTH(EDATE(InceptionDate,80-1),0))</f>
        <v/>
      </c>
      <c r="CF25" s="17">
        <f>DAY(EOMONTH(EDATE(InceptionDate,81-1),0))</f>
        <v/>
      </c>
      <c r="CG25" s="17">
        <f>DAY(EOMONTH(EDATE(InceptionDate,82-1),0))</f>
        <v/>
      </c>
      <c r="CH25" s="17">
        <f>DAY(EOMONTH(EDATE(InceptionDate,83-1),0))</f>
        <v/>
      </c>
      <c r="CI25" s="17">
        <f>DAY(EOMONTH(EDATE(InceptionDate,84-1),0))</f>
        <v/>
      </c>
      <c r="CJ25" s="17">
        <f>DAY(EOMONTH(EDATE(InceptionDate,85-1),0))</f>
        <v/>
      </c>
      <c r="CK25" s="17">
        <f>DAY(EOMONTH(EDATE(InceptionDate,86-1),0))</f>
        <v/>
      </c>
      <c r="CL25" s="17">
        <f>DAY(EOMONTH(EDATE(InceptionDate,87-1),0))</f>
        <v/>
      </c>
      <c r="CM25" s="17">
        <f>DAY(EOMONTH(EDATE(InceptionDate,88-1),0))</f>
        <v/>
      </c>
      <c r="CN25" s="17">
        <f>DAY(EOMONTH(EDATE(InceptionDate,89-1),0))</f>
        <v/>
      </c>
      <c r="CO25" s="17">
        <f>DAY(EOMONTH(EDATE(InceptionDate,90-1),0))</f>
        <v/>
      </c>
      <c r="CP25" s="17">
        <f>DAY(EOMONTH(EDATE(InceptionDate,91-1),0))</f>
        <v/>
      </c>
      <c r="CQ25" s="17">
        <f>DAY(EOMONTH(EDATE(InceptionDate,92-1),0))</f>
        <v/>
      </c>
      <c r="CR25" s="17">
        <f>DAY(EOMONTH(EDATE(InceptionDate,93-1),0))</f>
        <v/>
      </c>
      <c r="CS25" s="17">
        <f>DAY(EOMONTH(EDATE(InceptionDate,94-1),0))</f>
        <v/>
      </c>
      <c r="CT25" s="17">
        <f>DAY(EOMONTH(EDATE(InceptionDate,95-1),0))</f>
        <v/>
      </c>
      <c r="CU25" s="17">
        <f>DAY(EOMONTH(EDATE(InceptionDate,96-1),0))</f>
        <v/>
      </c>
      <c r="CV25" s="17">
        <f>DAY(EOMONTH(EDATE(InceptionDate,97-1),0))</f>
        <v/>
      </c>
      <c r="CW25" s="17">
        <f>DAY(EOMONTH(EDATE(InceptionDate,98-1),0))</f>
        <v/>
      </c>
      <c r="CX25" s="17">
        <f>DAY(EOMONTH(EDATE(InceptionDate,99-1),0))</f>
        <v/>
      </c>
      <c r="CY25" s="17">
        <f>DAY(EOMONTH(EDATE(InceptionDate,100-1),0))</f>
        <v/>
      </c>
      <c r="CZ25" s="17">
        <f>DAY(EOMONTH(EDATE(InceptionDate,101-1),0))</f>
        <v/>
      </c>
      <c r="DA25" s="17">
        <f>DAY(EOMONTH(EDATE(InceptionDate,102-1),0))</f>
        <v/>
      </c>
      <c r="DB25" s="17">
        <f>DAY(EOMONTH(EDATE(InceptionDate,103-1),0))</f>
        <v/>
      </c>
      <c r="DC25" s="17">
        <f>DAY(EOMONTH(EDATE(InceptionDate,104-1),0))</f>
        <v/>
      </c>
      <c r="DD25" s="17">
        <f>DAY(EOMONTH(EDATE(InceptionDate,105-1),0))</f>
        <v/>
      </c>
      <c r="DE25" s="17">
        <f>DAY(EOMONTH(EDATE(InceptionDate,106-1),0))</f>
        <v/>
      </c>
      <c r="DF25" s="17">
        <f>DAY(EOMONTH(EDATE(InceptionDate,107-1),0))</f>
        <v/>
      </c>
      <c r="DG25" s="17">
        <f>DAY(EOMONTH(EDATE(InceptionDate,108-1),0))</f>
        <v/>
      </c>
      <c r="DH25" s="17">
        <f>DAY(EOMONTH(EDATE(InceptionDate,109-1),0))</f>
        <v/>
      </c>
      <c r="DI25" s="17">
        <f>DAY(EOMONTH(EDATE(InceptionDate,110-1),0))</f>
        <v/>
      </c>
      <c r="DJ25" s="17">
        <f>DAY(EOMONTH(EDATE(InceptionDate,111-1),0))</f>
        <v/>
      </c>
      <c r="DK25" s="17">
        <f>DAY(EOMONTH(EDATE(InceptionDate,112-1),0))</f>
        <v/>
      </c>
      <c r="DL25" s="17">
        <f>DAY(EOMONTH(EDATE(InceptionDate,113-1),0))</f>
        <v/>
      </c>
      <c r="DM25" s="17">
        <f>DAY(EOMONTH(EDATE(InceptionDate,114-1),0))</f>
        <v/>
      </c>
      <c r="DN25" s="17">
        <f>DAY(EOMONTH(EDATE(InceptionDate,115-1),0))</f>
        <v/>
      </c>
      <c r="DO25" s="17">
        <f>DAY(EOMONTH(EDATE(InceptionDate,116-1),0))</f>
        <v/>
      </c>
      <c r="DP25" s="17">
        <f>DAY(EOMONTH(EDATE(InceptionDate,117-1),0))</f>
        <v/>
      </c>
      <c r="DQ25" s="17">
        <f>DAY(EOMONTH(EDATE(InceptionDate,118-1),0))</f>
        <v/>
      </c>
      <c r="DR25" s="17">
        <f>DAY(EOMONTH(EDATE(InceptionDate,119-1),0))</f>
        <v/>
      </c>
      <c r="DS25" s="17">
        <f>DAY(EOMONTH(EDATE(InceptionDate,120-1),0))</f>
        <v/>
      </c>
      <c r="DT25" s="17">
        <f>DAY(EOMONTH(EDATE(InceptionDate,121-1),0))</f>
        <v/>
      </c>
      <c r="DU25" s="17">
        <f>DAY(EOMONTH(EDATE(InceptionDate,122-1),0))</f>
        <v/>
      </c>
      <c r="DV25" s="17">
        <f>DAY(EOMONTH(EDATE(InceptionDate,123-1),0))</f>
        <v/>
      </c>
      <c r="DW25" s="17">
        <f>DAY(EOMONTH(EDATE(InceptionDate,124-1),0))</f>
        <v/>
      </c>
      <c r="DX25" s="17">
        <f>DAY(EOMONTH(EDATE(InceptionDate,125-1),0))</f>
        <v/>
      </c>
      <c r="DY25" s="17">
        <f>DAY(EOMONTH(EDATE(InceptionDate,126-1),0))</f>
        <v/>
      </c>
      <c r="DZ25" s="17">
        <f>DAY(EOMONTH(EDATE(InceptionDate,127-1),0))</f>
        <v/>
      </c>
      <c r="EA25" s="17">
        <f>DAY(EOMONTH(EDATE(InceptionDate,128-1),0))</f>
        <v/>
      </c>
      <c r="EB25" s="17">
        <f>DAY(EOMONTH(EDATE(InceptionDate,129-1),0))</f>
        <v/>
      </c>
      <c r="EC25" s="17">
        <f>DAY(EOMONTH(EDATE(InceptionDate,130-1),0))</f>
        <v/>
      </c>
      <c r="ED25" s="17">
        <f>DAY(EOMONTH(EDATE(InceptionDate,131-1),0))</f>
        <v/>
      </c>
      <c r="EE25" s="17">
        <f>DAY(EOMONTH(EDATE(InceptionDate,132-1),0))</f>
        <v/>
      </c>
      <c r="EF25" s="17">
        <f>DAY(EOMONTH(EDATE(InceptionDate,133-1),0))</f>
        <v/>
      </c>
      <c r="EG25" s="17">
        <f>DAY(EOMONTH(EDATE(InceptionDate,134-1),0))</f>
        <v/>
      </c>
      <c r="EH25" s="17">
        <f>DAY(EOMONTH(EDATE(InceptionDate,135-1),0))</f>
        <v/>
      </c>
      <c r="EI25" s="17">
        <f>DAY(EOMONTH(EDATE(InceptionDate,136-1),0))</f>
        <v/>
      </c>
      <c r="EJ25" s="17">
        <f>DAY(EOMONTH(EDATE(InceptionDate,137-1),0))</f>
        <v/>
      </c>
      <c r="EK25" s="17">
        <f>DAY(EOMONTH(EDATE(InceptionDate,138-1),0))</f>
        <v/>
      </c>
      <c r="EL25" s="17">
        <f>DAY(EOMONTH(EDATE(InceptionDate,139-1),0))</f>
        <v/>
      </c>
      <c r="EM25" s="17">
        <f>DAY(EOMONTH(EDATE(InceptionDate,140-1),0))</f>
        <v/>
      </c>
      <c r="EN25" s="17">
        <f>DAY(EOMONTH(EDATE(InceptionDate,141-1),0))</f>
        <v/>
      </c>
      <c r="EO25" s="17">
        <f>DAY(EOMONTH(EDATE(InceptionDate,142-1),0))</f>
        <v/>
      </c>
      <c r="EP25" s="17">
        <f>DAY(EOMONTH(EDATE(InceptionDate,143-1),0))</f>
        <v/>
      </c>
      <c r="EQ25" s="17">
        <f>DAY(EOMONTH(EDATE(InceptionDate,144-1),0))</f>
        <v/>
      </c>
      <c r="ER25" s="17">
        <f>DAY(EOMONTH(EDATE(InceptionDate,145-1),0))</f>
        <v/>
      </c>
      <c r="ES25" s="17">
        <f>DAY(EOMONTH(EDATE(InceptionDate,146-1),0))</f>
        <v/>
      </c>
      <c r="ET25" s="17">
        <f>DAY(EOMONTH(EDATE(InceptionDate,147-1),0))</f>
        <v/>
      </c>
      <c r="EU25" s="17">
        <f>DAY(EOMONTH(EDATE(InceptionDate,148-1),0))</f>
        <v/>
      </c>
      <c r="EV25" s="17">
        <f>DAY(EOMONTH(EDATE(InceptionDate,149-1),0))</f>
        <v/>
      </c>
      <c r="EW25" s="17">
        <f>DAY(EOMONTH(EDATE(InceptionDate,150-1),0))</f>
        <v/>
      </c>
      <c r="EX25" s="17">
        <f>DAY(EOMONTH(EDATE(InceptionDate,151-1),0))</f>
        <v/>
      </c>
      <c r="EY25" s="17">
        <f>DAY(EOMONTH(EDATE(InceptionDate,152-1),0))</f>
        <v/>
      </c>
      <c r="EZ25" s="17">
        <f>DAY(EOMONTH(EDATE(InceptionDate,153-1),0))</f>
        <v/>
      </c>
      <c r="FA25" s="17">
        <f>DAY(EOMONTH(EDATE(InceptionDate,154-1),0))</f>
        <v/>
      </c>
      <c r="FB25" s="17">
        <f>DAY(EOMONTH(EDATE(InceptionDate,155-1),0))</f>
        <v/>
      </c>
      <c r="FC25" s="17">
        <f>DAY(EOMONTH(EDATE(InceptionDate,156-1),0))</f>
        <v/>
      </c>
      <c r="FD25" s="17">
        <f>DAY(EOMONTH(EDATE(InceptionDate,157-1),0))</f>
        <v/>
      </c>
      <c r="FE25" s="17">
        <f>DAY(EOMONTH(EDATE(InceptionDate,158-1),0))</f>
        <v/>
      </c>
      <c r="FF25" s="17">
        <f>DAY(EOMONTH(EDATE(InceptionDate,159-1),0))</f>
        <v/>
      </c>
      <c r="FG25" s="17">
        <f>DAY(EOMONTH(EDATE(InceptionDate,160-1),0))</f>
        <v/>
      </c>
      <c r="FH25" s="17">
        <f>DAY(EOMONTH(EDATE(InceptionDate,161-1),0))</f>
        <v/>
      </c>
      <c r="FI25" s="17">
        <f>DAY(EOMONTH(EDATE(InceptionDate,162-1),0))</f>
        <v/>
      </c>
      <c r="FJ25" s="17">
        <f>DAY(EOMONTH(EDATE(InceptionDate,163-1),0))</f>
        <v/>
      </c>
      <c r="FK25" s="17">
        <f>DAY(EOMONTH(EDATE(InceptionDate,164-1),0))</f>
        <v/>
      </c>
      <c r="FL25" s="17">
        <f>DAY(EOMONTH(EDATE(InceptionDate,165-1),0))</f>
        <v/>
      </c>
      <c r="FM25" s="17">
        <f>DAY(EOMONTH(EDATE(InceptionDate,166-1),0))</f>
        <v/>
      </c>
      <c r="FN25" s="17">
        <f>DAY(EOMONTH(EDATE(InceptionDate,167-1),0))</f>
        <v/>
      </c>
      <c r="FO25" s="17">
        <f>DAY(EOMONTH(EDATE(InceptionDate,168-1),0))</f>
        <v/>
      </c>
      <c r="FP25" s="17">
        <f>DAY(EOMONTH(EDATE(InceptionDate,169-1),0))</f>
        <v/>
      </c>
      <c r="FQ25" s="17">
        <f>DAY(EOMONTH(EDATE(InceptionDate,170-1),0))</f>
        <v/>
      </c>
      <c r="FR25" s="17">
        <f>DAY(EOMONTH(EDATE(InceptionDate,171-1),0))</f>
        <v/>
      </c>
      <c r="FS25" s="17">
        <f>DAY(EOMONTH(EDATE(InceptionDate,172-1),0))</f>
        <v/>
      </c>
      <c r="FT25" s="17">
        <f>DAY(EOMONTH(EDATE(InceptionDate,173-1),0))</f>
        <v/>
      </c>
      <c r="FU25" s="17">
        <f>DAY(EOMONTH(EDATE(InceptionDate,174-1),0))</f>
        <v/>
      </c>
      <c r="FV25" s="17">
        <f>DAY(EOMONTH(EDATE(InceptionDate,175-1),0))</f>
        <v/>
      </c>
      <c r="FW25" s="17">
        <f>DAY(EOMONTH(EDATE(InceptionDate,176-1),0))</f>
        <v/>
      </c>
      <c r="FX25" s="17">
        <f>DAY(EOMONTH(EDATE(InceptionDate,177-1),0))</f>
        <v/>
      </c>
      <c r="FY25" s="17">
        <f>DAY(EOMONTH(EDATE(InceptionDate,178-1),0))</f>
        <v/>
      </c>
      <c r="FZ25" s="17">
        <f>DAY(EOMONTH(EDATE(InceptionDate,179-1),0))</f>
        <v/>
      </c>
      <c r="GA25" s="17">
        <f>DAY(EOMONTH(EDATE(InceptionDate,180-1),0))</f>
        <v/>
      </c>
      <c r="GB25" s="17">
        <f>DAY(EOMONTH(EDATE(InceptionDate,181-1),0))</f>
        <v/>
      </c>
      <c r="GC25" s="17">
        <f>DAY(EOMONTH(EDATE(InceptionDate,182-1),0))</f>
        <v/>
      </c>
      <c r="GD25" s="17">
        <f>DAY(EOMONTH(EDATE(InceptionDate,183-1),0))</f>
        <v/>
      </c>
      <c r="GE25" s="17">
        <f>DAY(EOMONTH(EDATE(InceptionDate,184-1),0))</f>
        <v/>
      </c>
      <c r="GF25" s="17">
        <f>DAY(EOMONTH(EDATE(InceptionDate,185-1),0))</f>
        <v/>
      </c>
      <c r="GG25" s="17">
        <f>DAY(EOMONTH(EDATE(InceptionDate,186-1),0))</f>
        <v/>
      </c>
      <c r="GH25" s="17">
        <f>DAY(EOMONTH(EDATE(InceptionDate,187-1),0))</f>
        <v/>
      </c>
      <c r="GI25" s="17">
        <f>DAY(EOMONTH(EDATE(InceptionDate,188-1),0))</f>
        <v/>
      </c>
      <c r="GJ25" s="17">
        <f>DAY(EOMONTH(EDATE(InceptionDate,189-1),0))</f>
        <v/>
      </c>
      <c r="GK25" s="17">
        <f>DAY(EOMONTH(EDATE(InceptionDate,190-1),0))</f>
        <v/>
      </c>
      <c r="GL25" s="17">
        <f>DAY(EOMONTH(EDATE(InceptionDate,191-1),0))</f>
        <v/>
      </c>
      <c r="GM25" s="17">
        <f>DAY(EOMONTH(EDATE(InceptionDate,192-1),0))</f>
        <v/>
      </c>
      <c r="GN25" s="17">
        <f>DAY(EOMONTH(EDATE(InceptionDate,193-1),0))</f>
        <v/>
      </c>
      <c r="GO25" s="17">
        <f>DAY(EOMONTH(EDATE(InceptionDate,194-1),0))</f>
        <v/>
      </c>
      <c r="GP25" s="17">
        <f>DAY(EOMONTH(EDATE(InceptionDate,195-1),0))</f>
        <v/>
      </c>
      <c r="GQ25" s="17">
        <f>DAY(EOMONTH(EDATE(InceptionDate,196-1),0))</f>
        <v/>
      </c>
      <c r="GR25" s="17">
        <f>DAY(EOMONTH(EDATE(InceptionDate,197-1),0))</f>
        <v/>
      </c>
      <c r="GS25" s="17">
        <f>DAY(EOMONTH(EDATE(InceptionDate,198-1),0))</f>
        <v/>
      </c>
      <c r="GT25" s="17">
        <f>DAY(EOMONTH(EDATE(InceptionDate,199-1),0))</f>
        <v/>
      </c>
      <c r="GU25" s="17">
        <f>DAY(EOMONTH(EDATE(InceptionDate,200-1),0))</f>
        <v/>
      </c>
      <c r="GV25" s="17">
        <f>DAY(EOMONTH(EDATE(InceptionDate,201-1),0))</f>
        <v/>
      </c>
      <c r="GW25" s="17">
        <f>DAY(EOMONTH(EDATE(InceptionDate,202-1),0))</f>
        <v/>
      </c>
      <c r="GX25" s="17">
        <f>DAY(EOMONTH(EDATE(InceptionDate,203-1),0))</f>
        <v/>
      </c>
      <c r="GY25" s="17">
        <f>DAY(EOMONTH(EDATE(InceptionDate,204-1),0))</f>
        <v/>
      </c>
      <c r="GZ25" s="17">
        <f>DAY(EOMONTH(EDATE(InceptionDate,205-1),0))</f>
        <v/>
      </c>
      <c r="HA25" s="17">
        <f>DAY(EOMONTH(EDATE(InceptionDate,206-1),0))</f>
        <v/>
      </c>
      <c r="HB25" s="17">
        <f>DAY(EOMONTH(EDATE(InceptionDate,207-1),0))</f>
        <v/>
      </c>
      <c r="HC25" s="17">
        <f>DAY(EOMONTH(EDATE(InceptionDate,208-1),0))</f>
        <v/>
      </c>
      <c r="HD25" s="17">
        <f>DAY(EOMONTH(EDATE(InceptionDate,209-1),0))</f>
        <v/>
      </c>
      <c r="HE25" s="17">
        <f>DAY(EOMONTH(EDATE(InceptionDate,210-1),0))</f>
        <v/>
      </c>
      <c r="HF25" s="17">
        <f>DAY(EOMONTH(EDATE(InceptionDate,211-1),0))</f>
        <v/>
      </c>
      <c r="HG25" s="17">
        <f>DAY(EOMONTH(EDATE(InceptionDate,212-1),0))</f>
        <v/>
      </c>
      <c r="HH25" s="17">
        <f>DAY(EOMONTH(EDATE(InceptionDate,213-1),0))</f>
        <v/>
      </c>
      <c r="HI25" s="17">
        <f>DAY(EOMONTH(EDATE(InceptionDate,214-1),0))</f>
        <v/>
      </c>
      <c r="HJ25" s="17">
        <f>DAY(EOMONTH(EDATE(InceptionDate,215-1),0))</f>
        <v/>
      </c>
      <c r="HK25" s="17">
        <f>DAY(EOMONTH(EDATE(InceptionDate,216-1),0))</f>
        <v/>
      </c>
      <c r="HL25" s="17">
        <f>DAY(EOMONTH(EDATE(InceptionDate,217-1),0))</f>
        <v/>
      </c>
      <c r="HM25" s="17">
        <f>DAY(EOMONTH(EDATE(InceptionDate,218-1),0))</f>
        <v/>
      </c>
      <c r="HN25" s="17">
        <f>DAY(EOMONTH(EDATE(InceptionDate,219-1),0))</f>
        <v/>
      </c>
      <c r="HO25" s="17">
        <f>DAY(EOMONTH(EDATE(InceptionDate,220-1),0))</f>
        <v/>
      </c>
      <c r="HP25" s="17">
        <f>DAY(EOMONTH(EDATE(InceptionDate,221-1),0))</f>
        <v/>
      </c>
      <c r="HQ25" s="17">
        <f>DAY(EOMONTH(EDATE(InceptionDate,222-1),0))</f>
        <v/>
      </c>
      <c r="HR25" s="17">
        <f>DAY(EOMONTH(EDATE(InceptionDate,223-1),0))</f>
        <v/>
      </c>
      <c r="HS25" s="17">
        <f>DAY(EOMONTH(EDATE(InceptionDate,224-1),0))</f>
        <v/>
      </c>
      <c r="HT25" s="17">
        <f>DAY(EOMONTH(EDATE(InceptionDate,225-1),0))</f>
        <v/>
      </c>
      <c r="HU25" s="17">
        <f>DAY(EOMONTH(EDATE(InceptionDate,226-1),0))</f>
        <v/>
      </c>
      <c r="HV25" s="17">
        <f>DAY(EOMONTH(EDATE(InceptionDate,227-1),0))</f>
        <v/>
      </c>
      <c r="HW25" s="17">
        <f>DAY(EOMONTH(EDATE(InceptionDate,228-1),0))</f>
        <v/>
      </c>
      <c r="HX25" s="17">
        <f>DAY(EOMONTH(EDATE(InceptionDate,229-1),0))</f>
        <v/>
      </c>
      <c r="HY25" s="17">
        <f>DAY(EOMONTH(EDATE(InceptionDate,230-1),0))</f>
        <v/>
      </c>
      <c r="HZ25" s="17">
        <f>DAY(EOMONTH(EDATE(InceptionDate,231-1),0))</f>
        <v/>
      </c>
      <c r="IA25" s="17">
        <f>DAY(EOMONTH(EDATE(InceptionDate,232-1),0))</f>
        <v/>
      </c>
      <c r="IB25" s="17">
        <f>DAY(EOMONTH(EDATE(InceptionDate,233-1),0))</f>
        <v/>
      </c>
      <c r="IC25" s="17">
        <f>DAY(EOMONTH(EDATE(InceptionDate,234-1),0))</f>
        <v/>
      </c>
      <c r="ID25" s="17">
        <f>DAY(EOMONTH(EDATE(InceptionDate,235-1),0))</f>
        <v/>
      </c>
      <c r="IE25" s="17">
        <f>DAY(EOMONTH(EDATE(InceptionDate,236-1),0))</f>
        <v/>
      </c>
      <c r="IF25" s="17">
        <f>DAY(EOMONTH(EDATE(InceptionDate,237-1),0))</f>
        <v/>
      </c>
      <c r="IG25" s="17">
        <f>DAY(EOMONTH(EDATE(InceptionDate,238-1),0))</f>
        <v/>
      </c>
      <c r="IH25" s="17">
        <f>DAY(EOMONTH(EDATE(InceptionDate,239-1),0))</f>
        <v/>
      </c>
      <c r="II25" s="17">
        <f>DAY(EOMONTH(EDATE(InceptionDate,240-1),0))</f>
        <v/>
      </c>
      <c r="IJ25" s="17">
        <f>DAY(EOMONTH(EDATE(InceptionDate,241-1),0))</f>
        <v/>
      </c>
      <c r="IK25" s="17">
        <f>DAY(EOMONTH(EDATE(InceptionDate,242-1),0))</f>
        <v/>
      </c>
      <c r="IL25" s="17">
        <f>DAY(EOMONTH(EDATE(InceptionDate,243-1),0))</f>
        <v/>
      </c>
      <c r="IM25" s="17">
        <f>DAY(EOMONTH(EDATE(InceptionDate,244-1),0))</f>
        <v/>
      </c>
      <c r="IN25" s="17">
        <f>DAY(EOMONTH(EDATE(InceptionDate,245-1),0))</f>
        <v/>
      </c>
      <c r="IO25" s="17">
        <f>DAY(EOMONTH(EDATE(InceptionDate,246-1),0))</f>
        <v/>
      </c>
      <c r="IP25" s="17">
        <f>DAY(EOMONTH(EDATE(InceptionDate,247-1),0))</f>
        <v/>
      </c>
      <c r="IQ25" s="17">
        <f>DAY(EOMONTH(EDATE(InceptionDate,248-1),0))</f>
        <v/>
      </c>
      <c r="IR25" s="17">
        <f>DAY(EOMONTH(EDATE(InceptionDate,249-1),0))</f>
        <v/>
      </c>
      <c r="IS25" s="17">
        <f>DAY(EOMONTH(EDATE(InceptionDate,250-1),0))</f>
        <v/>
      </c>
      <c r="IT25" s="17">
        <f>DAY(EOMONTH(EDATE(InceptionDate,251-1),0))</f>
        <v/>
      </c>
      <c r="IU25" s="17">
        <f>DAY(EOMONTH(EDATE(InceptionDate,252-1),0))</f>
        <v/>
      </c>
      <c r="IV25" s="17">
        <f>DAY(EOMONTH(EDATE(InceptionDate,253-1),0))</f>
        <v/>
      </c>
      <c r="IW25" s="17">
        <f>DAY(EOMONTH(EDATE(InceptionDate,254-1),0))</f>
        <v/>
      </c>
      <c r="IX25" s="17">
        <f>DAY(EOMONTH(EDATE(InceptionDate,255-1),0))</f>
        <v/>
      </c>
      <c r="IY25" s="17">
        <f>DAY(EOMONTH(EDATE(InceptionDate,256-1),0))</f>
        <v/>
      </c>
      <c r="IZ25" s="17">
        <f>DAY(EOMONTH(EDATE(InceptionDate,257-1),0))</f>
        <v/>
      </c>
      <c r="JA25" s="17">
        <f>DAY(EOMONTH(EDATE(InceptionDate,258-1),0))</f>
        <v/>
      </c>
      <c r="JB25" s="17">
        <f>DAY(EOMONTH(EDATE(InceptionDate,259-1),0))</f>
        <v/>
      </c>
      <c r="JC25" s="17">
        <f>DAY(EOMONTH(EDATE(InceptionDate,260-1),0))</f>
        <v/>
      </c>
      <c r="JD25" s="17">
        <f>DAY(EOMONTH(EDATE(InceptionDate,261-1),0))</f>
        <v/>
      </c>
      <c r="JE25" s="17">
        <f>DAY(EOMONTH(EDATE(InceptionDate,262-1),0))</f>
        <v/>
      </c>
      <c r="JF25" s="17">
        <f>DAY(EOMONTH(EDATE(InceptionDate,263-1),0))</f>
        <v/>
      </c>
      <c r="JG25" s="17">
        <f>DAY(EOMONTH(EDATE(InceptionDate,264-1),0))</f>
        <v/>
      </c>
      <c r="JH25" s="17">
        <f>DAY(EOMONTH(EDATE(InceptionDate,265-1),0))</f>
        <v/>
      </c>
      <c r="JI25" s="17">
        <f>DAY(EOMONTH(EDATE(InceptionDate,266-1),0))</f>
        <v/>
      </c>
      <c r="JJ25" s="17">
        <f>DAY(EOMONTH(EDATE(InceptionDate,267-1),0))</f>
        <v/>
      </c>
      <c r="JK25" s="17">
        <f>DAY(EOMONTH(EDATE(InceptionDate,268-1),0))</f>
        <v/>
      </c>
      <c r="JL25" s="17">
        <f>DAY(EOMONTH(EDATE(InceptionDate,269-1),0))</f>
        <v/>
      </c>
      <c r="JM25" s="17">
        <f>DAY(EOMONTH(EDATE(InceptionDate,270-1),0))</f>
        <v/>
      </c>
      <c r="JN25" s="17">
        <f>DAY(EOMONTH(EDATE(InceptionDate,271-1),0))</f>
        <v/>
      </c>
      <c r="JO25" s="17">
        <f>DAY(EOMONTH(EDATE(InceptionDate,272-1),0))</f>
        <v/>
      </c>
      <c r="JP25" s="17">
        <f>DAY(EOMONTH(EDATE(InceptionDate,273-1),0))</f>
        <v/>
      </c>
      <c r="JQ25" s="17">
        <f>DAY(EOMONTH(EDATE(InceptionDate,274-1),0))</f>
        <v/>
      </c>
      <c r="JR25" s="17">
        <f>DAY(EOMONTH(EDATE(InceptionDate,275-1),0))</f>
        <v/>
      </c>
      <c r="JS25" s="17">
        <f>DAY(EOMONTH(EDATE(InceptionDate,276-1),0))</f>
        <v/>
      </c>
      <c r="JT25" s="17">
        <f>DAY(EOMONTH(EDATE(InceptionDate,277-1),0))</f>
        <v/>
      </c>
      <c r="JU25" s="17">
        <f>DAY(EOMONTH(EDATE(InceptionDate,278-1),0))</f>
        <v/>
      </c>
      <c r="JV25" s="17">
        <f>DAY(EOMONTH(EDATE(InceptionDate,279-1),0))</f>
        <v/>
      </c>
      <c r="JW25" s="17">
        <f>DAY(EOMONTH(EDATE(InceptionDate,280-1),0))</f>
        <v/>
      </c>
      <c r="JX25" s="17">
        <f>DAY(EOMONTH(EDATE(InceptionDate,281-1),0))</f>
        <v/>
      </c>
      <c r="JY25" s="17">
        <f>DAY(EOMONTH(EDATE(InceptionDate,282-1),0))</f>
        <v/>
      </c>
      <c r="JZ25" s="17">
        <f>DAY(EOMONTH(EDATE(InceptionDate,283-1),0))</f>
        <v/>
      </c>
      <c r="KA25" s="17">
        <f>DAY(EOMONTH(EDATE(InceptionDate,284-1),0))</f>
        <v/>
      </c>
      <c r="KB25" s="17">
        <f>DAY(EOMONTH(EDATE(InceptionDate,285-1),0))</f>
        <v/>
      </c>
      <c r="KC25" s="17">
        <f>DAY(EOMONTH(EDATE(InceptionDate,286-1),0))</f>
        <v/>
      </c>
      <c r="KD25" s="17">
        <f>DAY(EOMONTH(EDATE(InceptionDate,287-1),0))</f>
        <v/>
      </c>
      <c r="KE25" s="17">
        <f>DAY(EOMONTH(EDATE(InceptionDate,288-1),0))</f>
        <v/>
      </c>
      <c r="KF25" s="17">
        <f>DAY(EOMONTH(EDATE(InceptionDate,289-1),0))</f>
        <v/>
      </c>
      <c r="KG25" s="17">
        <f>DAY(EOMONTH(EDATE(InceptionDate,290-1),0))</f>
        <v/>
      </c>
      <c r="KH25" s="17">
        <f>DAY(EOMONTH(EDATE(InceptionDate,291-1),0))</f>
        <v/>
      </c>
      <c r="KI25" s="17">
        <f>DAY(EOMONTH(EDATE(InceptionDate,292-1),0))</f>
        <v/>
      </c>
      <c r="KJ25" s="17">
        <f>DAY(EOMONTH(EDATE(InceptionDate,293-1),0))</f>
        <v/>
      </c>
      <c r="KK25" s="17">
        <f>DAY(EOMONTH(EDATE(InceptionDate,294-1),0))</f>
        <v/>
      </c>
      <c r="KL25" s="17">
        <f>DAY(EOMONTH(EDATE(InceptionDate,295-1),0))</f>
        <v/>
      </c>
      <c r="KM25" s="17">
        <f>DAY(EOMONTH(EDATE(InceptionDate,296-1),0))</f>
        <v/>
      </c>
      <c r="KN25" s="17">
        <f>DAY(EOMONTH(EDATE(InceptionDate,297-1),0))</f>
        <v/>
      </c>
      <c r="KO25" s="17">
        <f>DAY(EOMONTH(EDATE(InceptionDate,298-1),0))</f>
        <v/>
      </c>
      <c r="KP25" s="17">
        <f>DAY(EOMONTH(EDATE(InceptionDate,299-1),0))</f>
        <v/>
      </c>
      <c r="KQ25" s="17">
        <f>DAY(EOMONTH(EDATE(InceptionDate,300-1),0))</f>
        <v/>
      </c>
      <c r="KR25" s="17">
        <f>DAY(EOMONTH(EDATE(InceptionDate,301-1),0))</f>
        <v/>
      </c>
      <c r="KS25" s="17">
        <f>DAY(EOMONTH(EDATE(InceptionDate,302-1),0))</f>
        <v/>
      </c>
      <c r="KT25" s="17">
        <f>DAY(EOMONTH(EDATE(InceptionDate,303-1),0))</f>
        <v/>
      </c>
      <c r="KU25" s="17">
        <f>DAY(EOMONTH(EDATE(InceptionDate,304-1),0))</f>
        <v/>
      </c>
      <c r="KV25" s="17">
        <f>DAY(EOMONTH(EDATE(InceptionDate,305-1),0))</f>
        <v/>
      </c>
      <c r="KW25" s="17">
        <f>DAY(EOMONTH(EDATE(InceptionDate,306-1),0))</f>
        <v/>
      </c>
      <c r="KX25" s="17">
        <f>DAY(EOMONTH(EDATE(InceptionDate,307-1),0))</f>
        <v/>
      </c>
      <c r="KY25" s="17">
        <f>DAY(EOMONTH(EDATE(InceptionDate,308-1),0))</f>
        <v/>
      </c>
      <c r="KZ25" s="17">
        <f>DAY(EOMONTH(EDATE(InceptionDate,309-1),0))</f>
        <v/>
      </c>
      <c r="LA25" s="17">
        <f>DAY(EOMONTH(EDATE(InceptionDate,310-1),0))</f>
        <v/>
      </c>
      <c r="LB25" s="17">
        <f>DAY(EOMONTH(EDATE(InceptionDate,311-1),0))</f>
        <v/>
      </c>
      <c r="LC25" s="17">
        <f>DAY(EOMONTH(EDATE(InceptionDate,312-1),0))</f>
        <v/>
      </c>
      <c r="LD25" s="17">
        <f>DAY(EOMONTH(EDATE(InceptionDate,313-1),0))</f>
        <v/>
      </c>
      <c r="LE25" s="17">
        <f>DAY(EOMONTH(EDATE(InceptionDate,314-1),0))</f>
        <v/>
      </c>
      <c r="LF25" s="17">
        <f>DAY(EOMONTH(EDATE(InceptionDate,315-1),0))</f>
        <v/>
      </c>
      <c r="LG25" s="17">
        <f>DAY(EOMONTH(EDATE(InceptionDate,316-1),0))</f>
        <v/>
      </c>
      <c r="LH25" s="17">
        <f>DAY(EOMONTH(EDATE(InceptionDate,317-1),0))</f>
        <v/>
      </c>
      <c r="LI25" s="17">
        <f>DAY(EOMONTH(EDATE(InceptionDate,318-1),0))</f>
        <v/>
      </c>
      <c r="LJ25" s="17">
        <f>DAY(EOMONTH(EDATE(InceptionDate,319-1),0))</f>
        <v/>
      </c>
      <c r="LK25" s="17">
        <f>DAY(EOMONTH(EDATE(InceptionDate,320-1),0))</f>
        <v/>
      </c>
      <c r="LL25" s="17">
        <f>DAY(EOMONTH(EDATE(InceptionDate,321-1),0))</f>
        <v/>
      </c>
      <c r="LM25" s="17">
        <f>DAY(EOMONTH(EDATE(InceptionDate,322-1),0))</f>
        <v/>
      </c>
      <c r="LN25" s="17">
        <f>DAY(EOMONTH(EDATE(InceptionDate,323-1),0))</f>
        <v/>
      </c>
      <c r="LO25" s="17">
        <f>DAY(EOMONTH(EDATE(InceptionDate,324-1),0))</f>
        <v/>
      </c>
      <c r="LP25" s="17">
        <f>DAY(EOMONTH(EDATE(InceptionDate,325-1),0))</f>
        <v/>
      </c>
      <c r="LQ25" s="17">
        <f>DAY(EOMONTH(EDATE(InceptionDate,326-1),0))</f>
        <v/>
      </c>
      <c r="LR25" s="17">
        <f>DAY(EOMONTH(EDATE(InceptionDate,327-1),0))</f>
        <v/>
      </c>
      <c r="LS25" s="17">
        <f>DAY(EOMONTH(EDATE(InceptionDate,328-1),0))</f>
        <v/>
      </c>
      <c r="LT25" s="17">
        <f>DAY(EOMONTH(EDATE(InceptionDate,329-1),0))</f>
        <v/>
      </c>
      <c r="LU25" s="17">
        <f>DAY(EOMONTH(EDATE(InceptionDate,330-1),0))</f>
        <v/>
      </c>
      <c r="LV25" s="17">
        <f>DAY(EOMONTH(EDATE(InceptionDate,331-1),0))</f>
        <v/>
      </c>
      <c r="LW25" s="17">
        <f>DAY(EOMONTH(EDATE(InceptionDate,332-1),0))</f>
        <v/>
      </c>
      <c r="LX25" s="17">
        <f>DAY(EOMONTH(EDATE(InceptionDate,333-1),0))</f>
        <v/>
      </c>
      <c r="LY25" s="17">
        <f>DAY(EOMONTH(EDATE(InceptionDate,334-1),0))</f>
        <v/>
      </c>
      <c r="LZ25" s="17">
        <f>DAY(EOMONTH(EDATE(InceptionDate,335-1),0))</f>
        <v/>
      </c>
      <c r="MA25" s="17">
        <f>DAY(EOMONTH(EDATE(InceptionDate,336-1),0))</f>
        <v/>
      </c>
      <c r="MB25" s="17">
        <f>DAY(EOMONTH(EDATE(InceptionDate,337-1),0))</f>
        <v/>
      </c>
      <c r="MC25" s="17">
        <f>DAY(EOMONTH(EDATE(InceptionDate,338-1),0))</f>
        <v/>
      </c>
      <c r="MD25" s="17">
        <f>DAY(EOMONTH(EDATE(InceptionDate,339-1),0))</f>
        <v/>
      </c>
      <c r="ME25" s="17">
        <f>DAY(EOMONTH(EDATE(InceptionDate,340-1),0))</f>
        <v/>
      </c>
      <c r="MF25" s="17">
        <f>DAY(EOMONTH(EDATE(InceptionDate,341-1),0))</f>
        <v/>
      </c>
      <c r="MG25" s="17">
        <f>DAY(EOMONTH(EDATE(InceptionDate,342-1),0))</f>
        <v/>
      </c>
      <c r="MH25" s="17">
        <f>DAY(EOMONTH(EDATE(InceptionDate,343-1),0))</f>
        <v/>
      </c>
      <c r="MI25" s="17">
        <f>DAY(EOMONTH(EDATE(InceptionDate,344-1),0))</f>
        <v/>
      </c>
      <c r="MJ25" s="17">
        <f>DAY(EOMONTH(EDATE(InceptionDate,345-1),0))</f>
        <v/>
      </c>
      <c r="MK25" s="17">
        <f>DAY(EOMONTH(EDATE(InceptionDate,346-1),0))</f>
        <v/>
      </c>
      <c r="ML25" s="17">
        <f>DAY(EOMONTH(EDATE(InceptionDate,347-1),0))</f>
        <v/>
      </c>
      <c r="MM25" s="17">
        <f>DAY(EOMONTH(EDATE(InceptionDate,348-1),0))</f>
        <v/>
      </c>
      <c r="MN25" s="17">
        <f>DAY(EOMONTH(EDATE(InceptionDate,349-1),0))</f>
        <v/>
      </c>
      <c r="MO25" s="17">
        <f>DAY(EOMONTH(EDATE(InceptionDate,350-1),0))</f>
        <v/>
      </c>
      <c r="MP25" s="17">
        <f>DAY(EOMONTH(EDATE(InceptionDate,351-1),0))</f>
        <v/>
      </c>
      <c r="MQ25" s="17">
        <f>DAY(EOMONTH(EDATE(InceptionDate,352-1),0))</f>
        <v/>
      </c>
      <c r="MR25" s="17">
        <f>DAY(EOMONTH(EDATE(InceptionDate,353-1),0))</f>
        <v/>
      </c>
      <c r="MS25" s="17">
        <f>DAY(EOMONTH(EDATE(InceptionDate,354-1),0))</f>
        <v/>
      </c>
      <c r="MT25" s="17">
        <f>DAY(EOMONTH(EDATE(InceptionDate,355-1),0))</f>
        <v/>
      </c>
      <c r="MU25" s="17">
        <f>DAY(EOMONTH(EDATE(InceptionDate,356-1),0))</f>
        <v/>
      </c>
      <c r="MV25" s="17">
        <f>DAY(EOMONTH(EDATE(InceptionDate,357-1),0))</f>
        <v/>
      </c>
      <c r="MW25" s="17">
        <f>DAY(EOMONTH(EDATE(InceptionDate,358-1),0))</f>
        <v/>
      </c>
      <c r="MX25" s="17">
        <f>DAY(EOMONTH(EDATE(InceptionDate,359-1),0))</f>
        <v/>
      </c>
      <c r="MY25" s="17">
        <f>DAY(EOMONTH(EDATE(InceptionDate,360-1),0))</f>
        <v/>
      </c>
      <c r="MZ25" s="17">
        <f>DAY(EOMONTH(EDATE(InceptionDate,361-1),0))</f>
        <v/>
      </c>
      <c r="NA25" s="17">
        <f>DAY(EOMONTH(EDATE(InceptionDate,362-1),0))</f>
        <v/>
      </c>
      <c r="NB25" s="17">
        <f>DAY(EOMONTH(EDATE(InceptionDate,363-1),0))</f>
        <v/>
      </c>
      <c r="NC25" s="17">
        <f>DAY(EOMONTH(EDATE(InceptionDate,364-1),0))</f>
        <v/>
      </c>
      <c r="ND25" s="17">
        <f>DAY(EOMONTH(EDATE(InceptionDate,365-1),0))</f>
        <v/>
      </c>
      <c r="NE25" s="17">
        <f>DAY(EOMONTH(EDATE(InceptionDate,366-1),0))</f>
        <v/>
      </c>
      <c r="NF25" s="17">
        <f>DAY(EOMONTH(EDATE(InceptionDate,367-1),0))</f>
        <v/>
      </c>
      <c r="NG25" s="17">
        <f>DAY(EOMONTH(EDATE(InceptionDate,368-1),0))</f>
        <v/>
      </c>
      <c r="NH25" s="17">
        <f>DAY(EOMONTH(EDATE(InceptionDate,369-1),0))</f>
        <v/>
      </c>
      <c r="NI25" s="17">
        <f>DAY(EOMONTH(EDATE(InceptionDate,370-1),0))</f>
        <v/>
      </c>
      <c r="NJ25" s="17">
        <f>DAY(EOMONTH(EDATE(InceptionDate,371-1),0))</f>
        <v/>
      </c>
      <c r="NK25" s="17">
        <f>DAY(EOMONTH(EDATE(InceptionDate,372-1),0))</f>
        <v/>
      </c>
    </row>
    <row r="26">
      <c r="A26" s="5" t="inlineStr">
        <is>
          <t>Fundable Uses</t>
        </is>
      </c>
      <c r="C26" s="41">
        <f>SUM(D26:NK26)</f>
        <v/>
      </c>
      <c r="D26" s="18">
        <f>'DevSpend'!D$34+'DevSpend'!D$35+IF(1=MS_Initial_Closing_Start,ConOtherCosts+ConPoints+RecourseFee,0)+IF(1=StabMonth,OpReserve,0)</f>
        <v/>
      </c>
      <c r="E26" s="18">
        <f>'DevSpend'!E$34+'DevSpend'!E$35+IF(2=MS_Initial_Closing_Start,ConOtherCosts+ConPoints+RecourseFee,0)+IF(2=StabMonth,OpReserve,0)</f>
        <v/>
      </c>
      <c r="F26" s="18">
        <f>'DevSpend'!F$34+'DevSpend'!F$35+IF(3=MS_Initial_Closing_Start,ConOtherCosts+ConPoints+RecourseFee,0)+IF(3=StabMonth,OpReserve,0)</f>
        <v/>
      </c>
      <c r="G26" s="18">
        <f>'DevSpend'!G$34+'DevSpend'!G$35+IF(4=MS_Initial_Closing_Start,ConOtherCosts+ConPoints+RecourseFee,0)+IF(4=StabMonth,OpReserve,0)</f>
        <v/>
      </c>
      <c r="H26" s="18">
        <f>'DevSpend'!H$34+'DevSpend'!H$35+IF(5=MS_Initial_Closing_Start,ConOtherCosts+ConPoints+RecourseFee,0)+IF(5=StabMonth,OpReserve,0)</f>
        <v/>
      </c>
      <c r="I26" s="18">
        <f>'DevSpend'!I$34+'DevSpend'!I$35+IF(6=MS_Initial_Closing_Start,ConOtherCosts+ConPoints+RecourseFee,0)+IF(6=StabMonth,OpReserve,0)</f>
        <v/>
      </c>
      <c r="J26" s="18">
        <f>'DevSpend'!J$34+'DevSpend'!J$35+IF(7=MS_Initial_Closing_Start,ConOtherCosts+ConPoints+RecourseFee,0)+IF(7=StabMonth,OpReserve,0)</f>
        <v/>
      </c>
      <c r="K26" s="18">
        <f>'DevSpend'!K$34+'DevSpend'!K$35+IF(8=MS_Initial_Closing_Start,ConOtherCosts+ConPoints+RecourseFee,0)+IF(8=StabMonth,OpReserve,0)</f>
        <v/>
      </c>
      <c r="L26" s="18">
        <f>'DevSpend'!L$34+'DevSpend'!L$35+IF(9=MS_Initial_Closing_Start,ConOtherCosts+ConPoints+RecourseFee,0)+IF(9=StabMonth,OpReserve,0)</f>
        <v/>
      </c>
      <c r="M26" s="18">
        <f>'DevSpend'!M$34+'DevSpend'!M$35+IF(10=MS_Initial_Closing_Start,ConOtherCosts+ConPoints+RecourseFee,0)+IF(10=StabMonth,OpReserve,0)</f>
        <v/>
      </c>
      <c r="N26" s="18">
        <f>'DevSpend'!N$34+'DevSpend'!N$35+IF(11=MS_Initial_Closing_Start,ConOtherCosts+ConPoints+RecourseFee,0)+IF(11=StabMonth,OpReserve,0)</f>
        <v/>
      </c>
      <c r="O26" s="18">
        <f>'DevSpend'!O$34+'DevSpend'!O$35+IF(12=MS_Initial_Closing_Start,ConOtherCosts+ConPoints+RecourseFee,0)+IF(12=StabMonth,OpReserve,0)</f>
        <v/>
      </c>
      <c r="P26" s="18">
        <f>'DevSpend'!P$34+'DevSpend'!P$35+IF(13=MS_Initial_Closing_Start,ConOtherCosts+ConPoints+RecourseFee,0)+IF(13=StabMonth,OpReserve,0)</f>
        <v/>
      </c>
      <c r="Q26" s="18">
        <f>'DevSpend'!Q$34+'DevSpend'!Q$35+IF(14=MS_Initial_Closing_Start,ConOtherCosts+ConPoints+RecourseFee,0)+IF(14=StabMonth,OpReserve,0)</f>
        <v/>
      </c>
      <c r="R26" s="18">
        <f>'DevSpend'!R$34+'DevSpend'!R$35+IF(15=MS_Initial_Closing_Start,ConOtherCosts+ConPoints+RecourseFee,0)+IF(15=StabMonth,OpReserve,0)</f>
        <v/>
      </c>
      <c r="S26" s="18">
        <f>'DevSpend'!S$34+'DevSpend'!S$35+IF(16=MS_Initial_Closing_Start,ConOtherCosts+ConPoints+RecourseFee,0)+IF(16=StabMonth,OpReserve,0)</f>
        <v/>
      </c>
      <c r="T26" s="18">
        <f>'DevSpend'!T$34+'DevSpend'!T$35+IF(17=MS_Initial_Closing_Start,ConOtherCosts+ConPoints+RecourseFee,0)+IF(17=StabMonth,OpReserve,0)</f>
        <v/>
      </c>
      <c r="U26" s="18">
        <f>'DevSpend'!U$34+'DevSpend'!U$35+IF(18=MS_Initial_Closing_Start,ConOtherCosts+ConPoints+RecourseFee,0)+IF(18=StabMonth,OpReserve,0)</f>
        <v/>
      </c>
      <c r="V26" s="18">
        <f>'DevSpend'!V$34+'DevSpend'!V$35+IF(19=MS_Initial_Closing_Start,ConOtherCosts+ConPoints+RecourseFee,0)+IF(19=StabMonth,OpReserve,0)</f>
        <v/>
      </c>
      <c r="W26" s="18">
        <f>'DevSpend'!W$34+'DevSpend'!W$35+IF(20=MS_Initial_Closing_Start,ConOtherCosts+ConPoints+RecourseFee,0)+IF(20=StabMonth,OpReserve,0)</f>
        <v/>
      </c>
      <c r="X26" s="18">
        <f>'DevSpend'!X$34+'DevSpend'!X$35+IF(21=MS_Initial_Closing_Start,ConOtherCosts+ConPoints+RecourseFee,0)+IF(21=StabMonth,OpReserve,0)</f>
        <v/>
      </c>
      <c r="Y26" s="18">
        <f>'DevSpend'!Y$34+'DevSpend'!Y$35+IF(22=MS_Initial_Closing_Start,ConOtherCosts+ConPoints+RecourseFee,0)+IF(22=StabMonth,OpReserve,0)</f>
        <v/>
      </c>
      <c r="Z26" s="18">
        <f>'DevSpend'!Z$34+'DevSpend'!Z$35+IF(23=MS_Initial_Closing_Start,ConOtherCosts+ConPoints+RecourseFee,0)+IF(23=StabMonth,OpReserve,0)</f>
        <v/>
      </c>
      <c r="AA26" s="18">
        <f>'DevSpend'!AA$34+'DevSpend'!AA$35+IF(24=MS_Initial_Closing_Start,ConOtherCosts+ConPoints+RecourseFee,0)+IF(24=StabMonth,OpReserve,0)</f>
        <v/>
      </c>
      <c r="AB26" s="18">
        <f>'DevSpend'!AB$34+'DevSpend'!AB$35+IF(25=MS_Initial_Closing_Start,ConOtherCosts+ConPoints+RecourseFee,0)+IF(25=StabMonth,OpReserve,0)</f>
        <v/>
      </c>
      <c r="AC26" s="18">
        <f>'DevSpend'!AC$34+'DevSpend'!AC$35+IF(26=MS_Initial_Closing_Start,ConOtherCosts+ConPoints+RecourseFee,0)+IF(26=StabMonth,OpReserve,0)</f>
        <v/>
      </c>
      <c r="AD26" s="18">
        <f>'DevSpend'!AD$34+'DevSpend'!AD$35+IF(27=MS_Initial_Closing_Start,ConOtherCosts+ConPoints+RecourseFee,0)+IF(27=StabMonth,OpReserve,0)</f>
        <v/>
      </c>
      <c r="AE26" s="18">
        <f>'DevSpend'!AE$34+'DevSpend'!AE$35+IF(28=MS_Initial_Closing_Start,ConOtherCosts+ConPoints+RecourseFee,0)+IF(28=StabMonth,OpReserve,0)</f>
        <v/>
      </c>
      <c r="AF26" s="18">
        <f>'DevSpend'!AF$34+'DevSpend'!AF$35+IF(29=MS_Initial_Closing_Start,ConOtherCosts+ConPoints+RecourseFee,0)+IF(29=StabMonth,OpReserve,0)</f>
        <v/>
      </c>
      <c r="AG26" s="18">
        <f>'DevSpend'!AG$34+'DevSpend'!AG$35+IF(30=MS_Initial_Closing_Start,ConOtherCosts+ConPoints+RecourseFee,0)+IF(30=StabMonth,OpReserve,0)</f>
        <v/>
      </c>
      <c r="AH26" s="18">
        <f>'DevSpend'!AH$34+'DevSpend'!AH$35+IF(31=MS_Initial_Closing_Start,ConOtherCosts+ConPoints+RecourseFee,0)+IF(31=StabMonth,OpReserve,0)</f>
        <v/>
      </c>
      <c r="AI26" s="18">
        <f>'DevSpend'!AI$34+'DevSpend'!AI$35+IF(32=MS_Initial_Closing_Start,ConOtherCosts+ConPoints+RecourseFee,0)+IF(32=StabMonth,OpReserve,0)</f>
        <v/>
      </c>
      <c r="AJ26" s="18">
        <f>'DevSpend'!AJ$34+'DevSpend'!AJ$35+IF(33=MS_Initial_Closing_Start,ConOtherCosts+ConPoints+RecourseFee,0)+IF(33=StabMonth,OpReserve,0)</f>
        <v/>
      </c>
      <c r="AK26" s="18">
        <f>'DevSpend'!AK$34+'DevSpend'!AK$35+IF(34=MS_Initial_Closing_Start,ConOtherCosts+ConPoints+RecourseFee,0)+IF(34=StabMonth,OpReserve,0)</f>
        <v/>
      </c>
      <c r="AL26" s="18">
        <f>'DevSpend'!AL$34+'DevSpend'!AL$35+IF(35=MS_Initial_Closing_Start,ConOtherCosts+ConPoints+RecourseFee,0)+IF(35=StabMonth,OpReserve,0)</f>
        <v/>
      </c>
      <c r="AM26" s="18">
        <f>'DevSpend'!AM$34+'DevSpend'!AM$35+IF(36=MS_Initial_Closing_Start,ConOtherCosts+ConPoints+RecourseFee,0)+IF(36=StabMonth,OpReserve,0)</f>
        <v/>
      </c>
      <c r="AN26" s="18">
        <f>'DevSpend'!AN$34+'DevSpend'!AN$35+IF(37=MS_Initial_Closing_Start,ConOtherCosts+ConPoints+RecourseFee,0)+IF(37=StabMonth,OpReserve,0)</f>
        <v/>
      </c>
      <c r="AO26" s="18">
        <f>'DevSpend'!AO$34+'DevSpend'!AO$35+IF(38=MS_Initial_Closing_Start,ConOtherCosts+ConPoints+RecourseFee,0)+IF(38=StabMonth,OpReserve,0)</f>
        <v/>
      </c>
      <c r="AP26" s="18">
        <f>'DevSpend'!AP$34+'DevSpend'!AP$35+IF(39=MS_Initial_Closing_Start,ConOtherCosts+ConPoints+RecourseFee,0)+IF(39=StabMonth,OpReserve,0)</f>
        <v/>
      </c>
      <c r="AQ26" s="18">
        <f>'DevSpend'!AQ$34+'DevSpend'!AQ$35+IF(40=MS_Initial_Closing_Start,ConOtherCosts+ConPoints+RecourseFee,0)+IF(40=StabMonth,OpReserve,0)</f>
        <v/>
      </c>
      <c r="AR26" s="18">
        <f>'DevSpend'!AR$34+'DevSpend'!AR$35+IF(41=MS_Initial_Closing_Start,ConOtherCosts+ConPoints+RecourseFee,0)+IF(41=StabMonth,OpReserve,0)</f>
        <v/>
      </c>
      <c r="AS26" s="18">
        <f>'DevSpend'!AS$34+'DevSpend'!AS$35+IF(42=MS_Initial_Closing_Start,ConOtherCosts+ConPoints+RecourseFee,0)+IF(42=StabMonth,OpReserve,0)</f>
        <v/>
      </c>
      <c r="AT26" s="18">
        <f>'DevSpend'!AT$34+'DevSpend'!AT$35+IF(43=MS_Initial_Closing_Start,ConOtherCosts+ConPoints+RecourseFee,0)+IF(43=StabMonth,OpReserve,0)</f>
        <v/>
      </c>
      <c r="AU26" s="18">
        <f>'DevSpend'!AU$34+'DevSpend'!AU$35+IF(44=MS_Initial_Closing_Start,ConOtherCosts+ConPoints+RecourseFee,0)+IF(44=StabMonth,OpReserve,0)</f>
        <v/>
      </c>
      <c r="AV26" s="18">
        <f>'DevSpend'!AV$34+'DevSpend'!AV$35+IF(45=MS_Initial_Closing_Start,ConOtherCosts+ConPoints+RecourseFee,0)+IF(45=StabMonth,OpReserve,0)</f>
        <v/>
      </c>
      <c r="AW26" s="18">
        <f>'DevSpend'!AW$34+'DevSpend'!AW$35+IF(46=MS_Initial_Closing_Start,ConOtherCosts+ConPoints+RecourseFee,0)+IF(46=StabMonth,OpReserve,0)</f>
        <v/>
      </c>
      <c r="AX26" s="18">
        <f>'DevSpend'!AX$34+'DevSpend'!AX$35+IF(47=MS_Initial_Closing_Start,ConOtherCosts+ConPoints+RecourseFee,0)+IF(47=StabMonth,OpReserve,0)</f>
        <v/>
      </c>
      <c r="AY26" s="18">
        <f>'DevSpend'!AY$34+'DevSpend'!AY$35+IF(48=MS_Initial_Closing_Start,ConOtherCosts+ConPoints+RecourseFee,0)+IF(48=StabMonth,OpReserve,0)</f>
        <v/>
      </c>
      <c r="AZ26" s="18">
        <f>'DevSpend'!AZ$34+'DevSpend'!AZ$35+IF(49=MS_Initial_Closing_Start,ConOtherCosts+ConPoints+RecourseFee,0)+IF(49=StabMonth,OpReserve,0)</f>
        <v/>
      </c>
      <c r="BA26" s="18">
        <f>'DevSpend'!BA$34+'DevSpend'!BA$35+IF(50=MS_Initial_Closing_Start,ConOtherCosts+ConPoints+RecourseFee,0)+IF(50=StabMonth,OpReserve,0)</f>
        <v/>
      </c>
      <c r="BB26" s="18">
        <f>'DevSpend'!BB$34+'DevSpend'!BB$35+IF(51=MS_Initial_Closing_Start,ConOtherCosts+ConPoints+RecourseFee,0)+IF(51=StabMonth,OpReserve,0)</f>
        <v/>
      </c>
      <c r="BC26" s="18">
        <f>'DevSpend'!BC$34+'DevSpend'!BC$35+IF(52=MS_Initial_Closing_Start,ConOtherCosts+ConPoints+RecourseFee,0)+IF(52=StabMonth,OpReserve,0)</f>
        <v/>
      </c>
      <c r="BD26" s="18">
        <f>'DevSpend'!BD$34+'DevSpend'!BD$35+IF(53=MS_Initial_Closing_Start,ConOtherCosts+ConPoints+RecourseFee,0)+IF(53=StabMonth,OpReserve,0)</f>
        <v/>
      </c>
      <c r="BE26" s="18">
        <f>'DevSpend'!BE$34+'DevSpend'!BE$35+IF(54=MS_Initial_Closing_Start,ConOtherCosts+ConPoints+RecourseFee,0)+IF(54=StabMonth,OpReserve,0)</f>
        <v/>
      </c>
      <c r="BF26" s="18">
        <f>'DevSpend'!BF$34+'DevSpend'!BF$35+IF(55=MS_Initial_Closing_Start,ConOtherCosts+ConPoints+RecourseFee,0)+IF(55=StabMonth,OpReserve,0)</f>
        <v/>
      </c>
      <c r="BG26" s="18">
        <f>'DevSpend'!BG$34+'DevSpend'!BG$35+IF(56=MS_Initial_Closing_Start,ConOtherCosts+ConPoints+RecourseFee,0)+IF(56=StabMonth,OpReserve,0)</f>
        <v/>
      </c>
      <c r="BH26" s="18">
        <f>'DevSpend'!BH$34+'DevSpend'!BH$35+IF(57=MS_Initial_Closing_Start,ConOtherCosts+ConPoints+RecourseFee,0)+IF(57=StabMonth,OpReserve,0)</f>
        <v/>
      </c>
      <c r="BI26" s="18">
        <f>'DevSpend'!BI$34+'DevSpend'!BI$35+IF(58=MS_Initial_Closing_Start,ConOtherCosts+ConPoints+RecourseFee,0)+IF(58=StabMonth,OpReserve,0)</f>
        <v/>
      </c>
      <c r="BJ26" s="18">
        <f>'DevSpend'!BJ$34+'DevSpend'!BJ$35+IF(59=MS_Initial_Closing_Start,ConOtherCosts+ConPoints+RecourseFee,0)+IF(59=StabMonth,OpReserve,0)</f>
        <v/>
      </c>
      <c r="BK26" s="18">
        <f>'DevSpend'!BK$34+'DevSpend'!BK$35+IF(60=MS_Initial_Closing_Start,ConOtherCosts+ConPoints+RecourseFee,0)+IF(60=StabMonth,OpReserve,0)</f>
        <v/>
      </c>
      <c r="BL26" s="18">
        <f>'DevSpend'!BL$34+'DevSpend'!BL$35+IF(61=MS_Initial_Closing_Start,ConOtherCosts+ConPoints+RecourseFee,0)+IF(61=StabMonth,OpReserve,0)</f>
        <v/>
      </c>
      <c r="BM26" s="18">
        <f>'DevSpend'!BM$34+'DevSpend'!BM$35+IF(62=MS_Initial_Closing_Start,ConOtherCosts+ConPoints+RecourseFee,0)+IF(62=StabMonth,OpReserve,0)</f>
        <v/>
      </c>
      <c r="BN26" s="18">
        <f>'DevSpend'!BN$34+'DevSpend'!BN$35+IF(63=MS_Initial_Closing_Start,ConOtherCosts+ConPoints+RecourseFee,0)+IF(63=StabMonth,OpReserve,0)</f>
        <v/>
      </c>
      <c r="BO26" s="18">
        <f>'DevSpend'!BO$34+'DevSpend'!BO$35+IF(64=MS_Initial_Closing_Start,ConOtherCosts+ConPoints+RecourseFee,0)+IF(64=StabMonth,OpReserve,0)</f>
        <v/>
      </c>
      <c r="BP26" s="18">
        <f>'DevSpend'!BP$34+'DevSpend'!BP$35+IF(65=MS_Initial_Closing_Start,ConOtherCosts+ConPoints+RecourseFee,0)+IF(65=StabMonth,OpReserve,0)</f>
        <v/>
      </c>
      <c r="BQ26" s="18">
        <f>'DevSpend'!BQ$34+'DevSpend'!BQ$35+IF(66=MS_Initial_Closing_Start,ConOtherCosts+ConPoints+RecourseFee,0)+IF(66=StabMonth,OpReserve,0)</f>
        <v/>
      </c>
      <c r="BR26" s="18">
        <f>'DevSpend'!BR$34+'DevSpend'!BR$35+IF(67=MS_Initial_Closing_Start,ConOtherCosts+ConPoints+RecourseFee,0)+IF(67=StabMonth,OpReserve,0)</f>
        <v/>
      </c>
      <c r="BS26" s="18">
        <f>'DevSpend'!BS$34+'DevSpend'!BS$35+IF(68=MS_Initial_Closing_Start,ConOtherCosts+ConPoints+RecourseFee,0)+IF(68=StabMonth,OpReserve,0)</f>
        <v/>
      </c>
      <c r="BT26" s="18">
        <f>'DevSpend'!BT$34+'DevSpend'!BT$35+IF(69=MS_Initial_Closing_Start,ConOtherCosts+ConPoints+RecourseFee,0)+IF(69=StabMonth,OpReserve,0)</f>
        <v/>
      </c>
      <c r="BU26" s="18">
        <f>'DevSpend'!BU$34+'DevSpend'!BU$35+IF(70=MS_Initial_Closing_Start,ConOtherCosts+ConPoints+RecourseFee,0)+IF(70=StabMonth,OpReserve,0)</f>
        <v/>
      </c>
      <c r="BV26" s="18">
        <f>'DevSpend'!BV$34+'DevSpend'!BV$35+IF(71=MS_Initial_Closing_Start,ConOtherCosts+ConPoints+RecourseFee,0)+IF(71=StabMonth,OpReserve,0)</f>
        <v/>
      </c>
      <c r="BW26" s="18">
        <f>'DevSpend'!BW$34+'DevSpend'!BW$35+IF(72=MS_Initial_Closing_Start,ConOtherCosts+ConPoints+RecourseFee,0)+IF(72=StabMonth,OpReserve,0)</f>
        <v/>
      </c>
      <c r="BX26" s="18">
        <f>'DevSpend'!BX$34+'DevSpend'!BX$35+IF(73=MS_Initial_Closing_Start,ConOtherCosts+ConPoints+RecourseFee,0)+IF(73=StabMonth,OpReserve,0)</f>
        <v/>
      </c>
      <c r="BY26" s="18">
        <f>'DevSpend'!BY$34+'DevSpend'!BY$35+IF(74=MS_Initial_Closing_Start,ConOtherCosts+ConPoints+RecourseFee,0)+IF(74=StabMonth,OpReserve,0)</f>
        <v/>
      </c>
      <c r="BZ26" s="18">
        <f>'DevSpend'!BZ$34+'DevSpend'!BZ$35+IF(75=MS_Initial_Closing_Start,ConOtherCosts+ConPoints+RecourseFee,0)+IF(75=StabMonth,OpReserve,0)</f>
        <v/>
      </c>
      <c r="CA26" s="18">
        <f>'DevSpend'!CA$34+'DevSpend'!CA$35+IF(76=MS_Initial_Closing_Start,ConOtherCosts+ConPoints+RecourseFee,0)+IF(76=StabMonth,OpReserve,0)</f>
        <v/>
      </c>
      <c r="CB26" s="18">
        <f>'DevSpend'!CB$34+'DevSpend'!CB$35+IF(77=MS_Initial_Closing_Start,ConOtherCosts+ConPoints+RecourseFee,0)+IF(77=StabMonth,OpReserve,0)</f>
        <v/>
      </c>
      <c r="CC26" s="18">
        <f>'DevSpend'!CC$34+'DevSpend'!CC$35+IF(78=MS_Initial_Closing_Start,ConOtherCosts+ConPoints+RecourseFee,0)+IF(78=StabMonth,OpReserve,0)</f>
        <v/>
      </c>
      <c r="CD26" s="18">
        <f>'DevSpend'!CD$34+'DevSpend'!CD$35+IF(79=MS_Initial_Closing_Start,ConOtherCosts+ConPoints+RecourseFee,0)+IF(79=StabMonth,OpReserve,0)</f>
        <v/>
      </c>
      <c r="CE26" s="18">
        <f>'DevSpend'!CE$34+'DevSpend'!CE$35+IF(80=MS_Initial_Closing_Start,ConOtherCosts+ConPoints+RecourseFee,0)+IF(80=StabMonth,OpReserve,0)</f>
        <v/>
      </c>
      <c r="CF26" s="18">
        <f>'DevSpend'!CF$34+'DevSpend'!CF$35+IF(81=MS_Initial_Closing_Start,ConOtherCosts+ConPoints+RecourseFee,0)+IF(81=StabMonth,OpReserve,0)</f>
        <v/>
      </c>
      <c r="CG26" s="18">
        <f>'DevSpend'!CG$34+'DevSpend'!CG$35+IF(82=MS_Initial_Closing_Start,ConOtherCosts+ConPoints+RecourseFee,0)+IF(82=StabMonth,OpReserve,0)</f>
        <v/>
      </c>
      <c r="CH26" s="18">
        <f>'DevSpend'!CH$34+'DevSpend'!CH$35+IF(83=MS_Initial_Closing_Start,ConOtherCosts+ConPoints+RecourseFee,0)+IF(83=StabMonth,OpReserve,0)</f>
        <v/>
      </c>
      <c r="CI26" s="18">
        <f>'DevSpend'!CI$34+'DevSpend'!CI$35+IF(84=MS_Initial_Closing_Start,ConOtherCosts+ConPoints+RecourseFee,0)+IF(84=StabMonth,OpReserve,0)</f>
        <v/>
      </c>
      <c r="CJ26" s="18">
        <f>'DevSpend'!CJ$34+'DevSpend'!CJ$35+IF(85=MS_Initial_Closing_Start,ConOtherCosts+ConPoints+RecourseFee,0)+IF(85=StabMonth,OpReserve,0)</f>
        <v/>
      </c>
      <c r="CK26" s="18">
        <f>'DevSpend'!CK$34+'DevSpend'!CK$35+IF(86=MS_Initial_Closing_Start,ConOtherCosts+ConPoints+RecourseFee,0)+IF(86=StabMonth,OpReserve,0)</f>
        <v/>
      </c>
      <c r="CL26" s="18">
        <f>'DevSpend'!CL$34+'DevSpend'!CL$35+IF(87=MS_Initial_Closing_Start,ConOtherCosts+ConPoints+RecourseFee,0)+IF(87=StabMonth,OpReserve,0)</f>
        <v/>
      </c>
      <c r="CM26" s="18">
        <f>'DevSpend'!CM$34+'DevSpend'!CM$35+IF(88=MS_Initial_Closing_Start,ConOtherCosts+ConPoints+RecourseFee,0)+IF(88=StabMonth,OpReserve,0)</f>
        <v/>
      </c>
      <c r="CN26" s="18">
        <f>'DevSpend'!CN$34+'DevSpend'!CN$35+IF(89=MS_Initial_Closing_Start,ConOtherCosts+ConPoints+RecourseFee,0)+IF(89=StabMonth,OpReserve,0)</f>
        <v/>
      </c>
      <c r="CO26" s="18">
        <f>'DevSpend'!CO$34+'DevSpend'!CO$35+IF(90=MS_Initial_Closing_Start,ConOtherCosts+ConPoints+RecourseFee,0)+IF(90=StabMonth,OpReserve,0)</f>
        <v/>
      </c>
      <c r="CP26" s="18">
        <f>'DevSpend'!CP$34+'DevSpend'!CP$35+IF(91=MS_Initial_Closing_Start,ConOtherCosts+ConPoints+RecourseFee,0)+IF(91=StabMonth,OpReserve,0)</f>
        <v/>
      </c>
      <c r="CQ26" s="18">
        <f>'DevSpend'!CQ$34+'DevSpend'!CQ$35+IF(92=MS_Initial_Closing_Start,ConOtherCosts+ConPoints+RecourseFee,0)+IF(92=StabMonth,OpReserve,0)</f>
        <v/>
      </c>
      <c r="CR26" s="18">
        <f>'DevSpend'!CR$34+'DevSpend'!CR$35+IF(93=MS_Initial_Closing_Start,ConOtherCosts+ConPoints+RecourseFee,0)+IF(93=StabMonth,OpReserve,0)</f>
        <v/>
      </c>
      <c r="CS26" s="18">
        <f>'DevSpend'!CS$34+'DevSpend'!CS$35+IF(94=MS_Initial_Closing_Start,ConOtherCosts+ConPoints+RecourseFee,0)+IF(94=StabMonth,OpReserve,0)</f>
        <v/>
      </c>
      <c r="CT26" s="18">
        <f>'DevSpend'!CT$34+'DevSpend'!CT$35+IF(95=MS_Initial_Closing_Start,ConOtherCosts+ConPoints+RecourseFee,0)+IF(95=StabMonth,OpReserve,0)</f>
        <v/>
      </c>
      <c r="CU26" s="18">
        <f>'DevSpend'!CU$34+'DevSpend'!CU$35+IF(96=MS_Initial_Closing_Start,ConOtherCosts+ConPoints+RecourseFee,0)+IF(96=StabMonth,OpReserve,0)</f>
        <v/>
      </c>
      <c r="CV26" s="18">
        <f>'DevSpend'!CV$34+'DevSpend'!CV$35+IF(97=MS_Initial_Closing_Start,ConOtherCosts+ConPoints+RecourseFee,0)+IF(97=StabMonth,OpReserve,0)</f>
        <v/>
      </c>
      <c r="CW26" s="18">
        <f>'DevSpend'!CW$34+'DevSpend'!CW$35+IF(98=MS_Initial_Closing_Start,ConOtherCosts+ConPoints+RecourseFee,0)+IF(98=StabMonth,OpReserve,0)</f>
        <v/>
      </c>
      <c r="CX26" s="18">
        <f>'DevSpend'!CX$34+'DevSpend'!CX$35+IF(99=MS_Initial_Closing_Start,ConOtherCosts+ConPoints+RecourseFee,0)+IF(99=StabMonth,OpReserve,0)</f>
        <v/>
      </c>
      <c r="CY26" s="18">
        <f>'DevSpend'!CY$34+'DevSpend'!CY$35+IF(100=MS_Initial_Closing_Start,ConOtherCosts+ConPoints+RecourseFee,0)+IF(100=StabMonth,OpReserve,0)</f>
        <v/>
      </c>
      <c r="CZ26" s="18">
        <f>'DevSpend'!CZ$34+'DevSpend'!CZ$35+IF(101=MS_Initial_Closing_Start,ConOtherCosts+ConPoints+RecourseFee,0)+IF(101=StabMonth,OpReserve,0)</f>
        <v/>
      </c>
      <c r="DA26" s="18">
        <f>'DevSpend'!DA$34+'DevSpend'!DA$35+IF(102=MS_Initial_Closing_Start,ConOtherCosts+ConPoints+RecourseFee,0)+IF(102=StabMonth,OpReserve,0)</f>
        <v/>
      </c>
      <c r="DB26" s="18">
        <f>'DevSpend'!DB$34+'DevSpend'!DB$35+IF(103=MS_Initial_Closing_Start,ConOtherCosts+ConPoints+RecourseFee,0)+IF(103=StabMonth,OpReserve,0)</f>
        <v/>
      </c>
      <c r="DC26" s="18">
        <f>'DevSpend'!DC$34+'DevSpend'!DC$35+IF(104=MS_Initial_Closing_Start,ConOtherCosts+ConPoints+RecourseFee,0)+IF(104=StabMonth,OpReserve,0)</f>
        <v/>
      </c>
      <c r="DD26" s="18">
        <f>'DevSpend'!DD$34+'DevSpend'!DD$35+IF(105=MS_Initial_Closing_Start,ConOtherCosts+ConPoints+RecourseFee,0)+IF(105=StabMonth,OpReserve,0)</f>
        <v/>
      </c>
      <c r="DE26" s="18">
        <f>'DevSpend'!DE$34+'DevSpend'!DE$35+IF(106=MS_Initial_Closing_Start,ConOtherCosts+ConPoints+RecourseFee,0)+IF(106=StabMonth,OpReserve,0)</f>
        <v/>
      </c>
      <c r="DF26" s="18">
        <f>'DevSpend'!DF$34+'DevSpend'!DF$35+IF(107=MS_Initial_Closing_Start,ConOtherCosts+ConPoints+RecourseFee,0)+IF(107=StabMonth,OpReserve,0)</f>
        <v/>
      </c>
      <c r="DG26" s="18">
        <f>'DevSpend'!DG$34+'DevSpend'!DG$35+IF(108=MS_Initial_Closing_Start,ConOtherCosts+ConPoints+RecourseFee,0)+IF(108=StabMonth,OpReserve,0)</f>
        <v/>
      </c>
      <c r="DH26" s="18">
        <f>'DevSpend'!DH$34+'DevSpend'!DH$35+IF(109=MS_Initial_Closing_Start,ConOtherCosts+ConPoints+RecourseFee,0)+IF(109=StabMonth,OpReserve,0)</f>
        <v/>
      </c>
      <c r="DI26" s="18">
        <f>'DevSpend'!DI$34+'DevSpend'!DI$35+IF(110=MS_Initial_Closing_Start,ConOtherCosts+ConPoints+RecourseFee,0)+IF(110=StabMonth,OpReserve,0)</f>
        <v/>
      </c>
      <c r="DJ26" s="18">
        <f>'DevSpend'!DJ$34+'DevSpend'!DJ$35+IF(111=MS_Initial_Closing_Start,ConOtherCosts+ConPoints+RecourseFee,0)+IF(111=StabMonth,OpReserve,0)</f>
        <v/>
      </c>
      <c r="DK26" s="18">
        <f>'DevSpend'!DK$34+'DevSpend'!DK$35+IF(112=MS_Initial_Closing_Start,ConOtherCosts+ConPoints+RecourseFee,0)+IF(112=StabMonth,OpReserve,0)</f>
        <v/>
      </c>
      <c r="DL26" s="18">
        <f>'DevSpend'!DL$34+'DevSpend'!DL$35+IF(113=MS_Initial_Closing_Start,ConOtherCosts+ConPoints+RecourseFee,0)+IF(113=StabMonth,OpReserve,0)</f>
        <v/>
      </c>
      <c r="DM26" s="18">
        <f>'DevSpend'!DM$34+'DevSpend'!DM$35+IF(114=MS_Initial_Closing_Start,ConOtherCosts+ConPoints+RecourseFee,0)+IF(114=StabMonth,OpReserve,0)</f>
        <v/>
      </c>
      <c r="DN26" s="18">
        <f>'DevSpend'!DN$34+'DevSpend'!DN$35+IF(115=MS_Initial_Closing_Start,ConOtherCosts+ConPoints+RecourseFee,0)+IF(115=StabMonth,OpReserve,0)</f>
        <v/>
      </c>
      <c r="DO26" s="18">
        <f>'DevSpend'!DO$34+'DevSpend'!DO$35+IF(116=MS_Initial_Closing_Start,ConOtherCosts+ConPoints+RecourseFee,0)+IF(116=StabMonth,OpReserve,0)</f>
        <v/>
      </c>
      <c r="DP26" s="18">
        <f>'DevSpend'!DP$34+'DevSpend'!DP$35+IF(117=MS_Initial_Closing_Start,ConOtherCosts+ConPoints+RecourseFee,0)+IF(117=StabMonth,OpReserve,0)</f>
        <v/>
      </c>
      <c r="DQ26" s="18">
        <f>'DevSpend'!DQ$34+'DevSpend'!DQ$35+IF(118=MS_Initial_Closing_Start,ConOtherCosts+ConPoints+RecourseFee,0)+IF(118=StabMonth,OpReserve,0)</f>
        <v/>
      </c>
      <c r="DR26" s="18">
        <f>'DevSpend'!DR$34+'DevSpend'!DR$35+IF(119=MS_Initial_Closing_Start,ConOtherCosts+ConPoints+RecourseFee,0)+IF(119=StabMonth,OpReserve,0)</f>
        <v/>
      </c>
      <c r="DS26" s="18">
        <f>'DevSpend'!DS$34+'DevSpend'!DS$35+IF(120=MS_Initial_Closing_Start,ConOtherCosts+ConPoints+RecourseFee,0)+IF(120=StabMonth,OpReserve,0)</f>
        <v/>
      </c>
      <c r="DT26" s="18">
        <f>'DevSpend'!DT$34+'DevSpend'!DT$35+IF(121=MS_Initial_Closing_Start,ConOtherCosts+ConPoints+RecourseFee,0)+IF(121=StabMonth,OpReserve,0)</f>
        <v/>
      </c>
      <c r="DU26" s="18">
        <f>'DevSpend'!DU$34+'DevSpend'!DU$35+IF(122=MS_Initial_Closing_Start,ConOtherCosts+ConPoints+RecourseFee,0)+IF(122=StabMonth,OpReserve,0)</f>
        <v/>
      </c>
      <c r="DV26" s="18">
        <f>'DevSpend'!DV$34+'DevSpend'!DV$35+IF(123=MS_Initial_Closing_Start,ConOtherCosts+ConPoints+RecourseFee,0)+IF(123=StabMonth,OpReserve,0)</f>
        <v/>
      </c>
      <c r="DW26" s="18">
        <f>'DevSpend'!DW$34+'DevSpend'!DW$35+IF(124=MS_Initial_Closing_Start,ConOtherCosts+ConPoints+RecourseFee,0)+IF(124=StabMonth,OpReserve,0)</f>
        <v/>
      </c>
      <c r="DX26" s="18">
        <f>'DevSpend'!DX$34+'DevSpend'!DX$35+IF(125=MS_Initial_Closing_Start,ConOtherCosts+ConPoints+RecourseFee,0)+IF(125=StabMonth,OpReserve,0)</f>
        <v/>
      </c>
      <c r="DY26" s="18">
        <f>'DevSpend'!DY$34+'DevSpend'!DY$35+IF(126=MS_Initial_Closing_Start,ConOtherCosts+ConPoints+RecourseFee,0)+IF(126=StabMonth,OpReserve,0)</f>
        <v/>
      </c>
      <c r="DZ26" s="18">
        <f>'DevSpend'!DZ$34+'DevSpend'!DZ$35+IF(127=MS_Initial_Closing_Start,ConOtherCosts+ConPoints+RecourseFee,0)+IF(127=StabMonth,OpReserve,0)</f>
        <v/>
      </c>
      <c r="EA26" s="18">
        <f>'DevSpend'!EA$34+'DevSpend'!EA$35+IF(128=MS_Initial_Closing_Start,ConOtherCosts+ConPoints+RecourseFee,0)+IF(128=StabMonth,OpReserve,0)</f>
        <v/>
      </c>
      <c r="EB26" s="18">
        <f>'DevSpend'!EB$34+'DevSpend'!EB$35+IF(129=MS_Initial_Closing_Start,ConOtherCosts+ConPoints+RecourseFee,0)+IF(129=StabMonth,OpReserve,0)</f>
        <v/>
      </c>
      <c r="EC26" s="18">
        <f>'DevSpend'!EC$34+'DevSpend'!EC$35+IF(130=MS_Initial_Closing_Start,ConOtherCosts+ConPoints+RecourseFee,0)+IF(130=StabMonth,OpReserve,0)</f>
        <v/>
      </c>
      <c r="ED26" s="18">
        <f>'DevSpend'!ED$34+'DevSpend'!ED$35+IF(131=MS_Initial_Closing_Start,ConOtherCosts+ConPoints+RecourseFee,0)+IF(131=StabMonth,OpReserve,0)</f>
        <v/>
      </c>
      <c r="EE26" s="18">
        <f>'DevSpend'!EE$34+'DevSpend'!EE$35+IF(132=MS_Initial_Closing_Start,ConOtherCosts+ConPoints+RecourseFee,0)+IF(132=StabMonth,OpReserve,0)</f>
        <v/>
      </c>
      <c r="EF26" s="18">
        <f>'DevSpend'!EF$34+'DevSpend'!EF$35+IF(133=MS_Initial_Closing_Start,ConOtherCosts+ConPoints+RecourseFee,0)+IF(133=StabMonth,OpReserve,0)</f>
        <v/>
      </c>
      <c r="EG26" s="18">
        <f>'DevSpend'!EG$34+'DevSpend'!EG$35+IF(134=MS_Initial_Closing_Start,ConOtherCosts+ConPoints+RecourseFee,0)+IF(134=StabMonth,OpReserve,0)</f>
        <v/>
      </c>
      <c r="EH26" s="18">
        <f>'DevSpend'!EH$34+'DevSpend'!EH$35+IF(135=MS_Initial_Closing_Start,ConOtherCosts+ConPoints+RecourseFee,0)+IF(135=StabMonth,OpReserve,0)</f>
        <v/>
      </c>
      <c r="EI26" s="18">
        <f>'DevSpend'!EI$34+'DevSpend'!EI$35+IF(136=MS_Initial_Closing_Start,ConOtherCosts+ConPoints+RecourseFee,0)+IF(136=StabMonth,OpReserve,0)</f>
        <v/>
      </c>
      <c r="EJ26" s="18">
        <f>'DevSpend'!EJ$34+'DevSpend'!EJ$35+IF(137=MS_Initial_Closing_Start,ConOtherCosts+ConPoints+RecourseFee,0)+IF(137=StabMonth,OpReserve,0)</f>
        <v/>
      </c>
      <c r="EK26" s="18">
        <f>'DevSpend'!EK$34+'DevSpend'!EK$35+IF(138=MS_Initial_Closing_Start,ConOtherCosts+ConPoints+RecourseFee,0)+IF(138=StabMonth,OpReserve,0)</f>
        <v/>
      </c>
      <c r="EL26" s="18">
        <f>'DevSpend'!EL$34+'DevSpend'!EL$35+IF(139=MS_Initial_Closing_Start,ConOtherCosts+ConPoints+RecourseFee,0)+IF(139=StabMonth,OpReserve,0)</f>
        <v/>
      </c>
      <c r="EM26" s="18">
        <f>'DevSpend'!EM$34+'DevSpend'!EM$35+IF(140=MS_Initial_Closing_Start,ConOtherCosts+ConPoints+RecourseFee,0)+IF(140=StabMonth,OpReserve,0)</f>
        <v/>
      </c>
      <c r="EN26" s="18">
        <f>'DevSpend'!EN$34+'DevSpend'!EN$35+IF(141=MS_Initial_Closing_Start,ConOtherCosts+ConPoints+RecourseFee,0)+IF(141=StabMonth,OpReserve,0)</f>
        <v/>
      </c>
      <c r="EO26" s="18">
        <f>'DevSpend'!EO$34+'DevSpend'!EO$35+IF(142=MS_Initial_Closing_Start,ConOtherCosts+ConPoints+RecourseFee,0)+IF(142=StabMonth,OpReserve,0)</f>
        <v/>
      </c>
      <c r="EP26" s="18">
        <f>'DevSpend'!EP$34+'DevSpend'!EP$35+IF(143=MS_Initial_Closing_Start,ConOtherCosts+ConPoints+RecourseFee,0)+IF(143=StabMonth,OpReserve,0)</f>
        <v/>
      </c>
      <c r="EQ26" s="18">
        <f>'DevSpend'!EQ$34+'DevSpend'!EQ$35+IF(144=MS_Initial_Closing_Start,ConOtherCosts+ConPoints+RecourseFee,0)+IF(144=StabMonth,OpReserve,0)</f>
        <v/>
      </c>
      <c r="ER26" s="18">
        <f>'DevSpend'!ER$34+'DevSpend'!ER$35+IF(145=MS_Initial_Closing_Start,ConOtherCosts+ConPoints+RecourseFee,0)+IF(145=StabMonth,OpReserve,0)</f>
        <v/>
      </c>
      <c r="ES26" s="18">
        <f>'DevSpend'!ES$34+'DevSpend'!ES$35+IF(146=MS_Initial_Closing_Start,ConOtherCosts+ConPoints+RecourseFee,0)+IF(146=StabMonth,OpReserve,0)</f>
        <v/>
      </c>
      <c r="ET26" s="18">
        <f>'DevSpend'!ET$34+'DevSpend'!ET$35+IF(147=MS_Initial_Closing_Start,ConOtherCosts+ConPoints+RecourseFee,0)+IF(147=StabMonth,OpReserve,0)</f>
        <v/>
      </c>
      <c r="EU26" s="18">
        <f>'DevSpend'!EU$34+'DevSpend'!EU$35+IF(148=MS_Initial_Closing_Start,ConOtherCosts+ConPoints+RecourseFee,0)+IF(148=StabMonth,OpReserve,0)</f>
        <v/>
      </c>
      <c r="EV26" s="18">
        <f>'DevSpend'!EV$34+'DevSpend'!EV$35+IF(149=MS_Initial_Closing_Start,ConOtherCosts+ConPoints+RecourseFee,0)+IF(149=StabMonth,OpReserve,0)</f>
        <v/>
      </c>
      <c r="EW26" s="18">
        <f>'DevSpend'!EW$34+'DevSpend'!EW$35+IF(150=MS_Initial_Closing_Start,ConOtherCosts+ConPoints+RecourseFee,0)+IF(150=StabMonth,OpReserve,0)</f>
        <v/>
      </c>
      <c r="EX26" s="18">
        <f>'DevSpend'!EX$34+'DevSpend'!EX$35+IF(151=MS_Initial_Closing_Start,ConOtherCosts+ConPoints+RecourseFee,0)+IF(151=StabMonth,OpReserve,0)</f>
        <v/>
      </c>
      <c r="EY26" s="18">
        <f>'DevSpend'!EY$34+'DevSpend'!EY$35+IF(152=MS_Initial_Closing_Start,ConOtherCosts+ConPoints+RecourseFee,0)+IF(152=StabMonth,OpReserve,0)</f>
        <v/>
      </c>
      <c r="EZ26" s="18">
        <f>'DevSpend'!EZ$34+'DevSpend'!EZ$35+IF(153=MS_Initial_Closing_Start,ConOtherCosts+ConPoints+RecourseFee,0)+IF(153=StabMonth,OpReserve,0)</f>
        <v/>
      </c>
      <c r="FA26" s="18">
        <f>'DevSpend'!FA$34+'DevSpend'!FA$35+IF(154=MS_Initial_Closing_Start,ConOtherCosts+ConPoints+RecourseFee,0)+IF(154=StabMonth,OpReserve,0)</f>
        <v/>
      </c>
      <c r="FB26" s="18">
        <f>'DevSpend'!FB$34+'DevSpend'!FB$35+IF(155=MS_Initial_Closing_Start,ConOtherCosts+ConPoints+RecourseFee,0)+IF(155=StabMonth,OpReserve,0)</f>
        <v/>
      </c>
      <c r="FC26" s="18">
        <f>'DevSpend'!FC$34+'DevSpend'!FC$35+IF(156=MS_Initial_Closing_Start,ConOtherCosts+ConPoints+RecourseFee,0)+IF(156=StabMonth,OpReserve,0)</f>
        <v/>
      </c>
      <c r="FD26" s="18">
        <f>'DevSpend'!FD$34+'DevSpend'!FD$35+IF(157=MS_Initial_Closing_Start,ConOtherCosts+ConPoints+RecourseFee,0)+IF(157=StabMonth,OpReserve,0)</f>
        <v/>
      </c>
      <c r="FE26" s="18">
        <f>'DevSpend'!FE$34+'DevSpend'!FE$35+IF(158=MS_Initial_Closing_Start,ConOtherCosts+ConPoints+RecourseFee,0)+IF(158=StabMonth,OpReserve,0)</f>
        <v/>
      </c>
      <c r="FF26" s="18">
        <f>'DevSpend'!FF$34+'DevSpend'!FF$35+IF(159=MS_Initial_Closing_Start,ConOtherCosts+ConPoints+RecourseFee,0)+IF(159=StabMonth,OpReserve,0)</f>
        <v/>
      </c>
      <c r="FG26" s="18">
        <f>'DevSpend'!FG$34+'DevSpend'!FG$35+IF(160=MS_Initial_Closing_Start,ConOtherCosts+ConPoints+RecourseFee,0)+IF(160=StabMonth,OpReserve,0)</f>
        <v/>
      </c>
      <c r="FH26" s="18">
        <f>'DevSpend'!FH$34+'DevSpend'!FH$35+IF(161=MS_Initial_Closing_Start,ConOtherCosts+ConPoints+RecourseFee,0)+IF(161=StabMonth,OpReserve,0)</f>
        <v/>
      </c>
      <c r="FI26" s="18">
        <f>'DevSpend'!FI$34+'DevSpend'!FI$35+IF(162=MS_Initial_Closing_Start,ConOtherCosts+ConPoints+RecourseFee,0)+IF(162=StabMonth,OpReserve,0)</f>
        <v/>
      </c>
      <c r="FJ26" s="18">
        <f>'DevSpend'!FJ$34+'DevSpend'!FJ$35+IF(163=MS_Initial_Closing_Start,ConOtherCosts+ConPoints+RecourseFee,0)+IF(163=StabMonth,OpReserve,0)</f>
        <v/>
      </c>
      <c r="FK26" s="18">
        <f>'DevSpend'!FK$34+'DevSpend'!FK$35+IF(164=MS_Initial_Closing_Start,ConOtherCosts+ConPoints+RecourseFee,0)+IF(164=StabMonth,OpReserve,0)</f>
        <v/>
      </c>
      <c r="FL26" s="18">
        <f>'DevSpend'!FL$34+'DevSpend'!FL$35+IF(165=MS_Initial_Closing_Start,ConOtherCosts+ConPoints+RecourseFee,0)+IF(165=StabMonth,OpReserve,0)</f>
        <v/>
      </c>
      <c r="FM26" s="18">
        <f>'DevSpend'!FM$34+'DevSpend'!FM$35+IF(166=MS_Initial_Closing_Start,ConOtherCosts+ConPoints+RecourseFee,0)+IF(166=StabMonth,OpReserve,0)</f>
        <v/>
      </c>
      <c r="FN26" s="18">
        <f>'DevSpend'!FN$34+'DevSpend'!FN$35+IF(167=MS_Initial_Closing_Start,ConOtherCosts+ConPoints+RecourseFee,0)+IF(167=StabMonth,OpReserve,0)</f>
        <v/>
      </c>
      <c r="FO26" s="18">
        <f>'DevSpend'!FO$34+'DevSpend'!FO$35+IF(168=MS_Initial_Closing_Start,ConOtherCosts+ConPoints+RecourseFee,0)+IF(168=StabMonth,OpReserve,0)</f>
        <v/>
      </c>
      <c r="FP26" s="18">
        <f>'DevSpend'!FP$34+'DevSpend'!FP$35+IF(169=MS_Initial_Closing_Start,ConOtherCosts+ConPoints+RecourseFee,0)+IF(169=StabMonth,OpReserve,0)</f>
        <v/>
      </c>
      <c r="FQ26" s="18">
        <f>'DevSpend'!FQ$34+'DevSpend'!FQ$35+IF(170=MS_Initial_Closing_Start,ConOtherCosts+ConPoints+RecourseFee,0)+IF(170=StabMonth,OpReserve,0)</f>
        <v/>
      </c>
      <c r="FR26" s="18">
        <f>'DevSpend'!FR$34+'DevSpend'!FR$35+IF(171=MS_Initial_Closing_Start,ConOtherCosts+ConPoints+RecourseFee,0)+IF(171=StabMonth,OpReserve,0)</f>
        <v/>
      </c>
      <c r="FS26" s="18">
        <f>'DevSpend'!FS$34+'DevSpend'!FS$35+IF(172=MS_Initial_Closing_Start,ConOtherCosts+ConPoints+RecourseFee,0)+IF(172=StabMonth,OpReserve,0)</f>
        <v/>
      </c>
      <c r="FT26" s="18">
        <f>'DevSpend'!FT$34+'DevSpend'!FT$35+IF(173=MS_Initial_Closing_Start,ConOtherCosts+ConPoints+RecourseFee,0)+IF(173=StabMonth,OpReserve,0)</f>
        <v/>
      </c>
      <c r="FU26" s="18">
        <f>'DevSpend'!FU$34+'DevSpend'!FU$35+IF(174=MS_Initial_Closing_Start,ConOtherCosts+ConPoints+RecourseFee,0)+IF(174=StabMonth,OpReserve,0)</f>
        <v/>
      </c>
      <c r="FV26" s="18">
        <f>'DevSpend'!FV$34+'DevSpend'!FV$35+IF(175=MS_Initial_Closing_Start,ConOtherCosts+ConPoints+RecourseFee,0)+IF(175=StabMonth,OpReserve,0)</f>
        <v/>
      </c>
      <c r="FW26" s="18">
        <f>'DevSpend'!FW$34+'DevSpend'!FW$35+IF(176=MS_Initial_Closing_Start,ConOtherCosts+ConPoints+RecourseFee,0)+IF(176=StabMonth,OpReserve,0)</f>
        <v/>
      </c>
      <c r="FX26" s="18">
        <f>'DevSpend'!FX$34+'DevSpend'!FX$35+IF(177=MS_Initial_Closing_Start,ConOtherCosts+ConPoints+RecourseFee,0)+IF(177=StabMonth,OpReserve,0)</f>
        <v/>
      </c>
      <c r="FY26" s="18">
        <f>'DevSpend'!FY$34+'DevSpend'!FY$35+IF(178=MS_Initial_Closing_Start,ConOtherCosts+ConPoints+RecourseFee,0)+IF(178=StabMonth,OpReserve,0)</f>
        <v/>
      </c>
      <c r="FZ26" s="18">
        <f>'DevSpend'!FZ$34+'DevSpend'!FZ$35+IF(179=MS_Initial_Closing_Start,ConOtherCosts+ConPoints+RecourseFee,0)+IF(179=StabMonth,OpReserve,0)</f>
        <v/>
      </c>
      <c r="GA26" s="18">
        <f>'DevSpend'!GA$34+'DevSpend'!GA$35+IF(180=MS_Initial_Closing_Start,ConOtherCosts+ConPoints+RecourseFee,0)+IF(180=StabMonth,OpReserve,0)</f>
        <v/>
      </c>
      <c r="GB26" s="18">
        <f>'DevSpend'!GB$34+'DevSpend'!GB$35+IF(181=MS_Initial_Closing_Start,ConOtherCosts+ConPoints+RecourseFee,0)+IF(181=StabMonth,OpReserve,0)</f>
        <v/>
      </c>
      <c r="GC26" s="18">
        <f>'DevSpend'!GC$34+'DevSpend'!GC$35+IF(182=MS_Initial_Closing_Start,ConOtherCosts+ConPoints+RecourseFee,0)+IF(182=StabMonth,OpReserve,0)</f>
        <v/>
      </c>
      <c r="GD26" s="18">
        <f>'DevSpend'!GD$34+'DevSpend'!GD$35+IF(183=MS_Initial_Closing_Start,ConOtherCosts+ConPoints+RecourseFee,0)+IF(183=StabMonth,OpReserve,0)</f>
        <v/>
      </c>
      <c r="GE26" s="18">
        <f>'DevSpend'!GE$34+'DevSpend'!GE$35+IF(184=MS_Initial_Closing_Start,ConOtherCosts+ConPoints+RecourseFee,0)+IF(184=StabMonth,OpReserve,0)</f>
        <v/>
      </c>
      <c r="GF26" s="18">
        <f>'DevSpend'!GF$34+'DevSpend'!GF$35+IF(185=MS_Initial_Closing_Start,ConOtherCosts+ConPoints+RecourseFee,0)+IF(185=StabMonth,OpReserve,0)</f>
        <v/>
      </c>
      <c r="GG26" s="18">
        <f>'DevSpend'!GG$34+'DevSpend'!GG$35+IF(186=MS_Initial_Closing_Start,ConOtherCosts+ConPoints+RecourseFee,0)+IF(186=StabMonth,OpReserve,0)</f>
        <v/>
      </c>
      <c r="GH26" s="18">
        <f>'DevSpend'!GH$34+'DevSpend'!GH$35+IF(187=MS_Initial_Closing_Start,ConOtherCosts+ConPoints+RecourseFee,0)+IF(187=StabMonth,OpReserve,0)</f>
        <v/>
      </c>
      <c r="GI26" s="18">
        <f>'DevSpend'!GI$34+'DevSpend'!GI$35+IF(188=MS_Initial_Closing_Start,ConOtherCosts+ConPoints+RecourseFee,0)+IF(188=StabMonth,OpReserve,0)</f>
        <v/>
      </c>
      <c r="GJ26" s="18">
        <f>'DevSpend'!GJ$34+'DevSpend'!GJ$35+IF(189=MS_Initial_Closing_Start,ConOtherCosts+ConPoints+RecourseFee,0)+IF(189=StabMonth,OpReserve,0)</f>
        <v/>
      </c>
      <c r="GK26" s="18">
        <f>'DevSpend'!GK$34+'DevSpend'!GK$35+IF(190=MS_Initial_Closing_Start,ConOtherCosts+ConPoints+RecourseFee,0)+IF(190=StabMonth,OpReserve,0)</f>
        <v/>
      </c>
      <c r="GL26" s="18">
        <f>'DevSpend'!GL$34+'DevSpend'!GL$35+IF(191=MS_Initial_Closing_Start,ConOtherCosts+ConPoints+RecourseFee,0)+IF(191=StabMonth,OpReserve,0)</f>
        <v/>
      </c>
      <c r="GM26" s="18">
        <f>'DevSpend'!GM$34+'DevSpend'!GM$35+IF(192=MS_Initial_Closing_Start,ConOtherCosts+ConPoints+RecourseFee,0)+IF(192=StabMonth,OpReserve,0)</f>
        <v/>
      </c>
      <c r="GN26" s="18">
        <f>'DevSpend'!GN$34+'DevSpend'!GN$35+IF(193=MS_Initial_Closing_Start,ConOtherCosts+ConPoints+RecourseFee,0)+IF(193=StabMonth,OpReserve,0)</f>
        <v/>
      </c>
      <c r="GO26" s="18">
        <f>'DevSpend'!GO$34+'DevSpend'!GO$35+IF(194=MS_Initial_Closing_Start,ConOtherCosts+ConPoints+RecourseFee,0)+IF(194=StabMonth,OpReserve,0)</f>
        <v/>
      </c>
      <c r="GP26" s="18">
        <f>'DevSpend'!GP$34+'DevSpend'!GP$35+IF(195=MS_Initial_Closing_Start,ConOtherCosts+ConPoints+RecourseFee,0)+IF(195=StabMonth,OpReserve,0)</f>
        <v/>
      </c>
      <c r="GQ26" s="18">
        <f>'DevSpend'!GQ$34+'DevSpend'!GQ$35+IF(196=MS_Initial_Closing_Start,ConOtherCosts+ConPoints+RecourseFee,0)+IF(196=StabMonth,OpReserve,0)</f>
        <v/>
      </c>
      <c r="GR26" s="18">
        <f>'DevSpend'!GR$34+'DevSpend'!GR$35+IF(197=MS_Initial_Closing_Start,ConOtherCosts+ConPoints+RecourseFee,0)+IF(197=StabMonth,OpReserve,0)</f>
        <v/>
      </c>
      <c r="GS26" s="18">
        <f>'DevSpend'!GS$34+'DevSpend'!GS$35+IF(198=MS_Initial_Closing_Start,ConOtherCosts+ConPoints+RecourseFee,0)+IF(198=StabMonth,OpReserve,0)</f>
        <v/>
      </c>
      <c r="GT26" s="18">
        <f>'DevSpend'!GT$34+'DevSpend'!GT$35+IF(199=MS_Initial_Closing_Start,ConOtherCosts+ConPoints+RecourseFee,0)+IF(199=StabMonth,OpReserve,0)</f>
        <v/>
      </c>
      <c r="GU26" s="18">
        <f>'DevSpend'!GU$34+'DevSpend'!GU$35+IF(200=MS_Initial_Closing_Start,ConOtherCosts+ConPoints+RecourseFee,0)+IF(200=StabMonth,OpReserve,0)</f>
        <v/>
      </c>
      <c r="GV26" s="18">
        <f>'DevSpend'!GV$34+'DevSpend'!GV$35+IF(201=MS_Initial_Closing_Start,ConOtherCosts+ConPoints+RecourseFee,0)+IF(201=StabMonth,OpReserve,0)</f>
        <v/>
      </c>
      <c r="GW26" s="18">
        <f>'DevSpend'!GW$34+'DevSpend'!GW$35+IF(202=MS_Initial_Closing_Start,ConOtherCosts+ConPoints+RecourseFee,0)+IF(202=StabMonth,OpReserve,0)</f>
        <v/>
      </c>
      <c r="GX26" s="18">
        <f>'DevSpend'!GX$34+'DevSpend'!GX$35+IF(203=MS_Initial_Closing_Start,ConOtherCosts+ConPoints+RecourseFee,0)+IF(203=StabMonth,OpReserve,0)</f>
        <v/>
      </c>
      <c r="GY26" s="18">
        <f>'DevSpend'!GY$34+'DevSpend'!GY$35+IF(204=MS_Initial_Closing_Start,ConOtherCosts+ConPoints+RecourseFee,0)+IF(204=StabMonth,OpReserve,0)</f>
        <v/>
      </c>
      <c r="GZ26" s="18">
        <f>'DevSpend'!GZ$34+'DevSpend'!GZ$35+IF(205=MS_Initial_Closing_Start,ConOtherCosts+ConPoints+RecourseFee,0)+IF(205=StabMonth,OpReserve,0)</f>
        <v/>
      </c>
      <c r="HA26" s="18">
        <f>'DevSpend'!HA$34+'DevSpend'!HA$35+IF(206=MS_Initial_Closing_Start,ConOtherCosts+ConPoints+RecourseFee,0)+IF(206=StabMonth,OpReserve,0)</f>
        <v/>
      </c>
      <c r="HB26" s="18">
        <f>'DevSpend'!HB$34+'DevSpend'!HB$35+IF(207=MS_Initial_Closing_Start,ConOtherCosts+ConPoints+RecourseFee,0)+IF(207=StabMonth,OpReserve,0)</f>
        <v/>
      </c>
      <c r="HC26" s="18">
        <f>'DevSpend'!HC$34+'DevSpend'!HC$35+IF(208=MS_Initial_Closing_Start,ConOtherCosts+ConPoints+RecourseFee,0)+IF(208=StabMonth,OpReserve,0)</f>
        <v/>
      </c>
      <c r="HD26" s="18">
        <f>'DevSpend'!HD$34+'DevSpend'!HD$35+IF(209=MS_Initial_Closing_Start,ConOtherCosts+ConPoints+RecourseFee,0)+IF(209=StabMonth,OpReserve,0)</f>
        <v/>
      </c>
      <c r="HE26" s="18">
        <f>'DevSpend'!HE$34+'DevSpend'!HE$35+IF(210=MS_Initial_Closing_Start,ConOtherCosts+ConPoints+RecourseFee,0)+IF(210=StabMonth,OpReserve,0)</f>
        <v/>
      </c>
      <c r="HF26" s="18">
        <f>'DevSpend'!HF$34+'DevSpend'!HF$35+IF(211=MS_Initial_Closing_Start,ConOtherCosts+ConPoints+RecourseFee,0)+IF(211=StabMonth,OpReserve,0)</f>
        <v/>
      </c>
      <c r="HG26" s="18">
        <f>'DevSpend'!HG$34+'DevSpend'!HG$35+IF(212=MS_Initial_Closing_Start,ConOtherCosts+ConPoints+RecourseFee,0)+IF(212=StabMonth,OpReserve,0)</f>
        <v/>
      </c>
      <c r="HH26" s="18">
        <f>'DevSpend'!HH$34+'DevSpend'!HH$35+IF(213=MS_Initial_Closing_Start,ConOtherCosts+ConPoints+RecourseFee,0)+IF(213=StabMonth,OpReserve,0)</f>
        <v/>
      </c>
      <c r="HI26" s="18">
        <f>'DevSpend'!HI$34+'DevSpend'!HI$35+IF(214=MS_Initial_Closing_Start,ConOtherCosts+ConPoints+RecourseFee,0)+IF(214=StabMonth,OpReserve,0)</f>
        <v/>
      </c>
      <c r="HJ26" s="18">
        <f>'DevSpend'!HJ$34+'DevSpend'!HJ$35+IF(215=MS_Initial_Closing_Start,ConOtherCosts+ConPoints+RecourseFee,0)+IF(215=StabMonth,OpReserve,0)</f>
        <v/>
      </c>
      <c r="HK26" s="18">
        <f>'DevSpend'!HK$34+'DevSpend'!HK$35+IF(216=MS_Initial_Closing_Start,ConOtherCosts+ConPoints+RecourseFee,0)+IF(216=StabMonth,OpReserve,0)</f>
        <v/>
      </c>
      <c r="HL26" s="18">
        <f>'DevSpend'!HL$34+'DevSpend'!HL$35+IF(217=MS_Initial_Closing_Start,ConOtherCosts+ConPoints+RecourseFee,0)+IF(217=StabMonth,OpReserve,0)</f>
        <v/>
      </c>
      <c r="HM26" s="18">
        <f>'DevSpend'!HM$34+'DevSpend'!HM$35+IF(218=MS_Initial_Closing_Start,ConOtherCosts+ConPoints+RecourseFee,0)+IF(218=StabMonth,OpReserve,0)</f>
        <v/>
      </c>
      <c r="HN26" s="18">
        <f>'DevSpend'!HN$34+'DevSpend'!HN$35+IF(219=MS_Initial_Closing_Start,ConOtherCosts+ConPoints+RecourseFee,0)+IF(219=StabMonth,OpReserve,0)</f>
        <v/>
      </c>
      <c r="HO26" s="18">
        <f>'DevSpend'!HO$34+'DevSpend'!HO$35+IF(220=MS_Initial_Closing_Start,ConOtherCosts+ConPoints+RecourseFee,0)+IF(220=StabMonth,OpReserve,0)</f>
        <v/>
      </c>
      <c r="HP26" s="18">
        <f>'DevSpend'!HP$34+'DevSpend'!HP$35+IF(221=MS_Initial_Closing_Start,ConOtherCosts+ConPoints+RecourseFee,0)+IF(221=StabMonth,OpReserve,0)</f>
        <v/>
      </c>
      <c r="HQ26" s="18">
        <f>'DevSpend'!HQ$34+'DevSpend'!HQ$35+IF(222=MS_Initial_Closing_Start,ConOtherCosts+ConPoints+RecourseFee,0)+IF(222=StabMonth,OpReserve,0)</f>
        <v/>
      </c>
      <c r="HR26" s="18">
        <f>'DevSpend'!HR$34+'DevSpend'!HR$35+IF(223=MS_Initial_Closing_Start,ConOtherCosts+ConPoints+RecourseFee,0)+IF(223=StabMonth,OpReserve,0)</f>
        <v/>
      </c>
      <c r="HS26" s="18">
        <f>'DevSpend'!HS$34+'DevSpend'!HS$35+IF(224=MS_Initial_Closing_Start,ConOtherCosts+ConPoints+RecourseFee,0)+IF(224=StabMonth,OpReserve,0)</f>
        <v/>
      </c>
      <c r="HT26" s="18">
        <f>'DevSpend'!HT$34+'DevSpend'!HT$35+IF(225=MS_Initial_Closing_Start,ConOtherCosts+ConPoints+RecourseFee,0)+IF(225=StabMonth,OpReserve,0)</f>
        <v/>
      </c>
      <c r="HU26" s="18">
        <f>'DevSpend'!HU$34+'DevSpend'!HU$35+IF(226=MS_Initial_Closing_Start,ConOtherCosts+ConPoints+RecourseFee,0)+IF(226=StabMonth,OpReserve,0)</f>
        <v/>
      </c>
      <c r="HV26" s="18">
        <f>'DevSpend'!HV$34+'DevSpend'!HV$35+IF(227=MS_Initial_Closing_Start,ConOtherCosts+ConPoints+RecourseFee,0)+IF(227=StabMonth,OpReserve,0)</f>
        <v/>
      </c>
      <c r="HW26" s="18">
        <f>'DevSpend'!HW$34+'DevSpend'!HW$35+IF(228=MS_Initial_Closing_Start,ConOtherCosts+ConPoints+RecourseFee,0)+IF(228=StabMonth,OpReserve,0)</f>
        <v/>
      </c>
      <c r="HX26" s="18">
        <f>'DevSpend'!HX$34+'DevSpend'!HX$35+IF(229=MS_Initial_Closing_Start,ConOtherCosts+ConPoints+RecourseFee,0)+IF(229=StabMonth,OpReserve,0)</f>
        <v/>
      </c>
      <c r="HY26" s="18">
        <f>'DevSpend'!HY$34+'DevSpend'!HY$35+IF(230=MS_Initial_Closing_Start,ConOtherCosts+ConPoints+RecourseFee,0)+IF(230=StabMonth,OpReserve,0)</f>
        <v/>
      </c>
      <c r="HZ26" s="18">
        <f>'DevSpend'!HZ$34+'DevSpend'!HZ$35+IF(231=MS_Initial_Closing_Start,ConOtherCosts+ConPoints+RecourseFee,0)+IF(231=StabMonth,OpReserve,0)</f>
        <v/>
      </c>
      <c r="IA26" s="18">
        <f>'DevSpend'!IA$34+'DevSpend'!IA$35+IF(232=MS_Initial_Closing_Start,ConOtherCosts+ConPoints+RecourseFee,0)+IF(232=StabMonth,OpReserve,0)</f>
        <v/>
      </c>
      <c r="IB26" s="18">
        <f>'DevSpend'!IB$34+'DevSpend'!IB$35+IF(233=MS_Initial_Closing_Start,ConOtherCosts+ConPoints+RecourseFee,0)+IF(233=StabMonth,OpReserve,0)</f>
        <v/>
      </c>
      <c r="IC26" s="18">
        <f>'DevSpend'!IC$34+'DevSpend'!IC$35+IF(234=MS_Initial_Closing_Start,ConOtherCosts+ConPoints+RecourseFee,0)+IF(234=StabMonth,OpReserve,0)</f>
        <v/>
      </c>
      <c r="ID26" s="18">
        <f>'DevSpend'!ID$34+'DevSpend'!ID$35+IF(235=MS_Initial_Closing_Start,ConOtherCosts+ConPoints+RecourseFee,0)+IF(235=StabMonth,OpReserve,0)</f>
        <v/>
      </c>
      <c r="IE26" s="18">
        <f>'DevSpend'!IE$34+'DevSpend'!IE$35+IF(236=MS_Initial_Closing_Start,ConOtherCosts+ConPoints+RecourseFee,0)+IF(236=StabMonth,OpReserve,0)</f>
        <v/>
      </c>
      <c r="IF26" s="18">
        <f>'DevSpend'!IF$34+'DevSpend'!IF$35+IF(237=MS_Initial_Closing_Start,ConOtherCosts+ConPoints+RecourseFee,0)+IF(237=StabMonth,OpReserve,0)</f>
        <v/>
      </c>
      <c r="IG26" s="18">
        <f>'DevSpend'!IG$34+'DevSpend'!IG$35+IF(238=MS_Initial_Closing_Start,ConOtherCosts+ConPoints+RecourseFee,0)+IF(238=StabMonth,OpReserve,0)</f>
        <v/>
      </c>
      <c r="IH26" s="18">
        <f>'DevSpend'!IH$34+'DevSpend'!IH$35+IF(239=MS_Initial_Closing_Start,ConOtherCosts+ConPoints+RecourseFee,0)+IF(239=StabMonth,OpReserve,0)</f>
        <v/>
      </c>
      <c r="II26" s="18">
        <f>'DevSpend'!II$34+'DevSpend'!II$35+IF(240=MS_Initial_Closing_Start,ConOtherCosts+ConPoints+RecourseFee,0)+IF(240=StabMonth,OpReserve,0)</f>
        <v/>
      </c>
      <c r="IJ26" s="18">
        <f>'DevSpend'!IJ$34+'DevSpend'!IJ$35+IF(241=MS_Initial_Closing_Start,ConOtherCosts+ConPoints+RecourseFee,0)+IF(241=StabMonth,OpReserve,0)</f>
        <v/>
      </c>
      <c r="IK26" s="18">
        <f>'DevSpend'!IK$34+'DevSpend'!IK$35+IF(242=MS_Initial_Closing_Start,ConOtherCosts+ConPoints+RecourseFee,0)+IF(242=StabMonth,OpReserve,0)</f>
        <v/>
      </c>
      <c r="IL26" s="18">
        <f>'DevSpend'!IL$34+'DevSpend'!IL$35+IF(243=MS_Initial_Closing_Start,ConOtherCosts+ConPoints+RecourseFee,0)+IF(243=StabMonth,OpReserve,0)</f>
        <v/>
      </c>
      <c r="IM26" s="18">
        <f>'DevSpend'!IM$34+'DevSpend'!IM$35+IF(244=MS_Initial_Closing_Start,ConOtherCosts+ConPoints+RecourseFee,0)+IF(244=StabMonth,OpReserve,0)</f>
        <v/>
      </c>
      <c r="IN26" s="18">
        <f>'DevSpend'!IN$34+'DevSpend'!IN$35+IF(245=MS_Initial_Closing_Start,ConOtherCosts+ConPoints+RecourseFee,0)+IF(245=StabMonth,OpReserve,0)</f>
        <v/>
      </c>
      <c r="IO26" s="18">
        <f>'DevSpend'!IO$34+'DevSpend'!IO$35+IF(246=MS_Initial_Closing_Start,ConOtherCosts+ConPoints+RecourseFee,0)+IF(246=StabMonth,OpReserve,0)</f>
        <v/>
      </c>
      <c r="IP26" s="18">
        <f>'DevSpend'!IP$34+'DevSpend'!IP$35+IF(247=MS_Initial_Closing_Start,ConOtherCosts+ConPoints+RecourseFee,0)+IF(247=StabMonth,OpReserve,0)</f>
        <v/>
      </c>
      <c r="IQ26" s="18">
        <f>'DevSpend'!IQ$34+'DevSpend'!IQ$35+IF(248=MS_Initial_Closing_Start,ConOtherCosts+ConPoints+RecourseFee,0)+IF(248=StabMonth,OpReserve,0)</f>
        <v/>
      </c>
      <c r="IR26" s="18">
        <f>'DevSpend'!IR$34+'DevSpend'!IR$35+IF(249=MS_Initial_Closing_Start,ConOtherCosts+ConPoints+RecourseFee,0)+IF(249=StabMonth,OpReserve,0)</f>
        <v/>
      </c>
      <c r="IS26" s="18">
        <f>'DevSpend'!IS$34+'DevSpend'!IS$35+IF(250=MS_Initial_Closing_Start,ConOtherCosts+ConPoints+RecourseFee,0)+IF(250=StabMonth,OpReserve,0)</f>
        <v/>
      </c>
      <c r="IT26" s="18">
        <f>'DevSpend'!IT$34+'DevSpend'!IT$35+IF(251=MS_Initial_Closing_Start,ConOtherCosts+ConPoints+RecourseFee,0)+IF(251=StabMonth,OpReserve,0)</f>
        <v/>
      </c>
      <c r="IU26" s="18">
        <f>'DevSpend'!IU$34+'DevSpend'!IU$35+IF(252=MS_Initial_Closing_Start,ConOtherCosts+ConPoints+RecourseFee,0)+IF(252=StabMonth,OpReserve,0)</f>
        <v/>
      </c>
      <c r="IV26" s="18">
        <f>'DevSpend'!IV$34+'DevSpend'!IV$35+IF(253=MS_Initial_Closing_Start,ConOtherCosts+ConPoints+RecourseFee,0)+IF(253=StabMonth,OpReserve,0)</f>
        <v/>
      </c>
      <c r="IW26" s="18">
        <f>'DevSpend'!IW$34+'DevSpend'!IW$35+IF(254=MS_Initial_Closing_Start,ConOtherCosts+ConPoints+RecourseFee,0)+IF(254=StabMonth,OpReserve,0)</f>
        <v/>
      </c>
      <c r="IX26" s="18">
        <f>'DevSpend'!IX$34+'DevSpend'!IX$35+IF(255=MS_Initial_Closing_Start,ConOtherCosts+ConPoints+RecourseFee,0)+IF(255=StabMonth,OpReserve,0)</f>
        <v/>
      </c>
      <c r="IY26" s="18">
        <f>'DevSpend'!IY$34+'DevSpend'!IY$35+IF(256=MS_Initial_Closing_Start,ConOtherCosts+ConPoints+RecourseFee,0)+IF(256=StabMonth,OpReserve,0)</f>
        <v/>
      </c>
      <c r="IZ26" s="18">
        <f>'DevSpend'!IZ$34+'DevSpend'!IZ$35+IF(257=MS_Initial_Closing_Start,ConOtherCosts+ConPoints+RecourseFee,0)+IF(257=StabMonth,OpReserve,0)</f>
        <v/>
      </c>
      <c r="JA26" s="18">
        <f>'DevSpend'!JA$34+'DevSpend'!JA$35+IF(258=MS_Initial_Closing_Start,ConOtherCosts+ConPoints+RecourseFee,0)+IF(258=StabMonth,OpReserve,0)</f>
        <v/>
      </c>
      <c r="JB26" s="18">
        <f>'DevSpend'!JB$34+'DevSpend'!JB$35+IF(259=MS_Initial_Closing_Start,ConOtherCosts+ConPoints+RecourseFee,0)+IF(259=StabMonth,OpReserve,0)</f>
        <v/>
      </c>
      <c r="JC26" s="18">
        <f>'DevSpend'!JC$34+'DevSpend'!JC$35+IF(260=MS_Initial_Closing_Start,ConOtherCosts+ConPoints+RecourseFee,0)+IF(260=StabMonth,OpReserve,0)</f>
        <v/>
      </c>
      <c r="JD26" s="18">
        <f>'DevSpend'!JD$34+'DevSpend'!JD$35+IF(261=MS_Initial_Closing_Start,ConOtherCosts+ConPoints+RecourseFee,0)+IF(261=StabMonth,OpReserve,0)</f>
        <v/>
      </c>
      <c r="JE26" s="18">
        <f>'DevSpend'!JE$34+'DevSpend'!JE$35+IF(262=MS_Initial_Closing_Start,ConOtherCosts+ConPoints+RecourseFee,0)+IF(262=StabMonth,OpReserve,0)</f>
        <v/>
      </c>
      <c r="JF26" s="18">
        <f>'DevSpend'!JF$34+'DevSpend'!JF$35+IF(263=MS_Initial_Closing_Start,ConOtherCosts+ConPoints+RecourseFee,0)+IF(263=StabMonth,OpReserve,0)</f>
        <v/>
      </c>
      <c r="JG26" s="18">
        <f>'DevSpend'!JG$34+'DevSpend'!JG$35+IF(264=MS_Initial_Closing_Start,ConOtherCosts+ConPoints+RecourseFee,0)+IF(264=StabMonth,OpReserve,0)</f>
        <v/>
      </c>
      <c r="JH26" s="18">
        <f>'DevSpend'!JH$34+'DevSpend'!JH$35+IF(265=MS_Initial_Closing_Start,ConOtherCosts+ConPoints+RecourseFee,0)+IF(265=StabMonth,OpReserve,0)</f>
        <v/>
      </c>
      <c r="JI26" s="18">
        <f>'DevSpend'!JI$34+'DevSpend'!JI$35+IF(266=MS_Initial_Closing_Start,ConOtherCosts+ConPoints+RecourseFee,0)+IF(266=StabMonth,OpReserve,0)</f>
        <v/>
      </c>
      <c r="JJ26" s="18">
        <f>'DevSpend'!JJ$34+'DevSpend'!JJ$35+IF(267=MS_Initial_Closing_Start,ConOtherCosts+ConPoints+RecourseFee,0)+IF(267=StabMonth,OpReserve,0)</f>
        <v/>
      </c>
      <c r="JK26" s="18">
        <f>'DevSpend'!JK$34+'DevSpend'!JK$35+IF(268=MS_Initial_Closing_Start,ConOtherCosts+ConPoints+RecourseFee,0)+IF(268=StabMonth,OpReserve,0)</f>
        <v/>
      </c>
      <c r="JL26" s="18">
        <f>'DevSpend'!JL$34+'DevSpend'!JL$35+IF(269=MS_Initial_Closing_Start,ConOtherCosts+ConPoints+RecourseFee,0)+IF(269=StabMonth,OpReserve,0)</f>
        <v/>
      </c>
      <c r="JM26" s="18">
        <f>'DevSpend'!JM$34+'DevSpend'!JM$35+IF(270=MS_Initial_Closing_Start,ConOtherCosts+ConPoints+RecourseFee,0)+IF(270=StabMonth,OpReserve,0)</f>
        <v/>
      </c>
      <c r="JN26" s="18">
        <f>'DevSpend'!JN$34+'DevSpend'!JN$35+IF(271=MS_Initial_Closing_Start,ConOtherCosts+ConPoints+RecourseFee,0)+IF(271=StabMonth,OpReserve,0)</f>
        <v/>
      </c>
      <c r="JO26" s="18">
        <f>'DevSpend'!JO$34+'DevSpend'!JO$35+IF(272=MS_Initial_Closing_Start,ConOtherCosts+ConPoints+RecourseFee,0)+IF(272=StabMonth,OpReserve,0)</f>
        <v/>
      </c>
      <c r="JP26" s="18">
        <f>'DevSpend'!JP$34+'DevSpend'!JP$35+IF(273=MS_Initial_Closing_Start,ConOtherCosts+ConPoints+RecourseFee,0)+IF(273=StabMonth,OpReserve,0)</f>
        <v/>
      </c>
      <c r="JQ26" s="18">
        <f>'DevSpend'!JQ$34+'DevSpend'!JQ$35+IF(274=MS_Initial_Closing_Start,ConOtherCosts+ConPoints+RecourseFee,0)+IF(274=StabMonth,OpReserve,0)</f>
        <v/>
      </c>
      <c r="JR26" s="18">
        <f>'DevSpend'!JR$34+'DevSpend'!JR$35+IF(275=MS_Initial_Closing_Start,ConOtherCosts+ConPoints+RecourseFee,0)+IF(275=StabMonth,OpReserve,0)</f>
        <v/>
      </c>
      <c r="JS26" s="18">
        <f>'DevSpend'!JS$34+'DevSpend'!JS$35+IF(276=MS_Initial_Closing_Start,ConOtherCosts+ConPoints+RecourseFee,0)+IF(276=StabMonth,OpReserve,0)</f>
        <v/>
      </c>
      <c r="JT26" s="18">
        <f>'DevSpend'!JT$34+'DevSpend'!JT$35+IF(277=MS_Initial_Closing_Start,ConOtherCosts+ConPoints+RecourseFee,0)+IF(277=StabMonth,OpReserve,0)</f>
        <v/>
      </c>
      <c r="JU26" s="18">
        <f>'DevSpend'!JU$34+'DevSpend'!JU$35+IF(278=MS_Initial_Closing_Start,ConOtherCosts+ConPoints+RecourseFee,0)+IF(278=StabMonth,OpReserve,0)</f>
        <v/>
      </c>
      <c r="JV26" s="18">
        <f>'DevSpend'!JV$34+'DevSpend'!JV$35+IF(279=MS_Initial_Closing_Start,ConOtherCosts+ConPoints+RecourseFee,0)+IF(279=StabMonth,OpReserve,0)</f>
        <v/>
      </c>
      <c r="JW26" s="18">
        <f>'DevSpend'!JW$34+'DevSpend'!JW$35+IF(280=MS_Initial_Closing_Start,ConOtherCosts+ConPoints+RecourseFee,0)+IF(280=StabMonth,OpReserve,0)</f>
        <v/>
      </c>
      <c r="JX26" s="18">
        <f>'DevSpend'!JX$34+'DevSpend'!JX$35+IF(281=MS_Initial_Closing_Start,ConOtherCosts+ConPoints+RecourseFee,0)+IF(281=StabMonth,OpReserve,0)</f>
        <v/>
      </c>
      <c r="JY26" s="18">
        <f>'DevSpend'!JY$34+'DevSpend'!JY$35+IF(282=MS_Initial_Closing_Start,ConOtherCosts+ConPoints+RecourseFee,0)+IF(282=StabMonth,OpReserve,0)</f>
        <v/>
      </c>
      <c r="JZ26" s="18">
        <f>'DevSpend'!JZ$34+'DevSpend'!JZ$35+IF(283=MS_Initial_Closing_Start,ConOtherCosts+ConPoints+RecourseFee,0)+IF(283=StabMonth,OpReserve,0)</f>
        <v/>
      </c>
      <c r="KA26" s="18">
        <f>'DevSpend'!KA$34+'DevSpend'!KA$35+IF(284=MS_Initial_Closing_Start,ConOtherCosts+ConPoints+RecourseFee,0)+IF(284=StabMonth,OpReserve,0)</f>
        <v/>
      </c>
      <c r="KB26" s="18">
        <f>'DevSpend'!KB$34+'DevSpend'!KB$35+IF(285=MS_Initial_Closing_Start,ConOtherCosts+ConPoints+RecourseFee,0)+IF(285=StabMonth,OpReserve,0)</f>
        <v/>
      </c>
      <c r="KC26" s="18">
        <f>'DevSpend'!KC$34+'DevSpend'!KC$35+IF(286=MS_Initial_Closing_Start,ConOtherCosts+ConPoints+RecourseFee,0)+IF(286=StabMonth,OpReserve,0)</f>
        <v/>
      </c>
      <c r="KD26" s="18">
        <f>'DevSpend'!KD$34+'DevSpend'!KD$35+IF(287=MS_Initial_Closing_Start,ConOtherCosts+ConPoints+RecourseFee,0)+IF(287=StabMonth,OpReserve,0)</f>
        <v/>
      </c>
      <c r="KE26" s="18">
        <f>'DevSpend'!KE$34+'DevSpend'!KE$35+IF(288=MS_Initial_Closing_Start,ConOtherCosts+ConPoints+RecourseFee,0)+IF(288=StabMonth,OpReserve,0)</f>
        <v/>
      </c>
      <c r="KF26" s="18">
        <f>'DevSpend'!KF$34+'DevSpend'!KF$35+IF(289=MS_Initial_Closing_Start,ConOtherCosts+ConPoints+RecourseFee,0)+IF(289=StabMonth,OpReserve,0)</f>
        <v/>
      </c>
      <c r="KG26" s="18">
        <f>'DevSpend'!KG$34+'DevSpend'!KG$35+IF(290=MS_Initial_Closing_Start,ConOtherCosts+ConPoints+RecourseFee,0)+IF(290=StabMonth,OpReserve,0)</f>
        <v/>
      </c>
      <c r="KH26" s="18">
        <f>'DevSpend'!KH$34+'DevSpend'!KH$35+IF(291=MS_Initial_Closing_Start,ConOtherCosts+ConPoints+RecourseFee,0)+IF(291=StabMonth,OpReserve,0)</f>
        <v/>
      </c>
      <c r="KI26" s="18">
        <f>'DevSpend'!KI$34+'DevSpend'!KI$35+IF(292=MS_Initial_Closing_Start,ConOtherCosts+ConPoints+RecourseFee,0)+IF(292=StabMonth,OpReserve,0)</f>
        <v/>
      </c>
      <c r="KJ26" s="18">
        <f>'DevSpend'!KJ$34+'DevSpend'!KJ$35+IF(293=MS_Initial_Closing_Start,ConOtherCosts+ConPoints+RecourseFee,0)+IF(293=StabMonth,OpReserve,0)</f>
        <v/>
      </c>
      <c r="KK26" s="18">
        <f>'DevSpend'!KK$34+'DevSpend'!KK$35+IF(294=MS_Initial_Closing_Start,ConOtherCosts+ConPoints+RecourseFee,0)+IF(294=StabMonth,OpReserve,0)</f>
        <v/>
      </c>
      <c r="KL26" s="18">
        <f>'DevSpend'!KL$34+'DevSpend'!KL$35+IF(295=MS_Initial_Closing_Start,ConOtherCosts+ConPoints+RecourseFee,0)+IF(295=StabMonth,OpReserve,0)</f>
        <v/>
      </c>
      <c r="KM26" s="18">
        <f>'DevSpend'!KM$34+'DevSpend'!KM$35+IF(296=MS_Initial_Closing_Start,ConOtherCosts+ConPoints+RecourseFee,0)+IF(296=StabMonth,OpReserve,0)</f>
        <v/>
      </c>
      <c r="KN26" s="18">
        <f>'DevSpend'!KN$34+'DevSpend'!KN$35+IF(297=MS_Initial_Closing_Start,ConOtherCosts+ConPoints+RecourseFee,0)+IF(297=StabMonth,OpReserve,0)</f>
        <v/>
      </c>
      <c r="KO26" s="18">
        <f>'DevSpend'!KO$34+'DevSpend'!KO$35+IF(298=MS_Initial_Closing_Start,ConOtherCosts+ConPoints+RecourseFee,0)+IF(298=StabMonth,OpReserve,0)</f>
        <v/>
      </c>
      <c r="KP26" s="18">
        <f>'DevSpend'!KP$34+'DevSpend'!KP$35+IF(299=MS_Initial_Closing_Start,ConOtherCosts+ConPoints+RecourseFee,0)+IF(299=StabMonth,OpReserve,0)</f>
        <v/>
      </c>
      <c r="KQ26" s="18">
        <f>'DevSpend'!KQ$34+'DevSpend'!KQ$35+IF(300=MS_Initial_Closing_Start,ConOtherCosts+ConPoints+RecourseFee,0)+IF(300=StabMonth,OpReserve,0)</f>
        <v/>
      </c>
      <c r="KR26" s="18">
        <f>'DevSpend'!KR$34+'DevSpend'!KR$35+IF(301=MS_Initial_Closing_Start,ConOtherCosts+ConPoints+RecourseFee,0)+IF(301=StabMonth,OpReserve,0)</f>
        <v/>
      </c>
      <c r="KS26" s="18">
        <f>'DevSpend'!KS$34+'DevSpend'!KS$35+IF(302=MS_Initial_Closing_Start,ConOtherCosts+ConPoints+RecourseFee,0)+IF(302=StabMonth,OpReserve,0)</f>
        <v/>
      </c>
      <c r="KT26" s="18">
        <f>'DevSpend'!KT$34+'DevSpend'!KT$35+IF(303=MS_Initial_Closing_Start,ConOtherCosts+ConPoints+RecourseFee,0)+IF(303=StabMonth,OpReserve,0)</f>
        <v/>
      </c>
      <c r="KU26" s="18">
        <f>'DevSpend'!KU$34+'DevSpend'!KU$35+IF(304=MS_Initial_Closing_Start,ConOtherCosts+ConPoints+RecourseFee,0)+IF(304=StabMonth,OpReserve,0)</f>
        <v/>
      </c>
      <c r="KV26" s="18">
        <f>'DevSpend'!KV$34+'DevSpend'!KV$35+IF(305=MS_Initial_Closing_Start,ConOtherCosts+ConPoints+RecourseFee,0)+IF(305=StabMonth,OpReserve,0)</f>
        <v/>
      </c>
      <c r="KW26" s="18">
        <f>'DevSpend'!KW$34+'DevSpend'!KW$35+IF(306=MS_Initial_Closing_Start,ConOtherCosts+ConPoints+RecourseFee,0)+IF(306=StabMonth,OpReserve,0)</f>
        <v/>
      </c>
      <c r="KX26" s="18">
        <f>'DevSpend'!KX$34+'DevSpend'!KX$35+IF(307=MS_Initial_Closing_Start,ConOtherCosts+ConPoints+RecourseFee,0)+IF(307=StabMonth,OpReserve,0)</f>
        <v/>
      </c>
      <c r="KY26" s="18">
        <f>'DevSpend'!KY$34+'DevSpend'!KY$35+IF(308=MS_Initial_Closing_Start,ConOtherCosts+ConPoints+RecourseFee,0)+IF(308=StabMonth,OpReserve,0)</f>
        <v/>
      </c>
      <c r="KZ26" s="18">
        <f>'DevSpend'!KZ$34+'DevSpend'!KZ$35+IF(309=MS_Initial_Closing_Start,ConOtherCosts+ConPoints+RecourseFee,0)+IF(309=StabMonth,OpReserve,0)</f>
        <v/>
      </c>
      <c r="LA26" s="18">
        <f>'DevSpend'!LA$34+'DevSpend'!LA$35+IF(310=MS_Initial_Closing_Start,ConOtherCosts+ConPoints+RecourseFee,0)+IF(310=StabMonth,OpReserve,0)</f>
        <v/>
      </c>
      <c r="LB26" s="18">
        <f>'DevSpend'!LB$34+'DevSpend'!LB$35+IF(311=MS_Initial_Closing_Start,ConOtherCosts+ConPoints+RecourseFee,0)+IF(311=StabMonth,OpReserve,0)</f>
        <v/>
      </c>
      <c r="LC26" s="18">
        <f>'DevSpend'!LC$34+'DevSpend'!LC$35+IF(312=MS_Initial_Closing_Start,ConOtherCosts+ConPoints+RecourseFee,0)+IF(312=StabMonth,OpReserve,0)</f>
        <v/>
      </c>
      <c r="LD26" s="18">
        <f>'DevSpend'!LD$34+'DevSpend'!LD$35+IF(313=MS_Initial_Closing_Start,ConOtherCosts+ConPoints+RecourseFee,0)+IF(313=StabMonth,OpReserve,0)</f>
        <v/>
      </c>
      <c r="LE26" s="18">
        <f>'DevSpend'!LE$34+'DevSpend'!LE$35+IF(314=MS_Initial_Closing_Start,ConOtherCosts+ConPoints+RecourseFee,0)+IF(314=StabMonth,OpReserve,0)</f>
        <v/>
      </c>
      <c r="LF26" s="18">
        <f>'DevSpend'!LF$34+'DevSpend'!LF$35+IF(315=MS_Initial_Closing_Start,ConOtherCosts+ConPoints+RecourseFee,0)+IF(315=StabMonth,OpReserve,0)</f>
        <v/>
      </c>
      <c r="LG26" s="18">
        <f>'DevSpend'!LG$34+'DevSpend'!LG$35+IF(316=MS_Initial_Closing_Start,ConOtherCosts+ConPoints+RecourseFee,0)+IF(316=StabMonth,OpReserve,0)</f>
        <v/>
      </c>
      <c r="LH26" s="18">
        <f>'DevSpend'!LH$34+'DevSpend'!LH$35+IF(317=MS_Initial_Closing_Start,ConOtherCosts+ConPoints+RecourseFee,0)+IF(317=StabMonth,OpReserve,0)</f>
        <v/>
      </c>
      <c r="LI26" s="18">
        <f>'DevSpend'!LI$34+'DevSpend'!LI$35+IF(318=MS_Initial_Closing_Start,ConOtherCosts+ConPoints+RecourseFee,0)+IF(318=StabMonth,OpReserve,0)</f>
        <v/>
      </c>
      <c r="LJ26" s="18">
        <f>'DevSpend'!LJ$34+'DevSpend'!LJ$35+IF(319=MS_Initial_Closing_Start,ConOtherCosts+ConPoints+RecourseFee,0)+IF(319=StabMonth,OpReserve,0)</f>
        <v/>
      </c>
      <c r="LK26" s="18">
        <f>'DevSpend'!LK$34+'DevSpend'!LK$35+IF(320=MS_Initial_Closing_Start,ConOtherCosts+ConPoints+RecourseFee,0)+IF(320=StabMonth,OpReserve,0)</f>
        <v/>
      </c>
      <c r="LL26" s="18">
        <f>'DevSpend'!LL$34+'DevSpend'!LL$35+IF(321=MS_Initial_Closing_Start,ConOtherCosts+ConPoints+RecourseFee,0)+IF(321=StabMonth,OpReserve,0)</f>
        <v/>
      </c>
      <c r="LM26" s="18">
        <f>'DevSpend'!LM$34+'DevSpend'!LM$35+IF(322=MS_Initial_Closing_Start,ConOtherCosts+ConPoints+RecourseFee,0)+IF(322=StabMonth,OpReserve,0)</f>
        <v/>
      </c>
      <c r="LN26" s="18">
        <f>'DevSpend'!LN$34+'DevSpend'!LN$35+IF(323=MS_Initial_Closing_Start,ConOtherCosts+ConPoints+RecourseFee,0)+IF(323=StabMonth,OpReserve,0)</f>
        <v/>
      </c>
      <c r="LO26" s="18">
        <f>'DevSpend'!LO$34+'DevSpend'!LO$35+IF(324=MS_Initial_Closing_Start,ConOtherCosts+ConPoints+RecourseFee,0)+IF(324=StabMonth,OpReserve,0)</f>
        <v/>
      </c>
      <c r="LP26" s="18">
        <f>'DevSpend'!LP$34+'DevSpend'!LP$35+IF(325=MS_Initial_Closing_Start,ConOtherCosts+ConPoints+RecourseFee,0)+IF(325=StabMonth,OpReserve,0)</f>
        <v/>
      </c>
      <c r="LQ26" s="18">
        <f>'DevSpend'!LQ$34+'DevSpend'!LQ$35+IF(326=MS_Initial_Closing_Start,ConOtherCosts+ConPoints+RecourseFee,0)+IF(326=StabMonth,OpReserve,0)</f>
        <v/>
      </c>
      <c r="LR26" s="18">
        <f>'DevSpend'!LR$34+'DevSpend'!LR$35+IF(327=MS_Initial_Closing_Start,ConOtherCosts+ConPoints+RecourseFee,0)+IF(327=StabMonth,OpReserve,0)</f>
        <v/>
      </c>
      <c r="LS26" s="18">
        <f>'DevSpend'!LS$34+'DevSpend'!LS$35+IF(328=MS_Initial_Closing_Start,ConOtherCosts+ConPoints+RecourseFee,0)+IF(328=StabMonth,OpReserve,0)</f>
        <v/>
      </c>
      <c r="LT26" s="18">
        <f>'DevSpend'!LT$34+'DevSpend'!LT$35+IF(329=MS_Initial_Closing_Start,ConOtherCosts+ConPoints+RecourseFee,0)+IF(329=StabMonth,OpReserve,0)</f>
        <v/>
      </c>
      <c r="LU26" s="18">
        <f>'DevSpend'!LU$34+'DevSpend'!LU$35+IF(330=MS_Initial_Closing_Start,ConOtherCosts+ConPoints+RecourseFee,0)+IF(330=StabMonth,OpReserve,0)</f>
        <v/>
      </c>
      <c r="LV26" s="18">
        <f>'DevSpend'!LV$34+'DevSpend'!LV$35+IF(331=MS_Initial_Closing_Start,ConOtherCosts+ConPoints+RecourseFee,0)+IF(331=StabMonth,OpReserve,0)</f>
        <v/>
      </c>
      <c r="LW26" s="18">
        <f>'DevSpend'!LW$34+'DevSpend'!LW$35+IF(332=MS_Initial_Closing_Start,ConOtherCosts+ConPoints+RecourseFee,0)+IF(332=StabMonth,OpReserve,0)</f>
        <v/>
      </c>
      <c r="LX26" s="18">
        <f>'DevSpend'!LX$34+'DevSpend'!LX$35+IF(333=MS_Initial_Closing_Start,ConOtherCosts+ConPoints+RecourseFee,0)+IF(333=StabMonth,OpReserve,0)</f>
        <v/>
      </c>
      <c r="LY26" s="18">
        <f>'DevSpend'!LY$34+'DevSpend'!LY$35+IF(334=MS_Initial_Closing_Start,ConOtherCosts+ConPoints+RecourseFee,0)+IF(334=StabMonth,OpReserve,0)</f>
        <v/>
      </c>
      <c r="LZ26" s="18">
        <f>'DevSpend'!LZ$34+'DevSpend'!LZ$35+IF(335=MS_Initial_Closing_Start,ConOtherCosts+ConPoints+RecourseFee,0)+IF(335=StabMonth,OpReserve,0)</f>
        <v/>
      </c>
      <c r="MA26" s="18">
        <f>'DevSpend'!MA$34+'DevSpend'!MA$35+IF(336=MS_Initial_Closing_Start,ConOtherCosts+ConPoints+RecourseFee,0)+IF(336=StabMonth,OpReserve,0)</f>
        <v/>
      </c>
      <c r="MB26" s="18">
        <f>'DevSpend'!MB$34+'DevSpend'!MB$35+IF(337=MS_Initial_Closing_Start,ConOtherCosts+ConPoints+RecourseFee,0)+IF(337=StabMonth,OpReserve,0)</f>
        <v/>
      </c>
      <c r="MC26" s="18">
        <f>'DevSpend'!MC$34+'DevSpend'!MC$35+IF(338=MS_Initial_Closing_Start,ConOtherCosts+ConPoints+RecourseFee,0)+IF(338=StabMonth,OpReserve,0)</f>
        <v/>
      </c>
      <c r="MD26" s="18">
        <f>'DevSpend'!MD$34+'DevSpend'!MD$35+IF(339=MS_Initial_Closing_Start,ConOtherCosts+ConPoints+RecourseFee,0)+IF(339=StabMonth,OpReserve,0)</f>
        <v/>
      </c>
      <c r="ME26" s="18">
        <f>'DevSpend'!ME$34+'DevSpend'!ME$35+IF(340=MS_Initial_Closing_Start,ConOtherCosts+ConPoints+RecourseFee,0)+IF(340=StabMonth,OpReserve,0)</f>
        <v/>
      </c>
      <c r="MF26" s="18">
        <f>'DevSpend'!MF$34+'DevSpend'!MF$35+IF(341=MS_Initial_Closing_Start,ConOtherCosts+ConPoints+RecourseFee,0)+IF(341=StabMonth,OpReserve,0)</f>
        <v/>
      </c>
      <c r="MG26" s="18">
        <f>'DevSpend'!MG$34+'DevSpend'!MG$35+IF(342=MS_Initial_Closing_Start,ConOtherCosts+ConPoints+RecourseFee,0)+IF(342=StabMonth,OpReserve,0)</f>
        <v/>
      </c>
      <c r="MH26" s="18">
        <f>'DevSpend'!MH$34+'DevSpend'!MH$35+IF(343=MS_Initial_Closing_Start,ConOtherCosts+ConPoints+RecourseFee,0)+IF(343=StabMonth,OpReserve,0)</f>
        <v/>
      </c>
      <c r="MI26" s="18">
        <f>'DevSpend'!MI$34+'DevSpend'!MI$35+IF(344=MS_Initial_Closing_Start,ConOtherCosts+ConPoints+RecourseFee,0)+IF(344=StabMonth,OpReserve,0)</f>
        <v/>
      </c>
      <c r="MJ26" s="18">
        <f>'DevSpend'!MJ$34+'DevSpend'!MJ$35+IF(345=MS_Initial_Closing_Start,ConOtherCosts+ConPoints+RecourseFee,0)+IF(345=StabMonth,OpReserve,0)</f>
        <v/>
      </c>
      <c r="MK26" s="18">
        <f>'DevSpend'!MK$34+'DevSpend'!MK$35+IF(346=MS_Initial_Closing_Start,ConOtherCosts+ConPoints+RecourseFee,0)+IF(346=StabMonth,OpReserve,0)</f>
        <v/>
      </c>
      <c r="ML26" s="18">
        <f>'DevSpend'!ML$34+'DevSpend'!ML$35+IF(347=MS_Initial_Closing_Start,ConOtherCosts+ConPoints+RecourseFee,0)+IF(347=StabMonth,OpReserve,0)</f>
        <v/>
      </c>
      <c r="MM26" s="18">
        <f>'DevSpend'!MM$34+'DevSpend'!MM$35+IF(348=MS_Initial_Closing_Start,ConOtherCosts+ConPoints+RecourseFee,0)+IF(348=StabMonth,OpReserve,0)</f>
        <v/>
      </c>
      <c r="MN26" s="18">
        <f>'DevSpend'!MN$34+'DevSpend'!MN$35+IF(349=MS_Initial_Closing_Start,ConOtherCosts+ConPoints+RecourseFee,0)+IF(349=StabMonth,OpReserve,0)</f>
        <v/>
      </c>
      <c r="MO26" s="18">
        <f>'DevSpend'!MO$34+'DevSpend'!MO$35+IF(350=MS_Initial_Closing_Start,ConOtherCosts+ConPoints+RecourseFee,0)+IF(350=StabMonth,OpReserve,0)</f>
        <v/>
      </c>
      <c r="MP26" s="18">
        <f>'DevSpend'!MP$34+'DevSpend'!MP$35+IF(351=MS_Initial_Closing_Start,ConOtherCosts+ConPoints+RecourseFee,0)+IF(351=StabMonth,OpReserve,0)</f>
        <v/>
      </c>
      <c r="MQ26" s="18">
        <f>'DevSpend'!MQ$34+'DevSpend'!MQ$35+IF(352=MS_Initial_Closing_Start,ConOtherCosts+ConPoints+RecourseFee,0)+IF(352=StabMonth,OpReserve,0)</f>
        <v/>
      </c>
      <c r="MR26" s="18">
        <f>'DevSpend'!MR$34+'DevSpend'!MR$35+IF(353=MS_Initial_Closing_Start,ConOtherCosts+ConPoints+RecourseFee,0)+IF(353=StabMonth,OpReserve,0)</f>
        <v/>
      </c>
      <c r="MS26" s="18">
        <f>'DevSpend'!MS$34+'DevSpend'!MS$35+IF(354=MS_Initial_Closing_Start,ConOtherCosts+ConPoints+RecourseFee,0)+IF(354=StabMonth,OpReserve,0)</f>
        <v/>
      </c>
      <c r="MT26" s="18">
        <f>'DevSpend'!MT$34+'DevSpend'!MT$35+IF(355=MS_Initial_Closing_Start,ConOtherCosts+ConPoints+RecourseFee,0)+IF(355=StabMonth,OpReserve,0)</f>
        <v/>
      </c>
      <c r="MU26" s="18">
        <f>'DevSpend'!MU$34+'DevSpend'!MU$35+IF(356=MS_Initial_Closing_Start,ConOtherCosts+ConPoints+RecourseFee,0)+IF(356=StabMonth,OpReserve,0)</f>
        <v/>
      </c>
      <c r="MV26" s="18">
        <f>'DevSpend'!MV$34+'DevSpend'!MV$35+IF(357=MS_Initial_Closing_Start,ConOtherCosts+ConPoints+RecourseFee,0)+IF(357=StabMonth,OpReserve,0)</f>
        <v/>
      </c>
      <c r="MW26" s="18">
        <f>'DevSpend'!MW$34+'DevSpend'!MW$35+IF(358=MS_Initial_Closing_Start,ConOtherCosts+ConPoints+RecourseFee,0)+IF(358=StabMonth,OpReserve,0)</f>
        <v/>
      </c>
      <c r="MX26" s="18">
        <f>'DevSpend'!MX$34+'DevSpend'!MX$35+IF(359=MS_Initial_Closing_Start,ConOtherCosts+ConPoints+RecourseFee,0)+IF(359=StabMonth,OpReserve,0)</f>
        <v/>
      </c>
      <c r="MY26" s="18">
        <f>'DevSpend'!MY$34+'DevSpend'!MY$35+IF(360=MS_Initial_Closing_Start,ConOtherCosts+ConPoints+RecourseFee,0)+IF(360=StabMonth,OpReserve,0)</f>
        <v/>
      </c>
      <c r="MZ26" s="18">
        <f>'DevSpend'!MZ$34+'DevSpend'!MZ$35+IF(361=MS_Initial_Closing_Start,ConOtherCosts+ConPoints+RecourseFee,0)+IF(361=StabMonth,OpReserve,0)</f>
        <v/>
      </c>
      <c r="NA26" s="18">
        <f>'DevSpend'!NA$34+'DevSpend'!NA$35+IF(362=MS_Initial_Closing_Start,ConOtherCosts+ConPoints+RecourseFee,0)+IF(362=StabMonth,OpReserve,0)</f>
        <v/>
      </c>
      <c r="NB26" s="18">
        <f>'DevSpend'!NB$34+'DevSpend'!NB$35+IF(363=MS_Initial_Closing_Start,ConOtherCosts+ConPoints+RecourseFee,0)+IF(363=StabMonth,OpReserve,0)</f>
        <v/>
      </c>
      <c r="NC26" s="18">
        <f>'DevSpend'!NC$34+'DevSpend'!NC$35+IF(364=MS_Initial_Closing_Start,ConOtherCosts+ConPoints+RecourseFee,0)+IF(364=StabMonth,OpReserve,0)</f>
        <v/>
      </c>
      <c r="ND26" s="18">
        <f>'DevSpend'!ND$34+'DevSpend'!ND$35+IF(365=MS_Initial_Closing_Start,ConOtherCosts+ConPoints+RecourseFee,0)+IF(365=StabMonth,OpReserve,0)</f>
        <v/>
      </c>
      <c r="NE26" s="18">
        <f>'DevSpend'!NE$34+'DevSpend'!NE$35+IF(366=MS_Initial_Closing_Start,ConOtherCosts+ConPoints+RecourseFee,0)+IF(366=StabMonth,OpReserve,0)</f>
        <v/>
      </c>
      <c r="NF26" s="18">
        <f>'DevSpend'!NF$34+'DevSpend'!NF$35+IF(367=MS_Initial_Closing_Start,ConOtherCosts+ConPoints+RecourseFee,0)+IF(367=StabMonth,OpReserve,0)</f>
        <v/>
      </c>
      <c r="NG26" s="18">
        <f>'DevSpend'!NG$34+'DevSpend'!NG$35+IF(368=MS_Initial_Closing_Start,ConOtherCosts+ConPoints+RecourseFee,0)+IF(368=StabMonth,OpReserve,0)</f>
        <v/>
      </c>
      <c r="NH26" s="18">
        <f>'DevSpend'!NH$34+'DevSpend'!NH$35+IF(369=MS_Initial_Closing_Start,ConOtherCosts+ConPoints+RecourseFee,0)+IF(369=StabMonth,OpReserve,0)</f>
        <v/>
      </c>
      <c r="NI26" s="18">
        <f>'DevSpend'!NI$34+'DevSpend'!NI$35+IF(370=MS_Initial_Closing_Start,ConOtherCosts+ConPoints+RecourseFee,0)+IF(370=StabMonth,OpReserve,0)</f>
        <v/>
      </c>
      <c r="NJ26" s="18">
        <f>'DevSpend'!NJ$34+'DevSpend'!NJ$35+IF(371=MS_Initial_Closing_Start,ConOtherCosts+ConPoints+RecourseFee,0)+IF(371=StabMonth,OpReserve,0)</f>
        <v/>
      </c>
      <c r="NK26" s="18">
        <f>'DevSpend'!NK$34+'DevSpend'!NK$35+IF(372=MS_Initial_Closing_Start,ConOtherCosts+ConPoints+RecourseFee,0)+IF(372=StabMonth,OpReserve,0)</f>
        <v/>
      </c>
    </row>
    <row r="27">
      <c r="A27" s="5" t="inlineStr">
        <is>
          <t>Equity Draw</t>
        </is>
      </c>
      <c r="C27" s="41">
        <f>SUM(D27:NK27)</f>
        <v/>
      </c>
      <c r="D27" s="18">
        <f>IF(FundingOrderPari=1,(1-DebtShare)*D$26,MIN(D$26,MAX(0,EquityBudget-(0))))</f>
        <v/>
      </c>
      <c r="E27" s="18">
        <f>IF(FundingOrderPari=1,(1-DebtShare)*E$26,MIN(E$26,MAX(0,EquityBudget-(D$28))))</f>
        <v/>
      </c>
      <c r="F27" s="18">
        <f>IF(FundingOrderPari=1,(1-DebtShare)*F$26,MIN(F$26,MAX(0,EquityBudget-(E$28))))</f>
        <v/>
      </c>
      <c r="G27" s="18">
        <f>IF(FundingOrderPari=1,(1-DebtShare)*G$26,MIN(G$26,MAX(0,EquityBudget-(F$28))))</f>
        <v/>
      </c>
      <c r="H27" s="18">
        <f>IF(FundingOrderPari=1,(1-DebtShare)*H$26,MIN(H$26,MAX(0,EquityBudget-(G$28))))</f>
        <v/>
      </c>
      <c r="I27" s="18">
        <f>IF(FundingOrderPari=1,(1-DebtShare)*I$26,MIN(I$26,MAX(0,EquityBudget-(H$28))))</f>
        <v/>
      </c>
      <c r="J27" s="18">
        <f>IF(FundingOrderPari=1,(1-DebtShare)*J$26,MIN(J$26,MAX(0,EquityBudget-(I$28))))</f>
        <v/>
      </c>
      <c r="K27" s="18">
        <f>IF(FundingOrderPari=1,(1-DebtShare)*K$26,MIN(K$26,MAX(0,EquityBudget-(J$28))))</f>
        <v/>
      </c>
      <c r="L27" s="18">
        <f>IF(FundingOrderPari=1,(1-DebtShare)*L$26,MIN(L$26,MAX(0,EquityBudget-(K$28))))</f>
        <v/>
      </c>
      <c r="M27" s="18">
        <f>IF(FundingOrderPari=1,(1-DebtShare)*M$26,MIN(M$26,MAX(0,EquityBudget-(L$28))))</f>
        <v/>
      </c>
      <c r="N27" s="18">
        <f>IF(FundingOrderPari=1,(1-DebtShare)*N$26,MIN(N$26,MAX(0,EquityBudget-(M$28))))</f>
        <v/>
      </c>
      <c r="O27" s="18">
        <f>IF(FundingOrderPari=1,(1-DebtShare)*O$26,MIN(O$26,MAX(0,EquityBudget-(N$28))))</f>
        <v/>
      </c>
      <c r="P27" s="18">
        <f>IF(FundingOrderPari=1,(1-DebtShare)*P$26,MIN(P$26,MAX(0,EquityBudget-(O$28))))</f>
        <v/>
      </c>
      <c r="Q27" s="18">
        <f>IF(FundingOrderPari=1,(1-DebtShare)*Q$26,MIN(Q$26,MAX(0,EquityBudget-(P$28))))</f>
        <v/>
      </c>
      <c r="R27" s="18">
        <f>IF(FundingOrderPari=1,(1-DebtShare)*R$26,MIN(R$26,MAX(0,EquityBudget-(Q$28))))</f>
        <v/>
      </c>
      <c r="S27" s="18">
        <f>IF(FundingOrderPari=1,(1-DebtShare)*S$26,MIN(S$26,MAX(0,EquityBudget-(R$28))))</f>
        <v/>
      </c>
      <c r="T27" s="18">
        <f>IF(FundingOrderPari=1,(1-DebtShare)*T$26,MIN(T$26,MAX(0,EquityBudget-(S$28))))</f>
        <v/>
      </c>
      <c r="U27" s="18">
        <f>IF(FundingOrderPari=1,(1-DebtShare)*U$26,MIN(U$26,MAX(0,EquityBudget-(T$28))))</f>
        <v/>
      </c>
      <c r="V27" s="18">
        <f>IF(FundingOrderPari=1,(1-DebtShare)*V$26,MIN(V$26,MAX(0,EquityBudget-(U$28))))</f>
        <v/>
      </c>
      <c r="W27" s="18">
        <f>IF(FundingOrderPari=1,(1-DebtShare)*W$26,MIN(W$26,MAX(0,EquityBudget-(V$28))))</f>
        <v/>
      </c>
      <c r="X27" s="18">
        <f>IF(FundingOrderPari=1,(1-DebtShare)*X$26,MIN(X$26,MAX(0,EquityBudget-(W$28))))</f>
        <v/>
      </c>
      <c r="Y27" s="18">
        <f>IF(FundingOrderPari=1,(1-DebtShare)*Y$26,MIN(Y$26,MAX(0,EquityBudget-(X$28))))</f>
        <v/>
      </c>
      <c r="Z27" s="18">
        <f>IF(FundingOrderPari=1,(1-DebtShare)*Z$26,MIN(Z$26,MAX(0,EquityBudget-(Y$28))))</f>
        <v/>
      </c>
      <c r="AA27" s="18">
        <f>IF(FundingOrderPari=1,(1-DebtShare)*AA$26,MIN(AA$26,MAX(0,EquityBudget-(Z$28))))</f>
        <v/>
      </c>
      <c r="AB27" s="18">
        <f>IF(FundingOrderPari=1,(1-DebtShare)*AB$26,MIN(AB$26,MAX(0,EquityBudget-(AA$28))))</f>
        <v/>
      </c>
      <c r="AC27" s="18">
        <f>IF(FundingOrderPari=1,(1-DebtShare)*AC$26,MIN(AC$26,MAX(0,EquityBudget-(AB$28))))</f>
        <v/>
      </c>
      <c r="AD27" s="18">
        <f>IF(FundingOrderPari=1,(1-DebtShare)*AD$26,MIN(AD$26,MAX(0,EquityBudget-(AC$28))))</f>
        <v/>
      </c>
      <c r="AE27" s="18">
        <f>IF(FundingOrderPari=1,(1-DebtShare)*AE$26,MIN(AE$26,MAX(0,EquityBudget-(AD$28))))</f>
        <v/>
      </c>
      <c r="AF27" s="18">
        <f>IF(FundingOrderPari=1,(1-DebtShare)*AF$26,MIN(AF$26,MAX(0,EquityBudget-(AE$28))))</f>
        <v/>
      </c>
      <c r="AG27" s="18">
        <f>IF(FundingOrderPari=1,(1-DebtShare)*AG$26,MIN(AG$26,MAX(0,EquityBudget-(AF$28))))</f>
        <v/>
      </c>
      <c r="AH27" s="18">
        <f>IF(FundingOrderPari=1,(1-DebtShare)*AH$26,MIN(AH$26,MAX(0,EquityBudget-(AG$28))))</f>
        <v/>
      </c>
      <c r="AI27" s="18">
        <f>IF(FundingOrderPari=1,(1-DebtShare)*AI$26,MIN(AI$26,MAX(0,EquityBudget-(AH$28))))</f>
        <v/>
      </c>
      <c r="AJ27" s="18">
        <f>IF(FundingOrderPari=1,(1-DebtShare)*AJ$26,MIN(AJ$26,MAX(0,EquityBudget-(AI$28))))</f>
        <v/>
      </c>
      <c r="AK27" s="18">
        <f>IF(FundingOrderPari=1,(1-DebtShare)*AK$26,MIN(AK$26,MAX(0,EquityBudget-(AJ$28))))</f>
        <v/>
      </c>
      <c r="AL27" s="18">
        <f>IF(FundingOrderPari=1,(1-DebtShare)*AL$26,MIN(AL$26,MAX(0,EquityBudget-(AK$28))))</f>
        <v/>
      </c>
      <c r="AM27" s="18">
        <f>IF(FundingOrderPari=1,(1-DebtShare)*AM$26,MIN(AM$26,MAX(0,EquityBudget-(AL$28))))</f>
        <v/>
      </c>
      <c r="AN27" s="18">
        <f>IF(FundingOrderPari=1,(1-DebtShare)*AN$26,MIN(AN$26,MAX(0,EquityBudget-(AM$28))))</f>
        <v/>
      </c>
      <c r="AO27" s="18">
        <f>IF(FundingOrderPari=1,(1-DebtShare)*AO$26,MIN(AO$26,MAX(0,EquityBudget-(AN$28))))</f>
        <v/>
      </c>
      <c r="AP27" s="18">
        <f>IF(FundingOrderPari=1,(1-DebtShare)*AP$26,MIN(AP$26,MAX(0,EquityBudget-(AO$28))))</f>
        <v/>
      </c>
      <c r="AQ27" s="18">
        <f>IF(FundingOrderPari=1,(1-DebtShare)*AQ$26,MIN(AQ$26,MAX(0,EquityBudget-(AP$28))))</f>
        <v/>
      </c>
      <c r="AR27" s="18">
        <f>IF(FundingOrderPari=1,(1-DebtShare)*AR$26,MIN(AR$26,MAX(0,EquityBudget-(AQ$28))))</f>
        <v/>
      </c>
      <c r="AS27" s="18">
        <f>IF(FundingOrderPari=1,(1-DebtShare)*AS$26,MIN(AS$26,MAX(0,EquityBudget-(AR$28))))</f>
        <v/>
      </c>
      <c r="AT27" s="18">
        <f>IF(FundingOrderPari=1,(1-DebtShare)*AT$26,MIN(AT$26,MAX(0,EquityBudget-(AS$28))))</f>
        <v/>
      </c>
      <c r="AU27" s="18">
        <f>IF(FundingOrderPari=1,(1-DebtShare)*AU$26,MIN(AU$26,MAX(0,EquityBudget-(AT$28))))</f>
        <v/>
      </c>
      <c r="AV27" s="18">
        <f>IF(FundingOrderPari=1,(1-DebtShare)*AV$26,MIN(AV$26,MAX(0,EquityBudget-(AU$28))))</f>
        <v/>
      </c>
      <c r="AW27" s="18">
        <f>IF(FundingOrderPari=1,(1-DebtShare)*AW$26,MIN(AW$26,MAX(0,EquityBudget-(AV$28))))</f>
        <v/>
      </c>
      <c r="AX27" s="18">
        <f>IF(FundingOrderPari=1,(1-DebtShare)*AX$26,MIN(AX$26,MAX(0,EquityBudget-(AW$28))))</f>
        <v/>
      </c>
      <c r="AY27" s="18">
        <f>IF(FundingOrderPari=1,(1-DebtShare)*AY$26,MIN(AY$26,MAX(0,EquityBudget-(AX$28))))</f>
        <v/>
      </c>
      <c r="AZ27" s="18">
        <f>IF(FundingOrderPari=1,(1-DebtShare)*AZ$26,MIN(AZ$26,MAX(0,EquityBudget-(AY$28))))</f>
        <v/>
      </c>
      <c r="BA27" s="18">
        <f>IF(FundingOrderPari=1,(1-DebtShare)*BA$26,MIN(BA$26,MAX(0,EquityBudget-(AZ$28))))</f>
        <v/>
      </c>
      <c r="BB27" s="18">
        <f>IF(FundingOrderPari=1,(1-DebtShare)*BB$26,MIN(BB$26,MAX(0,EquityBudget-(BA$28))))</f>
        <v/>
      </c>
      <c r="BC27" s="18">
        <f>IF(FundingOrderPari=1,(1-DebtShare)*BC$26,MIN(BC$26,MAX(0,EquityBudget-(BB$28))))</f>
        <v/>
      </c>
      <c r="BD27" s="18">
        <f>IF(FundingOrderPari=1,(1-DebtShare)*BD$26,MIN(BD$26,MAX(0,EquityBudget-(BC$28))))</f>
        <v/>
      </c>
      <c r="BE27" s="18">
        <f>IF(FundingOrderPari=1,(1-DebtShare)*BE$26,MIN(BE$26,MAX(0,EquityBudget-(BD$28))))</f>
        <v/>
      </c>
      <c r="BF27" s="18">
        <f>IF(FundingOrderPari=1,(1-DebtShare)*BF$26,MIN(BF$26,MAX(0,EquityBudget-(BE$28))))</f>
        <v/>
      </c>
      <c r="BG27" s="18">
        <f>IF(FundingOrderPari=1,(1-DebtShare)*BG$26,MIN(BG$26,MAX(0,EquityBudget-(BF$28))))</f>
        <v/>
      </c>
      <c r="BH27" s="18">
        <f>IF(FundingOrderPari=1,(1-DebtShare)*BH$26,MIN(BH$26,MAX(0,EquityBudget-(BG$28))))</f>
        <v/>
      </c>
      <c r="BI27" s="18">
        <f>IF(FundingOrderPari=1,(1-DebtShare)*BI$26,MIN(BI$26,MAX(0,EquityBudget-(BH$28))))</f>
        <v/>
      </c>
      <c r="BJ27" s="18">
        <f>IF(FundingOrderPari=1,(1-DebtShare)*BJ$26,MIN(BJ$26,MAX(0,EquityBudget-(BI$28))))</f>
        <v/>
      </c>
      <c r="BK27" s="18">
        <f>IF(FundingOrderPari=1,(1-DebtShare)*BK$26,MIN(BK$26,MAX(0,EquityBudget-(BJ$28))))</f>
        <v/>
      </c>
      <c r="BL27" s="18">
        <f>IF(FundingOrderPari=1,(1-DebtShare)*BL$26,MIN(BL$26,MAX(0,EquityBudget-(BK$28))))</f>
        <v/>
      </c>
      <c r="BM27" s="18">
        <f>IF(FundingOrderPari=1,(1-DebtShare)*BM$26,MIN(BM$26,MAX(0,EquityBudget-(BL$28))))</f>
        <v/>
      </c>
      <c r="BN27" s="18">
        <f>IF(FundingOrderPari=1,(1-DebtShare)*BN$26,MIN(BN$26,MAX(0,EquityBudget-(BM$28))))</f>
        <v/>
      </c>
      <c r="BO27" s="18">
        <f>IF(FundingOrderPari=1,(1-DebtShare)*BO$26,MIN(BO$26,MAX(0,EquityBudget-(BN$28))))</f>
        <v/>
      </c>
      <c r="BP27" s="18">
        <f>IF(FundingOrderPari=1,(1-DebtShare)*BP$26,MIN(BP$26,MAX(0,EquityBudget-(BO$28))))</f>
        <v/>
      </c>
      <c r="BQ27" s="18">
        <f>IF(FundingOrderPari=1,(1-DebtShare)*BQ$26,MIN(BQ$26,MAX(0,EquityBudget-(BP$28))))</f>
        <v/>
      </c>
      <c r="BR27" s="18">
        <f>IF(FundingOrderPari=1,(1-DebtShare)*BR$26,MIN(BR$26,MAX(0,EquityBudget-(BQ$28))))</f>
        <v/>
      </c>
      <c r="BS27" s="18">
        <f>IF(FundingOrderPari=1,(1-DebtShare)*BS$26,MIN(BS$26,MAX(0,EquityBudget-(BR$28))))</f>
        <v/>
      </c>
      <c r="BT27" s="18">
        <f>IF(FundingOrderPari=1,(1-DebtShare)*BT$26,MIN(BT$26,MAX(0,EquityBudget-(BS$28))))</f>
        <v/>
      </c>
      <c r="BU27" s="18">
        <f>IF(FundingOrderPari=1,(1-DebtShare)*BU$26,MIN(BU$26,MAX(0,EquityBudget-(BT$28))))</f>
        <v/>
      </c>
      <c r="BV27" s="18">
        <f>IF(FundingOrderPari=1,(1-DebtShare)*BV$26,MIN(BV$26,MAX(0,EquityBudget-(BU$28))))</f>
        <v/>
      </c>
      <c r="BW27" s="18">
        <f>IF(FundingOrderPari=1,(1-DebtShare)*BW$26,MIN(BW$26,MAX(0,EquityBudget-(BV$28))))</f>
        <v/>
      </c>
      <c r="BX27" s="18">
        <f>IF(FundingOrderPari=1,(1-DebtShare)*BX$26,MIN(BX$26,MAX(0,EquityBudget-(BW$28))))</f>
        <v/>
      </c>
      <c r="BY27" s="18">
        <f>IF(FundingOrderPari=1,(1-DebtShare)*BY$26,MIN(BY$26,MAX(0,EquityBudget-(BX$28))))</f>
        <v/>
      </c>
      <c r="BZ27" s="18">
        <f>IF(FundingOrderPari=1,(1-DebtShare)*BZ$26,MIN(BZ$26,MAX(0,EquityBudget-(BY$28))))</f>
        <v/>
      </c>
      <c r="CA27" s="18">
        <f>IF(FundingOrderPari=1,(1-DebtShare)*CA$26,MIN(CA$26,MAX(0,EquityBudget-(BZ$28))))</f>
        <v/>
      </c>
      <c r="CB27" s="18">
        <f>IF(FundingOrderPari=1,(1-DebtShare)*CB$26,MIN(CB$26,MAX(0,EquityBudget-(CA$28))))</f>
        <v/>
      </c>
      <c r="CC27" s="18">
        <f>IF(FundingOrderPari=1,(1-DebtShare)*CC$26,MIN(CC$26,MAX(0,EquityBudget-(CB$28))))</f>
        <v/>
      </c>
      <c r="CD27" s="18">
        <f>IF(FundingOrderPari=1,(1-DebtShare)*CD$26,MIN(CD$26,MAX(0,EquityBudget-(CC$28))))</f>
        <v/>
      </c>
      <c r="CE27" s="18">
        <f>IF(FundingOrderPari=1,(1-DebtShare)*CE$26,MIN(CE$26,MAX(0,EquityBudget-(CD$28))))</f>
        <v/>
      </c>
      <c r="CF27" s="18">
        <f>IF(FundingOrderPari=1,(1-DebtShare)*CF$26,MIN(CF$26,MAX(0,EquityBudget-(CE$28))))</f>
        <v/>
      </c>
      <c r="CG27" s="18">
        <f>IF(FundingOrderPari=1,(1-DebtShare)*CG$26,MIN(CG$26,MAX(0,EquityBudget-(CF$28))))</f>
        <v/>
      </c>
      <c r="CH27" s="18">
        <f>IF(FundingOrderPari=1,(1-DebtShare)*CH$26,MIN(CH$26,MAX(0,EquityBudget-(CG$28))))</f>
        <v/>
      </c>
      <c r="CI27" s="18">
        <f>IF(FundingOrderPari=1,(1-DebtShare)*CI$26,MIN(CI$26,MAX(0,EquityBudget-(CH$28))))</f>
        <v/>
      </c>
      <c r="CJ27" s="18">
        <f>IF(FundingOrderPari=1,(1-DebtShare)*CJ$26,MIN(CJ$26,MAX(0,EquityBudget-(CI$28))))</f>
        <v/>
      </c>
      <c r="CK27" s="18">
        <f>IF(FundingOrderPari=1,(1-DebtShare)*CK$26,MIN(CK$26,MAX(0,EquityBudget-(CJ$28))))</f>
        <v/>
      </c>
      <c r="CL27" s="18">
        <f>IF(FundingOrderPari=1,(1-DebtShare)*CL$26,MIN(CL$26,MAX(0,EquityBudget-(CK$28))))</f>
        <v/>
      </c>
      <c r="CM27" s="18">
        <f>IF(FundingOrderPari=1,(1-DebtShare)*CM$26,MIN(CM$26,MAX(0,EquityBudget-(CL$28))))</f>
        <v/>
      </c>
      <c r="CN27" s="18">
        <f>IF(FundingOrderPari=1,(1-DebtShare)*CN$26,MIN(CN$26,MAX(0,EquityBudget-(CM$28))))</f>
        <v/>
      </c>
      <c r="CO27" s="18">
        <f>IF(FundingOrderPari=1,(1-DebtShare)*CO$26,MIN(CO$26,MAX(0,EquityBudget-(CN$28))))</f>
        <v/>
      </c>
      <c r="CP27" s="18">
        <f>IF(FundingOrderPari=1,(1-DebtShare)*CP$26,MIN(CP$26,MAX(0,EquityBudget-(CO$28))))</f>
        <v/>
      </c>
      <c r="CQ27" s="18">
        <f>IF(FundingOrderPari=1,(1-DebtShare)*CQ$26,MIN(CQ$26,MAX(0,EquityBudget-(CP$28))))</f>
        <v/>
      </c>
      <c r="CR27" s="18">
        <f>IF(FundingOrderPari=1,(1-DebtShare)*CR$26,MIN(CR$26,MAX(0,EquityBudget-(CQ$28))))</f>
        <v/>
      </c>
      <c r="CS27" s="18">
        <f>IF(FundingOrderPari=1,(1-DebtShare)*CS$26,MIN(CS$26,MAX(0,EquityBudget-(CR$28))))</f>
        <v/>
      </c>
      <c r="CT27" s="18">
        <f>IF(FundingOrderPari=1,(1-DebtShare)*CT$26,MIN(CT$26,MAX(0,EquityBudget-(CS$28))))</f>
        <v/>
      </c>
      <c r="CU27" s="18">
        <f>IF(FundingOrderPari=1,(1-DebtShare)*CU$26,MIN(CU$26,MAX(0,EquityBudget-(CT$28))))</f>
        <v/>
      </c>
      <c r="CV27" s="18">
        <f>IF(FundingOrderPari=1,(1-DebtShare)*CV$26,MIN(CV$26,MAX(0,EquityBudget-(CU$28))))</f>
        <v/>
      </c>
      <c r="CW27" s="18">
        <f>IF(FundingOrderPari=1,(1-DebtShare)*CW$26,MIN(CW$26,MAX(0,EquityBudget-(CV$28))))</f>
        <v/>
      </c>
      <c r="CX27" s="18">
        <f>IF(FundingOrderPari=1,(1-DebtShare)*CX$26,MIN(CX$26,MAX(0,EquityBudget-(CW$28))))</f>
        <v/>
      </c>
      <c r="CY27" s="18">
        <f>IF(FundingOrderPari=1,(1-DebtShare)*CY$26,MIN(CY$26,MAX(0,EquityBudget-(CX$28))))</f>
        <v/>
      </c>
      <c r="CZ27" s="18">
        <f>IF(FundingOrderPari=1,(1-DebtShare)*CZ$26,MIN(CZ$26,MAX(0,EquityBudget-(CY$28))))</f>
        <v/>
      </c>
      <c r="DA27" s="18">
        <f>IF(FundingOrderPari=1,(1-DebtShare)*DA$26,MIN(DA$26,MAX(0,EquityBudget-(CZ$28))))</f>
        <v/>
      </c>
      <c r="DB27" s="18">
        <f>IF(FundingOrderPari=1,(1-DebtShare)*DB$26,MIN(DB$26,MAX(0,EquityBudget-(DA$28))))</f>
        <v/>
      </c>
      <c r="DC27" s="18">
        <f>IF(FundingOrderPari=1,(1-DebtShare)*DC$26,MIN(DC$26,MAX(0,EquityBudget-(DB$28))))</f>
        <v/>
      </c>
      <c r="DD27" s="18">
        <f>IF(FundingOrderPari=1,(1-DebtShare)*DD$26,MIN(DD$26,MAX(0,EquityBudget-(DC$28))))</f>
        <v/>
      </c>
      <c r="DE27" s="18">
        <f>IF(FundingOrderPari=1,(1-DebtShare)*DE$26,MIN(DE$26,MAX(0,EquityBudget-(DD$28))))</f>
        <v/>
      </c>
      <c r="DF27" s="18">
        <f>IF(FundingOrderPari=1,(1-DebtShare)*DF$26,MIN(DF$26,MAX(0,EquityBudget-(DE$28))))</f>
        <v/>
      </c>
      <c r="DG27" s="18">
        <f>IF(FundingOrderPari=1,(1-DebtShare)*DG$26,MIN(DG$26,MAX(0,EquityBudget-(DF$28))))</f>
        <v/>
      </c>
      <c r="DH27" s="18">
        <f>IF(FundingOrderPari=1,(1-DebtShare)*DH$26,MIN(DH$26,MAX(0,EquityBudget-(DG$28))))</f>
        <v/>
      </c>
      <c r="DI27" s="18">
        <f>IF(FundingOrderPari=1,(1-DebtShare)*DI$26,MIN(DI$26,MAX(0,EquityBudget-(DH$28))))</f>
        <v/>
      </c>
      <c r="DJ27" s="18">
        <f>IF(FundingOrderPari=1,(1-DebtShare)*DJ$26,MIN(DJ$26,MAX(0,EquityBudget-(DI$28))))</f>
        <v/>
      </c>
      <c r="DK27" s="18">
        <f>IF(FundingOrderPari=1,(1-DebtShare)*DK$26,MIN(DK$26,MAX(0,EquityBudget-(DJ$28))))</f>
        <v/>
      </c>
      <c r="DL27" s="18">
        <f>IF(FundingOrderPari=1,(1-DebtShare)*DL$26,MIN(DL$26,MAX(0,EquityBudget-(DK$28))))</f>
        <v/>
      </c>
      <c r="DM27" s="18">
        <f>IF(FundingOrderPari=1,(1-DebtShare)*DM$26,MIN(DM$26,MAX(0,EquityBudget-(DL$28))))</f>
        <v/>
      </c>
      <c r="DN27" s="18">
        <f>IF(FundingOrderPari=1,(1-DebtShare)*DN$26,MIN(DN$26,MAX(0,EquityBudget-(DM$28))))</f>
        <v/>
      </c>
      <c r="DO27" s="18">
        <f>IF(FundingOrderPari=1,(1-DebtShare)*DO$26,MIN(DO$26,MAX(0,EquityBudget-(DN$28))))</f>
        <v/>
      </c>
      <c r="DP27" s="18">
        <f>IF(FundingOrderPari=1,(1-DebtShare)*DP$26,MIN(DP$26,MAX(0,EquityBudget-(DO$28))))</f>
        <v/>
      </c>
      <c r="DQ27" s="18">
        <f>IF(FundingOrderPari=1,(1-DebtShare)*DQ$26,MIN(DQ$26,MAX(0,EquityBudget-(DP$28))))</f>
        <v/>
      </c>
      <c r="DR27" s="18">
        <f>IF(FundingOrderPari=1,(1-DebtShare)*DR$26,MIN(DR$26,MAX(0,EquityBudget-(DQ$28))))</f>
        <v/>
      </c>
      <c r="DS27" s="18">
        <f>IF(FundingOrderPari=1,(1-DebtShare)*DS$26,MIN(DS$26,MAX(0,EquityBudget-(DR$28))))</f>
        <v/>
      </c>
      <c r="DT27" s="18">
        <f>IF(FundingOrderPari=1,(1-DebtShare)*DT$26,MIN(DT$26,MAX(0,EquityBudget-(DS$28))))</f>
        <v/>
      </c>
      <c r="DU27" s="18">
        <f>IF(FundingOrderPari=1,(1-DebtShare)*DU$26,MIN(DU$26,MAX(0,EquityBudget-(DT$28))))</f>
        <v/>
      </c>
      <c r="DV27" s="18">
        <f>IF(FundingOrderPari=1,(1-DebtShare)*DV$26,MIN(DV$26,MAX(0,EquityBudget-(DU$28))))</f>
        <v/>
      </c>
      <c r="DW27" s="18">
        <f>IF(FundingOrderPari=1,(1-DebtShare)*DW$26,MIN(DW$26,MAX(0,EquityBudget-(DV$28))))</f>
        <v/>
      </c>
      <c r="DX27" s="18">
        <f>IF(FundingOrderPari=1,(1-DebtShare)*DX$26,MIN(DX$26,MAX(0,EquityBudget-(DW$28))))</f>
        <v/>
      </c>
      <c r="DY27" s="18">
        <f>IF(FundingOrderPari=1,(1-DebtShare)*DY$26,MIN(DY$26,MAX(0,EquityBudget-(DX$28))))</f>
        <v/>
      </c>
      <c r="DZ27" s="18">
        <f>IF(FundingOrderPari=1,(1-DebtShare)*DZ$26,MIN(DZ$26,MAX(0,EquityBudget-(DY$28))))</f>
        <v/>
      </c>
      <c r="EA27" s="18">
        <f>IF(FundingOrderPari=1,(1-DebtShare)*EA$26,MIN(EA$26,MAX(0,EquityBudget-(DZ$28))))</f>
        <v/>
      </c>
      <c r="EB27" s="18">
        <f>IF(FundingOrderPari=1,(1-DebtShare)*EB$26,MIN(EB$26,MAX(0,EquityBudget-(EA$28))))</f>
        <v/>
      </c>
      <c r="EC27" s="18">
        <f>IF(FundingOrderPari=1,(1-DebtShare)*EC$26,MIN(EC$26,MAX(0,EquityBudget-(EB$28))))</f>
        <v/>
      </c>
      <c r="ED27" s="18">
        <f>IF(FundingOrderPari=1,(1-DebtShare)*ED$26,MIN(ED$26,MAX(0,EquityBudget-(EC$28))))</f>
        <v/>
      </c>
      <c r="EE27" s="18">
        <f>IF(FundingOrderPari=1,(1-DebtShare)*EE$26,MIN(EE$26,MAX(0,EquityBudget-(ED$28))))</f>
        <v/>
      </c>
      <c r="EF27" s="18">
        <f>IF(FundingOrderPari=1,(1-DebtShare)*EF$26,MIN(EF$26,MAX(0,EquityBudget-(EE$28))))</f>
        <v/>
      </c>
      <c r="EG27" s="18">
        <f>IF(FundingOrderPari=1,(1-DebtShare)*EG$26,MIN(EG$26,MAX(0,EquityBudget-(EF$28))))</f>
        <v/>
      </c>
      <c r="EH27" s="18">
        <f>IF(FundingOrderPari=1,(1-DebtShare)*EH$26,MIN(EH$26,MAX(0,EquityBudget-(EG$28))))</f>
        <v/>
      </c>
      <c r="EI27" s="18">
        <f>IF(FundingOrderPari=1,(1-DebtShare)*EI$26,MIN(EI$26,MAX(0,EquityBudget-(EH$28))))</f>
        <v/>
      </c>
      <c r="EJ27" s="18">
        <f>IF(FundingOrderPari=1,(1-DebtShare)*EJ$26,MIN(EJ$26,MAX(0,EquityBudget-(EI$28))))</f>
        <v/>
      </c>
      <c r="EK27" s="18">
        <f>IF(FundingOrderPari=1,(1-DebtShare)*EK$26,MIN(EK$26,MAX(0,EquityBudget-(EJ$28))))</f>
        <v/>
      </c>
      <c r="EL27" s="18">
        <f>IF(FundingOrderPari=1,(1-DebtShare)*EL$26,MIN(EL$26,MAX(0,EquityBudget-(EK$28))))</f>
        <v/>
      </c>
      <c r="EM27" s="18">
        <f>IF(FundingOrderPari=1,(1-DebtShare)*EM$26,MIN(EM$26,MAX(0,EquityBudget-(EL$28))))</f>
        <v/>
      </c>
      <c r="EN27" s="18">
        <f>IF(FundingOrderPari=1,(1-DebtShare)*EN$26,MIN(EN$26,MAX(0,EquityBudget-(EM$28))))</f>
        <v/>
      </c>
      <c r="EO27" s="18">
        <f>IF(FundingOrderPari=1,(1-DebtShare)*EO$26,MIN(EO$26,MAX(0,EquityBudget-(EN$28))))</f>
        <v/>
      </c>
      <c r="EP27" s="18">
        <f>IF(FundingOrderPari=1,(1-DebtShare)*EP$26,MIN(EP$26,MAX(0,EquityBudget-(EO$28))))</f>
        <v/>
      </c>
      <c r="EQ27" s="18">
        <f>IF(FundingOrderPari=1,(1-DebtShare)*EQ$26,MIN(EQ$26,MAX(0,EquityBudget-(EP$28))))</f>
        <v/>
      </c>
      <c r="ER27" s="18">
        <f>IF(FundingOrderPari=1,(1-DebtShare)*ER$26,MIN(ER$26,MAX(0,EquityBudget-(EQ$28))))</f>
        <v/>
      </c>
      <c r="ES27" s="18">
        <f>IF(FundingOrderPari=1,(1-DebtShare)*ES$26,MIN(ES$26,MAX(0,EquityBudget-(ER$28))))</f>
        <v/>
      </c>
      <c r="ET27" s="18">
        <f>IF(FundingOrderPari=1,(1-DebtShare)*ET$26,MIN(ET$26,MAX(0,EquityBudget-(ES$28))))</f>
        <v/>
      </c>
      <c r="EU27" s="18">
        <f>IF(FundingOrderPari=1,(1-DebtShare)*EU$26,MIN(EU$26,MAX(0,EquityBudget-(ET$28))))</f>
        <v/>
      </c>
      <c r="EV27" s="18">
        <f>IF(FundingOrderPari=1,(1-DebtShare)*EV$26,MIN(EV$26,MAX(0,EquityBudget-(EU$28))))</f>
        <v/>
      </c>
      <c r="EW27" s="18">
        <f>IF(FundingOrderPari=1,(1-DebtShare)*EW$26,MIN(EW$26,MAX(0,EquityBudget-(EV$28))))</f>
        <v/>
      </c>
      <c r="EX27" s="18">
        <f>IF(FundingOrderPari=1,(1-DebtShare)*EX$26,MIN(EX$26,MAX(0,EquityBudget-(EW$28))))</f>
        <v/>
      </c>
      <c r="EY27" s="18">
        <f>IF(FundingOrderPari=1,(1-DebtShare)*EY$26,MIN(EY$26,MAX(0,EquityBudget-(EX$28))))</f>
        <v/>
      </c>
      <c r="EZ27" s="18">
        <f>IF(FundingOrderPari=1,(1-DebtShare)*EZ$26,MIN(EZ$26,MAX(0,EquityBudget-(EY$28))))</f>
        <v/>
      </c>
      <c r="FA27" s="18">
        <f>IF(FundingOrderPari=1,(1-DebtShare)*FA$26,MIN(FA$26,MAX(0,EquityBudget-(EZ$28))))</f>
        <v/>
      </c>
      <c r="FB27" s="18">
        <f>IF(FundingOrderPari=1,(1-DebtShare)*FB$26,MIN(FB$26,MAX(0,EquityBudget-(FA$28))))</f>
        <v/>
      </c>
      <c r="FC27" s="18">
        <f>IF(FundingOrderPari=1,(1-DebtShare)*FC$26,MIN(FC$26,MAX(0,EquityBudget-(FB$28))))</f>
        <v/>
      </c>
      <c r="FD27" s="18">
        <f>IF(FundingOrderPari=1,(1-DebtShare)*FD$26,MIN(FD$26,MAX(0,EquityBudget-(FC$28))))</f>
        <v/>
      </c>
      <c r="FE27" s="18">
        <f>IF(FundingOrderPari=1,(1-DebtShare)*FE$26,MIN(FE$26,MAX(0,EquityBudget-(FD$28))))</f>
        <v/>
      </c>
      <c r="FF27" s="18">
        <f>IF(FundingOrderPari=1,(1-DebtShare)*FF$26,MIN(FF$26,MAX(0,EquityBudget-(FE$28))))</f>
        <v/>
      </c>
      <c r="FG27" s="18">
        <f>IF(FundingOrderPari=1,(1-DebtShare)*FG$26,MIN(FG$26,MAX(0,EquityBudget-(FF$28))))</f>
        <v/>
      </c>
      <c r="FH27" s="18">
        <f>IF(FundingOrderPari=1,(1-DebtShare)*FH$26,MIN(FH$26,MAX(0,EquityBudget-(FG$28))))</f>
        <v/>
      </c>
      <c r="FI27" s="18">
        <f>IF(FundingOrderPari=1,(1-DebtShare)*FI$26,MIN(FI$26,MAX(0,EquityBudget-(FH$28))))</f>
        <v/>
      </c>
      <c r="FJ27" s="18">
        <f>IF(FundingOrderPari=1,(1-DebtShare)*FJ$26,MIN(FJ$26,MAX(0,EquityBudget-(FI$28))))</f>
        <v/>
      </c>
      <c r="FK27" s="18">
        <f>IF(FundingOrderPari=1,(1-DebtShare)*FK$26,MIN(FK$26,MAX(0,EquityBudget-(FJ$28))))</f>
        <v/>
      </c>
      <c r="FL27" s="18">
        <f>IF(FundingOrderPari=1,(1-DebtShare)*FL$26,MIN(FL$26,MAX(0,EquityBudget-(FK$28))))</f>
        <v/>
      </c>
      <c r="FM27" s="18">
        <f>IF(FundingOrderPari=1,(1-DebtShare)*FM$26,MIN(FM$26,MAX(0,EquityBudget-(FL$28))))</f>
        <v/>
      </c>
      <c r="FN27" s="18">
        <f>IF(FundingOrderPari=1,(1-DebtShare)*FN$26,MIN(FN$26,MAX(0,EquityBudget-(FM$28))))</f>
        <v/>
      </c>
      <c r="FO27" s="18">
        <f>IF(FundingOrderPari=1,(1-DebtShare)*FO$26,MIN(FO$26,MAX(0,EquityBudget-(FN$28))))</f>
        <v/>
      </c>
      <c r="FP27" s="18">
        <f>IF(FundingOrderPari=1,(1-DebtShare)*FP$26,MIN(FP$26,MAX(0,EquityBudget-(FO$28))))</f>
        <v/>
      </c>
      <c r="FQ27" s="18">
        <f>IF(FundingOrderPari=1,(1-DebtShare)*FQ$26,MIN(FQ$26,MAX(0,EquityBudget-(FP$28))))</f>
        <v/>
      </c>
      <c r="FR27" s="18">
        <f>IF(FundingOrderPari=1,(1-DebtShare)*FR$26,MIN(FR$26,MAX(0,EquityBudget-(FQ$28))))</f>
        <v/>
      </c>
      <c r="FS27" s="18">
        <f>IF(FundingOrderPari=1,(1-DebtShare)*FS$26,MIN(FS$26,MAX(0,EquityBudget-(FR$28))))</f>
        <v/>
      </c>
      <c r="FT27" s="18">
        <f>IF(FundingOrderPari=1,(1-DebtShare)*FT$26,MIN(FT$26,MAX(0,EquityBudget-(FS$28))))</f>
        <v/>
      </c>
      <c r="FU27" s="18">
        <f>IF(FundingOrderPari=1,(1-DebtShare)*FU$26,MIN(FU$26,MAX(0,EquityBudget-(FT$28))))</f>
        <v/>
      </c>
      <c r="FV27" s="18">
        <f>IF(FundingOrderPari=1,(1-DebtShare)*FV$26,MIN(FV$26,MAX(0,EquityBudget-(FU$28))))</f>
        <v/>
      </c>
      <c r="FW27" s="18">
        <f>IF(FundingOrderPari=1,(1-DebtShare)*FW$26,MIN(FW$26,MAX(0,EquityBudget-(FV$28))))</f>
        <v/>
      </c>
      <c r="FX27" s="18">
        <f>IF(FundingOrderPari=1,(1-DebtShare)*FX$26,MIN(FX$26,MAX(0,EquityBudget-(FW$28))))</f>
        <v/>
      </c>
      <c r="FY27" s="18">
        <f>IF(FundingOrderPari=1,(1-DebtShare)*FY$26,MIN(FY$26,MAX(0,EquityBudget-(FX$28))))</f>
        <v/>
      </c>
      <c r="FZ27" s="18">
        <f>IF(FundingOrderPari=1,(1-DebtShare)*FZ$26,MIN(FZ$26,MAX(0,EquityBudget-(FY$28))))</f>
        <v/>
      </c>
      <c r="GA27" s="18">
        <f>IF(FundingOrderPari=1,(1-DebtShare)*GA$26,MIN(GA$26,MAX(0,EquityBudget-(FZ$28))))</f>
        <v/>
      </c>
      <c r="GB27" s="18">
        <f>IF(FundingOrderPari=1,(1-DebtShare)*GB$26,MIN(GB$26,MAX(0,EquityBudget-(GA$28))))</f>
        <v/>
      </c>
      <c r="GC27" s="18">
        <f>IF(FundingOrderPari=1,(1-DebtShare)*GC$26,MIN(GC$26,MAX(0,EquityBudget-(GB$28))))</f>
        <v/>
      </c>
      <c r="GD27" s="18">
        <f>IF(FundingOrderPari=1,(1-DebtShare)*GD$26,MIN(GD$26,MAX(0,EquityBudget-(GC$28))))</f>
        <v/>
      </c>
      <c r="GE27" s="18">
        <f>IF(FundingOrderPari=1,(1-DebtShare)*GE$26,MIN(GE$26,MAX(0,EquityBudget-(GD$28))))</f>
        <v/>
      </c>
      <c r="GF27" s="18">
        <f>IF(FundingOrderPari=1,(1-DebtShare)*GF$26,MIN(GF$26,MAX(0,EquityBudget-(GE$28))))</f>
        <v/>
      </c>
      <c r="GG27" s="18">
        <f>IF(FundingOrderPari=1,(1-DebtShare)*GG$26,MIN(GG$26,MAX(0,EquityBudget-(GF$28))))</f>
        <v/>
      </c>
      <c r="GH27" s="18">
        <f>IF(FundingOrderPari=1,(1-DebtShare)*GH$26,MIN(GH$26,MAX(0,EquityBudget-(GG$28))))</f>
        <v/>
      </c>
      <c r="GI27" s="18">
        <f>IF(FundingOrderPari=1,(1-DebtShare)*GI$26,MIN(GI$26,MAX(0,EquityBudget-(GH$28))))</f>
        <v/>
      </c>
      <c r="GJ27" s="18">
        <f>IF(FundingOrderPari=1,(1-DebtShare)*GJ$26,MIN(GJ$26,MAX(0,EquityBudget-(GI$28))))</f>
        <v/>
      </c>
      <c r="GK27" s="18">
        <f>IF(FundingOrderPari=1,(1-DebtShare)*GK$26,MIN(GK$26,MAX(0,EquityBudget-(GJ$28))))</f>
        <v/>
      </c>
      <c r="GL27" s="18">
        <f>IF(FundingOrderPari=1,(1-DebtShare)*GL$26,MIN(GL$26,MAX(0,EquityBudget-(GK$28))))</f>
        <v/>
      </c>
      <c r="GM27" s="18">
        <f>IF(FundingOrderPari=1,(1-DebtShare)*GM$26,MIN(GM$26,MAX(0,EquityBudget-(GL$28))))</f>
        <v/>
      </c>
      <c r="GN27" s="18">
        <f>IF(FundingOrderPari=1,(1-DebtShare)*GN$26,MIN(GN$26,MAX(0,EquityBudget-(GM$28))))</f>
        <v/>
      </c>
      <c r="GO27" s="18">
        <f>IF(FundingOrderPari=1,(1-DebtShare)*GO$26,MIN(GO$26,MAX(0,EquityBudget-(GN$28))))</f>
        <v/>
      </c>
      <c r="GP27" s="18">
        <f>IF(FundingOrderPari=1,(1-DebtShare)*GP$26,MIN(GP$26,MAX(0,EquityBudget-(GO$28))))</f>
        <v/>
      </c>
      <c r="GQ27" s="18">
        <f>IF(FundingOrderPari=1,(1-DebtShare)*GQ$26,MIN(GQ$26,MAX(0,EquityBudget-(GP$28))))</f>
        <v/>
      </c>
      <c r="GR27" s="18">
        <f>IF(FundingOrderPari=1,(1-DebtShare)*GR$26,MIN(GR$26,MAX(0,EquityBudget-(GQ$28))))</f>
        <v/>
      </c>
      <c r="GS27" s="18">
        <f>IF(FundingOrderPari=1,(1-DebtShare)*GS$26,MIN(GS$26,MAX(0,EquityBudget-(GR$28))))</f>
        <v/>
      </c>
      <c r="GT27" s="18">
        <f>IF(FundingOrderPari=1,(1-DebtShare)*GT$26,MIN(GT$26,MAX(0,EquityBudget-(GS$28))))</f>
        <v/>
      </c>
      <c r="GU27" s="18">
        <f>IF(FundingOrderPari=1,(1-DebtShare)*GU$26,MIN(GU$26,MAX(0,EquityBudget-(GT$28))))</f>
        <v/>
      </c>
      <c r="GV27" s="18">
        <f>IF(FundingOrderPari=1,(1-DebtShare)*GV$26,MIN(GV$26,MAX(0,EquityBudget-(GU$28))))</f>
        <v/>
      </c>
      <c r="GW27" s="18">
        <f>IF(FundingOrderPari=1,(1-DebtShare)*GW$26,MIN(GW$26,MAX(0,EquityBudget-(GV$28))))</f>
        <v/>
      </c>
      <c r="GX27" s="18">
        <f>IF(FundingOrderPari=1,(1-DebtShare)*GX$26,MIN(GX$26,MAX(0,EquityBudget-(GW$28))))</f>
        <v/>
      </c>
      <c r="GY27" s="18">
        <f>IF(FundingOrderPari=1,(1-DebtShare)*GY$26,MIN(GY$26,MAX(0,EquityBudget-(GX$28))))</f>
        <v/>
      </c>
      <c r="GZ27" s="18">
        <f>IF(FundingOrderPari=1,(1-DebtShare)*GZ$26,MIN(GZ$26,MAX(0,EquityBudget-(GY$28))))</f>
        <v/>
      </c>
      <c r="HA27" s="18">
        <f>IF(FundingOrderPari=1,(1-DebtShare)*HA$26,MIN(HA$26,MAX(0,EquityBudget-(GZ$28))))</f>
        <v/>
      </c>
      <c r="HB27" s="18">
        <f>IF(FundingOrderPari=1,(1-DebtShare)*HB$26,MIN(HB$26,MAX(0,EquityBudget-(HA$28))))</f>
        <v/>
      </c>
      <c r="HC27" s="18">
        <f>IF(FundingOrderPari=1,(1-DebtShare)*HC$26,MIN(HC$26,MAX(0,EquityBudget-(HB$28))))</f>
        <v/>
      </c>
      <c r="HD27" s="18">
        <f>IF(FundingOrderPari=1,(1-DebtShare)*HD$26,MIN(HD$26,MAX(0,EquityBudget-(HC$28))))</f>
        <v/>
      </c>
      <c r="HE27" s="18">
        <f>IF(FundingOrderPari=1,(1-DebtShare)*HE$26,MIN(HE$26,MAX(0,EquityBudget-(HD$28))))</f>
        <v/>
      </c>
      <c r="HF27" s="18">
        <f>IF(FundingOrderPari=1,(1-DebtShare)*HF$26,MIN(HF$26,MAX(0,EquityBudget-(HE$28))))</f>
        <v/>
      </c>
      <c r="HG27" s="18">
        <f>IF(FundingOrderPari=1,(1-DebtShare)*HG$26,MIN(HG$26,MAX(0,EquityBudget-(HF$28))))</f>
        <v/>
      </c>
      <c r="HH27" s="18">
        <f>IF(FundingOrderPari=1,(1-DebtShare)*HH$26,MIN(HH$26,MAX(0,EquityBudget-(HG$28))))</f>
        <v/>
      </c>
      <c r="HI27" s="18">
        <f>IF(FundingOrderPari=1,(1-DebtShare)*HI$26,MIN(HI$26,MAX(0,EquityBudget-(HH$28))))</f>
        <v/>
      </c>
      <c r="HJ27" s="18">
        <f>IF(FundingOrderPari=1,(1-DebtShare)*HJ$26,MIN(HJ$26,MAX(0,EquityBudget-(HI$28))))</f>
        <v/>
      </c>
      <c r="HK27" s="18">
        <f>IF(FundingOrderPari=1,(1-DebtShare)*HK$26,MIN(HK$26,MAX(0,EquityBudget-(HJ$28))))</f>
        <v/>
      </c>
      <c r="HL27" s="18">
        <f>IF(FundingOrderPari=1,(1-DebtShare)*HL$26,MIN(HL$26,MAX(0,EquityBudget-(HK$28))))</f>
        <v/>
      </c>
      <c r="HM27" s="18">
        <f>IF(FundingOrderPari=1,(1-DebtShare)*HM$26,MIN(HM$26,MAX(0,EquityBudget-(HL$28))))</f>
        <v/>
      </c>
      <c r="HN27" s="18">
        <f>IF(FundingOrderPari=1,(1-DebtShare)*HN$26,MIN(HN$26,MAX(0,EquityBudget-(HM$28))))</f>
        <v/>
      </c>
      <c r="HO27" s="18">
        <f>IF(FundingOrderPari=1,(1-DebtShare)*HO$26,MIN(HO$26,MAX(0,EquityBudget-(HN$28))))</f>
        <v/>
      </c>
      <c r="HP27" s="18">
        <f>IF(FundingOrderPari=1,(1-DebtShare)*HP$26,MIN(HP$26,MAX(0,EquityBudget-(HO$28))))</f>
        <v/>
      </c>
      <c r="HQ27" s="18">
        <f>IF(FundingOrderPari=1,(1-DebtShare)*HQ$26,MIN(HQ$26,MAX(0,EquityBudget-(HP$28))))</f>
        <v/>
      </c>
      <c r="HR27" s="18">
        <f>IF(FundingOrderPari=1,(1-DebtShare)*HR$26,MIN(HR$26,MAX(0,EquityBudget-(HQ$28))))</f>
        <v/>
      </c>
      <c r="HS27" s="18">
        <f>IF(FundingOrderPari=1,(1-DebtShare)*HS$26,MIN(HS$26,MAX(0,EquityBudget-(HR$28))))</f>
        <v/>
      </c>
      <c r="HT27" s="18">
        <f>IF(FundingOrderPari=1,(1-DebtShare)*HT$26,MIN(HT$26,MAX(0,EquityBudget-(HS$28))))</f>
        <v/>
      </c>
      <c r="HU27" s="18">
        <f>IF(FundingOrderPari=1,(1-DebtShare)*HU$26,MIN(HU$26,MAX(0,EquityBudget-(HT$28))))</f>
        <v/>
      </c>
      <c r="HV27" s="18">
        <f>IF(FundingOrderPari=1,(1-DebtShare)*HV$26,MIN(HV$26,MAX(0,EquityBudget-(HU$28))))</f>
        <v/>
      </c>
      <c r="HW27" s="18">
        <f>IF(FundingOrderPari=1,(1-DebtShare)*HW$26,MIN(HW$26,MAX(0,EquityBudget-(HV$28))))</f>
        <v/>
      </c>
      <c r="HX27" s="18">
        <f>IF(FundingOrderPari=1,(1-DebtShare)*HX$26,MIN(HX$26,MAX(0,EquityBudget-(HW$28))))</f>
        <v/>
      </c>
      <c r="HY27" s="18">
        <f>IF(FundingOrderPari=1,(1-DebtShare)*HY$26,MIN(HY$26,MAX(0,EquityBudget-(HX$28))))</f>
        <v/>
      </c>
      <c r="HZ27" s="18">
        <f>IF(FundingOrderPari=1,(1-DebtShare)*HZ$26,MIN(HZ$26,MAX(0,EquityBudget-(HY$28))))</f>
        <v/>
      </c>
      <c r="IA27" s="18">
        <f>IF(FundingOrderPari=1,(1-DebtShare)*IA$26,MIN(IA$26,MAX(0,EquityBudget-(HZ$28))))</f>
        <v/>
      </c>
      <c r="IB27" s="18">
        <f>IF(FundingOrderPari=1,(1-DebtShare)*IB$26,MIN(IB$26,MAX(0,EquityBudget-(IA$28))))</f>
        <v/>
      </c>
      <c r="IC27" s="18">
        <f>IF(FundingOrderPari=1,(1-DebtShare)*IC$26,MIN(IC$26,MAX(0,EquityBudget-(IB$28))))</f>
        <v/>
      </c>
      <c r="ID27" s="18">
        <f>IF(FundingOrderPari=1,(1-DebtShare)*ID$26,MIN(ID$26,MAX(0,EquityBudget-(IC$28))))</f>
        <v/>
      </c>
      <c r="IE27" s="18">
        <f>IF(FundingOrderPari=1,(1-DebtShare)*IE$26,MIN(IE$26,MAX(0,EquityBudget-(ID$28))))</f>
        <v/>
      </c>
      <c r="IF27" s="18">
        <f>IF(FundingOrderPari=1,(1-DebtShare)*IF$26,MIN(IF$26,MAX(0,EquityBudget-(IE$28))))</f>
        <v/>
      </c>
      <c r="IG27" s="18">
        <f>IF(FundingOrderPari=1,(1-DebtShare)*IG$26,MIN(IG$26,MAX(0,EquityBudget-(IF$28))))</f>
        <v/>
      </c>
      <c r="IH27" s="18">
        <f>IF(FundingOrderPari=1,(1-DebtShare)*IH$26,MIN(IH$26,MAX(0,EquityBudget-(IG$28))))</f>
        <v/>
      </c>
      <c r="II27" s="18">
        <f>IF(FundingOrderPari=1,(1-DebtShare)*II$26,MIN(II$26,MAX(0,EquityBudget-(IH$28))))</f>
        <v/>
      </c>
      <c r="IJ27" s="18">
        <f>IF(FundingOrderPari=1,(1-DebtShare)*IJ$26,MIN(IJ$26,MAX(0,EquityBudget-(II$28))))</f>
        <v/>
      </c>
      <c r="IK27" s="18">
        <f>IF(FundingOrderPari=1,(1-DebtShare)*IK$26,MIN(IK$26,MAX(0,EquityBudget-(IJ$28))))</f>
        <v/>
      </c>
      <c r="IL27" s="18">
        <f>IF(FundingOrderPari=1,(1-DebtShare)*IL$26,MIN(IL$26,MAX(0,EquityBudget-(IK$28))))</f>
        <v/>
      </c>
      <c r="IM27" s="18">
        <f>IF(FundingOrderPari=1,(1-DebtShare)*IM$26,MIN(IM$26,MAX(0,EquityBudget-(IL$28))))</f>
        <v/>
      </c>
      <c r="IN27" s="18">
        <f>IF(FundingOrderPari=1,(1-DebtShare)*IN$26,MIN(IN$26,MAX(0,EquityBudget-(IM$28))))</f>
        <v/>
      </c>
      <c r="IO27" s="18">
        <f>IF(FundingOrderPari=1,(1-DebtShare)*IO$26,MIN(IO$26,MAX(0,EquityBudget-(IN$28))))</f>
        <v/>
      </c>
      <c r="IP27" s="18">
        <f>IF(FundingOrderPari=1,(1-DebtShare)*IP$26,MIN(IP$26,MAX(0,EquityBudget-(IO$28))))</f>
        <v/>
      </c>
      <c r="IQ27" s="18">
        <f>IF(FundingOrderPari=1,(1-DebtShare)*IQ$26,MIN(IQ$26,MAX(0,EquityBudget-(IP$28))))</f>
        <v/>
      </c>
      <c r="IR27" s="18">
        <f>IF(FundingOrderPari=1,(1-DebtShare)*IR$26,MIN(IR$26,MAX(0,EquityBudget-(IQ$28))))</f>
        <v/>
      </c>
      <c r="IS27" s="18">
        <f>IF(FundingOrderPari=1,(1-DebtShare)*IS$26,MIN(IS$26,MAX(0,EquityBudget-(IR$28))))</f>
        <v/>
      </c>
      <c r="IT27" s="18">
        <f>IF(FundingOrderPari=1,(1-DebtShare)*IT$26,MIN(IT$26,MAX(0,EquityBudget-(IS$28))))</f>
        <v/>
      </c>
      <c r="IU27" s="18">
        <f>IF(FundingOrderPari=1,(1-DebtShare)*IU$26,MIN(IU$26,MAX(0,EquityBudget-(IT$28))))</f>
        <v/>
      </c>
      <c r="IV27" s="18">
        <f>IF(FundingOrderPari=1,(1-DebtShare)*IV$26,MIN(IV$26,MAX(0,EquityBudget-(IU$28))))</f>
        <v/>
      </c>
      <c r="IW27" s="18">
        <f>IF(FundingOrderPari=1,(1-DebtShare)*IW$26,MIN(IW$26,MAX(0,EquityBudget-(IV$28))))</f>
        <v/>
      </c>
      <c r="IX27" s="18">
        <f>IF(FundingOrderPari=1,(1-DebtShare)*IX$26,MIN(IX$26,MAX(0,EquityBudget-(IW$28))))</f>
        <v/>
      </c>
      <c r="IY27" s="18">
        <f>IF(FundingOrderPari=1,(1-DebtShare)*IY$26,MIN(IY$26,MAX(0,EquityBudget-(IX$28))))</f>
        <v/>
      </c>
      <c r="IZ27" s="18">
        <f>IF(FundingOrderPari=1,(1-DebtShare)*IZ$26,MIN(IZ$26,MAX(0,EquityBudget-(IY$28))))</f>
        <v/>
      </c>
      <c r="JA27" s="18">
        <f>IF(FundingOrderPari=1,(1-DebtShare)*JA$26,MIN(JA$26,MAX(0,EquityBudget-(IZ$28))))</f>
        <v/>
      </c>
      <c r="JB27" s="18">
        <f>IF(FundingOrderPari=1,(1-DebtShare)*JB$26,MIN(JB$26,MAX(0,EquityBudget-(JA$28))))</f>
        <v/>
      </c>
      <c r="JC27" s="18">
        <f>IF(FundingOrderPari=1,(1-DebtShare)*JC$26,MIN(JC$26,MAX(0,EquityBudget-(JB$28))))</f>
        <v/>
      </c>
      <c r="JD27" s="18">
        <f>IF(FundingOrderPari=1,(1-DebtShare)*JD$26,MIN(JD$26,MAX(0,EquityBudget-(JC$28))))</f>
        <v/>
      </c>
      <c r="JE27" s="18">
        <f>IF(FundingOrderPari=1,(1-DebtShare)*JE$26,MIN(JE$26,MAX(0,EquityBudget-(JD$28))))</f>
        <v/>
      </c>
      <c r="JF27" s="18">
        <f>IF(FundingOrderPari=1,(1-DebtShare)*JF$26,MIN(JF$26,MAX(0,EquityBudget-(JE$28))))</f>
        <v/>
      </c>
      <c r="JG27" s="18">
        <f>IF(FundingOrderPari=1,(1-DebtShare)*JG$26,MIN(JG$26,MAX(0,EquityBudget-(JF$28))))</f>
        <v/>
      </c>
      <c r="JH27" s="18">
        <f>IF(FundingOrderPari=1,(1-DebtShare)*JH$26,MIN(JH$26,MAX(0,EquityBudget-(JG$28))))</f>
        <v/>
      </c>
      <c r="JI27" s="18">
        <f>IF(FundingOrderPari=1,(1-DebtShare)*JI$26,MIN(JI$26,MAX(0,EquityBudget-(JH$28))))</f>
        <v/>
      </c>
      <c r="JJ27" s="18">
        <f>IF(FundingOrderPari=1,(1-DebtShare)*JJ$26,MIN(JJ$26,MAX(0,EquityBudget-(JI$28))))</f>
        <v/>
      </c>
      <c r="JK27" s="18">
        <f>IF(FundingOrderPari=1,(1-DebtShare)*JK$26,MIN(JK$26,MAX(0,EquityBudget-(JJ$28))))</f>
        <v/>
      </c>
      <c r="JL27" s="18">
        <f>IF(FundingOrderPari=1,(1-DebtShare)*JL$26,MIN(JL$26,MAX(0,EquityBudget-(JK$28))))</f>
        <v/>
      </c>
      <c r="JM27" s="18">
        <f>IF(FundingOrderPari=1,(1-DebtShare)*JM$26,MIN(JM$26,MAX(0,EquityBudget-(JL$28))))</f>
        <v/>
      </c>
      <c r="JN27" s="18">
        <f>IF(FundingOrderPari=1,(1-DebtShare)*JN$26,MIN(JN$26,MAX(0,EquityBudget-(JM$28))))</f>
        <v/>
      </c>
      <c r="JO27" s="18">
        <f>IF(FundingOrderPari=1,(1-DebtShare)*JO$26,MIN(JO$26,MAX(0,EquityBudget-(JN$28))))</f>
        <v/>
      </c>
      <c r="JP27" s="18">
        <f>IF(FundingOrderPari=1,(1-DebtShare)*JP$26,MIN(JP$26,MAX(0,EquityBudget-(JO$28))))</f>
        <v/>
      </c>
      <c r="JQ27" s="18">
        <f>IF(FundingOrderPari=1,(1-DebtShare)*JQ$26,MIN(JQ$26,MAX(0,EquityBudget-(JP$28))))</f>
        <v/>
      </c>
      <c r="JR27" s="18">
        <f>IF(FundingOrderPari=1,(1-DebtShare)*JR$26,MIN(JR$26,MAX(0,EquityBudget-(JQ$28))))</f>
        <v/>
      </c>
      <c r="JS27" s="18">
        <f>IF(FundingOrderPari=1,(1-DebtShare)*JS$26,MIN(JS$26,MAX(0,EquityBudget-(JR$28))))</f>
        <v/>
      </c>
      <c r="JT27" s="18">
        <f>IF(FundingOrderPari=1,(1-DebtShare)*JT$26,MIN(JT$26,MAX(0,EquityBudget-(JS$28))))</f>
        <v/>
      </c>
      <c r="JU27" s="18">
        <f>IF(FundingOrderPari=1,(1-DebtShare)*JU$26,MIN(JU$26,MAX(0,EquityBudget-(JT$28))))</f>
        <v/>
      </c>
      <c r="JV27" s="18">
        <f>IF(FundingOrderPari=1,(1-DebtShare)*JV$26,MIN(JV$26,MAX(0,EquityBudget-(JU$28))))</f>
        <v/>
      </c>
      <c r="JW27" s="18">
        <f>IF(FundingOrderPari=1,(1-DebtShare)*JW$26,MIN(JW$26,MAX(0,EquityBudget-(JV$28))))</f>
        <v/>
      </c>
      <c r="JX27" s="18">
        <f>IF(FundingOrderPari=1,(1-DebtShare)*JX$26,MIN(JX$26,MAX(0,EquityBudget-(JW$28))))</f>
        <v/>
      </c>
      <c r="JY27" s="18">
        <f>IF(FundingOrderPari=1,(1-DebtShare)*JY$26,MIN(JY$26,MAX(0,EquityBudget-(JX$28))))</f>
        <v/>
      </c>
      <c r="JZ27" s="18">
        <f>IF(FundingOrderPari=1,(1-DebtShare)*JZ$26,MIN(JZ$26,MAX(0,EquityBudget-(JY$28))))</f>
        <v/>
      </c>
      <c r="KA27" s="18">
        <f>IF(FundingOrderPari=1,(1-DebtShare)*KA$26,MIN(KA$26,MAX(0,EquityBudget-(JZ$28))))</f>
        <v/>
      </c>
      <c r="KB27" s="18">
        <f>IF(FundingOrderPari=1,(1-DebtShare)*KB$26,MIN(KB$26,MAX(0,EquityBudget-(KA$28))))</f>
        <v/>
      </c>
      <c r="KC27" s="18">
        <f>IF(FundingOrderPari=1,(1-DebtShare)*KC$26,MIN(KC$26,MAX(0,EquityBudget-(KB$28))))</f>
        <v/>
      </c>
      <c r="KD27" s="18">
        <f>IF(FundingOrderPari=1,(1-DebtShare)*KD$26,MIN(KD$26,MAX(0,EquityBudget-(KC$28))))</f>
        <v/>
      </c>
      <c r="KE27" s="18">
        <f>IF(FundingOrderPari=1,(1-DebtShare)*KE$26,MIN(KE$26,MAX(0,EquityBudget-(KD$28))))</f>
        <v/>
      </c>
      <c r="KF27" s="18">
        <f>IF(FundingOrderPari=1,(1-DebtShare)*KF$26,MIN(KF$26,MAX(0,EquityBudget-(KE$28))))</f>
        <v/>
      </c>
      <c r="KG27" s="18">
        <f>IF(FundingOrderPari=1,(1-DebtShare)*KG$26,MIN(KG$26,MAX(0,EquityBudget-(KF$28))))</f>
        <v/>
      </c>
      <c r="KH27" s="18">
        <f>IF(FundingOrderPari=1,(1-DebtShare)*KH$26,MIN(KH$26,MAX(0,EquityBudget-(KG$28))))</f>
        <v/>
      </c>
      <c r="KI27" s="18">
        <f>IF(FundingOrderPari=1,(1-DebtShare)*KI$26,MIN(KI$26,MAX(0,EquityBudget-(KH$28))))</f>
        <v/>
      </c>
      <c r="KJ27" s="18">
        <f>IF(FundingOrderPari=1,(1-DebtShare)*KJ$26,MIN(KJ$26,MAX(0,EquityBudget-(KI$28))))</f>
        <v/>
      </c>
      <c r="KK27" s="18">
        <f>IF(FundingOrderPari=1,(1-DebtShare)*KK$26,MIN(KK$26,MAX(0,EquityBudget-(KJ$28))))</f>
        <v/>
      </c>
      <c r="KL27" s="18">
        <f>IF(FundingOrderPari=1,(1-DebtShare)*KL$26,MIN(KL$26,MAX(0,EquityBudget-(KK$28))))</f>
        <v/>
      </c>
      <c r="KM27" s="18">
        <f>IF(FundingOrderPari=1,(1-DebtShare)*KM$26,MIN(KM$26,MAX(0,EquityBudget-(KL$28))))</f>
        <v/>
      </c>
      <c r="KN27" s="18">
        <f>IF(FundingOrderPari=1,(1-DebtShare)*KN$26,MIN(KN$26,MAX(0,EquityBudget-(KM$28))))</f>
        <v/>
      </c>
      <c r="KO27" s="18">
        <f>IF(FundingOrderPari=1,(1-DebtShare)*KO$26,MIN(KO$26,MAX(0,EquityBudget-(KN$28))))</f>
        <v/>
      </c>
      <c r="KP27" s="18">
        <f>IF(FundingOrderPari=1,(1-DebtShare)*KP$26,MIN(KP$26,MAX(0,EquityBudget-(KO$28))))</f>
        <v/>
      </c>
      <c r="KQ27" s="18">
        <f>IF(FundingOrderPari=1,(1-DebtShare)*KQ$26,MIN(KQ$26,MAX(0,EquityBudget-(KP$28))))</f>
        <v/>
      </c>
      <c r="KR27" s="18">
        <f>IF(FundingOrderPari=1,(1-DebtShare)*KR$26,MIN(KR$26,MAX(0,EquityBudget-(KQ$28))))</f>
        <v/>
      </c>
      <c r="KS27" s="18">
        <f>IF(FundingOrderPari=1,(1-DebtShare)*KS$26,MIN(KS$26,MAX(0,EquityBudget-(KR$28))))</f>
        <v/>
      </c>
      <c r="KT27" s="18">
        <f>IF(FundingOrderPari=1,(1-DebtShare)*KT$26,MIN(KT$26,MAX(0,EquityBudget-(KS$28))))</f>
        <v/>
      </c>
      <c r="KU27" s="18">
        <f>IF(FundingOrderPari=1,(1-DebtShare)*KU$26,MIN(KU$26,MAX(0,EquityBudget-(KT$28))))</f>
        <v/>
      </c>
      <c r="KV27" s="18">
        <f>IF(FundingOrderPari=1,(1-DebtShare)*KV$26,MIN(KV$26,MAX(0,EquityBudget-(KU$28))))</f>
        <v/>
      </c>
      <c r="KW27" s="18">
        <f>IF(FundingOrderPari=1,(1-DebtShare)*KW$26,MIN(KW$26,MAX(0,EquityBudget-(KV$28))))</f>
        <v/>
      </c>
      <c r="KX27" s="18">
        <f>IF(FundingOrderPari=1,(1-DebtShare)*KX$26,MIN(KX$26,MAX(0,EquityBudget-(KW$28))))</f>
        <v/>
      </c>
      <c r="KY27" s="18">
        <f>IF(FundingOrderPari=1,(1-DebtShare)*KY$26,MIN(KY$26,MAX(0,EquityBudget-(KX$28))))</f>
        <v/>
      </c>
      <c r="KZ27" s="18">
        <f>IF(FundingOrderPari=1,(1-DebtShare)*KZ$26,MIN(KZ$26,MAX(0,EquityBudget-(KY$28))))</f>
        <v/>
      </c>
      <c r="LA27" s="18">
        <f>IF(FundingOrderPari=1,(1-DebtShare)*LA$26,MIN(LA$26,MAX(0,EquityBudget-(KZ$28))))</f>
        <v/>
      </c>
      <c r="LB27" s="18">
        <f>IF(FundingOrderPari=1,(1-DebtShare)*LB$26,MIN(LB$26,MAX(0,EquityBudget-(LA$28))))</f>
        <v/>
      </c>
      <c r="LC27" s="18">
        <f>IF(FundingOrderPari=1,(1-DebtShare)*LC$26,MIN(LC$26,MAX(0,EquityBudget-(LB$28))))</f>
        <v/>
      </c>
      <c r="LD27" s="18">
        <f>IF(FundingOrderPari=1,(1-DebtShare)*LD$26,MIN(LD$26,MAX(0,EquityBudget-(LC$28))))</f>
        <v/>
      </c>
      <c r="LE27" s="18">
        <f>IF(FundingOrderPari=1,(1-DebtShare)*LE$26,MIN(LE$26,MAX(0,EquityBudget-(LD$28))))</f>
        <v/>
      </c>
      <c r="LF27" s="18">
        <f>IF(FundingOrderPari=1,(1-DebtShare)*LF$26,MIN(LF$26,MAX(0,EquityBudget-(LE$28))))</f>
        <v/>
      </c>
      <c r="LG27" s="18">
        <f>IF(FundingOrderPari=1,(1-DebtShare)*LG$26,MIN(LG$26,MAX(0,EquityBudget-(LF$28))))</f>
        <v/>
      </c>
      <c r="LH27" s="18">
        <f>IF(FundingOrderPari=1,(1-DebtShare)*LH$26,MIN(LH$26,MAX(0,EquityBudget-(LG$28))))</f>
        <v/>
      </c>
      <c r="LI27" s="18">
        <f>IF(FundingOrderPari=1,(1-DebtShare)*LI$26,MIN(LI$26,MAX(0,EquityBudget-(LH$28))))</f>
        <v/>
      </c>
      <c r="LJ27" s="18">
        <f>IF(FundingOrderPari=1,(1-DebtShare)*LJ$26,MIN(LJ$26,MAX(0,EquityBudget-(LI$28))))</f>
        <v/>
      </c>
      <c r="LK27" s="18">
        <f>IF(FundingOrderPari=1,(1-DebtShare)*LK$26,MIN(LK$26,MAX(0,EquityBudget-(LJ$28))))</f>
        <v/>
      </c>
      <c r="LL27" s="18">
        <f>IF(FundingOrderPari=1,(1-DebtShare)*LL$26,MIN(LL$26,MAX(0,EquityBudget-(LK$28))))</f>
        <v/>
      </c>
      <c r="LM27" s="18">
        <f>IF(FundingOrderPari=1,(1-DebtShare)*LM$26,MIN(LM$26,MAX(0,EquityBudget-(LL$28))))</f>
        <v/>
      </c>
      <c r="LN27" s="18">
        <f>IF(FundingOrderPari=1,(1-DebtShare)*LN$26,MIN(LN$26,MAX(0,EquityBudget-(LM$28))))</f>
        <v/>
      </c>
      <c r="LO27" s="18">
        <f>IF(FundingOrderPari=1,(1-DebtShare)*LO$26,MIN(LO$26,MAX(0,EquityBudget-(LN$28))))</f>
        <v/>
      </c>
      <c r="LP27" s="18">
        <f>IF(FundingOrderPari=1,(1-DebtShare)*LP$26,MIN(LP$26,MAX(0,EquityBudget-(LO$28))))</f>
        <v/>
      </c>
      <c r="LQ27" s="18">
        <f>IF(FundingOrderPari=1,(1-DebtShare)*LQ$26,MIN(LQ$26,MAX(0,EquityBudget-(LP$28))))</f>
        <v/>
      </c>
      <c r="LR27" s="18">
        <f>IF(FundingOrderPari=1,(1-DebtShare)*LR$26,MIN(LR$26,MAX(0,EquityBudget-(LQ$28))))</f>
        <v/>
      </c>
      <c r="LS27" s="18">
        <f>IF(FundingOrderPari=1,(1-DebtShare)*LS$26,MIN(LS$26,MAX(0,EquityBudget-(LR$28))))</f>
        <v/>
      </c>
      <c r="LT27" s="18">
        <f>IF(FundingOrderPari=1,(1-DebtShare)*LT$26,MIN(LT$26,MAX(0,EquityBudget-(LS$28))))</f>
        <v/>
      </c>
      <c r="LU27" s="18">
        <f>IF(FundingOrderPari=1,(1-DebtShare)*LU$26,MIN(LU$26,MAX(0,EquityBudget-(LT$28))))</f>
        <v/>
      </c>
      <c r="LV27" s="18">
        <f>IF(FundingOrderPari=1,(1-DebtShare)*LV$26,MIN(LV$26,MAX(0,EquityBudget-(LU$28))))</f>
        <v/>
      </c>
      <c r="LW27" s="18">
        <f>IF(FundingOrderPari=1,(1-DebtShare)*LW$26,MIN(LW$26,MAX(0,EquityBudget-(LV$28))))</f>
        <v/>
      </c>
      <c r="LX27" s="18">
        <f>IF(FundingOrderPari=1,(1-DebtShare)*LX$26,MIN(LX$26,MAX(0,EquityBudget-(LW$28))))</f>
        <v/>
      </c>
      <c r="LY27" s="18">
        <f>IF(FundingOrderPari=1,(1-DebtShare)*LY$26,MIN(LY$26,MAX(0,EquityBudget-(LX$28))))</f>
        <v/>
      </c>
      <c r="LZ27" s="18">
        <f>IF(FundingOrderPari=1,(1-DebtShare)*LZ$26,MIN(LZ$26,MAX(0,EquityBudget-(LY$28))))</f>
        <v/>
      </c>
      <c r="MA27" s="18">
        <f>IF(FundingOrderPari=1,(1-DebtShare)*MA$26,MIN(MA$26,MAX(0,EquityBudget-(LZ$28))))</f>
        <v/>
      </c>
      <c r="MB27" s="18">
        <f>IF(FundingOrderPari=1,(1-DebtShare)*MB$26,MIN(MB$26,MAX(0,EquityBudget-(MA$28))))</f>
        <v/>
      </c>
      <c r="MC27" s="18">
        <f>IF(FundingOrderPari=1,(1-DebtShare)*MC$26,MIN(MC$26,MAX(0,EquityBudget-(MB$28))))</f>
        <v/>
      </c>
      <c r="MD27" s="18">
        <f>IF(FundingOrderPari=1,(1-DebtShare)*MD$26,MIN(MD$26,MAX(0,EquityBudget-(MC$28))))</f>
        <v/>
      </c>
      <c r="ME27" s="18">
        <f>IF(FundingOrderPari=1,(1-DebtShare)*ME$26,MIN(ME$26,MAX(0,EquityBudget-(MD$28))))</f>
        <v/>
      </c>
      <c r="MF27" s="18">
        <f>IF(FundingOrderPari=1,(1-DebtShare)*MF$26,MIN(MF$26,MAX(0,EquityBudget-(ME$28))))</f>
        <v/>
      </c>
      <c r="MG27" s="18">
        <f>IF(FundingOrderPari=1,(1-DebtShare)*MG$26,MIN(MG$26,MAX(0,EquityBudget-(MF$28))))</f>
        <v/>
      </c>
      <c r="MH27" s="18">
        <f>IF(FundingOrderPari=1,(1-DebtShare)*MH$26,MIN(MH$26,MAX(0,EquityBudget-(MG$28))))</f>
        <v/>
      </c>
      <c r="MI27" s="18">
        <f>IF(FundingOrderPari=1,(1-DebtShare)*MI$26,MIN(MI$26,MAX(0,EquityBudget-(MH$28))))</f>
        <v/>
      </c>
      <c r="MJ27" s="18">
        <f>IF(FundingOrderPari=1,(1-DebtShare)*MJ$26,MIN(MJ$26,MAX(0,EquityBudget-(MI$28))))</f>
        <v/>
      </c>
      <c r="MK27" s="18">
        <f>IF(FundingOrderPari=1,(1-DebtShare)*MK$26,MIN(MK$26,MAX(0,EquityBudget-(MJ$28))))</f>
        <v/>
      </c>
      <c r="ML27" s="18">
        <f>IF(FundingOrderPari=1,(1-DebtShare)*ML$26,MIN(ML$26,MAX(0,EquityBudget-(MK$28))))</f>
        <v/>
      </c>
      <c r="MM27" s="18">
        <f>IF(FundingOrderPari=1,(1-DebtShare)*MM$26,MIN(MM$26,MAX(0,EquityBudget-(ML$28))))</f>
        <v/>
      </c>
      <c r="MN27" s="18">
        <f>IF(FundingOrderPari=1,(1-DebtShare)*MN$26,MIN(MN$26,MAX(0,EquityBudget-(MM$28))))</f>
        <v/>
      </c>
      <c r="MO27" s="18">
        <f>IF(FundingOrderPari=1,(1-DebtShare)*MO$26,MIN(MO$26,MAX(0,EquityBudget-(MN$28))))</f>
        <v/>
      </c>
      <c r="MP27" s="18">
        <f>IF(FundingOrderPari=1,(1-DebtShare)*MP$26,MIN(MP$26,MAX(0,EquityBudget-(MO$28))))</f>
        <v/>
      </c>
      <c r="MQ27" s="18">
        <f>IF(FundingOrderPari=1,(1-DebtShare)*MQ$26,MIN(MQ$26,MAX(0,EquityBudget-(MP$28))))</f>
        <v/>
      </c>
      <c r="MR27" s="18">
        <f>IF(FundingOrderPari=1,(1-DebtShare)*MR$26,MIN(MR$26,MAX(0,EquityBudget-(MQ$28))))</f>
        <v/>
      </c>
      <c r="MS27" s="18">
        <f>IF(FundingOrderPari=1,(1-DebtShare)*MS$26,MIN(MS$26,MAX(0,EquityBudget-(MR$28))))</f>
        <v/>
      </c>
      <c r="MT27" s="18">
        <f>IF(FundingOrderPari=1,(1-DebtShare)*MT$26,MIN(MT$26,MAX(0,EquityBudget-(MS$28))))</f>
        <v/>
      </c>
      <c r="MU27" s="18">
        <f>IF(FundingOrderPari=1,(1-DebtShare)*MU$26,MIN(MU$26,MAX(0,EquityBudget-(MT$28))))</f>
        <v/>
      </c>
      <c r="MV27" s="18">
        <f>IF(FundingOrderPari=1,(1-DebtShare)*MV$26,MIN(MV$26,MAX(0,EquityBudget-(MU$28))))</f>
        <v/>
      </c>
      <c r="MW27" s="18">
        <f>IF(FundingOrderPari=1,(1-DebtShare)*MW$26,MIN(MW$26,MAX(0,EquityBudget-(MV$28))))</f>
        <v/>
      </c>
      <c r="MX27" s="18">
        <f>IF(FundingOrderPari=1,(1-DebtShare)*MX$26,MIN(MX$26,MAX(0,EquityBudget-(MW$28))))</f>
        <v/>
      </c>
      <c r="MY27" s="18">
        <f>IF(FundingOrderPari=1,(1-DebtShare)*MY$26,MIN(MY$26,MAX(0,EquityBudget-(MX$28))))</f>
        <v/>
      </c>
      <c r="MZ27" s="18">
        <f>IF(FundingOrderPari=1,(1-DebtShare)*MZ$26,MIN(MZ$26,MAX(0,EquityBudget-(MY$28))))</f>
        <v/>
      </c>
      <c r="NA27" s="18">
        <f>IF(FundingOrderPari=1,(1-DebtShare)*NA$26,MIN(NA$26,MAX(0,EquityBudget-(MZ$28))))</f>
        <v/>
      </c>
      <c r="NB27" s="18">
        <f>IF(FundingOrderPari=1,(1-DebtShare)*NB$26,MIN(NB$26,MAX(0,EquityBudget-(NA$28))))</f>
        <v/>
      </c>
      <c r="NC27" s="18">
        <f>IF(FundingOrderPari=1,(1-DebtShare)*NC$26,MIN(NC$26,MAX(0,EquityBudget-(NB$28))))</f>
        <v/>
      </c>
      <c r="ND27" s="18">
        <f>IF(FundingOrderPari=1,(1-DebtShare)*ND$26,MIN(ND$26,MAX(0,EquityBudget-(NC$28))))</f>
        <v/>
      </c>
      <c r="NE27" s="18">
        <f>IF(FundingOrderPari=1,(1-DebtShare)*NE$26,MIN(NE$26,MAX(0,EquityBudget-(ND$28))))</f>
        <v/>
      </c>
      <c r="NF27" s="18">
        <f>IF(FundingOrderPari=1,(1-DebtShare)*NF$26,MIN(NF$26,MAX(0,EquityBudget-(NE$28))))</f>
        <v/>
      </c>
      <c r="NG27" s="18">
        <f>IF(FundingOrderPari=1,(1-DebtShare)*NG$26,MIN(NG$26,MAX(0,EquityBudget-(NF$28))))</f>
        <v/>
      </c>
      <c r="NH27" s="18">
        <f>IF(FundingOrderPari=1,(1-DebtShare)*NH$26,MIN(NH$26,MAX(0,EquityBudget-(NG$28))))</f>
        <v/>
      </c>
      <c r="NI27" s="18">
        <f>IF(FundingOrderPari=1,(1-DebtShare)*NI$26,MIN(NI$26,MAX(0,EquityBudget-(NH$28))))</f>
        <v/>
      </c>
      <c r="NJ27" s="18">
        <f>IF(FundingOrderPari=1,(1-DebtShare)*NJ$26,MIN(NJ$26,MAX(0,EquityBudget-(NI$28))))</f>
        <v/>
      </c>
      <c r="NK27" s="18">
        <f>IF(FundingOrderPari=1,(1-DebtShare)*NK$26,MIN(NK$26,MAX(0,EquityBudget-(NJ$28))))</f>
        <v/>
      </c>
    </row>
    <row r="28">
      <c r="A28" s="5" t="inlineStr">
        <is>
          <t>Cumulative Equity</t>
        </is>
      </c>
      <c r="C28" s="43" t="n"/>
      <c r="D28" s="18">
        <f>0+D$27</f>
        <v/>
      </c>
      <c r="E28" s="18">
        <f>D$28+E$27</f>
        <v/>
      </c>
      <c r="F28" s="18">
        <f>E$28+F$27</f>
        <v/>
      </c>
      <c r="G28" s="18">
        <f>F$28+G$27</f>
        <v/>
      </c>
      <c r="H28" s="18">
        <f>G$28+H$27</f>
        <v/>
      </c>
      <c r="I28" s="18">
        <f>H$28+I$27</f>
        <v/>
      </c>
      <c r="J28" s="18">
        <f>I$28+J$27</f>
        <v/>
      </c>
      <c r="K28" s="18">
        <f>J$28+K$27</f>
        <v/>
      </c>
      <c r="L28" s="18">
        <f>K$28+L$27</f>
        <v/>
      </c>
      <c r="M28" s="18">
        <f>L$28+M$27</f>
        <v/>
      </c>
      <c r="N28" s="18">
        <f>M$28+N$27</f>
        <v/>
      </c>
      <c r="O28" s="18">
        <f>N$28+O$27</f>
        <v/>
      </c>
      <c r="P28" s="18">
        <f>O$28+P$27</f>
        <v/>
      </c>
      <c r="Q28" s="18">
        <f>P$28+Q$27</f>
        <v/>
      </c>
      <c r="R28" s="18">
        <f>Q$28+R$27</f>
        <v/>
      </c>
      <c r="S28" s="18">
        <f>R$28+S$27</f>
        <v/>
      </c>
      <c r="T28" s="18">
        <f>S$28+T$27</f>
        <v/>
      </c>
      <c r="U28" s="18">
        <f>T$28+U$27</f>
        <v/>
      </c>
      <c r="V28" s="18">
        <f>U$28+V$27</f>
        <v/>
      </c>
      <c r="W28" s="18">
        <f>V$28+W$27</f>
        <v/>
      </c>
      <c r="X28" s="18">
        <f>W$28+X$27</f>
        <v/>
      </c>
      <c r="Y28" s="18">
        <f>X$28+Y$27</f>
        <v/>
      </c>
      <c r="Z28" s="18">
        <f>Y$28+Z$27</f>
        <v/>
      </c>
      <c r="AA28" s="18">
        <f>Z$28+AA$27</f>
        <v/>
      </c>
      <c r="AB28" s="18">
        <f>AA$28+AB$27</f>
        <v/>
      </c>
      <c r="AC28" s="18">
        <f>AB$28+AC$27</f>
        <v/>
      </c>
      <c r="AD28" s="18">
        <f>AC$28+AD$27</f>
        <v/>
      </c>
      <c r="AE28" s="18">
        <f>AD$28+AE$27</f>
        <v/>
      </c>
      <c r="AF28" s="18">
        <f>AE$28+AF$27</f>
        <v/>
      </c>
      <c r="AG28" s="18">
        <f>AF$28+AG$27</f>
        <v/>
      </c>
      <c r="AH28" s="18">
        <f>AG$28+AH$27</f>
        <v/>
      </c>
      <c r="AI28" s="18">
        <f>AH$28+AI$27</f>
        <v/>
      </c>
      <c r="AJ28" s="18">
        <f>AI$28+AJ$27</f>
        <v/>
      </c>
      <c r="AK28" s="18">
        <f>AJ$28+AK$27</f>
        <v/>
      </c>
      <c r="AL28" s="18">
        <f>AK$28+AL$27</f>
        <v/>
      </c>
      <c r="AM28" s="18">
        <f>AL$28+AM$27</f>
        <v/>
      </c>
      <c r="AN28" s="18">
        <f>AM$28+AN$27</f>
        <v/>
      </c>
      <c r="AO28" s="18">
        <f>AN$28+AO$27</f>
        <v/>
      </c>
      <c r="AP28" s="18">
        <f>AO$28+AP$27</f>
        <v/>
      </c>
      <c r="AQ28" s="18">
        <f>AP$28+AQ$27</f>
        <v/>
      </c>
      <c r="AR28" s="18">
        <f>AQ$28+AR$27</f>
        <v/>
      </c>
      <c r="AS28" s="18">
        <f>AR$28+AS$27</f>
        <v/>
      </c>
      <c r="AT28" s="18">
        <f>AS$28+AT$27</f>
        <v/>
      </c>
      <c r="AU28" s="18">
        <f>AT$28+AU$27</f>
        <v/>
      </c>
      <c r="AV28" s="18">
        <f>AU$28+AV$27</f>
        <v/>
      </c>
      <c r="AW28" s="18">
        <f>AV$28+AW$27</f>
        <v/>
      </c>
      <c r="AX28" s="18">
        <f>AW$28+AX$27</f>
        <v/>
      </c>
      <c r="AY28" s="18">
        <f>AX$28+AY$27</f>
        <v/>
      </c>
      <c r="AZ28" s="18">
        <f>AY$28+AZ$27</f>
        <v/>
      </c>
      <c r="BA28" s="18">
        <f>AZ$28+BA$27</f>
        <v/>
      </c>
      <c r="BB28" s="18">
        <f>BA$28+BB$27</f>
        <v/>
      </c>
      <c r="BC28" s="18">
        <f>BB$28+BC$27</f>
        <v/>
      </c>
      <c r="BD28" s="18">
        <f>BC$28+BD$27</f>
        <v/>
      </c>
      <c r="BE28" s="18">
        <f>BD$28+BE$27</f>
        <v/>
      </c>
      <c r="BF28" s="18">
        <f>BE$28+BF$27</f>
        <v/>
      </c>
      <c r="BG28" s="18">
        <f>BF$28+BG$27</f>
        <v/>
      </c>
      <c r="BH28" s="18">
        <f>BG$28+BH$27</f>
        <v/>
      </c>
      <c r="BI28" s="18">
        <f>BH$28+BI$27</f>
        <v/>
      </c>
      <c r="BJ28" s="18">
        <f>BI$28+BJ$27</f>
        <v/>
      </c>
      <c r="BK28" s="18">
        <f>BJ$28+BK$27</f>
        <v/>
      </c>
      <c r="BL28" s="18">
        <f>BK$28+BL$27</f>
        <v/>
      </c>
      <c r="BM28" s="18">
        <f>BL$28+BM$27</f>
        <v/>
      </c>
      <c r="BN28" s="18">
        <f>BM$28+BN$27</f>
        <v/>
      </c>
      <c r="BO28" s="18">
        <f>BN$28+BO$27</f>
        <v/>
      </c>
      <c r="BP28" s="18">
        <f>BO$28+BP$27</f>
        <v/>
      </c>
      <c r="BQ28" s="18">
        <f>BP$28+BQ$27</f>
        <v/>
      </c>
      <c r="BR28" s="18">
        <f>BQ$28+BR$27</f>
        <v/>
      </c>
      <c r="BS28" s="18">
        <f>BR$28+BS$27</f>
        <v/>
      </c>
      <c r="BT28" s="18">
        <f>BS$28+BT$27</f>
        <v/>
      </c>
      <c r="BU28" s="18">
        <f>BT$28+BU$27</f>
        <v/>
      </c>
      <c r="BV28" s="18">
        <f>BU$28+BV$27</f>
        <v/>
      </c>
      <c r="BW28" s="18">
        <f>BV$28+BW$27</f>
        <v/>
      </c>
      <c r="BX28" s="18">
        <f>BW$28+BX$27</f>
        <v/>
      </c>
      <c r="BY28" s="18">
        <f>BX$28+BY$27</f>
        <v/>
      </c>
      <c r="BZ28" s="18">
        <f>BY$28+BZ$27</f>
        <v/>
      </c>
      <c r="CA28" s="18">
        <f>BZ$28+CA$27</f>
        <v/>
      </c>
      <c r="CB28" s="18">
        <f>CA$28+CB$27</f>
        <v/>
      </c>
      <c r="CC28" s="18">
        <f>CB$28+CC$27</f>
        <v/>
      </c>
      <c r="CD28" s="18">
        <f>CC$28+CD$27</f>
        <v/>
      </c>
      <c r="CE28" s="18">
        <f>CD$28+CE$27</f>
        <v/>
      </c>
      <c r="CF28" s="18">
        <f>CE$28+CF$27</f>
        <v/>
      </c>
      <c r="CG28" s="18">
        <f>CF$28+CG$27</f>
        <v/>
      </c>
      <c r="CH28" s="18">
        <f>CG$28+CH$27</f>
        <v/>
      </c>
      <c r="CI28" s="18">
        <f>CH$28+CI$27</f>
        <v/>
      </c>
      <c r="CJ28" s="18">
        <f>CI$28+CJ$27</f>
        <v/>
      </c>
      <c r="CK28" s="18">
        <f>CJ$28+CK$27</f>
        <v/>
      </c>
      <c r="CL28" s="18">
        <f>CK$28+CL$27</f>
        <v/>
      </c>
      <c r="CM28" s="18">
        <f>CL$28+CM$27</f>
        <v/>
      </c>
      <c r="CN28" s="18">
        <f>CM$28+CN$27</f>
        <v/>
      </c>
      <c r="CO28" s="18">
        <f>CN$28+CO$27</f>
        <v/>
      </c>
      <c r="CP28" s="18">
        <f>CO$28+CP$27</f>
        <v/>
      </c>
      <c r="CQ28" s="18">
        <f>CP$28+CQ$27</f>
        <v/>
      </c>
      <c r="CR28" s="18">
        <f>CQ$28+CR$27</f>
        <v/>
      </c>
      <c r="CS28" s="18">
        <f>CR$28+CS$27</f>
        <v/>
      </c>
      <c r="CT28" s="18">
        <f>CS$28+CT$27</f>
        <v/>
      </c>
      <c r="CU28" s="18">
        <f>CT$28+CU$27</f>
        <v/>
      </c>
      <c r="CV28" s="18">
        <f>CU$28+CV$27</f>
        <v/>
      </c>
      <c r="CW28" s="18">
        <f>CV$28+CW$27</f>
        <v/>
      </c>
      <c r="CX28" s="18">
        <f>CW$28+CX$27</f>
        <v/>
      </c>
      <c r="CY28" s="18">
        <f>CX$28+CY$27</f>
        <v/>
      </c>
      <c r="CZ28" s="18">
        <f>CY$28+CZ$27</f>
        <v/>
      </c>
      <c r="DA28" s="18">
        <f>CZ$28+DA$27</f>
        <v/>
      </c>
      <c r="DB28" s="18">
        <f>DA$28+DB$27</f>
        <v/>
      </c>
      <c r="DC28" s="18">
        <f>DB$28+DC$27</f>
        <v/>
      </c>
      <c r="DD28" s="18">
        <f>DC$28+DD$27</f>
        <v/>
      </c>
      <c r="DE28" s="18">
        <f>DD$28+DE$27</f>
        <v/>
      </c>
      <c r="DF28" s="18">
        <f>DE$28+DF$27</f>
        <v/>
      </c>
      <c r="DG28" s="18">
        <f>DF$28+DG$27</f>
        <v/>
      </c>
      <c r="DH28" s="18">
        <f>DG$28+DH$27</f>
        <v/>
      </c>
      <c r="DI28" s="18">
        <f>DH$28+DI$27</f>
        <v/>
      </c>
      <c r="DJ28" s="18">
        <f>DI$28+DJ$27</f>
        <v/>
      </c>
      <c r="DK28" s="18">
        <f>DJ$28+DK$27</f>
        <v/>
      </c>
      <c r="DL28" s="18">
        <f>DK$28+DL$27</f>
        <v/>
      </c>
      <c r="DM28" s="18">
        <f>DL$28+DM$27</f>
        <v/>
      </c>
      <c r="DN28" s="18">
        <f>DM$28+DN$27</f>
        <v/>
      </c>
      <c r="DO28" s="18">
        <f>DN$28+DO$27</f>
        <v/>
      </c>
      <c r="DP28" s="18">
        <f>DO$28+DP$27</f>
        <v/>
      </c>
      <c r="DQ28" s="18">
        <f>DP$28+DQ$27</f>
        <v/>
      </c>
      <c r="DR28" s="18">
        <f>DQ$28+DR$27</f>
        <v/>
      </c>
      <c r="DS28" s="18">
        <f>DR$28+DS$27</f>
        <v/>
      </c>
      <c r="DT28" s="18">
        <f>DS$28+DT$27</f>
        <v/>
      </c>
      <c r="DU28" s="18">
        <f>DT$28+DU$27</f>
        <v/>
      </c>
      <c r="DV28" s="18">
        <f>DU$28+DV$27</f>
        <v/>
      </c>
      <c r="DW28" s="18">
        <f>DV$28+DW$27</f>
        <v/>
      </c>
      <c r="DX28" s="18">
        <f>DW$28+DX$27</f>
        <v/>
      </c>
      <c r="DY28" s="18">
        <f>DX$28+DY$27</f>
        <v/>
      </c>
      <c r="DZ28" s="18">
        <f>DY$28+DZ$27</f>
        <v/>
      </c>
      <c r="EA28" s="18">
        <f>DZ$28+EA$27</f>
        <v/>
      </c>
      <c r="EB28" s="18">
        <f>EA$28+EB$27</f>
        <v/>
      </c>
      <c r="EC28" s="18">
        <f>EB$28+EC$27</f>
        <v/>
      </c>
      <c r="ED28" s="18">
        <f>EC$28+ED$27</f>
        <v/>
      </c>
      <c r="EE28" s="18">
        <f>ED$28+EE$27</f>
        <v/>
      </c>
      <c r="EF28" s="18">
        <f>EE$28+EF$27</f>
        <v/>
      </c>
      <c r="EG28" s="18">
        <f>EF$28+EG$27</f>
        <v/>
      </c>
      <c r="EH28" s="18">
        <f>EG$28+EH$27</f>
        <v/>
      </c>
      <c r="EI28" s="18">
        <f>EH$28+EI$27</f>
        <v/>
      </c>
      <c r="EJ28" s="18">
        <f>EI$28+EJ$27</f>
        <v/>
      </c>
      <c r="EK28" s="18">
        <f>EJ$28+EK$27</f>
        <v/>
      </c>
      <c r="EL28" s="18">
        <f>EK$28+EL$27</f>
        <v/>
      </c>
      <c r="EM28" s="18">
        <f>EL$28+EM$27</f>
        <v/>
      </c>
      <c r="EN28" s="18">
        <f>EM$28+EN$27</f>
        <v/>
      </c>
      <c r="EO28" s="18">
        <f>EN$28+EO$27</f>
        <v/>
      </c>
      <c r="EP28" s="18">
        <f>EO$28+EP$27</f>
        <v/>
      </c>
      <c r="EQ28" s="18">
        <f>EP$28+EQ$27</f>
        <v/>
      </c>
      <c r="ER28" s="18">
        <f>EQ$28+ER$27</f>
        <v/>
      </c>
      <c r="ES28" s="18">
        <f>ER$28+ES$27</f>
        <v/>
      </c>
      <c r="ET28" s="18">
        <f>ES$28+ET$27</f>
        <v/>
      </c>
      <c r="EU28" s="18">
        <f>ET$28+EU$27</f>
        <v/>
      </c>
      <c r="EV28" s="18">
        <f>EU$28+EV$27</f>
        <v/>
      </c>
      <c r="EW28" s="18">
        <f>EV$28+EW$27</f>
        <v/>
      </c>
      <c r="EX28" s="18">
        <f>EW$28+EX$27</f>
        <v/>
      </c>
      <c r="EY28" s="18">
        <f>EX$28+EY$27</f>
        <v/>
      </c>
      <c r="EZ28" s="18">
        <f>EY$28+EZ$27</f>
        <v/>
      </c>
      <c r="FA28" s="18">
        <f>EZ$28+FA$27</f>
        <v/>
      </c>
      <c r="FB28" s="18">
        <f>FA$28+FB$27</f>
        <v/>
      </c>
      <c r="FC28" s="18">
        <f>FB$28+FC$27</f>
        <v/>
      </c>
      <c r="FD28" s="18">
        <f>FC$28+FD$27</f>
        <v/>
      </c>
      <c r="FE28" s="18">
        <f>FD$28+FE$27</f>
        <v/>
      </c>
      <c r="FF28" s="18">
        <f>FE$28+FF$27</f>
        <v/>
      </c>
      <c r="FG28" s="18">
        <f>FF$28+FG$27</f>
        <v/>
      </c>
      <c r="FH28" s="18">
        <f>FG$28+FH$27</f>
        <v/>
      </c>
      <c r="FI28" s="18">
        <f>FH$28+FI$27</f>
        <v/>
      </c>
      <c r="FJ28" s="18">
        <f>FI$28+FJ$27</f>
        <v/>
      </c>
      <c r="FK28" s="18">
        <f>FJ$28+FK$27</f>
        <v/>
      </c>
      <c r="FL28" s="18">
        <f>FK$28+FL$27</f>
        <v/>
      </c>
      <c r="FM28" s="18">
        <f>FL$28+FM$27</f>
        <v/>
      </c>
      <c r="FN28" s="18">
        <f>FM$28+FN$27</f>
        <v/>
      </c>
      <c r="FO28" s="18">
        <f>FN$28+FO$27</f>
        <v/>
      </c>
      <c r="FP28" s="18">
        <f>FO$28+FP$27</f>
        <v/>
      </c>
      <c r="FQ28" s="18">
        <f>FP$28+FQ$27</f>
        <v/>
      </c>
      <c r="FR28" s="18">
        <f>FQ$28+FR$27</f>
        <v/>
      </c>
      <c r="FS28" s="18">
        <f>FR$28+FS$27</f>
        <v/>
      </c>
      <c r="FT28" s="18">
        <f>FS$28+FT$27</f>
        <v/>
      </c>
      <c r="FU28" s="18">
        <f>FT$28+FU$27</f>
        <v/>
      </c>
      <c r="FV28" s="18">
        <f>FU$28+FV$27</f>
        <v/>
      </c>
      <c r="FW28" s="18">
        <f>FV$28+FW$27</f>
        <v/>
      </c>
      <c r="FX28" s="18">
        <f>FW$28+FX$27</f>
        <v/>
      </c>
      <c r="FY28" s="18">
        <f>FX$28+FY$27</f>
        <v/>
      </c>
      <c r="FZ28" s="18">
        <f>FY$28+FZ$27</f>
        <v/>
      </c>
      <c r="GA28" s="18">
        <f>FZ$28+GA$27</f>
        <v/>
      </c>
      <c r="GB28" s="18">
        <f>GA$28+GB$27</f>
        <v/>
      </c>
      <c r="GC28" s="18">
        <f>GB$28+GC$27</f>
        <v/>
      </c>
      <c r="GD28" s="18">
        <f>GC$28+GD$27</f>
        <v/>
      </c>
      <c r="GE28" s="18">
        <f>GD$28+GE$27</f>
        <v/>
      </c>
      <c r="GF28" s="18">
        <f>GE$28+GF$27</f>
        <v/>
      </c>
      <c r="GG28" s="18">
        <f>GF$28+GG$27</f>
        <v/>
      </c>
      <c r="GH28" s="18">
        <f>GG$28+GH$27</f>
        <v/>
      </c>
      <c r="GI28" s="18">
        <f>GH$28+GI$27</f>
        <v/>
      </c>
      <c r="GJ28" s="18">
        <f>GI$28+GJ$27</f>
        <v/>
      </c>
      <c r="GK28" s="18">
        <f>GJ$28+GK$27</f>
        <v/>
      </c>
      <c r="GL28" s="18">
        <f>GK$28+GL$27</f>
        <v/>
      </c>
      <c r="GM28" s="18">
        <f>GL$28+GM$27</f>
        <v/>
      </c>
      <c r="GN28" s="18">
        <f>GM$28+GN$27</f>
        <v/>
      </c>
      <c r="GO28" s="18">
        <f>GN$28+GO$27</f>
        <v/>
      </c>
      <c r="GP28" s="18">
        <f>GO$28+GP$27</f>
        <v/>
      </c>
      <c r="GQ28" s="18">
        <f>GP$28+GQ$27</f>
        <v/>
      </c>
      <c r="GR28" s="18">
        <f>GQ$28+GR$27</f>
        <v/>
      </c>
      <c r="GS28" s="18">
        <f>GR$28+GS$27</f>
        <v/>
      </c>
      <c r="GT28" s="18">
        <f>GS$28+GT$27</f>
        <v/>
      </c>
      <c r="GU28" s="18">
        <f>GT$28+GU$27</f>
        <v/>
      </c>
      <c r="GV28" s="18">
        <f>GU$28+GV$27</f>
        <v/>
      </c>
      <c r="GW28" s="18">
        <f>GV$28+GW$27</f>
        <v/>
      </c>
      <c r="GX28" s="18">
        <f>GW$28+GX$27</f>
        <v/>
      </c>
      <c r="GY28" s="18">
        <f>GX$28+GY$27</f>
        <v/>
      </c>
      <c r="GZ28" s="18">
        <f>GY$28+GZ$27</f>
        <v/>
      </c>
      <c r="HA28" s="18">
        <f>GZ$28+HA$27</f>
        <v/>
      </c>
      <c r="HB28" s="18">
        <f>HA$28+HB$27</f>
        <v/>
      </c>
      <c r="HC28" s="18">
        <f>HB$28+HC$27</f>
        <v/>
      </c>
      <c r="HD28" s="18">
        <f>HC$28+HD$27</f>
        <v/>
      </c>
      <c r="HE28" s="18">
        <f>HD$28+HE$27</f>
        <v/>
      </c>
      <c r="HF28" s="18">
        <f>HE$28+HF$27</f>
        <v/>
      </c>
      <c r="HG28" s="18">
        <f>HF$28+HG$27</f>
        <v/>
      </c>
      <c r="HH28" s="18">
        <f>HG$28+HH$27</f>
        <v/>
      </c>
      <c r="HI28" s="18">
        <f>HH$28+HI$27</f>
        <v/>
      </c>
      <c r="HJ28" s="18">
        <f>HI$28+HJ$27</f>
        <v/>
      </c>
      <c r="HK28" s="18">
        <f>HJ$28+HK$27</f>
        <v/>
      </c>
      <c r="HL28" s="18">
        <f>HK$28+HL$27</f>
        <v/>
      </c>
      <c r="HM28" s="18">
        <f>HL$28+HM$27</f>
        <v/>
      </c>
      <c r="HN28" s="18">
        <f>HM$28+HN$27</f>
        <v/>
      </c>
      <c r="HO28" s="18">
        <f>HN$28+HO$27</f>
        <v/>
      </c>
      <c r="HP28" s="18">
        <f>HO$28+HP$27</f>
        <v/>
      </c>
      <c r="HQ28" s="18">
        <f>HP$28+HQ$27</f>
        <v/>
      </c>
      <c r="HR28" s="18">
        <f>HQ$28+HR$27</f>
        <v/>
      </c>
      <c r="HS28" s="18">
        <f>HR$28+HS$27</f>
        <v/>
      </c>
      <c r="HT28" s="18">
        <f>HS$28+HT$27</f>
        <v/>
      </c>
      <c r="HU28" s="18">
        <f>HT$28+HU$27</f>
        <v/>
      </c>
      <c r="HV28" s="18">
        <f>HU$28+HV$27</f>
        <v/>
      </c>
      <c r="HW28" s="18">
        <f>HV$28+HW$27</f>
        <v/>
      </c>
      <c r="HX28" s="18">
        <f>HW$28+HX$27</f>
        <v/>
      </c>
      <c r="HY28" s="18">
        <f>HX$28+HY$27</f>
        <v/>
      </c>
      <c r="HZ28" s="18">
        <f>HY$28+HZ$27</f>
        <v/>
      </c>
      <c r="IA28" s="18">
        <f>HZ$28+IA$27</f>
        <v/>
      </c>
      <c r="IB28" s="18">
        <f>IA$28+IB$27</f>
        <v/>
      </c>
      <c r="IC28" s="18">
        <f>IB$28+IC$27</f>
        <v/>
      </c>
      <c r="ID28" s="18">
        <f>IC$28+ID$27</f>
        <v/>
      </c>
      <c r="IE28" s="18">
        <f>ID$28+IE$27</f>
        <v/>
      </c>
      <c r="IF28" s="18">
        <f>IE$28+IF$27</f>
        <v/>
      </c>
      <c r="IG28" s="18">
        <f>IF$28+IG$27</f>
        <v/>
      </c>
      <c r="IH28" s="18">
        <f>IG$28+IH$27</f>
        <v/>
      </c>
      <c r="II28" s="18">
        <f>IH$28+II$27</f>
        <v/>
      </c>
      <c r="IJ28" s="18">
        <f>II$28+IJ$27</f>
        <v/>
      </c>
      <c r="IK28" s="18">
        <f>IJ$28+IK$27</f>
        <v/>
      </c>
      <c r="IL28" s="18">
        <f>IK$28+IL$27</f>
        <v/>
      </c>
      <c r="IM28" s="18">
        <f>IL$28+IM$27</f>
        <v/>
      </c>
      <c r="IN28" s="18">
        <f>IM$28+IN$27</f>
        <v/>
      </c>
      <c r="IO28" s="18">
        <f>IN$28+IO$27</f>
        <v/>
      </c>
      <c r="IP28" s="18">
        <f>IO$28+IP$27</f>
        <v/>
      </c>
      <c r="IQ28" s="18">
        <f>IP$28+IQ$27</f>
        <v/>
      </c>
      <c r="IR28" s="18">
        <f>IQ$28+IR$27</f>
        <v/>
      </c>
      <c r="IS28" s="18">
        <f>IR$28+IS$27</f>
        <v/>
      </c>
      <c r="IT28" s="18">
        <f>IS$28+IT$27</f>
        <v/>
      </c>
      <c r="IU28" s="18">
        <f>IT$28+IU$27</f>
        <v/>
      </c>
      <c r="IV28" s="18">
        <f>IU$28+IV$27</f>
        <v/>
      </c>
      <c r="IW28" s="18">
        <f>IV$28+IW$27</f>
        <v/>
      </c>
      <c r="IX28" s="18">
        <f>IW$28+IX$27</f>
        <v/>
      </c>
      <c r="IY28" s="18">
        <f>IX$28+IY$27</f>
        <v/>
      </c>
      <c r="IZ28" s="18">
        <f>IY$28+IZ$27</f>
        <v/>
      </c>
      <c r="JA28" s="18">
        <f>IZ$28+JA$27</f>
        <v/>
      </c>
      <c r="JB28" s="18">
        <f>JA$28+JB$27</f>
        <v/>
      </c>
      <c r="JC28" s="18">
        <f>JB$28+JC$27</f>
        <v/>
      </c>
      <c r="JD28" s="18">
        <f>JC$28+JD$27</f>
        <v/>
      </c>
      <c r="JE28" s="18">
        <f>JD$28+JE$27</f>
        <v/>
      </c>
      <c r="JF28" s="18">
        <f>JE$28+JF$27</f>
        <v/>
      </c>
      <c r="JG28" s="18">
        <f>JF$28+JG$27</f>
        <v/>
      </c>
      <c r="JH28" s="18">
        <f>JG$28+JH$27</f>
        <v/>
      </c>
      <c r="JI28" s="18">
        <f>JH$28+JI$27</f>
        <v/>
      </c>
      <c r="JJ28" s="18">
        <f>JI$28+JJ$27</f>
        <v/>
      </c>
      <c r="JK28" s="18">
        <f>JJ$28+JK$27</f>
        <v/>
      </c>
      <c r="JL28" s="18">
        <f>JK$28+JL$27</f>
        <v/>
      </c>
      <c r="JM28" s="18">
        <f>JL$28+JM$27</f>
        <v/>
      </c>
      <c r="JN28" s="18">
        <f>JM$28+JN$27</f>
        <v/>
      </c>
      <c r="JO28" s="18">
        <f>JN$28+JO$27</f>
        <v/>
      </c>
      <c r="JP28" s="18">
        <f>JO$28+JP$27</f>
        <v/>
      </c>
      <c r="JQ28" s="18">
        <f>JP$28+JQ$27</f>
        <v/>
      </c>
      <c r="JR28" s="18">
        <f>JQ$28+JR$27</f>
        <v/>
      </c>
      <c r="JS28" s="18">
        <f>JR$28+JS$27</f>
        <v/>
      </c>
      <c r="JT28" s="18">
        <f>JS$28+JT$27</f>
        <v/>
      </c>
      <c r="JU28" s="18">
        <f>JT$28+JU$27</f>
        <v/>
      </c>
      <c r="JV28" s="18">
        <f>JU$28+JV$27</f>
        <v/>
      </c>
      <c r="JW28" s="18">
        <f>JV$28+JW$27</f>
        <v/>
      </c>
      <c r="JX28" s="18">
        <f>JW$28+JX$27</f>
        <v/>
      </c>
      <c r="JY28" s="18">
        <f>JX$28+JY$27</f>
        <v/>
      </c>
      <c r="JZ28" s="18">
        <f>JY$28+JZ$27</f>
        <v/>
      </c>
      <c r="KA28" s="18">
        <f>JZ$28+KA$27</f>
        <v/>
      </c>
      <c r="KB28" s="18">
        <f>KA$28+KB$27</f>
        <v/>
      </c>
      <c r="KC28" s="18">
        <f>KB$28+KC$27</f>
        <v/>
      </c>
      <c r="KD28" s="18">
        <f>KC$28+KD$27</f>
        <v/>
      </c>
      <c r="KE28" s="18">
        <f>KD$28+KE$27</f>
        <v/>
      </c>
      <c r="KF28" s="18">
        <f>KE$28+KF$27</f>
        <v/>
      </c>
      <c r="KG28" s="18">
        <f>KF$28+KG$27</f>
        <v/>
      </c>
      <c r="KH28" s="18">
        <f>KG$28+KH$27</f>
        <v/>
      </c>
      <c r="KI28" s="18">
        <f>KH$28+KI$27</f>
        <v/>
      </c>
      <c r="KJ28" s="18">
        <f>KI$28+KJ$27</f>
        <v/>
      </c>
      <c r="KK28" s="18">
        <f>KJ$28+KK$27</f>
        <v/>
      </c>
      <c r="KL28" s="18">
        <f>KK$28+KL$27</f>
        <v/>
      </c>
      <c r="KM28" s="18">
        <f>KL$28+KM$27</f>
        <v/>
      </c>
      <c r="KN28" s="18">
        <f>KM$28+KN$27</f>
        <v/>
      </c>
      <c r="KO28" s="18">
        <f>KN$28+KO$27</f>
        <v/>
      </c>
      <c r="KP28" s="18">
        <f>KO$28+KP$27</f>
        <v/>
      </c>
      <c r="KQ28" s="18">
        <f>KP$28+KQ$27</f>
        <v/>
      </c>
      <c r="KR28" s="18">
        <f>KQ$28+KR$27</f>
        <v/>
      </c>
      <c r="KS28" s="18">
        <f>KR$28+KS$27</f>
        <v/>
      </c>
      <c r="KT28" s="18">
        <f>KS$28+KT$27</f>
        <v/>
      </c>
      <c r="KU28" s="18">
        <f>KT$28+KU$27</f>
        <v/>
      </c>
      <c r="KV28" s="18">
        <f>KU$28+KV$27</f>
        <v/>
      </c>
      <c r="KW28" s="18">
        <f>KV$28+KW$27</f>
        <v/>
      </c>
      <c r="KX28" s="18">
        <f>KW$28+KX$27</f>
        <v/>
      </c>
      <c r="KY28" s="18">
        <f>KX$28+KY$27</f>
        <v/>
      </c>
      <c r="KZ28" s="18">
        <f>KY$28+KZ$27</f>
        <v/>
      </c>
      <c r="LA28" s="18">
        <f>KZ$28+LA$27</f>
        <v/>
      </c>
      <c r="LB28" s="18">
        <f>LA$28+LB$27</f>
        <v/>
      </c>
      <c r="LC28" s="18">
        <f>LB$28+LC$27</f>
        <v/>
      </c>
      <c r="LD28" s="18">
        <f>LC$28+LD$27</f>
        <v/>
      </c>
      <c r="LE28" s="18">
        <f>LD$28+LE$27</f>
        <v/>
      </c>
      <c r="LF28" s="18">
        <f>LE$28+LF$27</f>
        <v/>
      </c>
      <c r="LG28" s="18">
        <f>LF$28+LG$27</f>
        <v/>
      </c>
      <c r="LH28" s="18">
        <f>LG$28+LH$27</f>
        <v/>
      </c>
      <c r="LI28" s="18">
        <f>LH$28+LI$27</f>
        <v/>
      </c>
      <c r="LJ28" s="18">
        <f>LI$28+LJ$27</f>
        <v/>
      </c>
      <c r="LK28" s="18">
        <f>LJ$28+LK$27</f>
        <v/>
      </c>
      <c r="LL28" s="18">
        <f>LK$28+LL$27</f>
        <v/>
      </c>
      <c r="LM28" s="18">
        <f>LL$28+LM$27</f>
        <v/>
      </c>
      <c r="LN28" s="18">
        <f>LM$28+LN$27</f>
        <v/>
      </c>
      <c r="LO28" s="18">
        <f>LN$28+LO$27</f>
        <v/>
      </c>
      <c r="LP28" s="18">
        <f>LO$28+LP$27</f>
        <v/>
      </c>
      <c r="LQ28" s="18">
        <f>LP$28+LQ$27</f>
        <v/>
      </c>
      <c r="LR28" s="18">
        <f>LQ$28+LR$27</f>
        <v/>
      </c>
      <c r="LS28" s="18">
        <f>LR$28+LS$27</f>
        <v/>
      </c>
      <c r="LT28" s="18">
        <f>LS$28+LT$27</f>
        <v/>
      </c>
      <c r="LU28" s="18">
        <f>LT$28+LU$27</f>
        <v/>
      </c>
      <c r="LV28" s="18">
        <f>LU$28+LV$27</f>
        <v/>
      </c>
      <c r="LW28" s="18">
        <f>LV$28+LW$27</f>
        <v/>
      </c>
      <c r="LX28" s="18">
        <f>LW$28+LX$27</f>
        <v/>
      </c>
      <c r="LY28" s="18">
        <f>LX$28+LY$27</f>
        <v/>
      </c>
      <c r="LZ28" s="18">
        <f>LY$28+LZ$27</f>
        <v/>
      </c>
      <c r="MA28" s="18">
        <f>LZ$28+MA$27</f>
        <v/>
      </c>
      <c r="MB28" s="18">
        <f>MA$28+MB$27</f>
        <v/>
      </c>
      <c r="MC28" s="18">
        <f>MB$28+MC$27</f>
        <v/>
      </c>
      <c r="MD28" s="18">
        <f>MC$28+MD$27</f>
        <v/>
      </c>
      <c r="ME28" s="18">
        <f>MD$28+ME$27</f>
        <v/>
      </c>
      <c r="MF28" s="18">
        <f>ME$28+MF$27</f>
        <v/>
      </c>
      <c r="MG28" s="18">
        <f>MF$28+MG$27</f>
        <v/>
      </c>
      <c r="MH28" s="18">
        <f>MG$28+MH$27</f>
        <v/>
      </c>
      <c r="MI28" s="18">
        <f>MH$28+MI$27</f>
        <v/>
      </c>
      <c r="MJ28" s="18">
        <f>MI$28+MJ$27</f>
        <v/>
      </c>
      <c r="MK28" s="18">
        <f>MJ$28+MK$27</f>
        <v/>
      </c>
      <c r="ML28" s="18">
        <f>MK$28+ML$27</f>
        <v/>
      </c>
      <c r="MM28" s="18">
        <f>ML$28+MM$27</f>
        <v/>
      </c>
      <c r="MN28" s="18">
        <f>MM$28+MN$27</f>
        <v/>
      </c>
      <c r="MO28" s="18">
        <f>MN$28+MO$27</f>
        <v/>
      </c>
      <c r="MP28" s="18">
        <f>MO$28+MP$27</f>
        <v/>
      </c>
      <c r="MQ28" s="18">
        <f>MP$28+MQ$27</f>
        <v/>
      </c>
      <c r="MR28" s="18">
        <f>MQ$28+MR$27</f>
        <v/>
      </c>
      <c r="MS28" s="18">
        <f>MR$28+MS$27</f>
        <v/>
      </c>
      <c r="MT28" s="18">
        <f>MS$28+MT$27</f>
        <v/>
      </c>
      <c r="MU28" s="18">
        <f>MT$28+MU$27</f>
        <v/>
      </c>
      <c r="MV28" s="18">
        <f>MU$28+MV$27</f>
        <v/>
      </c>
      <c r="MW28" s="18">
        <f>MV$28+MW$27</f>
        <v/>
      </c>
      <c r="MX28" s="18">
        <f>MW$28+MX$27</f>
        <v/>
      </c>
      <c r="MY28" s="18">
        <f>MX$28+MY$27</f>
        <v/>
      </c>
      <c r="MZ28" s="18">
        <f>MY$28+MZ$27</f>
        <v/>
      </c>
      <c r="NA28" s="18">
        <f>MZ$28+NA$27</f>
        <v/>
      </c>
      <c r="NB28" s="18">
        <f>NA$28+NB$27</f>
        <v/>
      </c>
      <c r="NC28" s="18">
        <f>NB$28+NC$27</f>
        <v/>
      </c>
      <c r="ND28" s="18">
        <f>NC$28+ND$27</f>
        <v/>
      </c>
      <c r="NE28" s="18">
        <f>ND$28+NE$27</f>
        <v/>
      </c>
      <c r="NF28" s="18">
        <f>NE$28+NF$27</f>
        <v/>
      </c>
      <c r="NG28" s="18">
        <f>NF$28+NG$27</f>
        <v/>
      </c>
      <c r="NH28" s="18">
        <f>NG$28+NH$27</f>
        <v/>
      </c>
      <c r="NI28" s="18">
        <f>NH$28+NI$27</f>
        <v/>
      </c>
      <c r="NJ28" s="18">
        <f>NI$28+NJ$27</f>
        <v/>
      </c>
      <c r="NK28" s="18">
        <f>NJ$28+NK$27</f>
        <v/>
      </c>
    </row>
    <row r="29">
      <c r="A29" s="5" t="inlineStr">
        <is>
          <t>Debt Draw</t>
        </is>
      </c>
      <c r="C29" s="41">
        <f>SUM(D29:NK29)</f>
        <v/>
      </c>
      <c r="D29" s="18">
        <f>D$26-D$27</f>
        <v/>
      </c>
      <c r="E29" s="18">
        <f>E$26-E$27</f>
        <v/>
      </c>
      <c r="F29" s="18">
        <f>F$26-F$27</f>
        <v/>
      </c>
      <c r="G29" s="18">
        <f>G$26-G$27</f>
        <v/>
      </c>
      <c r="H29" s="18">
        <f>H$26-H$27</f>
        <v/>
      </c>
      <c r="I29" s="18">
        <f>I$26-I$27</f>
        <v/>
      </c>
      <c r="J29" s="18">
        <f>J$26-J$27</f>
        <v/>
      </c>
      <c r="K29" s="18">
        <f>K$26-K$27</f>
        <v/>
      </c>
      <c r="L29" s="18">
        <f>L$26-L$27</f>
        <v/>
      </c>
      <c r="M29" s="18">
        <f>M$26-M$27</f>
        <v/>
      </c>
      <c r="N29" s="18">
        <f>N$26-N$27</f>
        <v/>
      </c>
      <c r="O29" s="18">
        <f>O$26-O$27</f>
        <v/>
      </c>
      <c r="P29" s="18">
        <f>P$26-P$27</f>
        <v/>
      </c>
      <c r="Q29" s="18">
        <f>Q$26-Q$27</f>
        <v/>
      </c>
      <c r="R29" s="18">
        <f>R$26-R$27</f>
        <v/>
      </c>
      <c r="S29" s="18">
        <f>S$26-S$27</f>
        <v/>
      </c>
      <c r="T29" s="18">
        <f>T$26-T$27</f>
        <v/>
      </c>
      <c r="U29" s="18">
        <f>U$26-U$27</f>
        <v/>
      </c>
      <c r="V29" s="18">
        <f>V$26-V$27</f>
        <v/>
      </c>
      <c r="W29" s="18">
        <f>W$26-W$27</f>
        <v/>
      </c>
      <c r="X29" s="18">
        <f>X$26-X$27</f>
        <v/>
      </c>
      <c r="Y29" s="18">
        <f>Y$26-Y$27</f>
        <v/>
      </c>
      <c r="Z29" s="18">
        <f>Z$26-Z$27</f>
        <v/>
      </c>
      <c r="AA29" s="18">
        <f>AA$26-AA$27</f>
        <v/>
      </c>
      <c r="AB29" s="18">
        <f>AB$26-AB$27</f>
        <v/>
      </c>
      <c r="AC29" s="18">
        <f>AC$26-AC$27</f>
        <v/>
      </c>
      <c r="AD29" s="18">
        <f>AD$26-AD$27</f>
        <v/>
      </c>
      <c r="AE29" s="18">
        <f>AE$26-AE$27</f>
        <v/>
      </c>
      <c r="AF29" s="18">
        <f>AF$26-AF$27</f>
        <v/>
      </c>
      <c r="AG29" s="18">
        <f>AG$26-AG$27</f>
        <v/>
      </c>
      <c r="AH29" s="18">
        <f>AH$26-AH$27</f>
        <v/>
      </c>
      <c r="AI29" s="18">
        <f>AI$26-AI$27</f>
        <v/>
      </c>
      <c r="AJ29" s="18">
        <f>AJ$26-AJ$27</f>
        <v/>
      </c>
      <c r="AK29" s="18">
        <f>AK$26-AK$27</f>
        <v/>
      </c>
      <c r="AL29" s="18">
        <f>AL$26-AL$27</f>
        <v/>
      </c>
      <c r="AM29" s="18">
        <f>AM$26-AM$27</f>
        <v/>
      </c>
      <c r="AN29" s="18">
        <f>AN$26-AN$27</f>
        <v/>
      </c>
      <c r="AO29" s="18">
        <f>AO$26-AO$27</f>
        <v/>
      </c>
      <c r="AP29" s="18">
        <f>AP$26-AP$27</f>
        <v/>
      </c>
      <c r="AQ29" s="18">
        <f>AQ$26-AQ$27</f>
        <v/>
      </c>
      <c r="AR29" s="18">
        <f>AR$26-AR$27</f>
        <v/>
      </c>
      <c r="AS29" s="18">
        <f>AS$26-AS$27</f>
        <v/>
      </c>
      <c r="AT29" s="18">
        <f>AT$26-AT$27</f>
        <v/>
      </c>
      <c r="AU29" s="18">
        <f>AU$26-AU$27</f>
        <v/>
      </c>
      <c r="AV29" s="18">
        <f>AV$26-AV$27</f>
        <v/>
      </c>
      <c r="AW29" s="18">
        <f>AW$26-AW$27</f>
        <v/>
      </c>
      <c r="AX29" s="18">
        <f>AX$26-AX$27</f>
        <v/>
      </c>
      <c r="AY29" s="18">
        <f>AY$26-AY$27</f>
        <v/>
      </c>
      <c r="AZ29" s="18">
        <f>AZ$26-AZ$27</f>
        <v/>
      </c>
      <c r="BA29" s="18">
        <f>BA$26-BA$27</f>
        <v/>
      </c>
      <c r="BB29" s="18">
        <f>BB$26-BB$27</f>
        <v/>
      </c>
      <c r="BC29" s="18">
        <f>BC$26-BC$27</f>
        <v/>
      </c>
      <c r="BD29" s="18">
        <f>BD$26-BD$27</f>
        <v/>
      </c>
      <c r="BE29" s="18">
        <f>BE$26-BE$27</f>
        <v/>
      </c>
      <c r="BF29" s="18">
        <f>BF$26-BF$27</f>
        <v/>
      </c>
      <c r="BG29" s="18">
        <f>BG$26-BG$27</f>
        <v/>
      </c>
      <c r="BH29" s="18">
        <f>BH$26-BH$27</f>
        <v/>
      </c>
      <c r="BI29" s="18">
        <f>BI$26-BI$27</f>
        <v/>
      </c>
      <c r="BJ29" s="18">
        <f>BJ$26-BJ$27</f>
        <v/>
      </c>
      <c r="BK29" s="18">
        <f>BK$26-BK$27</f>
        <v/>
      </c>
      <c r="BL29" s="18">
        <f>BL$26-BL$27</f>
        <v/>
      </c>
      <c r="BM29" s="18">
        <f>BM$26-BM$27</f>
        <v/>
      </c>
      <c r="BN29" s="18">
        <f>BN$26-BN$27</f>
        <v/>
      </c>
      <c r="BO29" s="18">
        <f>BO$26-BO$27</f>
        <v/>
      </c>
      <c r="BP29" s="18">
        <f>BP$26-BP$27</f>
        <v/>
      </c>
      <c r="BQ29" s="18">
        <f>BQ$26-BQ$27</f>
        <v/>
      </c>
      <c r="BR29" s="18">
        <f>BR$26-BR$27</f>
        <v/>
      </c>
      <c r="BS29" s="18">
        <f>BS$26-BS$27</f>
        <v/>
      </c>
      <c r="BT29" s="18">
        <f>BT$26-BT$27</f>
        <v/>
      </c>
      <c r="BU29" s="18">
        <f>BU$26-BU$27</f>
        <v/>
      </c>
      <c r="BV29" s="18">
        <f>BV$26-BV$27</f>
        <v/>
      </c>
      <c r="BW29" s="18">
        <f>BW$26-BW$27</f>
        <v/>
      </c>
      <c r="BX29" s="18">
        <f>BX$26-BX$27</f>
        <v/>
      </c>
      <c r="BY29" s="18">
        <f>BY$26-BY$27</f>
        <v/>
      </c>
      <c r="BZ29" s="18">
        <f>BZ$26-BZ$27</f>
        <v/>
      </c>
      <c r="CA29" s="18">
        <f>CA$26-CA$27</f>
        <v/>
      </c>
      <c r="CB29" s="18">
        <f>CB$26-CB$27</f>
        <v/>
      </c>
      <c r="CC29" s="18">
        <f>CC$26-CC$27</f>
        <v/>
      </c>
      <c r="CD29" s="18">
        <f>CD$26-CD$27</f>
        <v/>
      </c>
      <c r="CE29" s="18">
        <f>CE$26-CE$27</f>
        <v/>
      </c>
      <c r="CF29" s="18">
        <f>CF$26-CF$27</f>
        <v/>
      </c>
      <c r="CG29" s="18">
        <f>CG$26-CG$27</f>
        <v/>
      </c>
      <c r="CH29" s="18">
        <f>CH$26-CH$27</f>
        <v/>
      </c>
      <c r="CI29" s="18">
        <f>CI$26-CI$27</f>
        <v/>
      </c>
      <c r="CJ29" s="18">
        <f>CJ$26-CJ$27</f>
        <v/>
      </c>
      <c r="CK29" s="18">
        <f>CK$26-CK$27</f>
        <v/>
      </c>
      <c r="CL29" s="18">
        <f>CL$26-CL$27</f>
        <v/>
      </c>
      <c r="CM29" s="18">
        <f>CM$26-CM$27</f>
        <v/>
      </c>
      <c r="CN29" s="18">
        <f>CN$26-CN$27</f>
        <v/>
      </c>
      <c r="CO29" s="18">
        <f>CO$26-CO$27</f>
        <v/>
      </c>
      <c r="CP29" s="18">
        <f>CP$26-CP$27</f>
        <v/>
      </c>
      <c r="CQ29" s="18">
        <f>CQ$26-CQ$27</f>
        <v/>
      </c>
      <c r="CR29" s="18">
        <f>CR$26-CR$27</f>
        <v/>
      </c>
      <c r="CS29" s="18">
        <f>CS$26-CS$27</f>
        <v/>
      </c>
      <c r="CT29" s="18">
        <f>CT$26-CT$27</f>
        <v/>
      </c>
      <c r="CU29" s="18">
        <f>CU$26-CU$27</f>
        <v/>
      </c>
      <c r="CV29" s="18">
        <f>CV$26-CV$27</f>
        <v/>
      </c>
      <c r="CW29" s="18">
        <f>CW$26-CW$27</f>
        <v/>
      </c>
      <c r="CX29" s="18">
        <f>CX$26-CX$27</f>
        <v/>
      </c>
      <c r="CY29" s="18">
        <f>CY$26-CY$27</f>
        <v/>
      </c>
      <c r="CZ29" s="18">
        <f>CZ$26-CZ$27</f>
        <v/>
      </c>
      <c r="DA29" s="18">
        <f>DA$26-DA$27</f>
        <v/>
      </c>
      <c r="DB29" s="18">
        <f>DB$26-DB$27</f>
        <v/>
      </c>
      <c r="DC29" s="18">
        <f>DC$26-DC$27</f>
        <v/>
      </c>
      <c r="DD29" s="18">
        <f>DD$26-DD$27</f>
        <v/>
      </c>
      <c r="DE29" s="18">
        <f>DE$26-DE$27</f>
        <v/>
      </c>
      <c r="DF29" s="18">
        <f>DF$26-DF$27</f>
        <v/>
      </c>
      <c r="DG29" s="18">
        <f>DG$26-DG$27</f>
        <v/>
      </c>
      <c r="DH29" s="18">
        <f>DH$26-DH$27</f>
        <v/>
      </c>
      <c r="DI29" s="18">
        <f>DI$26-DI$27</f>
        <v/>
      </c>
      <c r="DJ29" s="18">
        <f>DJ$26-DJ$27</f>
        <v/>
      </c>
      <c r="DK29" s="18">
        <f>DK$26-DK$27</f>
        <v/>
      </c>
      <c r="DL29" s="18">
        <f>DL$26-DL$27</f>
        <v/>
      </c>
      <c r="DM29" s="18">
        <f>DM$26-DM$27</f>
        <v/>
      </c>
      <c r="DN29" s="18">
        <f>DN$26-DN$27</f>
        <v/>
      </c>
      <c r="DO29" s="18">
        <f>DO$26-DO$27</f>
        <v/>
      </c>
      <c r="DP29" s="18">
        <f>DP$26-DP$27</f>
        <v/>
      </c>
      <c r="DQ29" s="18">
        <f>DQ$26-DQ$27</f>
        <v/>
      </c>
      <c r="DR29" s="18">
        <f>DR$26-DR$27</f>
        <v/>
      </c>
      <c r="DS29" s="18">
        <f>DS$26-DS$27</f>
        <v/>
      </c>
      <c r="DT29" s="18">
        <f>DT$26-DT$27</f>
        <v/>
      </c>
      <c r="DU29" s="18">
        <f>DU$26-DU$27</f>
        <v/>
      </c>
      <c r="DV29" s="18">
        <f>DV$26-DV$27</f>
        <v/>
      </c>
      <c r="DW29" s="18">
        <f>DW$26-DW$27</f>
        <v/>
      </c>
      <c r="DX29" s="18">
        <f>DX$26-DX$27</f>
        <v/>
      </c>
      <c r="DY29" s="18">
        <f>DY$26-DY$27</f>
        <v/>
      </c>
      <c r="DZ29" s="18">
        <f>DZ$26-DZ$27</f>
        <v/>
      </c>
      <c r="EA29" s="18">
        <f>EA$26-EA$27</f>
        <v/>
      </c>
      <c r="EB29" s="18">
        <f>EB$26-EB$27</f>
        <v/>
      </c>
      <c r="EC29" s="18">
        <f>EC$26-EC$27</f>
        <v/>
      </c>
      <c r="ED29" s="18">
        <f>ED$26-ED$27</f>
        <v/>
      </c>
      <c r="EE29" s="18">
        <f>EE$26-EE$27</f>
        <v/>
      </c>
      <c r="EF29" s="18">
        <f>EF$26-EF$27</f>
        <v/>
      </c>
      <c r="EG29" s="18">
        <f>EG$26-EG$27</f>
        <v/>
      </c>
      <c r="EH29" s="18">
        <f>EH$26-EH$27</f>
        <v/>
      </c>
      <c r="EI29" s="18">
        <f>EI$26-EI$27</f>
        <v/>
      </c>
      <c r="EJ29" s="18">
        <f>EJ$26-EJ$27</f>
        <v/>
      </c>
      <c r="EK29" s="18">
        <f>EK$26-EK$27</f>
        <v/>
      </c>
      <c r="EL29" s="18">
        <f>EL$26-EL$27</f>
        <v/>
      </c>
      <c r="EM29" s="18">
        <f>EM$26-EM$27</f>
        <v/>
      </c>
      <c r="EN29" s="18">
        <f>EN$26-EN$27</f>
        <v/>
      </c>
      <c r="EO29" s="18">
        <f>EO$26-EO$27</f>
        <v/>
      </c>
      <c r="EP29" s="18">
        <f>EP$26-EP$27</f>
        <v/>
      </c>
      <c r="EQ29" s="18">
        <f>EQ$26-EQ$27</f>
        <v/>
      </c>
      <c r="ER29" s="18">
        <f>ER$26-ER$27</f>
        <v/>
      </c>
      <c r="ES29" s="18">
        <f>ES$26-ES$27</f>
        <v/>
      </c>
      <c r="ET29" s="18">
        <f>ET$26-ET$27</f>
        <v/>
      </c>
      <c r="EU29" s="18">
        <f>EU$26-EU$27</f>
        <v/>
      </c>
      <c r="EV29" s="18">
        <f>EV$26-EV$27</f>
        <v/>
      </c>
      <c r="EW29" s="18">
        <f>EW$26-EW$27</f>
        <v/>
      </c>
      <c r="EX29" s="18">
        <f>EX$26-EX$27</f>
        <v/>
      </c>
      <c r="EY29" s="18">
        <f>EY$26-EY$27</f>
        <v/>
      </c>
      <c r="EZ29" s="18">
        <f>EZ$26-EZ$27</f>
        <v/>
      </c>
      <c r="FA29" s="18">
        <f>FA$26-FA$27</f>
        <v/>
      </c>
      <c r="FB29" s="18">
        <f>FB$26-FB$27</f>
        <v/>
      </c>
      <c r="FC29" s="18">
        <f>FC$26-FC$27</f>
        <v/>
      </c>
      <c r="FD29" s="18">
        <f>FD$26-FD$27</f>
        <v/>
      </c>
      <c r="FE29" s="18">
        <f>FE$26-FE$27</f>
        <v/>
      </c>
      <c r="FF29" s="18">
        <f>FF$26-FF$27</f>
        <v/>
      </c>
      <c r="FG29" s="18">
        <f>FG$26-FG$27</f>
        <v/>
      </c>
      <c r="FH29" s="18">
        <f>FH$26-FH$27</f>
        <v/>
      </c>
      <c r="FI29" s="18">
        <f>FI$26-FI$27</f>
        <v/>
      </c>
      <c r="FJ29" s="18">
        <f>FJ$26-FJ$27</f>
        <v/>
      </c>
      <c r="FK29" s="18">
        <f>FK$26-FK$27</f>
        <v/>
      </c>
      <c r="FL29" s="18">
        <f>FL$26-FL$27</f>
        <v/>
      </c>
      <c r="FM29" s="18">
        <f>FM$26-FM$27</f>
        <v/>
      </c>
      <c r="FN29" s="18">
        <f>FN$26-FN$27</f>
        <v/>
      </c>
      <c r="FO29" s="18">
        <f>FO$26-FO$27</f>
        <v/>
      </c>
      <c r="FP29" s="18">
        <f>FP$26-FP$27</f>
        <v/>
      </c>
      <c r="FQ29" s="18">
        <f>FQ$26-FQ$27</f>
        <v/>
      </c>
      <c r="FR29" s="18">
        <f>FR$26-FR$27</f>
        <v/>
      </c>
      <c r="FS29" s="18">
        <f>FS$26-FS$27</f>
        <v/>
      </c>
      <c r="FT29" s="18">
        <f>FT$26-FT$27</f>
        <v/>
      </c>
      <c r="FU29" s="18">
        <f>FU$26-FU$27</f>
        <v/>
      </c>
      <c r="FV29" s="18">
        <f>FV$26-FV$27</f>
        <v/>
      </c>
      <c r="FW29" s="18">
        <f>FW$26-FW$27</f>
        <v/>
      </c>
      <c r="FX29" s="18">
        <f>FX$26-FX$27</f>
        <v/>
      </c>
      <c r="FY29" s="18">
        <f>FY$26-FY$27</f>
        <v/>
      </c>
      <c r="FZ29" s="18">
        <f>FZ$26-FZ$27</f>
        <v/>
      </c>
      <c r="GA29" s="18">
        <f>GA$26-GA$27</f>
        <v/>
      </c>
      <c r="GB29" s="18">
        <f>GB$26-GB$27</f>
        <v/>
      </c>
      <c r="GC29" s="18">
        <f>GC$26-GC$27</f>
        <v/>
      </c>
      <c r="GD29" s="18">
        <f>GD$26-GD$27</f>
        <v/>
      </c>
      <c r="GE29" s="18">
        <f>GE$26-GE$27</f>
        <v/>
      </c>
      <c r="GF29" s="18">
        <f>GF$26-GF$27</f>
        <v/>
      </c>
      <c r="GG29" s="18">
        <f>GG$26-GG$27</f>
        <v/>
      </c>
      <c r="GH29" s="18">
        <f>GH$26-GH$27</f>
        <v/>
      </c>
      <c r="GI29" s="18">
        <f>GI$26-GI$27</f>
        <v/>
      </c>
      <c r="GJ29" s="18">
        <f>GJ$26-GJ$27</f>
        <v/>
      </c>
      <c r="GK29" s="18">
        <f>GK$26-GK$27</f>
        <v/>
      </c>
      <c r="GL29" s="18">
        <f>GL$26-GL$27</f>
        <v/>
      </c>
      <c r="GM29" s="18">
        <f>GM$26-GM$27</f>
        <v/>
      </c>
      <c r="GN29" s="18">
        <f>GN$26-GN$27</f>
        <v/>
      </c>
      <c r="GO29" s="18">
        <f>GO$26-GO$27</f>
        <v/>
      </c>
      <c r="GP29" s="18">
        <f>GP$26-GP$27</f>
        <v/>
      </c>
      <c r="GQ29" s="18">
        <f>GQ$26-GQ$27</f>
        <v/>
      </c>
      <c r="GR29" s="18">
        <f>GR$26-GR$27</f>
        <v/>
      </c>
      <c r="GS29" s="18">
        <f>GS$26-GS$27</f>
        <v/>
      </c>
      <c r="GT29" s="18">
        <f>GT$26-GT$27</f>
        <v/>
      </c>
      <c r="GU29" s="18">
        <f>GU$26-GU$27</f>
        <v/>
      </c>
      <c r="GV29" s="18">
        <f>GV$26-GV$27</f>
        <v/>
      </c>
      <c r="GW29" s="18">
        <f>GW$26-GW$27</f>
        <v/>
      </c>
      <c r="GX29" s="18">
        <f>GX$26-GX$27</f>
        <v/>
      </c>
      <c r="GY29" s="18">
        <f>GY$26-GY$27</f>
        <v/>
      </c>
      <c r="GZ29" s="18">
        <f>GZ$26-GZ$27</f>
        <v/>
      </c>
      <c r="HA29" s="18">
        <f>HA$26-HA$27</f>
        <v/>
      </c>
      <c r="HB29" s="18">
        <f>HB$26-HB$27</f>
        <v/>
      </c>
      <c r="HC29" s="18">
        <f>HC$26-HC$27</f>
        <v/>
      </c>
      <c r="HD29" s="18">
        <f>HD$26-HD$27</f>
        <v/>
      </c>
      <c r="HE29" s="18">
        <f>HE$26-HE$27</f>
        <v/>
      </c>
      <c r="HF29" s="18">
        <f>HF$26-HF$27</f>
        <v/>
      </c>
      <c r="HG29" s="18">
        <f>HG$26-HG$27</f>
        <v/>
      </c>
      <c r="HH29" s="18">
        <f>HH$26-HH$27</f>
        <v/>
      </c>
      <c r="HI29" s="18">
        <f>HI$26-HI$27</f>
        <v/>
      </c>
      <c r="HJ29" s="18">
        <f>HJ$26-HJ$27</f>
        <v/>
      </c>
      <c r="HK29" s="18">
        <f>HK$26-HK$27</f>
        <v/>
      </c>
      <c r="HL29" s="18">
        <f>HL$26-HL$27</f>
        <v/>
      </c>
      <c r="HM29" s="18">
        <f>HM$26-HM$27</f>
        <v/>
      </c>
      <c r="HN29" s="18">
        <f>HN$26-HN$27</f>
        <v/>
      </c>
      <c r="HO29" s="18">
        <f>HO$26-HO$27</f>
        <v/>
      </c>
      <c r="HP29" s="18">
        <f>HP$26-HP$27</f>
        <v/>
      </c>
      <c r="HQ29" s="18">
        <f>HQ$26-HQ$27</f>
        <v/>
      </c>
      <c r="HR29" s="18">
        <f>HR$26-HR$27</f>
        <v/>
      </c>
      <c r="HS29" s="18">
        <f>HS$26-HS$27</f>
        <v/>
      </c>
      <c r="HT29" s="18">
        <f>HT$26-HT$27</f>
        <v/>
      </c>
      <c r="HU29" s="18">
        <f>HU$26-HU$27</f>
        <v/>
      </c>
      <c r="HV29" s="18">
        <f>HV$26-HV$27</f>
        <v/>
      </c>
      <c r="HW29" s="18">
        <f>HW$26-HW$27</f>
        <v/>
      </c>
      <c r="HX29" s="18">
        <f>HX$26-HX$27</f>
        <v/>
      </c>
      <c r="HY29" s="18">
        <f>HY$26-HY$27</f>
        <v/>
      </c>
      <c r="HZ29" s="18">
        <f>HZ$26-HZ$27</f>
        <v/>
      </c>
      <c r="IA29" s="18">
        <f>IA$26-IA$27</f>
        <v/>
      </c>
      <c r="IB29" s="18">
        <f>IB$26-IB$27</f>
        <v/>
      </c>
      <c r="IC29" s="18">
        <f>IC$26-IC$27</f>
        <v/>
      </c>
      <c r="ID29" s="18">
        <f>ID$26-ID$27</f>
        <v/>
      </c>
      <c r="IE29" s="18">
        <f>IE$26-IE$27</f>
        <v/>
      </c>
      <c r="IF29" s="18">
        <f>IF$26-IF$27</f>
        <v/>
      </c>
      <c r="IG29" s="18">
        <f>IG$26-IG$27</f>
        <v/>
      </c>
      <c r="IH29" s="18">
        <f>IH$26-IH$27</f>
        <v/>
      </c>
      <c r="II29" s="18">
        <f>II$26-II$27</f>
        <v/>
      </c>
      <c r="IJ29" s="18">
        <f>IJ$26-IJ$27</f>
        <v/>
      </c>
      <c r="IK29" s="18">
        <f>IK$26-IK$27</f>
        <v/>
      </c>
      <c r="IL29" s="18">
        <f>IL$26-IL$27</f>
        <v/>
      </c>
      <c r="IM29" s="18">
        <f>IM$26-IM$27</f>
        <v/>
      </c>
      <c r="IN29" s="18">
        <f>IN$26-IN$27</f>
        <v/>
      </c>
      <c r="IO29" s="18">
        <f>IO$26-IO$27</f>
        <v/>
      </c>
      <c r="IP29" s="18">
        <f>IP$26-IP$27</f>
        <v/>
      </c>
      <c r="IQ29" s="18">
        <f>IQ$26-IQ$27</f>
        <v/>
      </c>
      <c r="IR29" s="18">
        <f>IR$26-IR$27</f>
        <v/>
      </c>
      <c r="IS29" s="18">
        <f>IS$26-IS$27</f>
        <v/>
      </c>
      <c r="IT29" s="18">
        <f>IT$26-IT$27</f>
        <v/>
      </c>
      <c r="IU29" s="18">
        <f>IU$26-IU$27</f>
        <v/>
      </c>
      <c r="IV29" s="18">
        <f>IV$26-IV$27</f>
        <v/>
      </c>
      <c r="IW29" s="18">
        <f>IW$26-IW$27</f>
        <v/>
      </c>
      <c r="IX29" s="18">
        <f>IX$26-IX$27</f>
        <v/>
      </c>
      <c r="IY29" s="18">
        <f>IY$26-IY$27</f>
        <v/>
      </c>
      <c r="IZ29" s="18">
        <f>IZ$26-IZ$27</f>
        <v/>
      </c>
      <c r="JA29" s="18">
        <f>JA$26-JA$27</f>
        <v/>
      </c>
      <c r="JB29" s="18">
        <f>JB$26-JB$27</f>
        <v/>
      </c>
      <c r="JC29" s="18">
        <f>JC$26-JC$27</f>
        <v/>
      </c>
      <c r="JD29" s="18">
        <f>JD$26-JD$27</f>
        <v/>
      </c>
      <c r="JE29" s="18">
        <f>JE$26-JE$27</f>
        <v/>
      </c>
      <c r="JF29" s="18">
        <f>JF$26-JF$27</f>
        <v/>
      </c>
      <c r="JG29" s="18">
        <f>JG$26-JG$27</f>
        <v/>
      </c>
      <c r="JH29" s="18">
        <f>JH$26-JH$27</f>
        <v/>
      </c>
      <c r="JI29" s="18">
        <f>JI$26-JI$27</f>
        <v/>
      </c>
      <c r="JJ29" s="18">
        <f>JJ$26-JJ$27</f>
        <v/>
      </c>
      <c r="JK29" s="18">
        <f>JK$26-JK$27</f>
        <v/>
      </c>
      <c r="JL29" s="18">
        <f>JL$26-JL$27</f>
        <v/>
      </c>
      <c r="JM29" s="18">
        <f>JM$26-JM$27</f>
        <v/>
      </c>
      <c r="JN29" s="18">
        <f>JN$26-JN$27</f>
        <v/>
      </c>
      <c r="JO29" s="18">
        <f>JO$26-JO$27</f>
        <v/>
      </c>
      <c r="JP29" s="18">
        <f>JP$26-JP$27</f>
        <v/>
      </c>
      <c r="JQ29" s="18">
        <f>JQ$26-JQ$27</f>
        <v/>
      </c>
      <c r="JR29" s="18">
        <f>JR$26-JR$27</f>
        <v/>
      </c>
      <c r="JS29" s="18">
        <f>JS$26-JS$27</f>
        <v/>
      </c>
      <c r="JT29" s="18">
        <f>JT$26-JT$27</f>
        <v/>
      </c>
      <c r="JU29" s="18">
        <f>JU$26-JU$27</f>
        <v/>
      </c>
      <c r="JV29" s="18">
        <f>JV$26-JV$27</f>
        <v/>
      </c>
      <c r="JW29" s="18">
        <f>JW$26-JW$27</f>
        <v/>
      </c>
      <c r="JX29" s="18">
        <f>JX$26-JX$27</f>
        <v/>
      </c>
      <c r="JY29" s="18">
        <f>JY$26-JY$27</f>
        <v/>
      </c>
      <c r="JZ29" s="18">
        <f>JZ$26-JZ$27</f>
        <v/>
      </c>
      <c r="KA29" s="18">
        <f>KA$26-KA$27</f>
        <v/>
      </c>
      <c r="KB29" s="18">
        <f>KB$26-KB$27</f>
        <v/>
      </c>
      <c r="KC29" s="18">
        <f>KC$26-KC$27</f>
        <v/>
      </c>
      <c r="KD29" s="18">
        <f>KD$26-KD$27</f>
        <v/>
      </c>
      <c r="KE29" s="18">
        <f>KE$26-KE$27</f>
        <v/>
      </c>
      <c r="KF29" s="18">
        <f>KF$26-KF$27</f>
        <v/>
      </c>
      <c r="KG29" s="18">
        <f>KG$26-KG$27</f>
        <v/>
      </c>
      <c r="KH29" s="18">
        <f>KH$26-KH$27</f>
        <v/>
      </c>
      <c r="KI29" s="18">
        <f>KI$26-KI$27</f>
        <v/>
      </c>
      <c r="KJ29" s="18">
        <f>KJ$26-KJ$27</f>
        <v/>
      </c>
      <c r="KK29" s="18">
        <f>KK$26-KK$27</f>
        <v/>
      </c>
      <c r="KL29" s="18">
        <f>KL$26-KL$27</f>
        <v/>
      </c>
      <c r="KM29" s="18">
        <f>KM$26-KM$27</f>
        <v/>
      </c>
      <c r="KN29" s="18">
        <f>KN$26-KN$27</f>
        <v/>
      </c>
      <c r="KO29" s="18">
        <f>KO$26-KO$27</f>
        <v/>
      </c>
      <c r="KP29" s="18">
        <f>KP$26-KP$27</f>
        <v/>
      </c>
      <c r="KQ29" s="18">
        <f>KQ$26-KQ$27</f>
        <v/>
      </c>
      <c r="KR29" s="18">
        <f>KR$26-KR$27</f>
        <v/>
      </c>
      <c r="KS29" s="18">
        <f>KS$26-KS$27</f>
        <v/>
      </c>
      <c r="KT29" s="18">
        <f>KT$26-KT$27</f>
        <v/>
      </c>
      <c r="KU29" s="18">
        <f>KU$26-KU$27</f>
        <v/>
      </c>
      <c r="KV29" s="18">
        <f>KV$26-KV$27</f>
        <v/>
      </c>
      <c r="KW29" s="18">
        <f>KW$26-KW$27</f>
        <v/>
      </c>
      <c r="KX29" s="18">
        <f>KX$26-KX$27</f>
        <v/>
      </c>
      <c r="KY29" s="18">
        <f>KY$26-KY$27</f>
        <v/>
      </c>
      <c r="KZ29" s="18">
        <f>KZ$26-KZ$27</f>
        <v/>
      </c>
      <c r="LA29" s="18">
        <f>LA$26-LA$27</f>
        <v/>
      </c>
      <c r="LB29" s="18">
        <f>LB$26-LB$27</f>
        <v/>
      </c>
      <c r="LC29" s="18">
        <f>LC$26-LC$27</f>
        <v/>
      </c>
      <c r="LD29" s="18">
        <f>LD$26-LD$27</f>
        <v/>
      </c>
      <c r="LE29" s="18">
        <f>LE$26-LE$27</f>
        <v/>
      </c>
      <c r="LF29" s="18">
        <f>LF$26-LF$27</f>
        <v/>
      </c>
      <c r="LG29" s="18">
        <f>LG$26-LG$27</f>
        <v/>
      </c>
      <c r="LH29" s="18">
        <f>LH$26-LH$27</f>
        <v/>
      </c>
      <c r="LI29" s="18">
        <f>LI$26-LI$27</f>
        <v/>
      </c>
      <c r="LJ29" s="18">
        <f>LJ$26-LJ$27</f>
        <v/>
      </c>
      <c r="LK29" s="18">
        <f>LK$26-LK$27</f>
        <v/>
      </c>
      <c r="LL29" s="18">
        <f>LL$26-LL$27</f>
        <v/>
      </c>
      <c r="LM29" s="18">
        <f>LM$26-LM$27</f>
        <v/>
      </c>
      <c r="LN29" s="18">
        <f>LN$26-LN$27</f>
        <v/>
      </c>
      <c r="LO29" s="18">
        <f>LO$26-LO$27</f>
        <v/>
      </c>
      <c r="LP29" s="18">
        <f>LP$26-LP$27</f>
        <v/>
      </c>
      <c r="LQ29" s="18">
        <f>LQ$26-LQ$27</f>
        <v/>
      </c>
      <c r="LR29" s="18">
        <f>LR$26-LR$27</f>
        <v/>
      </c>
      <c r="LS29" s="18">
        <f>LS$26-LS$27</f>
        <v/>
      </c>
      <c r="LT29" s="18">
        <f>LT$26-LT$27</f>
        <v/>
      </c>
      <c r="LU29" s="18">
        <f>LU$26-LU$27</f>
        <v/>
      </c>
      <c r="LV29" s="18">
        <f>LV$26-LV$27</f>
        <v/>
      </c>
      <c r="LW29" s="18">
        <f>LW$26-LW$27</f>
        <v/>
      </c>
      <c r="LX29" s="18">
        <f>LX$26-LX$27</f>
        <v/>
      </c>
      <c r="LY29" s="18">
        <f>LY$26-LY$27</f>
        <v/>
      </c>
      <c r="LZ29" s="18">
        <f>LZ$26-LZ$27</f>
        <v/>
      </c>
      <c r="MA29" s="18">
        <f>MA$26-MA$27</f>
        <v/>
      </c>
      <c r="MB29" s="18">
        <f>MB$26-MB$27</f>
        <v/>
      </c>
      <c r="MC29" s="18">
        <f>MC$26-MC$27</f>
        <v/>
      </c>
      <c r="MD29" s="18">
        <f>MD$26-MD$27</f>
        <v/>
      </c>
      <c r="ME29" s="18">
        <f>ME$26-ME$27</f>
        <v/>
      </c>
      <c r="MF29" s="18">
        <f>MF$26-MF$27</f>
        <v/>
      </c>
      <c r="MG29" s="18">
        <f>MG$26-MG$27</f>
        <v/>
      </c>
      <c r="MH29" s="18">
        <f>MH$26-MH$27</f>
        <v/>
      </c>
      <c r="MI29" s="18">
        <f>MI$26-MI$27</f>
        <v/>
      </c>
      <c r="MJ29" s="18">
        <f>MJ$26-MJ$27</f>
        <v/>
      </c>
      <c r="MK29" s="18">
        <f>MK$26-MK$27</f>
        <v/>
      </c>
      <c r="ML29" s="18">
        <f>ML$26-ML$27</f>
        <v/>
      </c>
      <c r="MM29" s="18">
        <f>MM$26-MM$27</f>
        <v/>
      </c>
      <c r="MN29" s="18">
        <f>MN$26-MN$27</f>
        <v/>
      </c>
      <c r="MO29" s="18">
        <f>MO$26-MO$27</f>
        <v/>
      </c>
      <c r="MP29" s="18">
        <f>MP$26-MP$27</f>
        <v/>
      </c>
      <c r="MQ29" s="18">
        <f>MQ$26-MQ$27</f>
        <v/>
      </c>
      <c r="MR29" s="18">
        <f>MR$26-MR$27</f>
        <v/>
      </c>
      <c r="MS29" s="18">
        <f>MS$26-MS$27</f>
        <v/>
      </c>
      <c r="MT29" s="18">
        <f>MT$26-MT$27</f>
        <v/>
      </c>
      <c r="MU29" s="18">
        <f>MU$26-MU$27</f>
        <v/>
      </c>
      <c r="MV29" s="18">
        <f>MV$26-MV$27</f>
        <v/>
      </c>
      <c r="MW29" s="18">
        <f>MW$26-MW$27</f>
        <v/>
      </c>
      <c r="MX29" s="18">
        <f>MX$26-MX$27</f>
        <v/>
      </c>
      <c r="MY29" s="18">
        <f>MY$26-MY$27</f>
        <v/>
      </c>
      <c r="MZ29" s="18">
        <f>MZ$26-MZ$27</f>
        <v/>
      </c>
      <c r="NA29" s="18">
        <f>NA$26-NA$27</f>
        <v/>
      </c>
      <c r="NB29" s="18">
        <f>NB$26-NB$27</f>
        <v/>
      </c>
      <c r="NC29" s="18">
        <f>NC$26-NC$27</f>
        <v/>
      </c>
      <c r="ND29" s="18">
        <f>ND$26-ND$27</f>
        <v/>
      </c>
      <c r="NE29" s="18">
        <f>NE$26-NE$27</f>
        <v/>
      </c>
      <c r="NF29" s="18">
        <f>NF$26-NF$27</f>
        <v/>
      </c>
      <c r="NG29" s="18">
        <f>NG$26-NG$27</f>
        <v/>
      </c>
      <c r="NH29" s="18">
        <f>NH$26-NH$27</f>
        <v/>
      </c>
      <c r="NI29" s="18">
        <f>NI$26-NI$27</f>
        <v/>
      </c>
      <c r="NJ29" s="18">
        <f>NJ$26-NJ$27</f>
        <v/>
      </c>
      <c r="NK29" s="18">
        <f>NK$26-NK$27</f>
        <v/>
      </c>
    </row>
    <row r="30">
      <c r="A30" s="5" t="inlineStr">
        <is>
          <t>Monthly Interest Rate</t>
        </is>
      </c>
      <c r="C30" s="48" t="n"/>
      <c r="D30" s="49">
        <f>IF('Timeline'!D$41=1,IF(ConActual360=1,ConRate*D$25/360,ConRate/12),0)</f>
        <v/>
      </c>
      <c r="E30" s="49">
        <f>IF('Timeline'!E$41=1,IF(ConActual360=1,ConRate*E$25/360,ConRate/12),0)</f>
        <v/>
      </c>
      <c r="F30" s="49">
        <f>IF('Timeline'!F$41=1,IF(ConActual360=1,ConRate*F$25/360,ConRate/12),0)</f>
        <v/>
      </c>
      <c r="G30" s="49">
        <f>IF('Timeline'!G$41=1,IF(ConActual360=1,ConRate*G$25/360,ConRate/12),0)</f>
        <v/>
      </c>
      <c r="H30" s="49">
        <f>IF('Timeline'!H$41=1,IF(ConActual360=1,ConRate*H$25/360,ConRate/12),0)</f>
        <v/>
      </c>
      <c r="I30" s="49">
        <f>IF('Timeline'!I$41=1,IF(ConActual360=1,ConRate*I$25/360,ConRate/12),0)</f>
        <v/>
      </c>
      <c r="J30" s="49">
        <f>IF('Timeline'!J$41=1,IF(ConActual360=1,ConRate*J$25/360,ConRate/12),0)</f>
        <v/>
      </c>
      <c r="K30" s="49">
        <f>IF('Timeline'!K$41=1,IF(ConActual360=1,ConRate*K$25/360,ConRate/12),0)</f>
        <v/>
      </c>
      <c r="L30" s="49">
        <f>IF('Timeline'!L$41=1,IF(ConActual360=1,ConRate*L$25/360,ConRate/12),0)</f>
        <v/>
      </c>
      <c r="M30" s="49">
        <f>IF('Timeline'!M$41=1,IF(ConActual360=1,ConRate*M$25/360,ConRate/12),0)</f>
        <v/>
      </c>
      <c r="N30" s="49">
        <f>IF('Timeline'!N$41=1,IF(ConActual360=1,ConRate*N$25/360,ConRate/12),0)</f>
        <v/>
      </c>
      <c r="O30" s="49">
        <f>IF('Timeline'!O$41=1,IF(ConActual360=1,ConRate*O$25/360,ConRate/12),0)</f>
        <v/>
      </c>
      <c r="P30" s="49">
        <f>IF('Timeline'!P$41=1,IF(ConActual360=1,ConRate*P$25/360,ConRate/12),0)</f>
        <v/>
      </c>
      <c r="Q30" s="49">
        <f>IF('Timeline'!Q$41=1,IF(ConActual360=1,ConRate*Q$25/360,ConRate/12),0)</f>
        <v/>
      </c>
      <c r="R30" s="49">
        <f>IF('Timeline'!R$41=1,IF(ConActual360=1,ConRate*R$25/360,ConRate/12),0)</f>
        <v/>
      </c>
      <c r="S30" s="49">
        <f>IF('Timeline'!S$41=1,IF(ConActual360=1,ConRate*S$25/360,ConRate/12),0)</f>
        <v/>
      </c>
      <c r="T30" s="49">
        <f>IF('Timeline'!T$41=1,IF(ConActual360=1,ConRate*T$25/360,ConRate/12),0)</f>
        <v/>
      </c>
      <c r="U30" s="49">
        <f>IF('Timeline'!U$41=1,IF(ConActual360=1,ConRate*U$25/360,ConRate/12),0)</f>
        <v/>
      </c>
      <c r="V30" s="49">
        <f>IF('Timeline'!V$41=1,IF(ConActual360=1,ConRate*V$25/360,ConRate/12),0)</f>
        <v/>
      </c>
      <c r="W30" s="49">
        <f>IF('Timeline'!W$41=1,IF(ConActual360=1,ConRate*W$25/360,ConRate/12),0)</f>
        <v/>
      </c>
      <c r="X30" s="49">
        <f>IF('Timeline'!X$41=1,IF(ConActual360=1,ConRate*X$25/360,ConRate/12),0)</f>
        <v/>
      </c>
      <c r="Y30" s="49">
        <f>IF('Timeline'!Y$41=1,IF(ConActual360=1,ConRate*Y$25/360,ConRate/12),0)</f>
        <v/>
      </c>
      <c r="Z30" s="49">
        <f>IF('Timeline'!Z$41=1,IF(ConActual360=1,ConRate*Z$25/360,ConRate/12),0)</f>
        <v/>
      </c>
      <c r="AA30" s="49">
        <f>IF('Timeline'!AA$41=1,IF(ConActual360=1,ConRate*AA$25/360,ConRate/12),0)</f>
        <v/>
      </c>
      <c r="AB30" s="49">
        <f>IF('Timeline'!AB$41=1,IF(ConActual360=1,ConRate*AB$25/360,ConRate/12),0)</f>
        <v/>
      </c>
      <c r="AC30" s="49">
        <f>IF('Timeline'!AC$41=1,IF(ConActual360=1,ConRate*AC$25/360,ConRate/12),0)</f>
        <v/>
      </c>
      <c r="AD30" s="49">
        <f>IF('Timeline'!AD$41=1,IF(ConActual360=1,ConRate*AD$25/360,ConRate/12),0)</f>
        <v/>
      </c>
      <c r="AE30" s="49">
        <f>IF('Timeline'!AE$41=1,IF(ConActual360=1,ConRate*AE$25/360,ConRate/12),0)</f>
        <v/>
      </c>
      <c r="AF30" s="49">
        <f>IF('Timeline'!AF$41=1,IF(ConActual360=1,ConRate*AF$25/360,ConRate/12),0)</f>
        <v/>
      </c>
      <c r="AG30" s="49">
        <f>IF('Timeline'!AG$41=1,IF(ConActual360=1,ConRate*AG$25/360,ConRate/12),0)</f>
        <v/>
      </c>
      <c r="AH30" s="49">
        <f>IF('Timeline'!AH$41=1,IF(ConActual360=1,ConRate*AH$25/360,ConRate/12),0)</f>
        <v/>
      </c>
      <c r="AI30" s="49">
        <f>IF('Timeline'!AI$41=1,IF(ConActual360=1,ConRate*AI$25/360,ConRate/12),0)</f>
        <v/>
      </c>
      <c r="AJ30" s="49">
        <f>IF('Timeline'!AJ$41=1,IF(ConActual360=1,ConRate*AJ$25/360,ConRate/12),0)</f>
        <v/>
      </c>
      <c r="AK30" s="49">
        <f>IF('Timeline'!AK$41=1,IF(ConActual360=1,ConRate*AK$25/360,ConRate/12),0)</f>
        <v/>
      </c>
      <c r="AL30" s="49">
        <f>IF('Timeline'!AL$41=1,IF(ConActual360=1,ConRate*AL$25/360,ConRate/12),0)</f>
        <v/>
      </c>
      <c r="AM30" s="49">
        <f>IF('Timeline'!AM$41=1,IF(ConActual360=1,ConRate*AM$25/360,ConRate/12),0)</f>
        <v/>
      </c>
      <c r="AN30" s="49">
        <f>IF('Timeline'!AN$41=1,IF(ConActual360=1,ConRate*AN$25/360,ConRate/12),0)</f>
        <v/>
      </c>
      <c r="AO30" s="49">
        <f>IF('Timeline'!AO$41=1,IF(ConActual360=1,ConRate*AO$25/360,ConRate/12),0)</f>
        <v/>
      </c>
      <c r="AP30" s="49">
        <f>IF('Timeline'!AP$41=1,IF(ConActual360=1,ConRate*AP$25/360,ConRate/12),0)</f>
        <v/>
      </c>
      <c r="AQ30" s="49">
        <f>IF('Timeline'!AQ$41=1,IF(ConActual360=1,ConRate*AQ$25/360,ConRate/12),0)</f>
        <v/>
      </c>
      <c r="AR30" s="49">
        <f>IF('Timeline'!AR$41=1,IF(ConActual360=1,ConRate*AR$25/360,ConRate/12),0)</f>
        <v/>
      </c>
      <c r="AS30" s="49">
        <f>IF('Timeline'!AS$41=1,IF(ConActual360=1,ConRate*AS$25/360,ConRate/12),0)</f>
        <v/>
      </c>
      <c r="AT30" s="49">
        <f>IF('Timeline'!AT$41=1,IF(ConActual360=1,ConRate*AT$25/360,ConRate/12),0)</f>
        <v/>
      </c>
      <c r="AU30" s="49">
        <f>IF('Timeline'!AU$41=1,IF(ConActual360=1,ConRate*AU$25/360,ConRate/12),0)</f>
        <v/>
      </c>
      <c r="AV30" s="49">
        <f>IF('Timeline'!AV$41=1,IF(ConActual360=1,ConRate*AV$25/360,ConRate/12),0)</f>
        <v/>
      </c>
      <c r="AW30" s="49">
        <f>IF('Timeline'!AW$41=1,IF(ConActual360=1,ConRate*AW$25/360,ConRate/12),0)</f>
        <v/>
      </c>
      <c r="AX30" s="49">
        <f>IF('Timeline'!AX$41=1,IF(ConActual360=1,ConRate*AX$25/360,ConRate/12),0)</f>
        <v/>
      </c>
      <c r="AY30" s="49">
        <f>IF('Timeline'!AY$41=1,IF(ConActual360=1,ConRate*AY$25/360,ConRate/12),0)</f>
        <v/>
      </c>
      <c r="AZ30" s="49">
        <f>IF('Timeline'!AZ$41=1,IF(ConActual360=1,ConRate*AZ$25/360,ConRate/12),0)</f>
        <v/>
      </c>
      <c r="BA30" s="49">
        <f>IF('Timeline'!BA$41=1,IF(ConActual360=1,ConRate*BA$25/360,ConRate/12),0)</f>
        <v/>
      </c>
      <c r="BB30" s="49">
        <f>IF('Timeline'!BB$41=1,IF(ConActual360=1,ConRate*BB$25/360,ConRate/12),0)</f>
        <v/>
      </c>
      <c r="BC30" s="49">
        <f>IF('Timeline'!BC$41=1,IF(ConActual360=1,ConRate*BC$25/360,ConRate/12),0)</f>
        <v/>
      </c>
      <c r="BD30" s="49">
        <f>IF('Timeline'!BD$41=1,IF(ConActual360=1,ConRate*BD$25/360,ConRate/12),0)</f>
        <v/>
      </c>
      <c r="BE30" s="49">
        <f>IF('Timeline'!BE$41=1,IF(ConActual360=1,ConRate*BE$25/360,ConRate/12),0)</f>
        <v/>
      </c>
      <c r="BF30" s="49">
        <f>IF('Timeline'!BF$41=1,IF(ConActual360=1,ConRate*BF$25/360,ConRate/12),0)</f>
        <v/>
      </c>
      <c r="BG30" s="49">
        <f>IF('Timeline'!BG$41=1,IF(ConActual360=1,ConRate*BG$25/360,ConRate/12),0)</f>
        <v/>
      </c>
      <c r="BH30" s="49">
        <f>IF('Timeline'!BH$41=1,IF(ConActual360=1,ConRate*BH$25/360,ConRate/12),0)</f>
        <v/>
      </c>
      <c r="BI30" s="49">
        <f>IF('Timeline'!BI$41=1,IF(ConActual360=1,ConRate*BI$25/360,ConRate/12),0)</f>
        <v/>
      </c>
      <c r="BJ30" s="49">
        <f>IF('Timeline'!BJ$41=1,IF(ConActual360=1,ConRate*BJ$25/360,ConRate/12),0)</f>
        <v/>
      </c>
      <c r="BK30" s="49">
        <f>IF('Timeline'!BK$41=1,IF(ConActual360=1,ConRate*BK$25/360,ConRate/12),0)</f>
        <v/>
      </c>
      <c r="BL30" s="49">
        <f>IF('Timeline'!BL$41=1,IF(ConActual360=1,ConRate*BL$25/360,ConRate/12),0)</f>
        <v/>
      </c>
      <c r="BM30" s="49">
        <f>IF('Timeline'!BM$41=1,IF(ConActual360=1,ConRate*BM$25/360,ConRate/12),0)</f>
        <v/>
      </c>
      <c r="BN30" s="49">
        <f>IF('Timeline'!BN$41=1,IF(ConActual360=1,ConRate*BN$25/360,ConRate/12),0)</f>
        <v/>
      </c>
      <c r="BO30" s="49">
        <f>IF('Timeline'!BO$41=1,IF(ConActual360=1,ConRate*BO$25/360,ConRate/12),0)</f>
        <v/>
      </c>
      <c r="BP30" s="49">
        <f>IF('Timeline'!BP$41=1,IF(ConActual360=1,ConRate*BP$25/360,ConRate/12),0)</f>
        <v/>
      </c>
      <c r="BQ30" s="49">
        <f>IF('Timeline'!BQ$41=1,IF(ConActual360=1,ConRate*BQ$25/360,ConRate/12),0)</f>
        <v/>
      </c>
      <c r="BR30" s="49">
        <f>IF('Timeline'!BR$41=1,IF(ConActual360=1,ConRate*BR$25/360,ConRate/12),0)</f>
        <v/>
      </c>
      <c r="BS30" s="49">
        <f>IF('Timeline'!BS$41=1,IF(ConActual360=1,ConRate*BS$25/360,ConRate/12),0)</f>
        <v/>
      </c>
      <c r="BT30" s="49">
        <f>IF('Timeline'!BT$41=1,IF(ConActual360=1,ConRate*BT$25/360,ConRate/12),0)</f>
        <v/>
      </c>
      <c r="BU30" s="49">
        <f>IF('Timeline'!BU$41=1,IF(ConActual360=1,ConRate*BU$25/360,ConRate/12),0)</f>
        <v/>
      </c>
      <c r="BV30" s="49">
        <f>IF('Timeline'!BV$41=1,IF(ConActual360=1,ConRate*BV$25/360,ConRate/12),0)</f>
        <v/>
      </c>
      <c r="BW30" s="49">
        <f>IF('Timeline'!BW$41=1,IF(ConActual360=1,ConRate*BW$25/360,ConRate/12),0)</f>
        <v/>
      </c>
      <c r="BX30" s="49">
        <f>IF('Timeline'!BX$41=1,IF(ConActual360=1,ConRate*BX$25/360,ConRate/12),0)</f>
        <v/>
      </c>
      <c r="BY30" s="49">
        <f>IF('Timeline'!BY$41=1,IF(ConActual360=1,ConRate*BY$25/360,ConRate/12),0)</f>
        <v/>
      </c>
      <c r="BZ30" s="49">
        <f>IF('Timeline'!BZ$41=1,IF(ConActual360=1,ConRate*BZ$25/360,ConRate/12),0)</f>
        <v/>
      </c>
      <c r="CA30" s="49">
        <f>IF('Timeline'!CA$41=1,IF(ConActual360=1,ConRate*CA$25/360,ConRate/12),0)</f>
        <v/>
      </c>
      <c r="CB30" s="49">
        <f>IF('Timeline'!CB$41=1,IF(ConActual360=1,ConRate*CB$25/360,ConRate/12),0)</f>
        <v/>
      </c>
      <c r="CC30" s="49">
        <f>IF('Timeline'!CC$41=1,IF(ConActual360=1,ConRate*CC$25/360,ConRate/12),0)</f>
        <v/>
      </c>
      <c r="CD30" s="49">
        <f>IF('Timeline'!CD$41=1,IF(ConActual360=1,ConRate*CD$25/360,ConRate/12),0)</f>
        <v/>
      </c>
      <c r="CE30" s="49">
        <f>IF('Timeline'!CE$41=1,IF(ConActual360=1,ConRate*CE$25/360,ConRate/12),0)</f>
        <v/>
      </c>
      <c r="CF30" s="49">
        <f>IF('Timeline'!CF$41=1,IF(ConActual360=1,ConRate*CF$25/360,ConRate/12),0)</f>
        <v/>
      </c>
      <c r="CG30" s="49">
        <f>IF('Timeline'!CG$41=1,IF(ConActual360=1,ConRate*CG$25/360,ConRate/12),0)</f>
        <v/>
      </c>
      <c r="CH30" s="49">
        <f>IF('Timeline'!CH$41=1,IF(ConActual360=1,ConRate*CH$25/360,ConRate/12),0)</f>
        <v/>
      </c>
      <c r="CI30" s="49">
        <f>IF('Timeline'!CI$41=1,IF(ConActual360=1,ConRate*CI$25/360,ConRate/12),0)</f>
        <v/>
      </c>
      <c r="CJ30" s="49">
        <f>IF('Timeline'!CJ$41=1,IF(ConActual360=1,ConRate*CJ$25/360,ConRate/12),0)</f>
        <v/>
      </c>
      <c r="CK30" s="49">
        <f>IF('Timeline'!CK$41=1,IF(ConActual360=1,ConRate*CK$25/360,ConRate/12),0)</f>
        <v/>
      </c>
      <c r="CL30" s="49">
        <f>IF('Timeline'!CL$41=1,IF(ConActual360=1,ConRate*CL$25/360,ConRate/12),0)</f>
        <v/>
      </c>
      <c r="CM30" s="49">
        <f>IF('Timeline'!CM$41=1,IF(ConActual360=1,ConRate*CM$25/360,ConRate/12),0)</f>
        <v/>
      </c>
      <c r="CN30" s="49">
        <f>IF('Timeline'!CN$41=1,IF(ConActual360=1,ConRate*CN$25/360,ConRate/12),0)</f>
        <v/>
      </c>
      <c r="CO30" s="49">
        <f>IF('Timeline'!CO$41=1,IF(ConActual360=1,ConRate*CO$25/360,ConRate/12),0)</f>
        <v/>
      </c>
      <c r="CP30" s="49">
        <f>IF('Timeline'!CP$41=1,IF(ConActual360=1,ConRate*CP$25/360,ConRate/12),0)</f>
        <v/>
      </c>
      <c r="CQ30" s="49">
        <f>IF('Timeline'!CQ$41=1,IF(ConActual360=1,ConRate*CQ$25/360,ConRate/12),0)</f>
        <v/>
      </c>
      <c r="CR30" s="49">
        <f>IF('Timeline'!CR$41=1,IF(ConActual360=1,ConRate*CR$25/360,ConRate/12),0)</f>
        <v/>
      </c>
      <c r="CS30" s="49">
        <f>IF('Timeline'!CS$41=1,IF(ConActual360=1,ConRate*CS$25/360,ConRate/12),0)</f>
        <v/>
      </c>
      <c r="CT30" s="49">
        <f>IF('Timeline'!CT$41=1,IF(ConActual360=1,ConRate*CT$25/360,ConRate/12),0)</f>
        <v/>
      </c>
      <c r="CU30" s="49">
        <f>IF('Timeline'!CU$41=1,IF(ConActual360=1,ConRate*CU$25/360,ConRate/12),0)</f>
        <v/>
      </c>
      <c r="CV30" s="49">
        <f>IF('Timeline'!CV$41=1,IF(ConActual360=1,ConRate*CV$25/360,ConRate/12),0)</f>
        <v/>
      </c>
      <c r="CW30" s="49">
        <f>IF('Timeline'!CW$41=1,IF(ConActual360=1,ConRate*CW$25/360,ConRate/12),0)</f>
        <v/>
      </c>
      <c r="CX30" s="49">
        <f>IF('Timeline'!CX$41=1,IF(ConActual360=1,ConRate*CX$25/360,ConRate/12),0)</f>
        <v/>
      </c>
      <c r="CY30" s="49">
        <f>IF('Timeline'!CY$41=1,IF(ConActual360=1,ConRate*CY$25/360,ConRate/12),0)</f>
        <v/>
      </c>
      <c r="CZ30" s="49">
        <f>IF('Timeline'!CZ$41=1,IF(ConActual360=1,ConRate*CZ$25/360,ConRate/12),0)</f>
        <v/>
      </c>
      <c r="DA30" s="49">
        <f>IF('Timeline'!DA$41=1,IF(ConActual360=1,ConRate*DA$25/360,ConRate/12),0)</f>
        <v/>
      </c>
      <c r="DB30" s="49">
        <f>IF('Timeline'!DB$41=1,IF(ConActual360=1,ConRate*DB$25/360,ConRate/12),0)</f>
        <v/>
      </c>
      <c r="DC30" s="49">
        <f>IF('Timeline'!DC$41=1,IF(ConActual360=1,ConRate*DC$25/360,ConRate/12),0)</f>
        <v/>
      </c>
      <c r="DD30" s="49">
        <f>IF('Timeline'!DD$41=1,IF(ConActual360=1,ConRate*DD$25/360,ConRate/12),0)</f>
        <v/>
      </c>
      <c r="DE30" s="49">
        <f>IF('Timeline'!DE$41=1,IF(ConActual360=1,ConRate*DE$25/360,ConRate/12),0)</f>
        <v/>
      </c>
      <c r="DF30" s="49">
        <f>IF('Timeline'!DF$41=1,IF(ConActual360=1,ConRate*DF$25/360,ConRate/12),0)</f>
        <v/>
      </c>
      <c r="DG30" s="49">
        <f>IF('Timeline'!DG$41=1,IF(ConActual360=1,ConRate*DG$25/360,ConRate/12),0)</f>
        <v/>
      </c>
      <c r="DH30" s="49">
        <f>IF('Timeline'!DH$41=1,IF(ConActual360=1,ConRate*DH$25/360,ConRate/12),0)</f>
        <v/>
      </c>
      <c r="DI30" s="49">
        <f>IF('Timeline'!DI$41=1,IF(ConActual360=1,ConRate*DI$25/360,ConRate/12),0)</f>
        <v/>
      </c>
      <c r="DJ30" s="49">
        <f>IF('Timeline'!DJ$41=1,IF(ConActual360=1,ConRate*DJ$25/360,ConRate/12),0)</f>
        <v/>
      </c>
      <c r="DK30" s="49">
        <f>IF('Timeline'!DK$41=1,IF(ConActual360=1,ConRate*DK$25/360,ConRate/12),0)</f>
        <v/>
      </c>
      <c r="DL30" s="49">
        <f>IF('Timeline'!DL$41=1,IF(ConActual360=1,ConRate*DL$25/360,ConRate/12),0)</f>
        <v/>
      </c>
      <c r="DM30" s="49">
        <f>IF('Timeline'!DM$41=1,IF(ConActual360=1,ConRate*DM$25/360,ConRate/12),0)</f>
        <v/>
      </c>
      <c r="DN30" s="49">
        <f>IF('Timeline'!DN$41=1,IF(ConActual360=1,ConRate*DN$25/360,ConRate/12),0)</f>
        <v/>
      </c>
      <c r="DO30" s="49">
        <f>IF('Timeline'!DO$41=1,IF(ConActual360=1,ConRate*DO$25/360,ConRate/12),0)</f>
        <v/>
      </c>
      <c r="DP30" s="49">
        <f>IF('Timeline'!DP$41=1,IF(ConActual360=1,ConRate*DP$25/360,ConRate/12),0)</f>
        <v/>
      </c>
      <c r="DQ30" s="49">
        <f>IF('Timeline'!DQ$41=1,IF(ConActual360=1,ConRate*DQ$25/360,ConRate/12),0)</f>
        <v/>
      </c>
      <c r="DR30" s="49">
        <f>IF('Timeline'!DR$41=1,IF(ConActual360=1,ConRate*DR$25/360,ConRate/12),0)</f>
        <v/>
      </c>
      <c r="DS30" s="49">
        <f>IF('Timeline'!DS$41=1,IF(ConActual360=1,ConRate*DS$25/360,ConRate/12),0)</f>
        <v/>
      </c>
      <c r="DT30" s="49">
        <f>IF('Timeline'!DT$41=1,IF(ConActual360=1,ConRate*DT$25/360,ConRate/12),0)</f>
        <v/>
      </c>
      <c r="DU30" s="49">
        <f>IF('Timeline'!DU$41=1,IF(ConActual360=1,ConRate*DU$25/360,ConRate/12),0)</f>
        <v/>
      </c>
      <c r="DV30" s="49">
        <f>IF('Timeline'!DV$41=1,IF(ConActual360=1,ConRate*DV$25/360,ConRate/12),0)</f>
        <v/>
      </c>
      <c r="DW30" s="49">
        <f>IF('Timeline'!DW$41=1,IF(ConActual360=1,ConRate*DW$25/360,ConRate/12),0)</f>
        <v/>
      </c>
      <c r="DX30" s="49">
        <f>IF('Timeline'!DX$41=1,IF(ConActual360=1,ConRate*DX$25/360,ConRate/12),0)</f>
        <v/>
      </c>
      <c r="DY30" s="49">
        <f>IF('Timeline'!DY$41=1,IF(ConActual360=1,ConRate*DY$25/360,ConRate/12),0)</f>
        <v/>
      </c>
      <c r="DZ30" s="49">
        <f>IF('Timeline'!DZ$41=1,IF(ConActual360=1,ConRate*DZ$25/360,ConRate/12),0)</f>
        <v/>
      </c>
      <c r="EA30" s="49">
        <f>IF('Timeline'!EA$41=1,IF(ConActual360=1,ConRate*EA$25/360,ConRate/12),0)</f>
        <v/>
      </c>
      <c r="EB30" s="49">
        <f>IF('Timeline'!EB$41=1,IF(ConActual360=1,ConRate*EB$25/360,ConRate/12),0)</f>
        <v/>
      </c>
      <c r="EC30" s="49">
        <f>IF('Timeline'!EC$41=1,IF(ConActual360=1,ConRate*EC$25/360,ConRate/12),0)</f>
        <v/>
      </c>
      <c r="ED30" s="49">
        <f>IF('Timeline'!ED$41=1,IF(ConActual360=1,ConRate*ED$25/360,ConRate/12),0)</f>
        <v/>
      </c>
      <c r="EE30" s="49">
        <f>IF('Timeline'!EE$41=1,IF(ConActual360=1,ConRate*EE$25/360,ConRate/12),0)</f>
        <v/>
      </c>
      <c r="EF30" s="49">
        <f>IF('Timeline'!EF$41=1,IF(ConActual360=1,ConRate*EF$25/360,ConRate/12),0)</f>
        <v/>
      </c>
      <c r="EG30" s="49">
        <f>IF('Timeline'!EG$41=1,IF(ConActual360=1,ConRate*EG$25/360,ConRate/12),0)</f>
        <v/>
      </c>
      <c r="EH30" s="49">
        <f>IF('Timeline'!EH$41=1,IF(ConActual360=1,ConRate*EH$25/360,ConRate/12),0)</f>
        <v/>
      </c>
      <c r="EI30" s="49">
        <f>IF('Timeline'!EI$41=1,IF(ConActual360=1,ConRate*EI$25/360,ConRate/12),0)</f>
        <v/>
      </c>
      <c r="EJ30" s="49">
        <f>IF('Timeline'!EJ$41=1,IF(ConActual360=1,ConRate*EJ$25/360,ConRate/12),0)</f>
        <v/>
      </c>
      <c r="EK30" s="49">
        <f>IF('Timeline'!EK$41=1,IF(ConActual360=1,ConRate*EK$25/360,ConRate/12),0)</f>
        <v/>
      </c>
      <c r="EL30" s="49">
        <f>IF('Timeline'!EL$41=1,IF(ConActual360=1,ConRate*EL$25/360,ConRate/12),0)</f>
        <v/>
      </c>
      <c r="EM30" s="49">
        <f>IF('Timeline'!EM$41=1,IF(ConActual360=1,ConRate*EM$25/360,ConRate/12),0)</f>
        <v/>
      </c>
      <c r="EN30" s="49">
        <f>IF('Timeline'!EN$41=1,IF(ConActual360=1,ConRate*EN$25/360,ConRate/12),0)</f>
        <v/>
      </c>
      <c r="EO30" s="49">
        <f>IF('Timeline'!EO$41=1,IF(ConActual360=1,ConRate*EO$25/360,ConRate/12),0)</f>
        <v/>
      </c>
      <c r="EP30" s="49">
        <f>IF('Timeline'!EP$41=1,IF(ConActual360=1,ConRate*EP$25/360,ConRate/12),0)</f>
        <v/>
      </c>
      <c r="EQ30" s="49">
        <f>IF('Timeline'!EQ$41=1,IF(ConActual360=1,ConRate*EQ$25/360,ConRate/12),0)</f>
        <v/>
      </c>
      <c r="ER30" s="49">
        <f>IF('Timeline'!ER$41=1,IF(ConActual360=1,ConRate*ER$25/360,ConRate/12),0)</f>
        <v/>
      </c>
      <c r="ES30" s="49">
        <f>IF('Timeline'!ES$41=1,IF(ConActual360=1,ConRate*ES$25/360,ConRate/12),0)</f>
        <v/>
      </c>
      <c r="ET30" s="49">
        <f>IF('Timeline'!ET$41=1,IF(ConActual360=1,ConRate*ET$25/360,ConRate/12),0)</f>
        <v/>
      </c>
      <c r="EU30" s="49">
        <f>IF('Timeline'!EU$41=1,IF(ConActual360=1,ConRate*EU$25/360,ConRate/12),0)</f>
        <v/>
      </c>
      <c r="EV30" s="49">
        <f>IF('Timeline'!EV$41=1,IF(ConActual360=1,ConRate*EV$25/360,ConRate/12),0)</f>
        <v/>
      </c>
      <c r="EW30" s="49">
        <f>IF('Timeline'!EW$41=1,IF(ConActual360=1,ConRate*EW$25/360,ConRate/12),0)</f>
        <v/>
      </c>
      <c r="EX30" s="49">
        <f>IF('Timeline'!EX$41=1,IF(ConActual360=1,ConRate*EX$25/360,ConRate/12),0)</f>
        <v/>
      </c>
      <c r="EY30" s="49">
        <f>IF('Timeline'!EY$41=1,IF(ConActual360=1,ConRate*EY$25/360,ConRate/12),0)</f>
        <v/>
      </c>
      <c r="EZ30" s="49">
        <f>IF('Timeline'!EZ$41=1,IF(ConActual360=1,ConRate*EZ$25/360,ConRate/12),0)</f>
        <v/>
      </c>
      <c r="FA30" s="49">
        <f>IF('Timeline'!FA$41=1,IF(ConActual360=1,ConRate*FA$25/360,ConRate/12),0)</f>
        <v/>
      </c>
      <c r="FB30" s="49">
        <f>IF('Timeline'!FB$41=1,IF(ConActual360=1,ConRate*FB$25/360,ConRate/12),0)</f>
        <v/>
      </c>
      <c r="FC30" s="49">
        <f>IF('Timeline'!FC$41=1,IF(ConActual360=1,ConRate*FC$25/360,ConRate/12),0)</f>
        <v/>
      </c>
      <c r="FD30" s="49">
        <f>IF('Timeline'!FD$41=1,IF(ConActual360=1,ConRate*FD$25/360,ConRate/12),0)</f>
        <v/>
      </c>
      <c r="FE30" s="49">
        <f>IF('Timeline'!FE$41=1,IF(ConActual360=1,ConRate*FE$25/360,ConRate/12),0)</f>
        <v/>
      </c>
      <c r="FF30" s="49">
        <f>IF('Timeline'!FF$41=1,IF(ConActual360=1,ConRate*FF$25/360,ConRate/12),0)</f>
        <v/>
      </c>
      <c r="FG30" s="49">
        <f>IF('Timeline'!FG$41=1,IF(ConActual360=1,ConRate*FG$25/360,ConRate/12),0)</f>
        <v/>
      </c>
      <c r="FH30" s="49">
        <f>IF('Timeline'!FH$41=1,IF(ConActual360=1,ConRate*FH$25/360,ConRate/12),0)</f>
        <v/>
      </c>
      <c r="FI30" s="49">
        <f>IF('Timeline'!FI$41=1,IF(ConActual360=1,ConRate*FI$25/360,ConRate/12),0)</f>
        <v/>
      </c>
      <c r="FJ30" s="49">
        <f>IF('Timeline'!FJ$41=1,IF(ConActual360=1,ConRate*FJ$25/360,ConRate/12),0)</f>
        <v/>
      </c>
      <c r="FK30" s="49">
        <f>IF('Timeline'!FK$41=1,IF(ConActual360=1,ConRate*FK$25/360,ConRate/12),0)</f>
        <v/>
      </c>
      <c r="FL30" s="49">
        <f>IF('Timeline'!FL$41=1,IF(ConActual360=1,ConRate*FL$25/360,ConRate/12),0)</f>
        <v/>
      </c>
      <c r="FM30" s="49">
        <f>IF('Timeline'!FM$41=1,IF(ConActual360=1,ConRate*FM$25/360,ConRate/12),0)</f>
        <v/>
      </c>
      <c r="FN30" s="49">
        <f>IF('Timeline'!FN$41=1,IF(ConActual360=1,ConRate*FN$25/360,ConRate/12),0)</f>
        <v/>
      </c>
      <c r="FO30" s="49">
        <f>IF('Timeline'!FO$41=1,IF(ConActual360=1,ConRate*FO$25/360,ConRate/12),0)</f>
        <v/>
      </c>
      <c r="FP30" s="49">
        <f>IF('Timeline'!FP$41=1,IF(ConActual360=1,ConRate*FP$25/360,ConRate/12),0)</f>
        <v/>
      </c>
      <c r="FQ30" s="49">
        <f>IF('Timeline'!FQ$41=1,IF(ConActual360=1,ConRate*FQ$25/360,ConRate/12),0)</f>
        <v/>
      </c>
      <c r="FR30" s="49">
        <f>IF('Timeline'!FR$41=1,IF(ConActual360=1,ConRate*FR$25/360,ConRate/12),0)</f>
        <v/>
      </c>
      <c r="FS30" s="49">
        <f>IF('Timeline'!FS$41=1,IF(ConActual360=1,ConRate*FS$25/360,ConRate/12),0)</f>
        <v/>
      </c>
      <c r="FT30" s="49">
        <f>IF('Timeline'!FT$41=1,IF(ConActual360=1,ConRate*FT$25/360,ConRate/12),0)</f>
        <v/>
      </c>
      <c r="FU30" s="49">
        <f>IF('Timeline'!FU$41=1,IF(ConActual360=1,ConRate*FU$25/360,ConRate/12),0)</f>
        <v/>
      </c>
      <c r="FV30" s="49">
        <f>IF('Timeline'!FV$41=1,IF(ConActual360=1,ConRate*FV$25/360,ConRate/12),0)</f>
        <v/>
      </c>
      <c r="FW30" s="49">
        <f>IF('Timeline'!FW$41=1,IF(ConActual360=1,ConRate*FW$25/360,ConRate/12),0)</f>
        <v/>
      </c>
      <c r="FX30" s="49">
        <f>IF('Timeline'!FX$41=1,IF(ConActual360=1,ConRate*FX$25/360,ConRate/12),0)</f>
        <v/>
      </c>
      <c r="FY30" s="49">
        <f>IF('Timeline'!FY$41=1,IF(ConActual360=1,ConRate*FY$25/360,ConRate/12),0)</f>
        <v/>
      </c>
      <c r="FZ30" s="49">
        <f>IF('Timeline'!FZ$41=1,IF(ConActual360=1,ConRate*FZ$25/360,ConRate/12),0)</f>
        <v/>
      </c>
      <c r="GA30" s="49">
        <f>IF('Timeline'!GA$41=1,IF(ConActual360=1,ConRate*GA$25/360,ConRate/12),0)</f>
        <v/>
      </c>
      <c r="GB30" s="49">
        <f>IF('Timeline'!GB$41=1,IF(ConActual360=1,ConRate*GB$25/360,ConRate/12),0)</f>
        <v/>
      </c>
      <c r="GC30" s="49">
        <f>IF('Timeline'!GC$41=1,IF(ConActual360=1,ConRate*GC$25/360,ConRate/12),0)</f>
        <v/>
      </c>
      <c r="GD30" s="49">
        <f>IF('Timeline'!GD$41=1,IF(ConActual360=1,ConRate*GD$25/360,ConRate/12),0)</f>
        <v/>
      </c>
      <c r="GE30" s="49">
        <f>IF('Timeline'!GE$41=1,IF(ConActual360=1,ConRate*GE$25/360,ConRate/12),0)</f>
        <v/>
      </c>
      <c r="GF30" s="49">
        <f>IF('Timeline'!GF$41=1,IF(ConActual360=1,ConRate*GF$25/360,ConRate/12),0)</f>
        <v/>
      </c>
      <c r="GG30" s="49">
        <f>IF('Timeline'!GG$41=1,IF(ConActual360=1,ConRate*GG$25/360,ConRate/12),0)</f>
        <v/>
      </c>
      <c r="GH30" s="49">
        <f>IF('Timeline'!GH$41=1,IF(ConActual360=1,ConRate*GH$25/360,ConRate/12),0)</f>
        <v/>
      </c>
      <c r="GI30" s="49">
        <f>IF('Timeline'!GI$41=1,IF(ConActual360=1,ConRate*GI$25/360,ConRate/12),0)</f>
        <v/>
      </c>
      <c r="GJ30" s="49">
        <f>IF('Timeline'!GJ$41=1,IF(ConActual360=1,ConRate*GJ$25/360,ConRate/12),0)</f>
        <v/>
      </c>
      <c r="GK30" s="49">
        <f>IF('Timeline'!GK$41=1,IF(ConActual360=1,ConRate*GK$25/360,ConRate/12),0)</f>
        <v/>
      </c>
      <c r="GL30" s="49">
        <f>IF('Timeline'!GL$41=1,IF(ConActual360=1,ConRate*GL$25/360,ConRate/12),0)</f>
        <v/>
      </c>
      <c r="GM30" s="49">
        <f>IF('Timeline'!GM$41=1,IF(ConActual360=1,ConRate*GM$25/360,ConRate/12),0)</f>
        <v/>
      </c>
      <c r="GN30" s="49">
        <f>IF('Timeline'!GN$41=1,IF(ConActual360=1,ConRate*GN$25/360,ConRate/12),0)</f>
        <v/>
      </c>
      <c r="GO30" s="49">
        <f>IF('Timeline'!GO$41=1,IF(ConActual360=1,ConRate*GO$25/360,ConRate/12),0)</f>
        <v/>
      </c>
      <c r="GP30" s="49">
        <f>IF('Timeline'!GP$41=1,IF(ConActual360=1,ConRate*GP$25/360,ConRate/12),0)</f>
        <v/>
      </c>
      <c r="GQ30" s="49">
        <f>IF('Timeline'!GQ$41=1,IF(ConActual360=1,ConRate*GQ$25/360,ConRate/12),0)</f>
        <v/>
      </c>
      <c r="GR30" s="49">
        <f>IF('Timeline'!GR$41=1,IF(ConActual360=1,ConRate*GR$25/360,ConRate/12),0)</f>
        <v/>
      </c>
      <c r="GS30" s="49">
        <f>IF('Timeline'!GS$41=1,IF(ConActual360=1,ConRate*GS$25/360,ConRate/12),0)</f>
        <v/>
      </c>
      <c r="GT30" s="49">
        <f>IF('Timeline'!GT$41=1,IF(ConActual360=1,ConRate*GT$25/360,ConRate/12),0)</f>
        <v/>
      </c>
      <c r="GU30" s="49">
        <f>IF('Timeline'!GU$41=1,IF(ConActual360=1,ConRate*GU$25/360,ConRate/12),0)</f>
        <v/>
      </c>
      <c r="GV30" s="49">
        <f>IF('Timeline'!GV$41=1,IF(ConActual360=1,ConRate*GV$25/360,ConRate/12),0)</f>
        <v/>
      </c>
      <c r="GW30" s="49">
        <f>IF('Timeline'!GW$41=1,IF(ConActual360=1,ConRate*GW$25/360,ConRate/12),0)</f>
        <v/>
      </c>
      <c r="GX30" s="49">
        <f>IF('Timeline'!GX$41=1,IF(ConActual360=1,ConRate*GX$25/360,ConRate/12),0)</f>
        <v/>
      </c>
      <c r="GY30" s="49">
        <f>IF('Timeline'!GY$41=1,IF(ConActual360=1,ConRate*GY$25/360,ConRate/12),0)</f>
        <v/>
      </c>
      <c r="GZ30" s="49">
        <f>IF('Timeline'!GZ$41=1,IF(ConActual360=1,ConRate*GZ$25/360,ConRate/12),0)</f>
        <v/>
      </c>
      <c r="HA30" s="49">
        <f>IF('Timeline'!HA$41=1,IF(ConActual360=1,ConRate*HA$25/360,ConRate/12),0)</f>
        <v/>
      </c>
      <c r="HB30" s="49">
        <f>IF('Timeline'!HB$41=1,IF(ConActual360=1,ConRate*HB$25/360,ConRate/12),0)</f>
        <v/>
      </c>
      <c r="HC30" s="49">
        <f>IF('Timeline'!HC$41=1,IF(ConActual360=1,ConRate*HC$25/360,ConRate/12),0)</f>
        <v/>
      </c>
      <c r="HD30" s="49">
        <f>IF('Timeline'!HD$41=1,IF(ConActual360=1,ConRate*HD$25/360,ConRate/12),0)</f>
        <v/>
      </c>
      <c r="HE30" s="49">
        <f>IF('Timeline'!HE$41=1,IF(ConActual360=1,ConRate*HE$25/360,ConRate/12),0)</f>
        <v/>
      </c>
      <c r="HF30" s="49">
        <f>IF('Timeline'!HF$41=1,IF(ConActual360=1,ConRate*HF$25/360,ConRate/12),0)</f>
        <v/>
      </c>
      <c r="HG30" s="49">
        <f>IF('Timeline'!HG$41=1,IF(ConActual360=1,ConRate*HG$25/360,ConRate/12),0)</f>
        <v/>
      </c>
      <c r="HH30" s="49">
        <f>IF('Timeline'!HH$41=1,IF(ConActual360=1,ConRate*HH$25/360,ConRate/12),0)</f>
        <v/>
      </c>
      <c r="HI30" s="49">
        <f>IF('Timeline'!HI$41=1,IF(ConActual360=1,ConRate*HI$25/360,ConRate/12),0)</f>
        <v/>
      </c>
      <c r="HJ30" s="49">
        <f>IF('Timeline'!HJ$41=1,IF(ConActual360=1,ConRate*HJ$25/360,ConRate/12),0)</f>
        <v/>
      </c>
      <c r="HK30" s="49">
        <f>IF('Timeline'!HK$41=1,IF(ConActual360=1,ConRate*HK$25/360,ConRate/12),0)</f>
        <v/>
      </c>
      <c r="HL30" s="49">
        <f>IF('Timeline'!HL$41=1,IF(ConActual360=1,ConRate*HL$25/360,ConRate/12),0)</f>
        <v/>
      </c>
      <c r="HM30" s="49">
        <f>IF('Timeline'!HM$41=1,IF(ConActual360=1,ConRate*HM$25/360,ConRate/12),0)</f>
        <v/>
      </c>
      <c r="HN30" s="49">
        <f>IF('Timeline'!HN$41=1,IF(ConActual360=1,ConRate*HN$25/360,ConRate/12),0)</f>
        <v/>
      </c>
      <c r="HO30" s="49">
        <f>IF('Timeline'!HO$41=1,IF(ConActual360=1,ConRate*HO$25/360,ConRate/12),0)</f>
        <v/>
      </c>
      <c r="HP30" s="49">
        <f>IF('Timeline'!HP$41=1,IF(ConActual360=1,ConRate*HP$25/360,ConRate/12),0)</f>
        <v/>
      </c>
      <c r="HQ30" s="49">
        <f>IF('Timeline'!HQ$41=1,IF(ConActual360=1,ConRate*HQ$25/360,ConRate/12),0)</f>
        <v/>
      </c>
      <c r="HR30" s="49">
        <f>IF('Timeline'!HR$41=1,IF(ConActual360=1,ConRate*HR$25/360,ConRate/12),0)</f>
        <v/>
      </c>
      <c r="HS30" s="49">
        <f>IF('Timeline'!HS$41=1,IF(ConActual360=1,ConRate*HS$25/360,ConRate/12),0)</f>
        <v/>
      </c>
      <c r="HT30" s="49">
        <f>IF('Timeline'!HT$41=1,IF(ConActual360=1,ConRate*HT$25/360,ConRate/12),0)</f>
        <v/>
      </c>
      <c r="HU30" s="49">
        <f>IF('Timeline'!HU$41=1,IF(ConActual360=1,ConRate*HU$25/360,ConRate/12),0)</f>
        <v/>
      </c>
      <c r="HV30" s="49">
        <f>IF('Timeline'!HV$41=1,IF(ConActual360=1,ConRate*HV$25/360,ConRate/12),0)</f>
        <v/>
      </c>
      <c r="HW30" s="49">
        <f>IF('Timeline'!HW$41=1,IF(ConActual360=1,ConRate*HW$25/360,ConRate/12),0)</f>
        <v/>
      </c>
      <c r="HX30" s="49">
        <f>IF('Timeline'!HX$41=1,IF(ConActual360=1,ConRate*HX$25/360,ConRate/12),0)</f>
        <v/>
      </c>
      <c r="HY30" s="49">
        <f>IF('Timeline'!HY$41=1,IF(ConActual360=1,ConRate*HY$25/360,ConRate/12),0)</f>
        <v/>
      </c>
      <c r="HZ30" s="49">
        <f>IF('Timeline'!HZ$41=1,IF(ConActual360=1,ConRate*HZ$25/360,ConRate/12),0)</f>
        <v/>
      </c>
      <c r="IA30" s="49">
        <f>IF('Timeline'!IA$41=1,IF(ConActual360=1,ConRate*IA$25/360,ConRate/12),0)</f>
        <v/>
      </c>
      <c r="IB30" s="49">
        <f>IF('Timeline'!IB$41=1,IF(ConActual360=1,ConRate*IB$25/360,ConRate/12),0)</f>
        <v/>
      </c>
      <c r="IC30" s="49">
        <f>IF('Timeline'!IC$41=1,IF(ConActual360=1,ConRate*IC$25/360,ConRate/12),0)</f>
        <v/>
      </c>
      <c r="ID30" s="49">
        <f>IF('Timeline'!ID$41=1,IF(ConActual360=1,ConRate*ID$25/360,ConRate/12),0)</f>
        <v/>
      </c>
      <c r="IE30" s="49">
        <f>IF('Timeline'!IE$41=1,IF(ConActual360=1,ConRate*IE$25/360,ConRate/12),0)</f>
        <v/>
      </c>
      <c r="IF30" s="49">
        <f>IF('Timeline'!IF$41=1,IF(ConActual360=1,ConRate*IF$25/360,ConRate/12),0)</f>
        <v/>
      </c>
      <c r="IG30" s="49">
        <f>IF('Timeline'!IG$41=1,IF(ConActual360=1,ConRate*IG$25/360,ConRate/12),0)</f>
        <v/>
      </c>
      <c r="IH30" s="49">
        <f>IF('Timeline'!IH$41=1,IF(ConActual360=1,ConRate*IH$25/360,ConRate/12),0)</f>
        <v/>
      </c>
      <c r="II30" s="49">
        <f>IF('Timeline'!II$41=1,IF(ConActual360=1,ConRate*II$25/360,ConRate/12),0)</f>
        <v/>
      </c>
      <c r="IJ30" s="49">
        <f>IF('Timeline'!IJ$41=1,IF(ConActual360=1,ConRate*IJ$25/360,ConRate/12),0)</f>
        <v/>
      </c>
      <c r="IK30" s="49">
        <f>IF('Timeline'!IK$41=1,IF(ConActual360=1,ConRate*IK$25/360,ConRate/12),0)</f>
        <v/>
      </c>
      <c r="IL30" s="49">
        <f>IF('Timeline'!IL$41=1,IF(ConActual360=1,ConRate*IL$25/360,ConRate/12),0)</f>
        <v/>
      </c>
      <c r="IM30" s="49">
        <f>IF('Timeline'!IM$41=1,IF(ConActual360=1,ConRate*IM$25/360,ConRate/12),0)</f>
        <v/>
      </c>
      <c r="IN30" s="49">
        <f>IF('Timeline'!IN$41=1,IF(ConActual360=1,ConRate*IN$25/360,ConRate/12),0)</f>
        <v/>
      </c>
      <c r="IO30" s="49">
        <f>IF('Timeline'!IO$41=1,IF(ConActual360=1,ConRate*IO$25/360,ConRate/12),0)</f>
        <v/>
      </c>
      <c r="IP30" s="49">
        <f>IF('Timeline'!IP$41=1,IF(ConActual360=1,ConRate*IP$25/360,ConRate/12),0)</f>
        <v/>
      </c>
      <c r="IQ30" s="49">
        <f>IF('Timeline'!IQ$41=1,IF(ConActual360=1,ConRate*IQ$25/360,ConRate/12),0)</f>
        <v/>
      </c>
      <c r="IR30" s="49">
        <f>IF('Timeline'!IR$41=1,IF(ConActual360=1,ConRate*IR$25/360,ConRate/12),0)</f>
        <v/>
      </c>
      <c r="IS30" s="49">
        <f>IF('Timeline'!IS$41=1,IF(ConActual360=1,ConRate*IS$25/360,ConRate/12),0)</f>
        <v/>
      </c>
      <c r="IT30" s="49">
        <f>IF('Timeline'!IT$41=1,IF(ConActual360=1,ConRate*IT$25/360,ConRate/12),0)</f>
        <v/>
      </c>
      <c r="IU30" s="49">
        <f>IF('Timeline'!IU$41=1,IF(ConActual360=1,ConRate*IU$25/360,ConRate/12),0)</f>
        <v/>
      </c>
      <c r="IV30" s="49">
        <f>IF('Timeline'!IV$41=1,IF(ConActual360=1,ConRate*IV$25/360,ConRate/12),0)</f>
        <v/>
      </c>
      <c r="IW30" s="49">
        <f>IF('Timeline'!IW$41=1,IF(ConActual360=1,ConRate*IW$25/360,ConRate/12),0)</f>
        <v/>
      </c>
      <c r="IX30" s="49">
        <f>IF('Timeline'!IX$41=1,IF(ConActual360=1,ConRate*IX$25/360,ConRate/12),0)</f>
        <v/>
      </c>
      <c r="IY30" s="49">
        <f>IF('Timeline'!IY$41=1,IF(ConActual360=1,ConRate*IY$25/360,ConRate/12),0)</f>
        <v/>
      </c>
      <c r="IZ30" s="49">
        <f>IF('Timeline'!IZ$41=1,IF(ConActual360=1,ConRate*IZ$25/360,ConRate/12),0)</f>
        <v/>
      </c>
      <c r="JA30" s="49">
        <f>IF('Timeline'!JA$41=1,IF(ConActual360=1,ConRate*JA$25/360,ConRate/12),0)</f>
        <v/>
      </c>
      <c r="JB30" s="49">
        <f>IF('Timeline'!JB$41=1,IF(ConActual360=1,ConRate*JB$25/360,ConRate/12),0)</f>
        <v/>
      </c>
      <c r="JC30" s="49">
        <f>IF('Timeline'!JC$41=1,IF(ConActual360=1,ConRate*JC$25/360,ConRate/12),0)</f>
        <v/>
      </c>
      <c r="JD30" s="49">
        <f>IF('Timeline'!JD$41=1,IF(ConActual360=1,ConRate*JD$25/360,ConRate/12),0)</f>
        <v/>
      </c>
      <c r="JE30" s="49">
        <f>IF('Timeline'!JE$41=1,IF(ConActual360=1,ConRate*JE$25/360,ConRate/12),0)</f>
        <v/>
      </c>
      <c r="JF30" s="49">
        <f>IF('Timeline'!JF$41=1,IF(ConActual360=1,ConRate*JF$25/360,ConRate/12),0)</f>
        <v/>
      </c>
      <c r="JG30" s="49">
        <f>IF('Timeline'!JG$41=1,IF(ConActual360=1,ConRate*JG$25/360,ConRate/12),0)</f>
        <v/>
      </c>
      <c r="JH30" s="49">
        <f>IF('Timeline'!JH$41=1,IF(ConActual360=1,ConRate*JH$25/360,ConRate/12),0)</f>
        <v/>
      </c>
      <c r="JI30" s="49">
        <f>IF('Timeline'!JI$41=1,IF(ConActual360=1,ConRate*JI$25/360,ConRate/12),0)</f>
        <v/>
      </c>
      <c r="JJ30" s="49">
        <f>IF('Timeline'!JJ$41=1,IF(ConActual360=1,ConRate*JJ$25/360,ConRate/12),0)</f>
        <v/>
      </c>
      <c r="JK30" s="49">
        <f>IF('Timeline'!JK$41=1,IF(ConActual360=1,ConRate*JK$25/360,ConRate/12),0)</f>
        <v/>
      </c>
      <c r="JL30" s="49">
        <f>IF('Timeline'!JL$41=1,IF(ConActual360=1,ConRate*JL$25/360,ConRate/12),0)</f>
        <v/>
      </c>
      <c r="JM30" s="49">
        <f>IF('Timeline'!JM$41=1,IF(ConActual360=1,ConRate*JM$25/360,ConRate/12),0)</f>
        <v/>
      </c>
      <c r="JN30" s="49">
        <f>IF('Timeline'!JN$41=1,IF(ConActual360=1,ConRate*JN$25/360,ConRate/12),0)</f>
        <v/>
      </c>
      <c r="JO30" s="49">
        <f>IF('Timeline'!JO$41=1,IF(ConActual360=1,ConRate*JO$25/360,ConRate/12),0)</f>
        <v/>
      </c>
      <c r="JP30" s="49">
        <f>IF('Timeline'!JP$41=1,IF(ConActual360=1,ConRate*JP$25/360,ConRate/12),0)</f>
        <v/>
      </c>
      <c r="JQ30" s="49">
        <f>IF('Timeline'!JQ$41=1,IF(ConActual360=1,ConRate*JQ$25/360,ConRate/12),0)</f>
        <v/>
      </c>
      <c r="JR30" s="49">
        <f>IF('Timeline'!JR$41=1,IF(ConActual360=1,ConRate*JR$25/360,ConRate/12),0)</f>
        <v/>
      </c>
      <c r="JS30" s="49">
        <f>IF('Timeline'!JS$41=1,IF(ConActual360=1,ConRate*JS$25/360,ConRate/12),0)</f>
        <v/>
      </c>
      <c r="JT30" s="49">
        <f>IF('Timeline'!JT$41=1,IF(ConActual360=1,ConRate*JT$25/360,ConRate/12),0)</f>
        <v/>
      </c>
      <c r="JU30" s="49">
        <f>IF('Timeline'!JU$41=1,IF(ConActual360=1,ConRate*JU$25/360,ConRate/12),0)</f>
        <v/>
      </c>
      <c r="JV30" s="49">
        <f>IF('Timeline'!JV$41=1,IF(ConActual360=1,ConRate*JV$25/360,ConRate/12),0)</f>
        <v/>
      </c>
      <c r="JW30" s="49">
        <f>IF('Timeline'!JW$41=1,IF(ConActual360=1,ConRate*JW$25/360,ConRate/12),0)</f>
        <v/>
      </c>
      <c r="JX30" s="49">
        <f>IF('Timeline'!JX$41=1,IF(ConActual360=1,ConRate*JX$25/360,ConRate/12),0)</f>
        <v/>
      </c>
      <c r="JY30" s="49">
        <f>IF('Timeline'!JY$41=1,IF(ConActual360=1,ConRate*JY$25/360,ConRate/12),0)</f>
        <v/>
      </c>
      <c r="JZ30" s="49">
        <f>IF('Timeline'!JZ$41=1,IF(ConActual360=1,ConRate*JZ$25/360,ConRate/12),0)</f>
        <v/>
      </c>
      <c r="KA30" s="49">
        <f>IF('Timeline'!KA$41=1,IF(ConActual360=1,ConRate*KA$25/360,ConRate/12),0)</f>
        <v/>
      </c>
      <c r="KB30" s="49">
        <f>IF('Timeline'!KB$41=1,IF(ConActual360=1,ConRate*KB$25/360,ConRate/12),0)</f>
        <v/>
      </c>
      <c r="KC30" s="49">
        <f>IF('Timeline'!KC$41=1,IF(ConActual360=1,ConRate*KC$25/360,ConRate/12),0)</f>
        <v/>
      </c>
      <c r="KD30" s="49">
        <f>IF('Timeline'!KD$41=1,IF(ConActual360=1,ConRate*KD$25/360,ConRate/12),0)</f>
        <v/>
      </c>
      <c r="KE30" s="49">
        <f>IF('Timeline'!KE$41=1,IF(ConActual360=1,ConRate*KE$25/360,ConRate/12),0)</f>
        <v/>
      </c>
      <c r="KF30" s="49">
        <f>IF('Timeline'!KF$41=1,IF(ConActual360=1,ConRate*KF$25/360,ConRate/12),0)</f>
        <v/>
      </c>
      <c r="KG30" s="49">
        <f>IF('Timeline'!KG$41=1,IF(ConActual360=1,ConRate*KG$25/360,ConRate/12),0)</f>
        <v/>
      </c>
      <c r="KH30" s="49">
        <f>IF('Timeline'!KH$41=1,IF(ConActual360=1,ConRate*KH$25/360,ConRate/12),0)</f>
        <v/>
      </c>
      <c r="KI30" s="49">
        <f>IF('Timeline'!KI$41=1,IF(ConActual360=1,ConRate*KI$25/360,ConRate/12),0)</f>
        <v/>
      </c>
      <c r="KJ30" s="49">
        <f>IF('Timeline'!KJ$41=1,IF(ConActual360=1,ConRate*KJ$25/360,ConRate/12),0)</f>
        <v/>
      </c>
      <c r="KK30" s="49">
        <f>IF('Timeline'!KK$41=1,IF(ConActual360=1,ConRate*KK$25/360,ConRate/12),0)</f>
        <v/>
      </c>
      <c r="KL30" s="49">
        <f>IF('Timeline'!KL$41=1,IF(ConActual360=1,ConRate*KL$25/360,ConRate/12),0)</f>
        <v/>
      </c>
      <c r="KM30" s="49">
        <f>IF('Timeline'!KM$41=1,IF(ConActual360=1,ConRate*KM$25/360,ConRate/12),0)</f>
        <v/>
      </c>
      <c r="KN30" s="49">
        <f>IF('Timeline'!KN$41=1,IF(ConActual360=1,ConRate*KN$25/360,ConRate/12),0)</f>
        <v/>
      </c>
      <c r="KO30" s="49">
        <f>IF('Timeline'!KO$41=1,IF(ConActual360=1,ConRate*KO$25/360,ConRate/12),0)</f>
        <v/>
      </c>
      <c r="KP30" s="49">
        <f>IF('Timeline'!KP$41=1,IF(ConActual360=1,ConRate*KP$25/360,ConRate/12),0)</f>
        <v/>
      </c>
      <c r="KQ30" s="49">
        <f>IF('Timeline'!KQ$41=1,IF(ConActual360=1,ConRate*KQ$25/360,ConRate/12),0)</f>
        <v/>
      </c>
      <c r="KR30" s="49">
        <f>IF('Timeline'!KR$41=1,IF(ConActual360=1,ConRate*KR$25/360,ConRate/12),0)</f>
        <v/>
      </c>
      <c r="KS30" s="49">
        <f>IF('Timeline'!KS$41=1,IF(ConActual360=1,ConRate*KS$25/360,ConRate/12),0)</f>
        <v/>
      </c>
      <c r="KT30" s="49">
        <f>IF('Timeline'!KT$41=1,IF(ConActual360=1,ConRate*KT$25/360,ConRate/12),0)</f>
        <v/>
      </c>
      <c r="KU30" s="49">
        <f>IF('Timeline'!KU$41=1,IF(ConActual360=1,ConRate*KU$25/360,ConRate/12),0)</f>
        <v/>
      </c>
      <c r="KV30" s="49">
        <f>IF('Timeline'!KV$41=1,IF(ConActual360=1,ConRate*KV$25/360,ConRate/12),0)</f>
        <v/>
      </c>
      <c r="KW30" s="49">
        <f>IF('Timeline'!KW$41=1,IF(ConActual360=1,ConRate*KW$25/360,ConRate/12),0)</f>
        <v/>
      </c>
      <c r="KX30" s="49">
        <f>IF('Timeline'!KX$41=1,IF(ConActual360=1,ConRate*KX$25/360,ConRate/12),0)</f>
        <v/>
      </c>
      <c r="KY30" s="49">
        <f>IF('Timeline'!KY$41=1,IF(ConActual360=1,ConRate*KY$25/360,ConRate/12),0)</f>
        <v/>
      </c>
      <c r="KZ30" s="49">
        <f>IF('Timeline'!KZ$41=1,IF(ConActual360=1,ConRate*KZ$25/360,ConRate/12),0)</f>
        <v/>
      </c>
      <c r="LA30" s="49">
        <f>IF('Timeline'!LA$41=1,IF(ConActual360=1,ConRate*LA$25/360,ConRate/12),0)</f>
        <v/>
      </c>
      <c r="LB30" s="49">
        <f>IF('Timeline'!LB$41=1,IF(ConActual360=1,ConRate*LB$25/360,ConRate/12),0)</f>
        <v/>
      </c>
      <c r="LC30" s="49">
        <f>IF('Timeline'!LC$41=1,IF(ConActual360=1,ConRate*LC$25/360,ConRate/12),0)</f>
        <v/>
      </c>
      <c r="LD30" s="49">
        <f>IF('Timeline'!LD$41=1,IF(ConActual360=1,ConRate*LD$25/360,ConRate/12),0)</f>
        <v/>
      </c>
      <c r="LE30" s="49">
        <f>IF('Timeline'!LE$41=1,IF(ConActual360=1,ConRate*LE$25/360,ConRate/12),0)</f>
        <v/>
      </c>
      <c r="LF30" s="49">
        <f>IF('Timeline'!LF$41=1,IF(ConActual360=1,ConRate*LF$25/360,ConRate/12),0)</f>
        <v/>
      </c>
      <c r="LG30" s="49">
        <f>IF('Timeline'!LG$41=1,IF(ConActual360=1,ConRate*LG$25/360,ConRate/12),0)</f>
        <v/>
      </c>
      <c r="LH30" s="49">
        <f>IF('Timeline'!LH$41=1,IF(ConActual360=1,ConRate*LH$25/360,ConRate/12),0)</f>
        <v/>
      </c>
      <c r="LI30" s="49">
        <f>IF('Timeline'!LI$41=1,IF(ConActual360=1,ConRate*LI$25/360,ConRate/12),0)</f>
        <v/>
      </c>
      <c r="LJ30" s="49">
        <f>IF('Timeline'!LJ$41=1,IF(ConActual360=1,ConRate*LJ$25/360,ConRate/12),0)</f>
        <v/>
      </c>
      <c r="LK30" s="49">
        <f>IF('Timeline'!LK$41=1,IF(ConActual360=1,ConRate*LK$25/360,ConRate/12),0)</f>
        <v/>
      </c>
      <c r="LL30" s="49">
        <f>IF('Timeline'!LL$41=1,IF(ConActual360=1,ConRate*LL$25/360,ConRate/12),0)</f>
        <v/>
      </c>
      <c r="LM30" s="49">
        <f>IF('Timeline'!LM$41=1,IF(ConActual360=1,ConRate*LM$25/360,ConRate/12),0)</f>
        <v/>
      </c>
      <c r="LN30" s="49">
        <f>IF('Timeline'!LN$41=1,IF(ConActual360=1,ConRate*LN$25/360,ConRate/12),0)</f>
        <v/>
      </c>
      <c r="LO30" s="49">
        <f>IF('Timeline'!LO$41=1,IF(ConActual360=1,ConRate*LO$25/360,ConRate/12),0)</f>
        <v/>
      </c>
      <c r="LP30" s="49">
        <f>IF('Timeline'!LP$41=1,IF(ConActual360=1,ConRate*LP$25/360,ConRate/12),0)</f>
        <v/>
      </c>
      <c r="LQ30" s="49">
        <f>IF('Timeline'!LQ$41=1,IF(ConActual360=1,ConRate*LQ$25/360,ConRate/12),0)</f>
        <v/>
      </c>
      <c r="LR30" s="49">
        <f>IF('Timeline'!LR$41=1,IF(ConActual360=1,ConRate*LR$25/360,ConRate/12),0)</f>
        <v/>
      </c>
      <c r="LS30" s="49">
        <f>IF('Timeline'!LS$41=1,IF(ConActual360=1,ConRate*LS$25/360,ConRate/12),0)</f>
        <v/>
      </c>
      <c r="LT30" s="49">
        <f>IF('Timeline'!LT$41=1,IF(ConActual360=1,ConRate*LT$25/360,ConRate/12),0)</f>
        <v/>
      </c>
      <c r="LU30" s="49">
        <f>IF('Timeline'!LU$41=1,IF(ConActual360=1,ConRate*LU$25/360,ConRate/12),0)</f>
        <v/>
      </c>
      <c r="LV30" s="49">
        <f>IF('Timeline'!LV$41=1,IF(ConActual360=1,ConRate*LV$25/360,ConRate/12),0)</f>
        <v/>
      </c>
      <c r="LW30" s="49">
        <f>IF('Timeline'!LW$41=1,IF(ConActual360=1,ConRate*LW$25/360,ConRate/12),0)</f>
        <v/>
      </c>
      <c r="LX30" s="49">
        <f>IF('Timeline'!LX$41=1,IF(ConActual360=1,ConRate*LX$25/360,ConRate/12),0)</f>
        <v/>
      </c>
      <c r="LY30" s="49">
        <f>IF('Timeline'!LY$41=1,IF(ConActual360=1,ConRate*LY$25/360,ConRate/12),0)</f>
        <v/>
      </c>
      <c r="LZ30" s="49">
        <f>IF('Timeline'!LZ$41=1,IF(ConActual360=1,ConRate*LZ$25/360,ConRate/12),0)</f>
        <v/>
      </c>
      <c r="MA30" s="49">
        <f>IF('Timeline'!MA$41=1,IF(ConActual360=1,ConRate*MA$25/360,ConRate/12),0)</f>
        <v/>
      </c>
      <c r="MB30" s="49">
        <f>IF('Timeline'!MB$41=1,IF(ConActual360=1,ConRate*MB$25/360,ConRate/12),0)</f>
        <v/>
      </c>
      <c r="MC30" s="49">
        <f>IF('Timeline'!MC$41=1,IF(ConActual360=1,ConRate*MC$25/360,ConRate/12),0)</f>
        <v/>
      </c>
      <c r="MD30" s="49">
        <f>IF('Timeline'!MD$41=1,IF(ConActual360=1,ConRate*MD$25/360,ConRate/12),0)</f>
        <v/>
      </c>
      <c r="ME30" s="49">
        <f>IF('Timeline'!ME$41=1,IF(ConActual360=1,ConRate*ME$25/360,ConRate/12),0)</f>
        <v/>
      </c>
      <c r="MF30" s="49">
        <f>IF('Timeline'!MF$41=1,IF(ConActual360=1,ConRate*MF$25/360,ConRate/12),0)</f>
        <v/>
      </c>
      <c r="MG30" s="49">
        <f>IF('Timeline'!MG$41=1,IF(ConActual360=1,ConRate*MG$25/360,ConRate/12),0)</f>
        <v/>
      </c>
      <c r="MH30" s="49">
        <f>IF('Timeline'!MH$41=1,IF(ConActual360=1,ConRate*MH$25/360,ConRate/12),0)</f>
        <v/>
      </c>
      <c r="MI30" s="49">
        <f>IF('Timeline'!MI$41=1,IF(ConActual360=1,ConRate*MI$25/360,ConRate/12),0)</f>
        <v/>
      </c>
      <c r="MJ30" s="49">
        <f>IF('Timeline'!MJ$41=1,IF(ConActual360=1,ConRate*MJ$25/360,ConRate/12),0)</f>
        <v/>
      </c>
      <c r="MK30" s="49">
        <f>IF('Timeline'!MK$41=1,IF(ConActual360=1,ConRate*MK$25/360,ConRate/12),0)</f>
        <v/>
      </c>
      <c r="ML30" s="49">
        <f>IF('Timeline'!ML$41=1,IF(ConActual360=1,ConRate*ML$25/360,ConRate/12),0)</f>
        <v/>
      </c>
      <c r="MM30" s="49">
        <f>IF('Timeline'!MM$41=1,IF(ConActual360=1,ConRate*MM$25/360,ConRate/12),0)</f>
        <v/>
      </c>
      <c r="MN30" s="49">
        <f>IF('Timeline'!MN$41=1,IF(ConActual360=1,ConRate*MN$25/360,ConRate/12),0)</f>
        <v/>
      </c>
      <c r="MO30" s="49">
        <f>IF('Timeline'!MO$41=1,IF(ConActual360=1,ConRate*MO$25/360,ConRate/12),0)</f>
        <v/>
      </c>
      <c r="MP30" s="49">
        <f>IF('Timeline'!MP$41=1,IF(ConActual360=1,ConRate*MP$25/360,ConRate/12),0)</f>
        <v/>
      </c>
      <c r="MQ30" s="49">
        <f>IF('Timeline'!MQ$41=1,IF(ConActual360=1,ConRate*MQ$25/360,ConRate/12),0)</f>
        <v/>
      </c>
      <c r="MR30" s="49">
        <f>IF('Timeline'!MR$41=1,IF(ConActual360=1,ConRate*MR$25/360,ConRate/12),0)</f>
        <v/>
      </c>
      <c r="MS30" s="49">
        <f>IF('Timeline'!MS$41=1,IF(ConActual360=1,ConRate*MS$25/360,ConRate/12),0)</f>
        <v/>
      </c>
      <c r="MT30" s="49">
        <f>IF('Timeline'!MT$41=1,IF(ConActual360=1,ConRate*MT$25/360,ConRate/12),0)</f>
        <v/>
      </c>
      <c r="MU30" s="49">
        <f>IF('Timeline'!MU$41=1,IF(ConActual360=1,ConRate*MU$25/360,ConRate/12),0)</f>
        <v/>
      </c>
      <c r="MV30" s="49">
        <f>IF('Timeline'!MV$41=1,IF(ConActual360=1,ConRate*MV$25/360,ConRate/12),0)</f>
        <v/>
      </c>
      <c r="MW30" s="49">
        <f>IF('Timeline'!MW$41=1,IF(ConActual360=1,ConRate*MW$25/360,ConRate/12),0)</f>
        <v/>
      </c>
      <c r="MX30" s="49">
        <f>IF('Timeline'!MX$41=1,IF(ConActual360=1,ConRate*MX$25/360,ConRate/12),0)</f>
        <v/>
      </c>
      <c r="MY30" s="49">
        <f>IF('Timeline'!MY$41=1,IF(ConActual360=1,ConRate*MY$25/360,ConRate/12),0)</f>
        <v/>
      </c>
      <c r="MZ30" s="49">
        <f>IF('Timeline'!MZ$41=1,IF(ConActual360=1,ConRate*MZ$25/360,ConRate/12),0)</f>
        <v/>
      </c>
      <c r="NA30" s="49">
        <f>IF('Timeline'!NA$41=1,IF(ConActual360=1,ConRate*NA$25/360,ConRate/12),0)</f>
        <v/>
      </c>
      <c r="NB30" s="49">
        <f>IF('Timeline'!NB$41=1,IF(ConActual360=1,ConRate*NB$25/360,ConRate/12),0)</f>
        <v/>
      </c>
      <c r="NC30" s="49">
        <f>IF('Timeline'!NC$41=1,IF(ConActual360=1,ConRate*NC$25/360,ConRate/12),0)</f>
        <v/>
      </c>
      <c r="ND30" s="49">
        <f>IF('Timeline'!ND$41=1,IF(ConActual360=1,ConRate*ND$25/360,ConRate/12),0)</f>
        <v/>
      </c>
      <c r="NE30" s="49">
        <f>IF('Timeline'!NE$41=1,IF(ConActual360=1,ConRate*NE$25/360,ConRate/12),0)</f>
        <v/>
      </c>
      <c r="NF30" s="49">
        <f>IF('Timeline'!NF$41=1,IF(ConActual360=1,ConRate*NF$25/360,ConRate/12),0)</f>
        <v/>
      </c>
      <c r="NG30" s="49">
        <f>IF('Timeline'!NG$41=1,IF(ConActual360=1,ConRate*NG$25/360,ConRate/12),0)</f>
        <v/>
      </c>
      <c r="NH30" s="49">
        <f>IF('Timeline'!NH$41=1,IF(ConActual360=1,ConRate*NH$25/360,ConRate/12),0)</f>
        <v/>
      </c>
      <c r="NI30" s="49">
        <f>IF('Timeline'!NI$41=1,IF(ConActual360=1,ConRate*NI$25/360,ConRate/12),0)</f>
        <v/>
      </c>
      <c r="NJ30" s="49">
        <f>IF('Timeline'!NJ$41=1,IF(ConActual360=1,ConRate*NJ$25/360,ConRate/12),0)</f>
        <v/>
      </c>
      <c r="NK30" s="49">
        <f>IF('Timeline'!NK$41=1,IF(ConActual360=1,ConRate*NK$25/360,ConRate/12),0)</f>
        <v/>
      </c>
    </row>
    <row r="31">
      <c r="A31" s="5" t="inlineStr">
        <is>
          <t>Interest Accrued (capitalized)</t>
        </is>
      </c>
      <c r="C31" s="41">
        <f>SUM(D31:NK31)</f>
        <v/>
      </c>
      <c r="D31" s="18">
        <f>D$30*(0)</f>
        <v/>
      </c>
      <c r="E31" s="18">
        <f>E$30*(D$32)</f>
        <v/>
      </c>
      <c r="F31" s="18">
        <f>F$30*(E$32)</f>
        <v/>
      </c>
      <c r="G31" s="18">
        <f>G$30*(F$32)</f>
        <v/>
      </c>
      <c r="H31" s="18">
        <f>H$30*(G$32)</f>
        <v/>
      </c>
      <c r="I31" s="18">
        <f>I$30*(H$32)</f>
        <v/>
      </c>
      <c r="J31" s="18">
        <f>J$30*(I$32)</f>
        <v/>
      </c>
      <c r="K31" s="18">
        <f>K$30*(J$32)</f>
        <v/>
      </c>
      <c r="L31" s="18">
        <f>L$30*(K$32)</f>
        <v/>
      </c>
      <c r="M31" s="18">
        <f>M$30*(L$32)</f>
        <v/>
      </c>
      <c r="N31" s="18">
        <f>N$30*(M$32)</f>
        <v/>
      </c>
      <c r="O31" s="18">
        <f>O$30*(N$32)</f>
        <v/>
      </c>
      <c r="P31" s="18">
        <f>P$30*(O$32)</f>
        <v/>
      </c>
      <c r="Q31" s="18">
        <f>Q$30*(P$32)</f>
        <v/>
      </c>
      <c r="R31" s="18">
        <f>R$30*(Q$32)</f>
        <v/>
      </c>
      <c r="S31" s="18">
        <f>S$30*(R$32)</f>
        <v/>
      </c>
      <c r="T31" s="18">
        <f>T$30*(S$32)</f>
        <v/>
      </c>
      <c r="U31" s="18">
        <f>U$30*(T$32)</f>
        <v/>
      </c>
      <c r="V31" s="18">
        <f>V$30*(U$32)</f>
        <v/>
      </c>
      <c r="W31" s="18">
        <f>W$30*(V$32)</f>
        <v/>
      </c>
      <c r="X31" s="18">
        <f>X$30*(W$32)</f>
        <v/>
      </c>
      <c r="Y31" s="18">
        <f>Y$30*(X$32)</f>
        <v/>
      </c>
      <c r="Z31" s="18">
        <f>Z$30*(Y$32)</f>
        <v/>
      </c>
      <c r="AA31" s="18">
        <f>AA$30*(Z$32)</f>
        <v/>
      </c>
      <c r="AB31" s="18">
        <f>AB$30*(AA$32)</f>
        <v/>
      </c>
      <c r="AC31" s="18">
        <f>AC$30*(AB$32)</f>
        <v/>
      </c>
      <c r="AD31" s="18">
        <f>AD$30*(AC$32)</f>
        <v/>
      </c>
      <c r="AE31" s="18">
        <f>AE$30*(AD$32)</f>
        <v/>
      </c>
      <c r="AF31" s="18">
        <f>AF$30*(AE$32)</f>
        <v/>
      </c>
      <c r="AG31" s="18">
        <f>AG$30*(AF$32)</f>
        <v/>
      </c>
      <c r="AH31" s="18">
        <f>AH$30*(AG$32)</f>
        <v/>
      </c>
      <c r="AI31" s="18">
        <f>AI$30*(AH$32)</f>
        <v/>
      </c>
      <c r="AJ31" s="18">
        <f>AJ$30*(AI$32)</f>
        <v/>
      </c>
      <c r="AK31" s="18">
        <f>AK$30*(AJ$32)</f>
        <v/>
      </c>
      <c r="AL31" s="18">
        <f>AL$30*(AK$32)</f>
        <v/>
      </c>
      <c r="AM31" s="18">
        <f>AM$30*(AL$32)</f>
        <v/>
      </c>
      <c r="AN31" s="18">
        <f>AN$30*(AM$32)</f>
        <v/>
      </c>
      <c r="AO31" s="18">
        <f>AO$30*(AN$32)</f>
        <v/>
      </c>
      <c r="AP31" s="18">
        <f>AP$30*(AO$32)</f>
        <v/>
      </c>
      <c r="AQ31" s="18">
        <f>AQ$30*(AP$32)</f>
        <v/>
      </c>
      <c r="AR31" s="18">
        <f>AR$30*(AQ$32)</f>
        <v/>
      </c>
      <c r="AS31" s="18">
        <f>AS$30*(AR$32)</f>
        <v/>
      </c>
      <c r="AT31" s="18">
        <f>AT$30*(AS$32)</f>
        <v/>
      </c>
      <c r="AU31" s="18">
        <f>AU$30*(AT$32)</f>
        <v/>
      </c>
      <c r="AV31" s="18">
        <f>AV$30*(AU$32)</f>
        <v/>
      </c>
      <c r="AW31" s="18">
        <f>AW$30*(AV$32)</f>
        <v/>
      </c>
      <c r="AX31" s="18">
        <f>AX$30*(AW$32)</f>
        <v/>
      </c>
      <c r="AY31" s="18">
        <f>AY$30*(AX$32)</f>
        <v/>
      </c>
      <c r="AZ31" s="18">
        <f>AZ$30*(AY$32)</f>
        <v/>
      </c>
      <c r="BA31" s="18">
        <f>BA$30*(AZ$32)</f>
        <v/>
      </c>
      <c r="BB31" s="18">
        <f>BB$30*(BA$32)</f>
        <v/>
      </c>
      <c r="BC31" s="18">
        <f>BC$30*(BB$32)</f>
        <v/>
      </c>
      <c r="BD31" s="18">
        <f>BD$30*(BC$32)</f>
        <v/>
      </c>
      <c r="BE31" s="18">
        <f>BE$30*(BD$32)</f>
        <v/>
      </c>
      <c r="BF31" s="18">
        <f>BF$30*(BE$32)</f>
        <v/>
      </c>
      <c r="BG31" s="18">
        <f>BG$30*(BF$32)</f>
        <v/>
      </c>
      <c r="BH31" s="18">
        <f>BH$30*(BG$32)</f>
        <v/>
      </c>
      <c r="BI31" s="18">
        <f>BI$30*(BH$32)</f>
        <v/>
      </c>
      <c r="BJ31" s="18">
        <f>BJ$30*(BI$32)</f>
        <v/>
      </c>
      <c r="BK31" s="18">
        <f>BK$30*(BJ$32)</f>
        <v/>
      </c>
      <c r="BL31" s="18">
        <f>BL$30*(BK$32)</f>
        <v/>
      </c>
      <c r="BM31" s="18">
        <f>BM$30*(BL$32)</f>
        <v/>
      </c>
      <c r="BN31" s="18">
        <f>BN$30*(BM$32)</f>
        <v/>
      </c>
      <c r="BO31" s="18">
        <f>BO$30*(BN$32)</f>
        <v/>
      </c>
      <c r="BP31" s="18">
        <f>BP$30*(BO$32)</f>
        <v/>
      </c>
      <c r="BQ31" s="18">
        <f>BQ$30*(BP$32)</f>
        <v/>
      </c>
      <c r="BR31" s="18">
        <f>BR$30*(BQ$32)</f>
        <v/>
      </c>
      <c r="BS31" s="18">
        <f>BS$30*(BR$32)</f>
        <v/>
      </c>
      <c r="BT31" s="18">
        <f>BT$30*(BS$32)</f>
        <v/>
      </c>
      <c r="BU31" s="18">
        <f>BU$30*(BT$32)</f>
        <v/>
      </c>
      <c r="BV31" s="18">
        <f>BV$30*(BU$32)</f>
        <v/>
      </c>
      <c r="BW31" s="18">
        <f>BW$30*(BV$32)</f>
        <v/>
      </c>
      <c r="BX31" s="18">
        <f>BX$30*(BW$32)</f>
        <v/>
      </c>
      <c r="BY31" s="18">
        <f>BY$30*(BX$32)</f>
        <v/>
      </c>
      <c r="BZ31" s="18">
        <f>BZ$30*(BY$32)</f>
        <v/>
      </c>
      <c r="CA31" s="18">
        <f>CA$30*(BZ$32)</f>
        <v/>
      </c>
      <c r="CB31" s="18">
        <f>CB$30*(CA$32)</f>
        <v/>
      </c>
      <c r="CC31" s="18">
        <f>CC$30*(CB$32)</f>
        <v/>
      </c>
      <c r="CD31" s="18">
        <f>CD$30*(CC$32)</f>
        <v/>
      </c>
      <c r="CE31" s="18">
        <f>CE$30*(CD$32)</f>
        <v/>
      </c>
      <c r="CF31" s="18">
        <f>CF$30*(CE$32)</f>
        <v/>
      </c>
      <c r="CG31" s="18">
        <f>CG$30*(CF$32)</f>
        <v/>
      </c>
      <c r="CH31" s="18">
        <f>CH$30*(CG$32)</f>
        <v/>
      </c>
      <c r="CI31" s="18">
        <f>CI$30*(CH$32)</f>
        <v/>
      </c>
      <c r="CJ31" s="18">
        <f>CJ$30*(CI$32)</f>
        <v/>
      </c>
      <c r="CK31" s="18">
        <f>CK$30*(CJ$32)</f>
        <v/>
      </c>
      <c r="CL31" s="18">
        <f>CL$30*(CK$32)</f>
        <v/>
      </c>
      <c r="CM31" s="18">
        <f>CM$30*(CL$32)</f>
        <v/>
      </c>
      <c r="CN31" s="18">
        <f>CN$30*(CM$32)</f>
        <v/>
      </c>
      <c r="CO31" s="18">
        <f>CO$30*(CN$32)</f>
        <v/>
      </c>
      <c r="CP31" s="18">
        <f>CP$30*(CO$32)</f>
        <v/>
      </c>
      <c r="CQ31" s="18">
        <f>CQ$30*(CP$32)</f>
        <v/>
      </c>
      <c r="CR31" s="18">
        <f>CR$30*(CQ$32)</f>
        <v/>
      </c>
      <c r="CS31" s="18">
        <f>CS$30*(CR$32)</f>
        <v/>
      </c>
      <c r="CT31" s="18">
        <f>CT$30*(CS$32)</f>
        <v/>
      </c>
      <c r="CU31" s="18">
        <f>CU$30*(CT$32)</f>
        <v/>
      </c>
      <c r="CV31" s="18">
        <f>CV$30*(CU$32)</f>
        <v/>
      </c>
      <c r="CW31" s="18">
        <f>CW$30*(CV$32)</f>
        <v/>
      </c>
      <c r="CX31" s="18">
        <f>CX$30*(CW$32)</f>
        <v/>
      </c>
      <c r="CY31" s="18">
        <f>CY$30*(CX$32)</f>
        <v/>
      </c>
      <c r="CZ31" s="18">
        <f>CZ$30*(CY$32)</f>
        <v/>
      </c>
      <c r="DA31" s="18">
        <f>DA$30*(CZ$32)</f>
        <v/>
      </c>
      <c r="DB31" s="18">
        <f>DB$30*(DA$32)</f>
        <v/>
      </c>
      <c r="DC31" s="18">
        <f>DC$30*(DB$32)</f>
        <v/>
      </c>
      <c r="DD31" s="18">
        <f>DD$30*(DC$32)</f>
        <v/>
      </c>
      <c r="DE31" s="18">
        <f>DE$30*(DD$32)</f>
        <v/>
      </c>
      <c r="DF31" s="18">
        <f>DF$30*(DE$32)</f>
        <v/>
      </c>
      <c r="DG31" s="18">
        <f>DG$30*(DF$32)</f>
        <v/>
      </c>
      <c r="DH31" s="18">
        <f>DH$30*(DG$32)</f>
        <v/>
      </c>
      <c r="DI31" s="18">
        <f>DI$30*(DH$32)</f>
        <v/>
      </c>
      <c r="DJ31" s="18">
        <f>DJ$30*(DI$32)</f>
        <v/>
      </c>
      <c r="DK31" s="18">
        <f>DK$30*(DJ$32)</f>
        <v/>
      </c>
      <c r="DL31" s="18">
        <f>DL$30*(DK$32)</f>
        <v/>
      </c>
      <c r="DM31" s="18">
        <f>DM$30*(DL$32)</f>
        <v/>
      </c>
      <c r="DN31" s="18">
        <f>DN$30*(DM$32)</f>
        <v/>
      </c>
      <c r="DO31" s="18">
        <f>DO$30*(DN$32)</f>
        <v/>
      </c>
      <c r="DP31" s="18">
        <f>DP$30*(DO$32)</f>
        <v/>
      </c>
      <c r="DQ31" s="18">
        <f>DQ$30*(DP$32)</f>
        <v/>
      </c>
      <c r="DR31" s="18">
        <f>DR$30*(DQ$32)</f>
        <v/>
      </c>
      <c r="DS31" s="18">
        <f>DS$30*(DR$32)</f>
        <v/>
      </c>
      <c r="DT31" s="18">
        <f>DT$30*(DS$32)</f>
        <v/>
      </c>
      <c r="DU31" s="18">
        <f>DU$30*(DT$32)</f>
        <v/>
      </c>
      <c r="DV31" s="18">
        <f>DV$30*(DU$32)</f>
        <v/>
      </c>
      <c r="DW31" s="18">
        <f>DW$30*(DV$32)</f>
        <v/>
      </c>
      <c r="DX31" s="18">
        <f>DX$30*(DW$32)</f>
        <v/>
      </c>
      <c r="DY31" s="18">
        <f>DY$30*(DX$32)</f>
        <v/>
      </c>
      <c r="DZ31" s="18">
        <f>DZ$30*(DY$32)</f>
        <v/>
      </c>
      <c r="EA31" s="18">
        <f>EA$30*(DZ$32)</f>
        <v/>
      </c>
      <c r="EB31" s="18">
        <f>EB$30*(EA$32)</f>
        <v/>
      </c>
      <c r="EC31" s="18">
        <f>EC$30*(EB$32)</f>
        <v/>
      </c>
      <c r="ED31" s="18">
        <f>ED$30*(EC$32)</f>
        <v/>
      </c>
      <c r="EE31" s="18">
        <f>EE$30*(ED$32)</f>
        <v/>
      </c>
      <c r="EF31" s="18">
        <f>EF$30*(EE$32)</f>
        <v/>
      </c>
      <c r="EG31" s="18">
        <f>EG$30*(EF$32)</f>
        <v/>
      </c>
      <c r="EH31" s="18">
        <f>EH$30*(EG$32)</f>
        <v/>
      </c>
      <c r="EI31" s="18">
        <f>EI$30*(EH$32)</f>
        <v/>
      </c>
      <c r="EJ31" s="18">
        <f>EJ$30*(EI$32)</f>
        <v/>
      </c>
      <c r="EK31" s="18">
        <f>EK$30*(EJ$32)</f>
        <v/>
      </c>
      <c r="EL31" s="18">
        <f>EL$30*(EK$32)</f>
        <v/>
      </c>
      <c r="EM31" s="18">
        <f>EM$30*(EL$32)</f>
        <v/>
      </c>
      <c r="EN31" s="18">
        <f>EN$30*(EM$32)</f>
        <v/>
      </c>
      <c r="EO31" s="18">
        <f>EO$30*(EN$32)</f>
        <v/>
      </c>
      <c r="EP31" s="18">
        <f>EP$30*(EO$32)</f>
        <v/>
      </c>
      <c r="EQ31" s="18">
        <f>EQ$30*(EP$32)</f>
        <v/>
      </c>
      <c r="ER31" s="18">
        <f>ER$30*(EQ$32)</f>
        <v/>
      </c>
      <c r="ES31" s="18">
        <f>ES$30*(ER$32)</f>
        <v/>
      </c>
      <c r="ET31" s="18">
        <f>ET$30*(ES$32)</f>
        <v/>
      </c>
      <c r="EU31" s="18">
        <f>EU$30*(ET$32)</f>
        <v/>
      </c>
      <c r="EV31" s="18">
        <f>EV$30*(EU$32)</f>
        <v/>
      </c>
      <c r="EW31" s="18">
        <f>EW$30*(EV$32)</f>
        <v/>
      </c>
      <c r="EX31" s="18">
        <f>EX$30*(EW$32)</f>
        <v/>
      </c>
      <c r="EY31" s="18">
        <f>EY$30*(EX$32)</f>
        <v/>
      </c>
      <c r="EZ31" s="18">
        <f>EZ$30*(EY$32)</f>
        <v/>
      </c>
      <c r="FA31" s="18">
        <f>FA$30*(EZ$32)</f>
        <v/>
      </c>
      <c r="FB31" s="18">
        <f>FB$30*(FA$32)</f>
        <v/>
      </c>
      <c r="FC31" s="18">
        <f>FC$30*(FB$32)</f>
        <v/>
      </c>
      <c r="FD31" s="18">
        <f>FD$30*(FC$32)</f>
        <v/>
      </c>
      <c r="FE31" s="18">
        <f>FE$30*(FD$32)</f>
        <v/>
      </c>
      <c r="FF31" s="18">
        <f>FF$30*(FE$32)</f>
        <v/>
      </c>
      <c r="FG31" s="18">
        <f>FG$30*(FF$32)</f>
        <v/>
      </c>
      <c r="FH31" s="18">
        <f>FH$30*(FG$32)</f>
        <v/>
      </c>
      <c r="FI31" s="18">
        <f>FI$30*(FH$32)</f>
        <v/>
      </c>
      <c r="FJ31" s="18">
        <f>FJ$30*(FI$32)</f>
        <v/>
      </c>
      <c r="FK31" s="18">
        <f>FK$30*(FJ$32)</f>
        <v/>
      </c>
      <c r="FL31" s="18">
        <f>FL$30*(FK$32)</f>
        <v/>
      </c>
      <c r="FM31" s="18">
        <f>FM$30*(FL$32)</f>
        <v/>
      </c>
      <c r="FN31" s="18">
        <f>FN$30*(FM$32)</f>
        <v/>
      </c>
      <c r="FO31" s="18">
        <f>FO$30*(FN$32)</f>
        <v/>
      </c>
      <c r="FP31" s="18">
        <f>FP$30*(FO$32)</f>
        <v/>
      </c>
      <c r="FQ31" s="18">
        <f>FQ$30*(FP$32)</f>
        <v/>
      </c>
      <c r="FR31" s="18">
        <f>FR$30*(FQ$32)</f>
        <v/>
      </c>
      <c r="FS31" s="18">
        <f>FS$30*(FR$32)</f>
        <v/>
      </c>
      <c r="FT31" s="18">
        <f>FT$30*(FS$32)</f>
        <v/>
      </c>
      <c r="FU31" s="18">
        <f>FU$30*(FT$32)</f>
        <v/>
      </c>
      <c r="FV31" s="18">
        <f>FV$30*(FU$32)</f>
        <v/>
      </c>
      <c r="FW31" s="18">
        <f>FW$30*(FV$32)</f>
        <v/>
      </c>
      <c r="FX31" s="18">
        <f>FX$30*(FW$32)</f>
        <v/>
      </c>
      <c r="FY31" s="18">
        <f>FY$30*(FX$32)</f>
        <v/>
      </c>
      <c r="FZ31" s="18">
        <f>FZ$30*(FY$32)</f>
        <v/>
      </c>
      <c r="GA31" s="18">
        <f>GA$30*(FZ$32)</f>
        <v/>
      </c>
      <c r="GB31" s="18">
        <f>GB$30*(GA$32)</f>
        <v/>
      </c>
      <c r="GC31" s="18">
        <f>GC$30*(GB$32)</f>
        <v/>
      </c>
      <c r="GD31" s="18">
        <f>GD$30*(GC$32)</f>
        <v/>
      </c>
      <c r="GE31" s="18">
        <f>GE$30*(GD$32)</f>
        <v/>
      </c>
      <c r="GF31" s="18">
        <f>GF$30*(GE$32)</f>
        <v/>
      </c>
      <c r="GG31" s="18">
        <f>GG$30*(GF$32)</f>
        <v/>
      </c>
      <c r="GH31" s="18">
        <f>GH$30*(GG$32)</f>
        <v/>
      </c>
      <c r="GI31" s="18">
        <f>GI$30*(GH$32)</f>
        <v/>
      </c>
      <c r="GJ31" s="18">
        <f>GJ$30*(GI$32)</f>
        <v/>
      </c>
      <c r="GK31" s="18">
        <f>GK$30*(GJ$32)</f>
        <v/>
      </c>
      <c r="GL31" s="18">
        <f>GL$30*(GK$32)</f>
        <v/>
      </c>
      <c r="GM31" s="18">
        <f>GM$30*(GL$32)</f>
        <v/>
      </c>
      <c r="GN31" s="18">
        <f>GN$30*(GM$32)</f>
        <v/>
      </c>
      <c r="GO31" s="18">
        <f>GO$30*(GN$32)</f>
        <v/>
      </c>
      <c r="GP31" s="18">
        <f>GP$30*(GO$32)</f>
        <v/>
      </c>
      <c r="GQ31" s="18">
        <f>GQ$30*(GP$32)</f>
        <v/>
      </c>
      <c r="GR31" s="18">
        <f>GR$30*(GQ$32)</f>
        <v/>
      </c>
      <c r="GS31" s="18">
        <f>GS$30*(GR$32)</f>
        <v/>
      </c>
      <c r="GT31" s="18">
        <f>GT$30*(GS$32)</f>
        <v/>
      </c>
      <c r="GU31" s="18">
        <f>GU$30*(GT$32)</f>
        <v/>
      </c>
      <c r="GV31" s="18">
        <f>GV$30*(GU$32)</f>
        <v/>
      </c>
      <c r="GW31" s="18">
        <f>GW$30*(GV$32)</f>
        <v/>
      </c>
      <c r="GX31" s="18">
        <f>GX$30*(GW$32)</f>
        <v/>
      </c>
      <c r="GY31" s="18">
        <f>GY$30*(GX$32)</f>
        <v/>
      </c>
      <c r="GZ31" s="18">
        <f>GZ$30*(GY$32)</f>
        <v/>
      </c>
      <c r="HA31" s="18">
        <f>HA$30*(GZ$32)</f>
        <v/>
      </c>
      <c r="HB31" s="18">
        <f>HB$30*(HA$32)</f>
        <v/>
      </c>
      <c r="HC31" s="18">
        <f>HC$30*(HB$32)</f>
        <v/>
      </c>
      <c r="HD31" s="18">
        <f>HD$30*(HC$32)</f>
        <v/>
      </c>
      <c r="HE31" s="18">
        <f>HE$30*(HD$32)</f>
        <v/>
      </c>
      <c r="HF31" s="18">
        <f>HF$30*(HE$32)</f>
        <v/>
      </c>
      <c r="HG31" s="18">
        <f>HG$30*(HF$32)</f>
        <v/>
      </c>
      <c r="HH31" s="18">
        <f>HH$30*(HG$32)</f>
        <v/>
      </c>
      <c r="HI31" s="18">
        <f>HI$30*(HH$32)</f>
        <v/>
      </c>
      <c r="HJ31" s="18">
        <f>HJ$30*(HI$32)</f>
        <v/>
      </c>
      <c r="HK31" s="18">
        <f>HK$30*(HJ$32)</f>
        <v/>
      </c>
      <c r="HL31" s="18">
        <f>HL$30*(HK$32)</f>
        <v/>
      </c>
      <c r="HM31" s="18">
        <f>HM$30*(HL$32)</f>
        <v/>
      </c>
      <c r="HN31" s="18">
        <f>HN$30*(HM$32)</f>
        <v/>
      </c>
      <c r="HO31" s="18">
        <f>HO$30*(HN$32)</f>
        <v/>
      </c>
      <c r="HP31" s="18">
        <f>HP$30*(HO$32)</f>
        <v/>
      </c>
      <c r="HQ31" s="18">
        <f>HQ$30*(HP$32)</f>
        <v/>
      </c>
      <c r="HR31" s="18">
        <f>HR$30*(HQ$32)</f>
        <v/>
      </c>
      <c r="HS31" s="18">
        <f>HS$30*(HR$32)</f>
        <v/>
      </c>
      <c r="HT31" s="18">
        <f>HT$30*(HS$32)</f>
        <v/>
      </c>
      <c r="HU31" s="18">
        <f>HU$30*(HT$32)</f>
        <v/>
      </c>
      <c r="HV31" s="18">
        <f>HV$30*(HU$32)</f>
        <v/>
      </c>
      <c r="HW31" s="18">
        <f>HW$30*(HV$32)</f>
        <v/>
      </c>
      <c r="HX31" s="18">
        <f>HX$30*(HW$32)</f>
        <v/>
      </c>
      <c r="HY31" s="18">
        <f>HY$30*(HX$32)</f>
        <v/>
      </c>
      <c r="HZ31" s="18">
        <f>HZ$30*(HY$32)</f>
        <v/>
      </c>
      <c r="IA31" s="18">
        <f>IA$30*(HZ$32)</f>
        <v/>
      </c>
      <c r="IB31" s="18">
        <f>IB$30*(IA$32)</f>
        <v/>
      </c>
      <c r="IC31" s="18">
        <f>IC$30*(IB$32)</f>
        <v/>
      </c>
      <c r="ID31" s="18">
        <f>ID$30*(IC$32)</f>
        <v/>
      </c>
      <c r="IE31" s="18">
        <f>IE$30*(ID$32)</f>
        <v/>
      </c>
      <c r="IF31" s="18">
        <f>IF$30*(IE$32)</f>
        <v/>
      </c>
      <c r="IG31" s="18">
        <f>IG$30*(IF$32)</f>
        <v/>
      </c>
      <c r="IH31" s="18">
        <f>IH$30*(IG$32)</f>
        <v/>
      </c>
      <c r="II31" s="18">
        <f>II$30*(IH$32)</f>
        <v/>
      </c>
      <c r="IJ31" s="18">
        <f>IJ$30*(II$32)</f>
        <v/>
      </c>
      <c r="IK31" s="18">
        <f>IK$30*(IJ$32)</f>
        <v/>
      </c>
      <c r="IL31" s="18">
        <f>IL$30*(IK$32)</f>
        <v/>
      </c>
      <c r="IM31" s="18">
        <f>IM$30*(IL$32)</f>
        <v/>
      </c>
      <c r="IN31" s="18">
        <f>IN$30*(IM$32)</f>
        <v/>
      </c>
      <c r="IO31" s="18">
        <f>IO$30*(IN$32)</f>
        <v/>
      </c>
      <c r="IP31" s="18">
        <f>IP$30*(IO$32)</f>
        <v/>
      </c>
      <c r="IQ31" s="18">
        <f>IQ$30*(IP$32)</f>
        <v/>
      </c>
      <c r="IR31" s="18">
        <f>IR$30*(IQ$32)</f>
        <v/>
      </c>
      <c r="IS31" s="18">
        <f>IS$30*(IR$32)</f>
        <v/>
      </c>
      <c r="IT31" s="18">
        <f>IT$30*(IS$32)</f>
        <v/>
      </c>
      <c r="IU31" s="18">
        <f>IU$30*(IT$32)</f>
        <v/>
      </c>
      <c r="IV31" s="18">
        <f>IV$30*(IU$32)</f>
        <v/>
      </c>
      <c r="IW31" s="18">
        <f>IW$30*(IV$32)</f>
        <v/>
      </c>
      <c r="IX31" s="18">
        <f>IX$30*(IW$32)</f>
        <v/>
      </c>
      <c r="IY31" s="18">
        <f>IY$30*(IX$32)</f>
        <v/>
      </c>
      <c r="IZ31" s="18">
        <f>IZ$30*(IY$32)</f>
        <v/>
      </c>
      <c r="JA31" s="18">
        <f>JA$30*(IZ$32)</f>
        <v/>
      </c>
      <c r="JB31" s="18">
        <f>JB$30*(JA$32)</f>
        <v/>
      </c>
      <c r="JC31" s="18">
        <f>JC$30*(JB$32)</f>
        <v/>
      </c>
      <c r="JD31" s="18">
        <f>JD$30*(JC$32)</f>
        <v/>
      </c>
      <c r="JE31" s="18">
        <f>JE$30*(JD$32)</f>
        <v/>
      </c>
      <c r="JF31" s="18">
        <f>JF$30*(JE$32)</f>
        <v/>
      </c>
      <c r="JG31" s="18">
        <f>JG$30*(JF$32)</f>
        <v/>
      </c>
      <c r="JH31" s="18">
        <f>JH$30*(JG$32)</f>
        <v/>
      </c>
      <c r="JI31" s="18">
        <f>JI$30*(JH$32)</f>
        <v/>
      </c>
      <c r="JJ31" s="18">
        <f>JJ$30*(JI$32)</f>
        <v/>
      </c>
      <c r="JK31" s="18">
        <f>JK$30*(JJ$32)</f>
        <v/>
      </c>
      <c r="JL31" s="18">
        <f>JL$30*(JK$32)</f>
        <v/>
      </c>
      <c r="JM31" s="18">
        <f>JM$30*(JL$32)</f>
        <v/>
      </c>
      <c r="JN31" s="18">
        <f>JN$30*(JM$32)</f>
        <v/>
      </c>
      <c r="JO31" s="18">
        <f>JO$30*(JN$32)</f>
        <v/>
      </c>
      <c r="JP31" s="18">
        <f>JP$30*(JO$32)</f>
        <v/>
      </c>
      <c r="JQ31" s="18">
        <f>JQ$30*(JP$32)</f>
        <v/>
      </c>
      <c r="JR31" s="18">
        <f>JR$30*(JQ$32)</f>
        <v/>
      </c>
      <c r="JS31" s="18">
        <f>JS$30*(JR$32)</f>
        <v/>
      </c>
      <c r="JT31" s="18">
        <f>JT$30*(JS$32)</f>
        <v/>
      </c>
      <c r="JU31" s="18">
        <f>JU$30*(JT$32)</f>
        <v/>
      </c>
      <c r="JV31" s="18">
        <f>JV$30*(JU$32)</f>
        <v/>
      </c>
      <c r="JW31" s="18">
        <f>JW$30*(JV$32)</f>
        <v/>
      </c>
      <c r="JX31" s="18">
        <f>JX$30*(JW$32)</f>
        <v/>
      </c>
      <c r="JY31" s="18">
        <f>JY$30*(JX$32)</f>
        <v/>
      </c>
      <c r="JZ31" s="18">
        <f>JZ$30*(JY$32)</f>
        <v/>
      </c>
      <c r="KA31" s="18">
        <f>KA$30*(JZ$32)</f>
        <v/>
      </c>
      <c r="KB31" s="18">
        <f>KB$30*(KA$32)</f>
        <v/>
      </c>
      <c r="KC31" s="18">
        <f>KC$30*(KB$32)</f>
        <v/>
      </c>
      <c r="KD31" s="18">
        <f>KD$30*(KC$32)</f>
        <v/>
      </c>
      <c r="KE31" s="18">
        <f>KE$30*(KD$32)</f>
        <v/>
      </c>
      <c r="KF31" s="18">
        <f>KF$30*(KE$32)</f>
        <v/>
      </c>
      <c r="KG31" s="18">
        <f>KG$30*(KF$32)</f>
        <v/>
      </c>
      <c r="KH31" s="18">
        <f>KH$30*(KG$32)</f>
        <v/>
      </c>
      <c r="KI31" s="18">
        <f>KI$30*(KH$32)</f>
        <v/>
      </c>
      <c r="KJ31" s="18">
        <f>KJ$30*(KI$32)</f>
        <v/>
      </c>
      <c r="KK31" s="18">
        <f>KK$30*(KJ$32)</f>
        <v/>
      </c>
      <c r="KL31" s="18">
        <f>KL$30*(KK$32)</f>
        <v/>
      </c>
      <c r="KM31" s="18">
        <f>KM$30*(KL$32)</f>
        <v/>
      </c>
      <c r="KN31" s="18">
        <f>KN$30*(KM$32)</f>
        <v/>
      </c>
      <c r="KO31" s="18">
        <f>KO$30*(KN$32)</f>
        <v/>
      </c>
      <c r="KP31" s="18">
        <f>KP$30*(KO$32)</f>
        <v/>
      </c>
      <c r="KQ31" s="18">
        <f>KQ$30*(KP$32)</f>
        <v/>
      </c>
      <c r="KR31" s="18">
        <f>KR$30*(KQ$32)</f>
        <v/>
      </c>
      <c r="KS31" s="18">
        <f>KS$30*(KR$32)</f>
        <v/>
      </c>
      <c r="KT31" s="18">
        <f>KT$30*(KS$32)</f>
        <v/>
      </c>
      <c r="KU31" s="18">
        <f>KU$30*(KT$32)</f>
        <v/>
      </c>
      <c r="KV31" s="18">
        <f>KV$30*(KU$32)</f>
        <v/>
      </c>
      <c r="KW31" s="18">
        <f>KW$30*(KV$32)</f>
        <v/>
      </c>
      <c r="KX31" s="18">
        <f>KX$30*(KW$32)</f>
        <v/>
      </c>
      <c r="KY31" s="18">
        <f>KY$30*(KX$32)</f>
        <v/>
      </c>
      <c r="KZ31" s="18">
        <f>KZ$30*(KY$32)</f>
        <v/>
      </c>
      <c r="LA31" s="18">
        <f>LA$30*(KZ$32)</f>
        <v/>
      </c>
      <c r="LB31" s="18">
        <f>LB$30*(LA$32)</f>
        <v/>
      </c>
      <c r="LC31" s="18">
        <f>LC$30*(LB$32)</f>
        <v/>
      </c>
      <c r="LD31" s="18">
        <f>LD$30*(LC$32)</f>
        <v/>
      </c>
      <c r="LE31" s="18">
        <f>LE$30*(LD$32)</f>
        <v/>
      </c>
      <c r="LF31" s="18">
        <f>LF$30*(LE$32)</f>
        <v/>
      </c>
      <c r="LG31" s="18">
        <f>LG$30*(LF$32)</f>
        <v/>
      </c>
      <c r="LH31" s="18">
        <f>LH$30*(LG$32)</f>
        <v/>
      </c>
      <c r="LI31" s="18">
        <f>LI$30*(LH$32)</f>
        <v/>
      </c>
      <c r="LJ31" s="18">
        <f>LJ$30*(LI$32)</f>
        <v/>
      </c>
      <c r="LK31" s="18">
        <f>LK$30*(LJ$32)</f>
        <v/>
      </c>
      <c r="LL31" s="18">
        <f>LL$30*(LK$32)</f>
        <v/>
      </c>
      <c r="LM31" s="18">
        <f>LM$30*(LL$32)</f>
        <v/>
      </c>
      <c r="LN31" s="18">
        <f>LN$30*(LM$32)</f>
        <v/>
      </c>
      <c r="LO31" s="18">
        <f>LO$30*(LN$32)</f>
        <v/>
      </c>
      <c r="LP31" s="18">
        <f>LP$30*(LO$32)</f>
        <v/>
      </c>
      <c r="LQ31" s="18">
        <f>LQ$30*(LP$32)</f>
        <v/>
      </c>
      <c r="LR31" s="18">
        <f>LR$30*(LQ$32)</f>
        <v/>
      </c>
      <c r="LS31" s="18">
        <f>LS$30*(LR$32)</f>
        <v/>
      </c>
      <c r="LT31" s="18">
        <f>LT$30*(LS$32)</f>
        <v/>
      </c>
      <c r="LU31" s="18">
        <f>LU$30*(LT$32)</f>
        <v/>
      </c>
      <c r="LV31" s="18">
        <f>LV$30*(LU$32)</f>
        <v/>
      </c>
      <c r="LW31" s="18">
        <f>LW$30*(LV$32)</f>
        <v/>
      </c>
      <c r="LX31" s="18">
        <f>LX$30*(LW$32)</f>
        <v/>
      </c>
      <c r="LY31" s="18">
        <f>LY$30*(LX$32)</f>
        <v/>
      </c>
      <c r="LZ31" s="18">
        <f>LZ$30*(LY$32)</f>
        <v/>
      </c>
      <c r="MA31" s="18">
        <f>MA$30*(LZ$32)</f>
        <v/>
      </c>
      <c r="MB31" s="18">
        <f>MB$30*(MA$32)</f>
        <v/>
      </c>
      <c r="MC31" s="18">
        <f>MC$30*(MB$32)</f>
        <v/>
      </c>
      <c r="MD31" s="18">
        <f>MD$30*(MC$32)</f>
        <v/>
      </c>
      <c r="ME31" s="18">
        <f>ME$30*(MD$32)</f>
        <v/>
      </c>
      <c r="MF31" s="18">
        <f>MF$30*(ME$32)</f>
        <v/>
      </c>
      <c r="MG31" s="18">
        <f>MG$30*(MF$32)</f>
        <v/>
      </c>
      <c r="MH31" s="18">
        <f>MH$30*(MG$32)</f>
        <v/>
      </c>
      <c r="MI31" s="18">
        <f>MI$30*(MH$32)</f>
        <v/>
      </c>
      <c r="MJ31" s="18">
        <f>MJ$30*(MI$32)</f>
        <v/>
      </c>
      <c r="MK31" s="18">
        <f>MK$30*(MJ$32)</f>
        <v/>
      </c>
      <c r="ML31" s="18">
        <f>ML$30*(MK$32)</f>
        <v/>
      </c>
      <c r="MM31" s="18">
        <f>MM$30*(ML$32)</f>
        <v/>
      </c>
      <c r="MN31" s="18">
        <f>MN$30*(MM$32)</f>
        <v/>
      </c>
      <c r="MO31" s="18">
        <f>MO$30*(MN$32)</f>
        <v/>
      </c>
      <c r="MP31" s="18">
        <f>MP$30*(MO$32)</f>
        <v/>
      </c>
      <c r="MQ31" s="18">
        <f>MQ$30*(MP$32)</f>
        <v/>
      </c>
      <c r="MR31" s="18">
        <f>MR$30*(MQ$32)</f>
        <v/>
      </c>
      <c r="MS31" s="18">
        <f>MS$30*(MR$32)</f>
        <v/>
      </c>
      <c r="MT31" s="18">
        <f>MT$30*(MS$32)</f>
        <v/>
      </c>
      <c r="MU31" s="18">
        <f>MU$30*(MT$32)</f>
        <v/>
      </c>
      <c r="MV31" s="18">
        <f>MV$30*(MU$32)</f>
        <v/>
      </c>
      <c r="MW31" s="18">
        <f>MW$30*(MV$32)</f>
        <v/>
      </c>
      <c r="MX31" s="18">
        <f>MX$30*(MW$32)</f>
        <v/>
      </c>
      <c r="MY31" s="18">
        <f>MY$30*(MX$32)</f>
        <v/>
      </c>
      <c r="MZ31" s="18">
        <f>MZ$30*(MY$32)</f>
        <v/>
      </c>
      <c r="NA31" s="18">
        <f>NA$30*(MZ$32)</f>
        <v/>
      </c>
      <c r="NB31" s="18">
        <f>NB$30*(NA$32)</f>
        <v/>
      </c>
      <c r="NC31" s="18">
        <f>NC$30*(NB$32)</f>
        <v/>
      </c>
      <c r="ND31" s="18">
        <f>ND$30*(NC$32)</f>
        <v/>
      </c>
      <c r="NE31" s="18">
        <f>NE$30*(ND$32)</f>
        <v/>
      </c>
      <c r="NF31" s="18">
        <f>NF$30*(NE$32)</f>
        <v/>
      </c>
      <c r="NG31" s="18">
        <f>NG$30*(NF$32)</f>
        <v/>
      </c>
      <c r="NH31" s="18">
        <f>NH$30*(NG$32)</f>
        <v/>
      </c>
      <c r="NI31" s="18">
        <f>NI$30*(NH$32)</f>
        <v/>
      </c>
      <c r="NJ31" s="18">
        <f>NJ$30*(NI$32)</f>
        <v/>
      </c>
      <c r="NK31" s="18">
        <f>NK$30*(NJ$32)</f>
        <v/>
      </c>
    </row>
    <row r="32">
      <c r="A32" s="5" t="inlineStr">
        <is>
          <t>Construction Loan Balance</t>
        </is>
      </c>
      <c r="C32" s="43" t="n"/>
      <c r="D32" s="18">
        <f>IF(1&gt;ConPayoffMonth,0,0+D$29+D$31)</f>
        <v/>
      </c>
      <c r="E32" s="18">
        <f>IF(2&gt;ConPayoffMonth,0,D$32+E$29+E$31)</f>
        <v/>
      </c>
      <c r="F32" s="18">
        <f>IF(3&gt;ConPayoffMonth,0,E$32+F$29+F$31)</f>
        <v/>
      </c>
      <c r="G32" s="18">
        <f>IF(4&gt;ConPayoffMonth,0,F$32+G$29+G$31)</f>
        <v/>
      </c>
      <c r="H32" s="18">
        <f>IF(5&gt;ConPayoffMonth,0,G$32+H$29+H$31)</f>
        <v/>
      </c>
      <c r="I32" s="18">
        <f>IF(6&gt;ConPayoffMonth,0,H$32+I$29+I$31)</f>
        <v/>
      </c>
      <c r="J32" s="18">
        <f>IF(7&gt;ConPayoffMonth,0,I$32+J$29+J$31)</f>
        <v/>
      </c>
      <c r="K32" s="18">
        <f>IF(8&gt;ConPayoffMonth,0,J$32+K$29+K$31)</f>
        <v/>
      </c>
      <c r="L32" s="18">
        <f>IF(9&gt;ConPayoffMonth,0,K$32+L$29+L$31)</f>
        <v/>
      </c>
      <c r="M32" s="18">
        <f>IF(10&gt;ConPayoffMonth,0,L$32+M$29+M$31)</f>
        <v/>
      </c>
      <c r="N32" s="18">
        <f>IF(11&gt;ConPayoffMonth,0,M$32+N$29+N$31)</f>
        <v/>
      </c>
      <c r="O32" s="18">
        <f>IF(12&gt;ConPayoffMonth,0,N$32+O$29+O$31)</f>
        <v/>
      </c>
      <c r="P32" s="18">
        <f>IF(13&gt;ConPayoffMonth,0,O$32+P$29+P$31)</f>
        <v/>
      </c>
      <c r="Q32" s="18">
        <f>IF(14&gt;ConPayoffMonth,0,P$32+Q$29+Q$31)</f>
        <v/>
      </c>
      <c r="R32" s="18">
        <f>IF(15&gt;ConPayoffMonth,0,Q$32+R$29+R$31)</f>
        <v/>
      </c>
      <c r="S32" s="18">
        <f>IF(16&gt;ConPayoffMonth,0,R$32+S$29+S$31)</f>
        <v/>
      </c>
      <c r="T32" s="18">
        <f>IF(17&gt;ConPayoffMonth,0,S$32+T$29+T$31)</f>
        <v/>
      </c>
      <c r="U32" s="18">
        <f>IF(18&gt;ConPayoffMonth,0,T$32+U$29+U$31)</f>
        <v/>
      </c>
      <c r="V32" s="18">
        <f>IF(19&gt;ConPayoffMonth,0,U$32+V$29+V$31)</f>
        <v/>
      </c>
      <c r="W32" s="18">
        <f>IF(20&gt;ConPayoffMonth,0,V$32+W$29+W$31)</f>
        <v/>
      </c>
      <c r="X32" s="18">
        <f>IF(21&gt;ConPayoffMonth,0,W$32+X$29+X$31)</f>
        <v/>
      </c>
      <c r="Y32" s="18">
        <f>IF(22&gt;ConPayoffMonth,0,X$32+Y$29+Y$31)</f>
        <v/>
      </c>
      <c r="Z32" s="18">
        <f>IF(23&gt;ConPayoffMonth,0,Y$32+Z$29+Z$31)</f>
        <v/>
      </c>
      <c r="AA32" s="18">
        <f>IF(24&gt;ConPayoffMonth,0,Z$32+AA$29+AA$31)</f>
        <v/>
      </c>
      <c r="AB32" s="18">
        <f>IF(25&gt;ConPayoffMonth,0,AA$32+AB$29+AB$31)</f>
        <v/>
      </c>
      <c r="AC32" s="18">
        <f>IF(26&gt;ConPayoffMonth,0,AB$32+AC$29+AC$31)</f>
        <v/>
      </c>
      <c r="AD32" s="18">
        <f>IF(27&gt;ConPayoffMonth,0,AC$32+AD$29+AD$31)</f>
        <v/>
      </c>
      <c r="AE32" s="18">
        <f>IF(28&gt;ConPayoffMonth,0,AD$32+AE$29+AE$31)</f>
        <v/>
      </c>
      <c r="AF32" s="18">
        <f>IF(29&gt;ConPayoffMonth,0,AE$32+AF$29+AF$31)</f>
        <v/>
      </c>
      <c r="AG32" s="18">
        <f>IF(30&gt;ConPayoffMonth,0,AF$32+AG$29+AG$31)</f>
        <v/>
      </c>
      <c r="AH32" s="18">
        <f>IF(31&gt;ConPayoffMonth,0,AG$32+AH$29+AH$31)</f>
        <v/>
      </c>
      <c r="AI32" s="18">
        <f>IF(32&gt;ConPayoffMonth,0,AH$32+AI$29+AI$31)</f>
        <v/>
      </c>
      <c r="AJ32" s="18">
        <f>IF(33&gt;ConPayoffMonth,0,AI$32+AJ$29+AJ$31)</f>
        <v/>
      </c>
      <c r="AK32" s="18">
        <f>IF(34&gt;ConPayoffMonth,0,AJ$32+AK$29+AK$31)</f>
        <v/>
      </c>
      <c r="AL32" s="18">
        <f>IF(35&gt;ConPayoffMonth,0,AK$32+AL$29+AL$31)</f>
        <v/>
      </c>
      <c r="AM32" s="18">
        <f>IF(36&gt;ConPayoffMonth,0,AL$32+AM$29+AM$31)</f>
        <v/>
      </c>
      <c r="AN32" s="18">
        <f>IF(37&gt;ConPayoffMonth,0,AM$32+AN$29+AN$31)</f>
        <v/>
      </c>
      <c r="AO32" s="18">
        <f>IF(38&gt;ConPayoffMonth,0,AN$32+AO$29+AO$31)</f>
        <v/>
      </c>
      <c r="AP32" s="18">
        <f>IF(39&gt;ConPayoffMonth,0,AO$32+AP$29+AP$31)</f>
        <v/>
      </c>
      <c r="AQ32" s="18">
        <f>IF(40&gt;ConPayoffMonth,0,AP$32+AQ$29+AQ$31)</f>
        <v/>
      </c>
      <c r="AR32" s="18">
        <f>IF(41&gt;ConPayoffMonth,0,AQ$32+AR$29+AR$31)</f>
        <v/>
      </c>
      <c r="AS32" s="18">
        <f>IF(42&gt;ConPayoffMonth,0,AR$32+AS$29+AS$31)</f>
        <v/>
      </c>
      <c r="AT32" s="18">
        <f>IF(43&gt;ConPayoffMonth,0,AS$32+AT$29+AT$31)</f>
        <v/>
      </c>
      <c r="AU32" s="18">
        <f>IF(44&gt;ConPayoffMonth,0,AT$32+AU$29+AU$31)</f>
        <v/>
      </c>
      <c r="AV32" s="18">
        <f>IF(45&gt;ConPayoffMonth,0,AU$32+AV$29+AV$31)</f>
        <v/>
      </c>
      <c r="AW32" s="18">
        <f>IF(46&gt;ConPayoffMonth,0,AV$32+AW$29+AW$31)</f>
        <v/>
      </c>
      <c r="AX32" s="18">
        <f>IF(47&gt;ConPayoffMonth,0,AW$32+AX$29+AX$31)</f>
        <v/>
      </c>
      <c r="AY32" s="18">
        <f>IF(48&gt;ConPayoffMonth,0,AX$32+AY$29+AY$31)</f>
        <v/>
      </c>
      <c r="AZ32" s="18">
        <f>IF(49&gt;ConPayoffMonth,0,AY$32+AZ$29+AZ$31)</f>
        <v/>
      </c>
      <c r="BA32" s="18">
        <f>IF(50&gt;ConPayoffMonth,0,AZ$32+BA$29+BA$31)</f>
        <v/>
      </c>
      <c r="BB32" s="18">
        <f>IF(51&gt;ConPayoffMonth,0,BA$32+BB$29+BB$31)</f>
        <v/>
      </c>
      <c r="BC32" s="18">
        <f>IF(52&gt;ConPayoffMonth,0,BB$32+BC$29+BC$31)</f>
        <v/>
      </c>
      <c r="BD32" s="18">
        <f>IF(53&gt;ConPayoffMonth,0,BC$32+BD$29+BD$31)</f>
        <v/>
      </c>
      <c r="BE32" s="18">
        <f>IF(54&gt;ConPayoffMonth,0,BD$32+BE$29+BE$31)</f>
        <v/>
      </c>
      <c r="BF32" s="18">
        <f>IF(55&gt;ConPayoffMonth,0,BE$32+BF$29+BF$31)</f>
        <v/>
      </c>
      <c r="BG32" s="18">
        <f>IF(56&gt;ConPayoffMonth,0,BF$32+BG$29+BG$31)</f>
        <v/>
      </c>
      <c r="BH32" s="18">
        <f>IF(57&gt;ConPayoffMonth,0,BG$32+BH$29+BH$31)</f>
        <v/>
      </c>
      <c r="BI32" s="18">
        <f>IF(58&gt;ConPayoffMonth,0,BH$32+BI$29+BI$31)</f>
        <v/>
      </c>
      <c r="BJ32" s="18">
        <f>IF(59&gt;ConPayoffMonth,0,BI$32+BJ$29+BJ$31)</f>
        <v/>
      </c>
      <c r="BK32" s="18">
        <f>IF(60&gt;ConPayoffMonth,0,BJ$32+BK$29+BK$31)</f>
        <v/>
      </c>
      <c r="BL32" s="18">
        <f>IF(61&gt;ConPayoffMonth,0,BK$32+BL$29+BL$31)</f>
        <v/>
      </c>
      <c r="BM32" s="18">
        <f>IF(62&gt;ConPayoffMonth,0,BL$32+BM$29+BM$31)</f>
        <v/>
      </c>
      <c r="BN32" s="18">
        <f>IF(63&gt;ConPayoffMonth,0,BM$32+BN$29+BN$31)</f>
        <v/>
      </c>
      <c r="BO32" s="18">
        <f>IF(64&gt;ConPayoffMonth,0,BN$32+BO$29+BO$31)</f>
        <v/>
      </c>
      <c r="BP32" s="18">
        <f>IF(65&gt;ConPayoffMonth,0,BO$32+BP$29+BP$31)</f>
        <v/>
      </c>
      <c r="BQ32" s="18">
        <f>IF(66&gt;ConPayoffMonth,0,BP$32+BQ$29+BQ$31)</f>
        <v/>
      </c>
      <c r="BR32" s="18">
        <f>IF(67&gt;ConPayoffMonth,0,BQ$32+BR$29+BR$31)</f>
        <v/>
      </c>
      <c r="BS32" s="18">
        <f>IF(68&gt;ConPayoffMonth,0,BR$32+BS$29+BS$31)</f>
        <v/>
      </c>
      <c r="BT32" s="18">
        <f>IF(69&gt;ConPayoffMonth,0,BS$32+BT$29+BT$31)</f>
        <v/>
      </c>
      <c r="BU32" s="18">
        <f>IF(70&gt;ConPayoffMonth,0,BT$32+BU$29+BU$31)</f>
        <v/>
      </c>
      <c r="BV32" s="18">
        <f>IF(71&gt;ConPayoffMonth,0,BU$32+BV$29+BV$31)</f>
        <v/>
      </c>
      <c r="BW32" s="18">
        <f>IF(72&gt;ConPayoffMonth,0,BV$32+BW$29+BW$31)</f>
        <v/>
      </c>
      <c r="BX32" s="18">
        <f>IF(73&gt;ConPayoffMonth,0,BW$32+BX$29+BX$31)</f>
        <v/>
      </c>
      <c r="BY32" s="18">
        <f>IF(74&gt;ConPayoffMonth,0,BX$32+BY$29+BY$31)</f>
        <v/>
      </c>
      <c r="BZ32" s="18">
        <f>IF(75&gt;ConPayoffMonth,0,BY$32+BZ$29+BZ$31)</f>
        <v/>
      </c>
      <c r="CA32" s="18">
        <f>IF(76&gt;ConPayoffMonth,0,BZ$32+CA$29+CA$31)</f>
        <v/>
      </c>
      <c r="CB32" s="18">
        <f>IF(77&gt;ConPayoffMonth,0,CA$32+CB$29+CB$31)</f>
        <v/>
      </c>
      <c r="CC32" s="18">
        <f>IF(78&gt;ConPayoffMonth,0,CB$32+CC$29+CC$31)</f>
        <v/>
      </c>
      <c r="CD32" s="18">
        <f>IF(79&gt;ConPayoffMonth,0,CC$32+CD$29+CD$31)</f>
        <v/>
      </c>
      <c r="CE32" s="18">
        <f>IF(80&gt;ConPayoffMonth,0,CD$32+CE$29+CE$31)</f>
        <v/>
      </c>
      <c r="CF32" s="18">
        <f>IF(81&gt;ConPayoffMonth,0,CE$32+CF$29+CF$31)</f>
        <v/>
      </c>
      <c r="CG32" s="18">
        <f>IF(82&gt;ConPayoffMonth,0,CF$32+CG$29+CG$31)</f>
        <v/>
      </c>
      <c r="CH32" s="18">
        <f>IF(83&gt;ConPayoffMonth,0,CG$32+CH$29+CH$31)</f>
        <v/>
      </c>
      <c r="CI32" s="18">
        <f>IF(84&gt;ConPayoffMonth,0,CH$32+CI$29+CI$31)</f>
        <v/>
      </c>
      <c r="CJ32" s="18">
        <f>IF(85&gt;ConPayoffMonth,0,CI$32+CJ$29+CJ$31)</f>
        <v/>
      </c>
      <c r="CK32" s="18">
        <f>IF(86&gt;ConPayoffMonth,0,CJ$32+CK$29+CK$31)</f>
        <v/>
      </c>
      <c r="CL32" s="18">
        <f>IF(87&gt;ConPayoffMonth,0,CK$32+CL$29+CL$31)</f>
        <v/>
      </c>
      <c r="CM32" s="18">
        <f>IF(88&gt;ConPayoffMonth,0,CL$32+CM$29+CM$31)</f>
        <v/>
      </c>
      <c r="CN32" s="18">
        <f>IF(89&gt;ConPayoffMonth,0,CM$32+CN$29+CN$31)</f>
        <v/>
      </c>
      <c r="CO32" s="18">
        <f>IF(90&gt;ConPayoffMonth,0,CN$32+CO$29+CO$31)</f>
        <v/>
      </c>
      <c r="CP32" s="18">
        <f>IF(91&gt;ConPayoffMonth,0,CO$32+CP$29+CP$31)</f>
        <v/>
      </c>
      <c r="CQ32" s="18">
        <f>IF(92&gt;ConPayoffMonth,0,CP$32+CQ$29+CQ$31)</f>
        <v/>
      </c>
      <c r="CR32" s="18">
        <f>IF(93&gt;ConPayoffMonth,0,CQ$32+CR$29+CR$31)</f>
        <v/>
      </c>
      <c r="CS32" s="18">
        <f>IF(94&gt;ConPayoffMonth,0,CR$32+CS$29+CS$31)</f>
        <v/>
      </c>
      <c r="CT32" s="18">
        <f>IF(95&gt;ConPayoffMonth,0,CS$32+CT$29+CT$31)</f>
        <v/>
      </c>
      <c r="CU32" s="18">
        <f>IF(96&gt;ConPayoffMonth,0,CT$32+CU$29+CU$31)</f>
        <v/>
      </c>
      <c r="CV32" s="18">
        <f>IF(97&gt;ConPayoffMonth,0,CU$32+CV$29+CV$31)</f>
        <v/>
      </c>
      <c r="CW32" s="18">
        <f>IF(98&gt;ConPayoffMonth,0,CV$32+CW$29+CW$31)</f>
        <v/>
      </c>
      <c r="CX32" s="18">
        <f>IF(99&gt;ConPayoffMonth,0,CW$32+CX$29+CX$31)</f>
        <v/>
      </c>
      <c r="CY32" s="18">
        <f>IF(100&gt;ConPayoffMonth,0,CX$32+CY$29+CY$31)</f>
        <v/>
      </c>
      <c r="CZ32" s="18">
        <f>IF(101&gt;ConPayoffMonth,0,CY$32+CZ$29+CZ$31)</f>
        <v/>
      </c>
      <c r="DA32" s="18">
        <f>IF(102&gt;ConPayoffMonth,0,CZ$32+DA$29+DA$31)</f>
        <v/>
      </c>
      <c r="DB32" s="18">
        <f>IF(103&gt;ConPayoffMonth,0,DA$32+DB$29+DB$31)</f>
        <v/>
      </c>
      <c r="DC32" s="18">
        <f>IF(104&gt;ConPayoffMonth,0,DB$32+DC$29+DC$31)</f>
        <v/>
      </c>
      <c r="DD32" s="18">
        <f>IF(105&gt;ConPayoffMonth,0,DC$32+DD$29+DD$31)</f>
        <v/>
      </c>
      <c r="DE32" s="18">
        <f>IF(106&gt;ConPayoffMonth,0,DD$32+DE$29+DE$31)</f>
        <v/>
      </c>
      <c r="DF32" s="18">
        <f>IF(107&gt;ConPayoffMonth,0,DE$32+DF$29+DF$31)</f>
        <v/>
      </c>
      <c r="DG32" s="18">
        <f>IF(108&gt;ConPayoffMonth,0,DF$32+DG$29+DG$31)</f>
        <v/>
      </c>
      <c r="DH32" s="18">
        <f>IF(109&gt;ConPayoffMonth,0,DG$32+DH$29+DH$31)</f>
        <v/>
      </c>
      <c r="DI32" s="18">
        <f>IF(110&gt;ConPayoffMonth,0,DH$32+DI$29+DI$31)</f>
        <v/>
      </c>
      <c r="DJ32" s="18">
        <f>IF(111&gt;ConPayoffMonth,0,DI$32+DJ$29+DJ$31)</f>
        <v/>
      </c>
      <c r="DK32" s="18">
        <f>IF(112&gt;ConPayoffMonth,0,DJ$32+DK$29+DK$31)</f>
        <v/>
      </c>
      <c r="DL32" s="18">
        <f>IF(113&gt;ConPayoffMonth,0,DK$32+DL$29+DL$31)</f>
        <v/>
      </c>
      <c r="DM32" s="18">
        <f>IF(114&gt;ConPayoffMonth,0,DL$32+DM$29+DM$31)</f>
        <v/>
      </c>
      <c r="DN32" s="18">
        <f>IF(115&gt;ConPayoffMonth,0,DM$32+DN$29+DN$31)</f>
        <v/>
      </c>
      <c r="DO32" s="18">
        <f>IF(116&gt;ConPayoffMonth,0,DN$32+DO$29+DO$31)</f>
        <v/>
      </c>
      <c r="DP32" s="18">
        <f>IF(117&gt;ConPayoffMonth,0,DO$32+DP$29+DP$31)</f>
        <v/>
      </c>
      <c r="DQ32" s="18">
        <f>IF(118&gt;ConPayoffMonth,0,DP$32+DQ$29+DQ$31)</f>
        <v/>
      </c>
      <c r="DR32" s="18">
        <f>IF(119&gt;ConPayoffMonth,0,DQ$32+DR$29+DR$31)</f>
        <v/>
      </c>
      <c r="DS32" s="18">
        <f>IF(120&gt;ConPayoffMonth,0,DR$32+DS$29+DS$31)</f>
        <v/>
      </c>
      <c r="DT32" s="18">
        <f>IF(121&gt;ConPayoffMonth,0,DS$32+DT$29+DT$31)</f>
        <v/>
      </c>
      <c r="DU32" s="18">
        <f>IF(122&gt;ConPayoffMonth,0,DT$32+DU$29+DU$31)</f>
        <v/>
      </c>
      <c r="DV32" s="18">
        <f>IF(123&gt;ConPayoffMonth,0,DU$32+DV$29+DV$31)</f>
        <v/>
      </c>
      <c r="DW32" s="18">
        <f>IF(124&gt;ConPayoffMonth,0,DV$32+DW$29+DW$31)</f>
        <v/>
      </c>
      <c r="DX32" s="18">
        <f>IF(125&gt;ConPayoffMonth,0,DW$32+DX$29+DX$31)</f>
        <v/>
      </c>
      <c r="DY32" s="18">
        <f>IF(126&gt;ConPayoffMonth,0,DX$32+DY$29+DY$31)</f>
        <v/>
      </c>
      <c r="DZ32" s="18">
        <f>IF(127&gt;ConPayoffMonth,0,DY$32+DZ$29+DZ$31)</f>
        <v/>
      </c>
      <c r="EA32" s="18">
        <f>IF(128&gt;ConPayoffMonth,0,DZ$32+EA$29+EA$31)</f>
        <v/>
      </c>
      <c r="EB32" s="18">
        <f>IF(129&gt;ConPayoffMonth,0,EA$32+EB$29+EB$31)</f>
        <v/>
      </c>
      <c r="EC32" s="18">
        <f>IF(130&gt;ConPayoffMonth,0,EB$32+EC$29+EC$31)</f>
        <v/>
      </c>
      <c r="ED32" s="18">
        <f>IF(131&gt;ConPayoffMonth,0,EC$32+ED$29+ED$31)</f>
        <v/>
      </c>
      <c r="EE32" s="18">
        <f>IF(132&gt;ConPayoffMonth,0,ED$32+EE$29+EE$31)</f>
        <v/>
      </c>
      <c r="EF32" s="18">
        <f>IF(133&gt;ConPayoffMonth,0,EE$32+EF$29+EF$31)</f>
        <v/>
      </c>
      <c r="EG32" s="18">
        <f>IF(134&gt;ConPayoffMonth,0,EF$32+EG$29+EG$31)</f>
        <v/>
      </c>
      <c r="EH32" s="18">
        <f>IF(135&gt;ConPayoffMonth,0,EG$32+EH$29+EH$31)</f>
        <v/>
      </c>
      <c r="EI32" s="18">
        <f>IF(136&gt;ConPayoffMonth,0,EH$32+EI$29+EI$31)</f>
        <v/>
      </c>
      <c r="EJ32" s="18">
        <f>IF(137&gt;ConPayoffMonth,0,EI$32+EJ$29+EJ$31)</f>
        <v/>
      </c>
      <c r="EK32" s="18">
        <f>IF(138&gt;ConPayoffMonth,0,EJ$32+EK$29+EK$31)</f>
        <v/>
      </c>
      <c r="EL32" s="18">
        <f>IF(139&gt;ConPayoffMonth,0,EK$32+EL$29+EL$31)</f>
        <v/>
      </c>
      <c r="EM32" s="18">
        <f>IF(140&gt;ConPayoffMonth,0,EL$32+EM$29+EM$31)</f>
        <v/>
      </c>
      <c r="EN32" s="18">
        <f>IF(141&gt;ConPayoffMonth,0,EM$32+EN$29+EN$31)</f>
        <v/>
      </c>
      <c r="EO32" s="18">
        <f>IF(142&gt;ConPayoffMonth,0,EN$32+EO$29+EO$31)</f>
        <v/>
      </c>
      <c r="EP32" s="18">
        <f>IF(143&gt;ConPayoffMonth,0,EO$32+EP$29+EP$31)</f>
        <v/>
      </c>
      <c r="EQ32" s="18">
        <f>IF(144&gt;ConPayoffMonth,0,EP$32+EQ$29+EQ$31)</f>
        <v/>
      </c>
      <c r="ER32" s="18">
        <f>IF(145&gt;ConPayoffMonth,0,EQ$32+ER$29+ER$31)</f>
        <v/>
      </c>
      <c r="ES32" s="18">
        <f>IF(146&gt;ConPayoffMonth,0,ER$32+ES$29+ES$31)</f>
        <v/>
      </c>
      <c r="ET32" s="18">
        <f>IF(147&gt;ConPayoffMonth,0,ES$32+ET$29+ET$31)</f>
        <v/>
      </c>
      <c r="EU32" s="18">
        <f>IF(148&gt;ConPayoffMonth,0,ET$32+EU$29+EU$31)</f>
        <v/>
      </c>
      <c r="EV32" s="18">
        <f>IF(149&gt;ConPayoffMonth,0,EU$32+EV$29+EV$31)</f>
        <v/>
      </c>
      <c r="EW32" s="18">
        <f>IF(150&gt;ConPayoffMonth,0,EV$32+EW$29+EW$31)</f>
        <v/>
      </c>
      <c r="EX32" s="18">
        <f>IF(151&gt;ConPayoffMonth,0,EW$32+EX$29+EX$31)</f>
        <v/>
      </c>
      <c r="EY32" s="18">
        <f>IF(152&gt;ConPayoffMonth,0,EX$32+EY$29+EY$31)</f>
        <v/>
      </c>
      <c r="EZ32" s="18">
        <f>IF(153&gt;ConPayoffMonth,0,EY$32+EZ$29+EZ$31)</f>
        <v/>
      </c>
      <c r="FA32" s="18">
        <f>IF(154&gt;ConPayoffMonth,0,EZ$32+FA$29+FA$31)</f>
        <v/>
      </c>
      <c r="FB32" s="18">
        <f>IF(155&gt;ConPayoffMonth,0,FA$32+FB$29+FB$31)</f>
        <v/>
      </c>
      <c r="FC32" s="18">
        <f>IF(156&gt;ConPayoffMonth,0,FB$32+FC$29+FC$31)</f>
        <v/>
      </c>
      <c r="FD32" s="18">
        <f>IF(157&gt;ConPayoffMonth,0,FC$32+FD$29+FD$31)</f>
        <v/>
      </c>
      <c r="FE32" s="18">
        <f>IF(158&gt;ConPayoffMonth,0,FD$32+FE$29+FE$31)</f>
        <v/>
      </c>
      <c r="FF32" s="18">
        <f>IF(159&gt;ConPayoffMonth,0,FE$32+FF$29+FF$31)</f>
        <v/>
      </c>
      <c r="FG32" s="18">
        <f>IF(160&gt;ConPayoffMonth,0,FF$32+FG$29+FG$31)</f>
        <v/>
      </c>
      <c r="FH32" s="18">
        <f>IF(161&gt;ConPayoffMonth,0,FG$32+FH$29+FH$31)</f>
        <v/>
      </c>
      <c r="FI32" s="18">
        <f>IF(162&gt;ConPayoffMonth,0,FH$32+FI$29+FI$31)</f>
        <v/>
      </c>
      <c r="FJ32" s="18">
        <f>IF(163&gt;ConPayoffMonth,0,FI$32+FJ$29+FJ$31)</f>
        <v/>
      </c>
      <c r="FK32" s="18">
        <f>IF(164&gt;ConPayoffMonth,0,FJ$32+FK$29+FK$31)</f>
        <v/>
      </c>
      <c r="FL32" s="18">
        <f>IF(165&gt;ConPayoffMonth,0,FK$32+FL$29+FL$31)</f>
        <v/>
      </c>
      <c r="FM32" s="18">
        <f>IF(166&gt;ConPayoffMonth,0,FL$32+FM$29+FM$31)</f>
        <v/>
      </c>
      <c r="FN32" s="18">
        <f>IF(167&gt;ConPayoffMonth,0,FM$32+FN$29+FN$31)</f>
        <v/>
      </c>
      <c r="FO32" s="18">
        <f>IF(168&gt;ConPayoffMonth,0,FN$32+FO$29+FO$31)</f>
        <v/>
      </c>
      <c r="FP32" s="18">
        <f>IF(169&gt;ConPayoffMonth,0,FO$32+FP$29+FP$31)</f>
        <v/>
      </c>
      <c r="FQ32" s="18">
        <f>IF(170&gt;ConPayoffMonth,0,FP$32+FQ$29+FQ$31)</f>
        <v/>
      </c>
      <c r="FR32" s="18">
        <f>IF(171&gt;ConPayoffMonth,0,FQ$32+FR$29+FR$31)</f>
        <v/>
      </c>
      <c r="FS32" s="18">
        <f>IF(172&gt;ConPayoffMonth,0,FR$32+FS$29+FS$31)</f>
        <v/>
      </c>
      <c r="FT32" s="18">
        <f>IF(173&gt;ConPayoffMonth,0,FS$32+FT$29+FT$31)</f>
        <v/>
      </c>
      <c r="FU32" s="18">
        <f>IF(174&gt;ConPayoffMonth,0,FT$32+FU$29+FU$31)</f>
        <v/>
      </c>
      <c r="FV32" s="18">
        <f>IF(175&gt;ConPayoffMonth,0,FU$32+FV$29+FV$31)</f>
        <v/>
      </c>
      <c r="FW32" s="18">
        <f>IF(176&gt;ConPayoffMonth,0,FV$32+FW$29+FW$31)</f>
        <v/>
      </c>
      <c r="FX32" s="18">
        <f>IF(177&gt;ConPayoffMonth,0,FW$32+FX$29+FX$31)</f>
        <v/>
      </c>
      <c r="FY32" s="18">
        <f>IF(178&gt;ConPayoffMonth,0,FX$32+FY$29+FY$31)</f>
        <v/>
      </c>
      <c r="FZ32" s="18">
        <f>IF(179&gt;ConPayoffMonth,0,FY$32+FZ$29+FZ$31)</f>
        <v/>
      </c>
      <c r="GA32" s="18">
        <f>IF(180&gt;ConPayoffMonth,0,FZ$32+GA$29+GA$31)</f>
        <v/>
      </c>
      <c r="GB32" s="18">
        <f>IF(181&gt;ConPayoffMonth,0,GA$32+GB$29+GB$31)</f>
        <v/>
      </c>
      <c r="GC32" s="18">
        <f>IF(182&gt;ConPayoffMonth,0,GB$32+GC$29+GC$31)</f>
        <v/>
      </c>
      <c r="GD32" s="18">
        <f>IF(183&gt;ConPayoffMonth,0,GC$32+GD$29+GD$31)</f>
        <v/>
      </c>
      <c r="GE32" s="18">
        <f>IF(184&gt;ConPayoffMonth,0,GD$32+GE$29+GE$31)</f>
        <v/>
      </c>
      <c r="GF32" s="18">
        <f>IF(185&gt;ConPayoffMonth,0,GE$32+GF$29+GF$31)</f>
        <v/>
      </c>
      <c r="GG32" s="18">
        <f>IF(186&gt;ConPayoffMonth,0,GF$32+GG$29+GG$31)</f>
        <v/>
      </c>
      <c r="GH32" s="18">
        <f>IF(187&gt;ConPayoffMonth,0,GG$32+GH$29+GH$31)</f>
        <v/>
      </c>
      <c r="GI32" s="18">
        <f>IF(188&gt;ConPayoffMonth,0,GH$32+GI$29+GI$31)</f>
        <v/>
      </c>
      <c r="GJ32" s="18">
        <f>IF(189&gt;ConPayoffMonth,0,GI$32+GJ$29+GJ$31)</f>
        <v/>
      </c>
      <c r="GK32" s="18">
        <f>IF(190&gt;ConPayoffMonth,0,GJ$32+GK$29+GK$31)</f>
        <v/>
      </c>
      <c r="GL32" s="18">
        <f>IF(191&gt;ConPayoffMonth,0,GK$32+GL$29+GL$31)</f>
        <v/>
      </c>
      <c r="GM32" s="18">
        <f>IF(192&gt;ConPayoffMonth,0,GL$32+GM$29+GM$31)</f>
        <v/>
      </c>
      <c r="GN32" s="18">
        <f>IF(193&gt;ConPayoffMonth,0,GM$32+GN$29+GN$31)</f>
        <v/>
      </c>
      <c r="GO32" s="18">
        <f>IF(194&gt;ConPayoffMonth,0,GN$32+GO$29+GO$31)</f>
        <v/>
      </c>
      <c r="GP32" s="18">
        <f>IF(195&gt;ConPayoffMonth,0,GO$32+GP$29+GP$31)</f>
        <v/>
      </c>
      <c r="GQ32" s="18">
        <f>IF(196&gt;ConPayoffMonth,0,GP$32+GQ$29+GQ$31)</f>
        <v/>
      </c>
      <c r="GR32" s="18">
        <f>IF(197&gt;ConPayoffMonth,0,GQ$32+GR$29+GR$31)</f>
        <v/>
      </c>
      <c r="GS32" s="18">
        <f>IF(198&gt;ConPayoffMonth,0,GR$32+GS$29+GS$31)</f>
        <v/>
      </c>
      <c r="GT32" s="18">
        <f>IF(199&gt;ConPayoffMonth,0,GS$32+GT$29+GT$31)</f>
        <v/>
      </c>
      <c r="GU32" s="18">
        <f>IF(200&gt;ConPayoffMonth,0,GT$32+GU$29+GU$31)</f>
        <v/>
      </c>
      <c r="GV32" s="18">
        <f>IF(201&gt;ConPayoffMonth,0,GU$32+GV$29+GV$31)</f>
        <v/>
      </c>
      <c r="GW32" s="18">
        <f>IF(202&gt;ConPayoffMonth,0,GV$32+GW$29+GW$31)</f>
        <v/>
      </c>
      <c r="GX32" s="18">
        <f>IF(203&gt;ConPayoffMonth,0,GW$32+GX$29+GX$31)</f>
        <v/>
      </c>
      <c r="GY32" s="18">
        <f>IF(204&gt;ConPayoffMonth,0,GX$32+GY$29+GY$31)</f>
        <v/>
      </c>
      <c r="GZ32" s="18">
        <f>IF(205&gt;ConPayoffMonth,0,GY$32+GZ$29+GZ$31)</f>
        <v/>
      </c>
      <c r="HA32" s="18">
        <f>IF(206&gt;ConPayoffMonth,0,GZ$32+HA$29+HA$31)</f>
        <v/>
      </c>
      <c r="HB32" s="18">
        <f>IF(207&gt;ConPayoffMonth,0,HA$32+HB$29+HB$31)</f>
        <v/>
      </c>
      <c r="HC32" s="18">
        <f>IF(208&gt;ConPayoffMonth,0,HB$32+HC$29+HC$31)</f>
        <v/>
      </c>
      <c r="HD32" s="18">
        <f>IF(209&gt;ConPayoffMonth,0,HC$32+HD$29+HD$31)</f>
        <v/>
      </c>
      <c r="HE32" s="18">
        <f>IF(210&gt;ConPayoffMonth,0,HD$32+HE$29+HE$31)</f>
        <v/>
      </c>
      <c r="HF32" s="18">
        <f>IF(211&gt;ConPayoffMonth,0,HE$32+HF$29+HF$31)</f>
        <v/>
      </c>
      <c r="HG32" s="18">
        <f>IF(212&gt;ConPayoffMonth,0,HF$32+HG$29+HG$31)</f>
        <v/>
      </c>
      <c r="HH32" s="18">
        <f>IF(213&gt;ConPayoffMonth,0,HG$32+HH$29+HH$31)</f>
        <v/>
      </c>
      <c r="HI32" s="18">
        <f>IF(214&gt;ConPayoffMonth,0,HH$32+HI$29+HI$31)</f>
        <v/>
      </c>
      <c r="HJ32" s="18">
        <f>IF(215&gt;ConPayoffMonth,0,HI$32+HJ$29+HJ$31)</f>
        <v/>
      </c>
      <c r="HK32" s="18">
        <f>IF(216&gt;ConPayoffMonth,0,HJ$32+HK$29+HK$31)</f>
        <v/>
      </c>
      <c r="HL32" s="18">
        <f>IF(217&gt;ConPayoffMonth,0,HK$32+HL$29+HL$31)</f>
        <v/>
      </c>
      <c r="HM32" s="18">
        <f>IF(218&gt;ConPayoffMonth,0,HL$32+HM$29+HM$31)</f>
        <v/>
      </c>
      <c r="HN32" s="18">
        <f>IF(219&gt;ConPayoffMonth,0,HM$32+HN$29+HN$31)</f>
        <v/>
      </c>
      <c r="HO32" s="18">
        <f>IF(220&gt;ConPayoffMonth,0,HN$32+HO$29+HO$31)</f>
        <v/>
      </c>
      <c r="HP32" s="18">
        <f>IF(221&gt;ConPayoffMonth,0,HO$32+HP$29+HP$31)</f>
        <v/>
      </c>
      <c r="HQ32" s="18">
        <f>IF(222&gt;ConPayoffMonth,0,HP$32+HQ$29+HQ$31)</f>
        <v/>
      </c>
      <c r="HR32" s="18">
        <f>IF(223&gt;ConPayoffMonth,0,HQ$32+HR$29+HR$31)</f>
        <v/>
      </c>
      <c r="HS32" s="18">
        <f>IF(224&gt;ConPayoffMonth,0,HR$32+HS$29+HS$31)</f>
        <v/>
      </c>
      <c r="HT32" s="18">
        <f>IF(225&gt;ConPayoffMonth,0,HS$32+HT$29+HT$31)</f>
        <v/>
      </c>
      <c r="HU32" s="18">
        <f>IF(226&gt;ConPayoffMonth,0,HT$32+HU$29+HU$31)</f>
        <v/>
      </c>
      <c r="HV32" s="18">
        <f>IF(227&gt;ConPayoffMonth,0,HU$32+HV$29+HV$31)</f>
        <v/>
      </c>
      <c r="HW32" s="18">
        <f>IF(228&gt;ConPayoffMonth,0,HV$32+HW$29+HW$31)</f>
        <v/>
      </c>
      <c r="HX32" s="18">
        <f>IF(229&gt;ConPayoffMonth,0,HW$32+HX$29+HX$31)</f>
        <v/>
      </c>
      <c r="HY32" s="18">
        <f>IF(230&gt;ConPayoffMonth,0,HX$32+HY$29+HY$31)</f>
        <v/>
      </c>
      <c r="HZ32" s="18">
        <f>IF(231&gt;ConPayoffMonth,0,HY$32+HZ$29+HZ$31)</f>
        <v/>
      </c>
      <c r="IA32" s="18">
        <f>IF(232&gt;ConPayoffMonth,0,HZ$32+IA$29+IA$31)</f>
        <v/>
      </c>
      <c r="IB32" s="18">
        <f>IF(233&gt;ConPayoffMonth,0,IA$32+IB$29+IB$31)</f>
        <v/>
      </c>
      <c r="IC32" s="18">
        <f>IF(234&gt;ConPayoffMonth,0,IB$32+IC$29+IC$31)</f>
        <v/>
      </c>
      <c r="ID32" s="18">
        <f>IF(235&gt;ConPayoffMonth,0,IC$32+ID$29+ID$31)</f>
        <v/>
      </c>
      <c r="IE32" s="18">
        <f>IF(236&gt;ConPayoffMonth,0,ID$32+IE$29+IE$31)</f>
        <v/>
      </c>
      <c r="IF32" s="18">
        <f>IF(237&gt;ConPayoffMonth,0,IE$32+IF$29+IF$31)</f>
        <v/>
      </c>
      <c r="IG32" s="18">
        <f>IF(238&gt;ConPayoffMonth,0,IF$32+IG$29+IG$31)</f>
        <v/>
      </c>
      <c r="IH32" s="18">
        <f>IF(239&gt;ConPayoffMonth,0,IG$32+IH$29+IH$31)</f>
        <v/>
      </c>
      <c r="II32" s="18">
        <f>IF(240&gt;ConPayoffMonth,0,IH$32+II$29+II$31)</f>
        <v/>
      </c>
      <c r="IJ32" s="18">
        <f>IF(241&gt;ConPayoffMonth,0,II$32+IJ$29+IJ$31)</f>
        <v/>
      </c>
      <c r="IK32" s="18">
        <f>IF(242&gt;ConPayoffMonth,0,IJ$32+IK$29+IK$31)</f>
        <v/>
      </c>
      <c r="IL32" s="18">
        <f>IF(243&gt;ConPayoffMonth,0,IK$32+IL$29+IL$31)</f>
        <v/>
      </c>
      <c r="IM32" s="18">
        <f>IF(244&gt;ConPayoffMonth,0,IL$32+IM$29+IM$31)</f>
        <v/>
      </c>
      <c r="IN32" s="18">
        <f>IF(245&gt;ConPayoffMonth,0,IM$32+IN$29+IN$31)</f>
        <v/>
      </c>
      <c r="IO32" s="18">
        <f>IF(246&gt;ConPayoffMonth,0,IN$32+IO$29+IO$31)</f>
        <v/>
      </c>
      <c r="IP32" s="18">
        <f>IF(247&gt;ConPayoffMonth,0,IO$32+IP$29+IP$31)</f>
        <v/>
      </c>
      <c r="IQ32" s="18">
        <f>IF(248&gt;ConPayoffMonth,0,IP$32+IQ$29+IQ$31)</f>
        <v/>
      </c>
      <c r="IR32" s="18">
        <f>IF(249&gt;ConPayoffMonth,0,IQ$32+IR$29+IR$31)</f>
        <v/>
      </c>
      <c r="IS32" s="18">
        <f>IF(250&gt;ConPayoffMonth,0,IR$32+IS$29+IS$31)</f>
        <v/>
      </c>
      <c r="IT32" s="18">
        <f>IF(251&gt;ConPayoffMonth,0,IS$32+IT$29+IT$31)</f>
        <v/>
      </c>
      <c r="IU32" s="18">
        <f>IF(252&gt;ConPayoffMonth,0,IT$32+IU$29+IU$31)</f>
        <v/>
      </c>
      <c r="IV32" s="18">
        <f>IF(253&gt;ConPayoffMonth,0,IU$32+IV$29+IV$31)</f>
        <v/>
      </c>
      <c r="IW32" s="18">
        <f>IF(254&gt;ConPayoffMonth,0,IV$32+IW$29+IW$31)</f>
        <v/>
      </c>
      <c r="IX32" s="18">
        <f>IF(255&gt;ConPayoffMonth,0,IW$32+IX$29+IX$31)</f>
        <v/>
      </c>
      <c r="IY32" s="18">
        <f>IF(256&gt;ConPayoffMonth,0,IX$32+IY$29+IY$31)</f>
        <v/>
      </c>
      <c r="IZ32" s="18">
        <f>IF(257&gt;ConPayoffMonth,0,IY$32+IZ$29+IZ$31)</f>
        <v/>
      </c>
      <c r="JA32" s="18">
        <f>IF(258&gt;ConPayoffMonth,0,IZ$32+JA$29+JA$31)</f>
        <v/>
      </c>
      <c r="JB32" s="18">
        <f>IF(259&gt;ConPayoffMonth,0,JA$32+JB$29+JB$31)</f>
        <v/>
      </c>
      <c r="JC32" s="18">
        <f>IF(260&gt;ConPayoffMonth,0,JB$32+JC$29+JC$31)</f>
        <v/>
      </c>
      <c r="JD32" s="18">
        <f>IF(261&gt;ConPayoffMonth,0,JC$32+JD$29+JD$31)</f>
        <v/>
      </c>
      <c r="JE32" s="18">
        <f>IF(262&gt;ConPayoffMonth,0,JD$32+JE$29+JE$31)</f>
        <v/>
      </c>
      <c r="JF32" s="18">
        <f>IF(263&gt;ConPayoffMonth,0,JE$32+JF$29+JF$31)</f>
        <v/>
      </c>
      <c r="JG32" s="18">
        <f>IF(264&gt;ConPayoffMonth,0,JF$32+JG$29+JG$31)</f>
        <v/>
      </c>
      <c r="JH32" s="18">
        <f>IF(265&gt;ConPayoffMonth,0,JG$32+JH$29+JH$31)</f>
        <v/>
      </c>
      <c r="JI32" s="18">
        <f>IF(266&gt;ConPayoffMonth,0,JH$32+JI$29+JI$31)</f>
        <v/>
      </c>
      <c r="JJ32" s="18">
        <f>IF(267&gt;ConPayoffMonth,0,JI$32+JJ$29+JJ$31)</f>
        <v/>
      </c>
      <c r="JK32" s="18">
        <f>IF(268&gt;ConPayoffMonth,0,JJ$32+JK$29+JK$31)</f>
        <v/>
      </c>
      <c r="JL32" s="18">
        <f>IF(269&gt;ConPayoffMonth,0,JK$32+JL$29+JL$31)</f>
        <v/>
      </c>
      <c r="JM32" s="18">
        <f>IF(270&gt;ConPayoffMonth,0,JL$32+JM$29+JM$31)</f>
        <v/>
      </c>
      <c r="JN32" s="18">
        <f>IF(271&gt;ConPayoffMonth,0,JM$32+JN$29+JN$31)</f>
        <v/>
      </c>
      <c r="JO32" s="18">
        <f>IF(272&gt;ConPayoffMonth,0,JN$32+JO$29+JO$31)</f>
        <v/>
      </c>
      <c r="JP32" s="18">
        <f>IF(273&gt;ConPayoffMonth,0,JO$32+JP$29+JP$31)</f>
        <v/>
      </c>
      <c r="JQ32" s="18">
        <f>IF(274&gt;ConPayoffMonth,0,JP$32+JQ$29+JQ$31)</f>
        <v/>
      </c>
      <c r="JR32" s="18">
        <f>IF(275&gt;ConPayoffMonth,0,JQ$32+JR$29+JR$31)</f>
        <v/>
      </c>
      <c r="JS32" s="18">
        <f>IF(276&gt;ConPayoffMonth,0,JR$32+JS$29+JS$31)</f>
        <v/>
      </c>
      <c r="JT32" s="18">
        <f>IF(277&gt;ConPayoffMonth,0,JS$32+JT$29+JT$31)</f>
        <v/>
      </c>
      <c r="JU32" s="18">
        <f>IF(278&gt;ConPayoffMonth,0,JT$32+JU$29+JU$31)</f>
        <v/>
      </c>
      <c r="JV32" s="18">
        <f>IF(279&gt;ConPayoffMonth,0,JU$32+JV$29+JV$31)</f>
        <v/>
      </c>
      <c r="JW32" s="18">
        <f>IF(280&gt;ConPayoffMonth,0,JV$32+JW$29+JW$31)</f>
        <v/>
      </c>
      <c r="JX32" s="18">
        <f>IF(281&gt;ConPayoffMonth,0,JW$32+JX$29+JX$31)</f>
        <v/>
      </c>
      <c r="JY32" s="18">
        <f>IF(282&gt;ConPayoffMonth,0,JX$32+JY$29+JY$31)</f>
        <v/>
      </c>
      <c r="JZ32" s="18">
        <f>IF(283&gt;ConPayoffMonth,0,JY$32+JZ$29+JZ$31)</f>
        <v/>
      </c>
      <c r="KA32" s="18">
        <f>IF(284&gt;ConPayoffMonth,0,JZ$32+KA$29+KA$31)</f>
        <v/>
      </c>
      <c r="KB32" s="18">
        <f>IF(285&gt;ConPayoffMonth,0,KA$32+KB$29+KB$31)</f>
        <v/>
      </c>
      <c r="KC32" s="18">
        <f>IF(286&gt;ConPayoffMonth,0,KB$32+KC$29+KC$31)</f>
        <v/>
      </c>
      <c r="KD32" s="18">
        <f>IF(287&gt;ConPayoffMonth,0,KC$32+KD$29+KD$31)</f>
        <v/>
      </c>
      <c r="KE32" s="18">
        <f>IF(288&gt;ConPayoffMonth,0,KD$32+KE$29+KE$31)</f>
        <v/>
      </c>
      <c r="KF32" s="18">
        <f>IF(289&gt;ConPayoffMonth,0,KE$32+KF$29+KF$31)</f>
        <v/>
      </c>
      <c r="KG32" s="18">
        <f>IF(290&gt;ConPayoffMonth,0,KF$32+KG$29+KG$31)</f>
        <v/>
      </c>
      <c r="KH32" s="18">
        <f>IF(291&gt;ConPayoffMonth,0,KG$32+KH$29+KH$31)</f>
        <v/>
      </c>
      <c r="KI32" s="18">
        <f>IF(292&gt;ConPayoffMonth,0,KH$32+KI$29+KI$31)</f>
        <v/>
      </c>
      <c r="KJ32" s="18">
        <f>IF(293&gt;ConPayoffMonth,0,KI$32+KJ$29+KJ$31)</f>
        <v/>
      </c>
      <c r="KK32" s="18">
        <f>IF(294&gt;ConPayoffMonth,0,KJ$32+KK$29+KK$31)</f>
        <v/>
      </c>
      <c r="KL32" s="18">
        <f>IF(295&gt;ConPayoffMonth,0,KK$32+KL$29+KL$31)</f>
        <v/>
      </c>
      <c r="KM32" s="18">
        <f>IF(296&gt;ConPayoffMonth,0,KL$32+KM$29+KM$31)</f>
        <v/>
      </c>
      <c r="KN32" s="18">
        <f>IF(297&gt;ConPayoffMonth,0,KM$32+KN$29+KN$31)</f>
        <v/>
      </c>
      <c r="KO32" s="18">
        <f>IF(298&gt;ConPayoffMonth,0,KN$32+KO$29+KO$31)</f>
        <v/>
      </c>
      <c r="KP32" s="18">
        <f>IF(299&gt;ConPayoffMonth,0,KO$32+KP$29+KP$31)</f>
        <v/>
      </c>
      <c r="KQ32" s="18">
        <f>IF(300&gt;ConPayoffMonth,0,KP$32+KQ$29+KQ$31)</f>
        <v/>
      </c>
      <c r="KR32" s="18">
        <f>IF(301&gt;ConPayoffMonth,0,KQ$32+KR$29+KR$31)</f>
        <v/>
      </c>
      <c r="KS32" s="18">
        <f>IF(302&gt;ConPayoffMonth,0,KR$32+KS$29+KS$31)</f>
        <v/>
      </c>
      <c r="KT32" s="18">
        <f>IF(303&gt;ConPayoffMonth,0,KS$32+KT$29+KT$31)</f>
        <v/>
      </c>
      <c r="KU32" s="18">
        <f>IF(304&gt;ConPayoffMonth,0,KT$32+KU$29+KU$31)</f>
        <v/>
      </c>
      <c r="KV32" s="18">
        <f>IF(305&gt;ConPayoffMonth,0,KU$32+KV$29+KV$31)</f>
        <v/>
      </c>
      <c r="KW32" s="18">
        <f>IF(306&gt;ConPayoffMonth,0,KV$32+KW$29+KW$31)</f>
        <v/>
      </c>
      <c r="KX32" s="18">
        <f>IF(307&gt;ConPayoffMonth,0,KW$32+KX$29+KX$31)</f>
        <v/>
      </c>
      <c r="KY32" s="18">
        <f>IF(308&gt;ConPayoffMonth,0,KX$32+KY$29+KY$31)</f>
        <v/>
      </c>
      <c r="KZ32" s="18">
        <f>IF(309&gt;ConPayoffMonth,0,KY$32+KZ$29+KZ$31)</f>
        <v/>
      </c>
      <c r="LA32" s="18">
        <f>IF(310&gt;ConPayoffMonth,0,KZ$32+LA$29+LA$31)</f>
        <v/>
      </c>
      <c r="LB32" s="18">
        <f>IF(311&gt;ConPayoffMonth,0,LA$32+LB$29+LB$31)</f>
        <v/>
      </c>
      <c r="LC32" s="18">
        <f>IF(312&gt;ConPayoffMonth,0,LB$32+LC$29+LC$31)</f>
        <v/>
      </c>
      <c r="LD32" s="18">
        <f>IF(313&gt;ConPayoffMonth,0,LC$32+LD$29+LD$31)</f>
        <v/>
      </c>
      <c r="LE32" s="18">
        <f>IF(314&gt;ConPayoffMonth,0,LD$32+LE$29+LE$31)</f>
        <v/>
      </c>
      <c r="LF32" s="18">
        <f>IF(315&gt;ConPayoffMonth,0,LE$32+LF$29+LF$31)</f>
        <v/>
      </c>
      <c r="LG32" s="18">
        <f>IF(316&gt;ConPayoffMonth,0,LF$32+LG$29+LG$31)</f>
        <v/>
      </c>
      <c r="LH32" s="18">
        <f>IF(317&gt;ConPayoffMonth,0,LG$32+LH$29+LH$31)</f>
        <v/>
      </c>
      <c r="LI32" s="18">
        <f>IF(318&gt;ConPayoffMonth,0,LH$32+LI$29+LI$31)</f>
        <v/>
      </c>
      <c r="LJ32" s="18">
        <f>IF(319&gt;ConPayoffMonth,0,LI$32+LJ$29+LJ$31)</f>
        <v/>
      </c>
      <c r="LK32" s="18">
        <f>IF(320&gt;ConPayoffMonth,0,LJ$32+LK$29+LK$31)</f>
        <v/>
      </c>
      <c r="LL32" s="18">
        <f>IF(321&gt;ConPayoffMonth,0,LK$32+LL$29+LL$31)</f>
        <v/>
      </c>
      <c r="LM32" s="18">
        <f>IF(322&gt;ConPayoffMonth,0,LL$32+LM$29+LM$31)</f>
        <v/>
      </c>
      <c r="LN32" s="18">
        <f>IF(323&gt;ConPayoffMonth,0,LM$32+LN$29+LN$31)</f>
        <v/>
      </c>
      <c r="LO32" s="18">
        <f>IF(324&gt;ConPayoffMonth,0,LN$32+LO$29+LO$31)</f>
        <v/>
      </c>
      <c r="LP32" s="18">
        <f>IF(325&gt;ConPayoffMonth,0,LO$32+LP$29+LP$31)</f>
        <v/>
      </c>
      <c r="LQ32" s="18">
        <f>IF(326&gt;ConPayoffMonth,0,LP$32+LQ$29+LQ$31)</f>
        <v/>
      </c>
      <c r="LR32" s="18">
        <f>IF(327&gt;ConPayoffMonth,0,LQ$32+LR$29+LR$31)</f>
        <v/>
      </c>
      <c r="LS32" s="18">
        <f>IF(328&gt;ConPayoffMonth,0,LR$32+LS$29+LS$31)</f>
        <v/>
      </c>
      <c r="LT32" s="18">
        <f>IF(329&gt;ConPayoffMonth,0,LS$32+LT$29+LT$31)</f>
        <v/>
      </c>
      <c r="LU32" s="18">
        <f>IF(330&gt;ConPayoffMonth,0,LT$32+LU$29+LU$31)</f>
        <v/>
      </c>
      <c r="LV32" s="18">
        <f>IF(331&gt;ConPayoffMonth,0,LU$32+LV$29+LV$31)</f>
        <v/>
      </c>
      <c r="LW32" s="18">
        <f>IF(332&gt;ConPayoffMonth,0,LV$32+LW$29+LW$31)</f>
        <v/>
      </c>
      <c r="LX32" s="18">
        <f>IF(333&gt;ConPayoffMonth,0,LW$32+LX$29+LX$31)</f>
        <v/>
      </c>
      <c r="LY32" s="18">
        <f>IF(334&gt;ConPayoffMonth,0,LX$32+LY$29+LY$31)</f>
        <v/>
      </c>
      <c r="LZ32" s="18">
        <f>IF(335&gt;ConPayoffMonth,0,LY$32+LZ$29+LZ$31)</f>
        <v/>
      </c>
      <c r="MA32" s="18">
        <f>IF(336&gt;ConPayoffMonth,0,LZ$32+MA$29+MA$31)</f>
        <v/>
      </c>
      <c r="MB32" s="18">
        <f>IF(337&gt;ConPayoffMonth,0,MA$32+MB$29+MB$31)</f>
        <v/>
      </c>
      <c r="MC32" s="18">
        <f>IF(338&gt;ConPayoffMonth,0,MB$32+MC$29+MC$31)</f>
        <v/>
      </c>
      <c r="MD32" s="18">
        <f>IF(339&gt;ConPayoffMonth,0,MC$32+MD$29+MD$31)</f>
        <v/>
      </c>
      <c r="ME32" s="18">
        <f>IF(340&gt;ConPayoffMonth,0,MD$32+ME$29+ME$31)</f>
        <v/>
      </c>
      <c r="MF32" s="18">
        <f>IF(341&gt;ConPayoffMonth,0,ME$32+MF$29+MF$31)</f>
        <v/>
      </c>
      <c r="MG32" s="18">
        <f>IF(342&gt;ConPayoffMonth,0,MF$32+MG$29+MG$31)</f>
        <v/>
      </c>
      <c r="MH32" s="18">
        <f>IF(343&gt;ConPayoffMonth,0,MG$32+MH$29+MH$31)</f>
        <v/>
      </c>
      <c r="MI32" s="18">
        <f>IF(344&gt;ConPayoffMonth,0,MH$32+MI$29+MI$31)</f>
        <v/>
      </c>
      <c r="MJ32" s="18">
        <f>IF(345&gt;ConPayoffMonth,0,MI$32+MJ$29+MJ$31)</f>
        <v/>
      </c>
      <c r="MK32" s="18">
        <f>IF(346&gt;ConPayoffMonth,0,MJ$32+MK$29+MK$31)</f>
        <v/>
      </c>
      <c r="ML32" s="18">
        <f>IF(347&gt;ConPayoffMonth,0,MK$32+ML$29+ML$31)</f>
        <v/>
      </c>
      <c r="MM32" s="18">
        <f>IF(348&gt;ConPayoffMonth,0,ML$32+MM$29+MM$31)</f>
        <v/>
      </c>
      <c r="MN32" s="18">
        <f>IF(349&gt;ConPayoffMonth,0,MM$32+MN$29+MN$31)</f>
        <v/>
      </c>
      <c r="MO32" s="18">
        <f>IF(350&gt;ConPayoffMonth,0,MN$32+MO$29+MO$31)</f>
        <v/>
      </c>
      <c r="MP32" s="18">
        <f>IF(351&gt;ConPayoffMonth,0,MO$32+MP$29+MP$31)</f>
        <v/>
      </c>
      <c r="MQ32" s="18">
        <f>IF(352&gt;ConPayoffMonth,0,MP$32+MQ$29+MQ$31)</f>
        <v/>
      </c>
      <c r="MR32" s="18">
        <f>IF(353&gt;ConPayoffMonth,0,MQ$32+MR$29+MR$31)</f>
        <v/>
      </c>
      <c r="MS32" s="18">
        <f>IF(354&gt;ConPayoffMonth,0,MR$32+MS$29+MS$31)</f>
        <v/>
      </c>
      <c r="MT32" s="18">
        <f>IF(355&gt;ConPayoffMonth,0,MS$32+MT$29+MT$31)</f>
        <v/>
      </c>
      <c r="MU32" s="18">
        <f>IF(356&gt;ConPayoffMonth,0,MT$32+MU$29+MU$31)</f>
        <v/>
      </c>
      <c r="MV32" s="18">
        <f>IF(357&gt;ConPayoffMonth,0,MU$32+MV$29+MV$31)</f>
        <v/>
      </c>
      <c r="MW32" s="18">
        <f>IF(358&gt;ConPayoffMonth,0,MV$32+MW$29+MW$31)</f>
        <v/>
      </c>
      <c r="MX32" s="18">
        <f>IF(359&gt;ConPayoffMonth,0,MW$32+MX$29+MX$31)</f>
        <v/>
      </c>
      <c r="MY32" s="18">
        <f>IF(360&gt;ConPayoffMonth,0,MX$32+MY$29+MY$31)</f>
        <v/>
      </c>
      <c r="MZ32" s="18">
        <f>IF(361&gt;ConPayoffMonth,0,MY$32+MZ$29+MZ$31)</f>
        <v/>
      </c>
      <c r="NA32" s="18">
        <f>IF(362&gt;ConPayoffMonth,0,MZ$32+NA$29+NA$31)</f>
        <v/>
      </c>
      <c r="NB32" s="18">
        <f>IF(363&gt;ConPayoffMonth,0,NA$32+NB$29+NB$31)</f>
        <v/>
      </c>
      <c r="NC32" s="18">
        <f>IF(364&gt;ConPayoffMonth,0,NB$32+NC$29+NC$31)</f>
        <v/>
      </c>
      <c r="ND32" s="18">
        <f>IF(365&gt;ConPayoffMonth,0,NC$32+ND$29+ND$31)</f>
        <v/>
      </c>
      <c r="NE32" s="18">
        <f>IF(366&gt;ConPayoffMonth,0,ND$32+NE$29+NE$31)</f>
        <v/>
      </c>
      <c r="NF32" s="18">
        <f>IF(367&gt;ConPayoffMonth,0,NE$32+NF$29+NF$31)</f>
        <v/>
      </c>
      <c r="NG32" s="18">
        <f>IF(368&gt;ConPayoffMonth,0,NF$32+NG$29+NG$31)</f>
        <v/>
      </c>
      <c r="NH32" s="18">
        <f>IF(369&gt;ConPayoffMonth,0,NG$32+NH$29+NH$31)</f>
        <v/>
      </c>
      <c r="NI32" s="18">
        <f>IF(370&gt;ConPayoffMonth,0,NH$32+NI$29+NI$31)</f>
        <v/>
      </c>
      <c r="NJ32" s="18">
        <f>IF(371&gt;ConPayoffMonth,0,NI$32+NJ$29+NJ$31)</f>
        <v/>
      </c>
      <c r="NK32" s="18">
        <f>IF(372&gt;ConPayoffMonth,0,NJ$32+NK$29+NK$31)</f>
        <v/>
      </c>
    </row>
    <row r="34">
      <c r="A34" s="3" t="inlineStr">
        <is>
          <t>Interest Reserve &amp; Loan Totals</t>
        </is>
      </c>
      <c r="B34" s="4" t="n"/>
      <c r="C34" s="4" t="n"/>
    </row>
    <row r="35">
      <c r="A35" s="5" t="inlineStr">
        <is>
          <t>Interest Reserve — Accrued</t>
        </is>
      </c>
      <c r="B35" s="30">
        <f>'ConLoan'!$C$31</f>
        <v/>
      </c>
    </row>
    <row r="36">
      <c r="A36" s="5" t="inlineStr">
        <is>
          <t>Interest Reserve — Funded (w/ override)</t>
        </is>
      </c>
      <c r="B36" s="30">
        <f>IF(LenderReqReserveOverride&gt;0,LenderReqReserveOverride,InterestReserveAccrued)</f>
        <v/>
      </c>
    </row>
    <row r="37">
      <c r="A37" s="5" t="inlineStr">
        <is>
          <t>Construction Loan Total</t>
        </is>
      </c>
      <c r="B37" s="30">
        <f>ConCostCommit+InterestReserveFunded</f>
        <v/>
      </c>
    </row>
    <row r="38">
      <c r="A38" s="5" t="inlineStr">
        <is>
          <t>Construction Loan Payoff Balance</t>
        </is>
      </c>
      <c r="B38" s="30">
        <f>INDEX(D32:NK32,ConPayoffMonth)</f>
        <v/>
      </c>
    </row>
    <row r="39">
      <c r="A39" s="5" t="inlineStr">
        <is>
          <t>Total Development Cost (TDC)</t>
        </is>
      </c>
      <c r="B39" s="30">
        <f>ConCostExInt+InterestReserveFunded</f>
        <v/>
      </c>
    </row>
    <row r="40">
      <c r="A40" s="5" t="inlineStr">
        <is>
          <t>Total Equity</t>
        </is>
      </c>
      <c r="B40" s="30">
        <f>TDC_Total-ConLoanTotal</f>
        <v/>
      </c>
    </row>
    <row r="41">
      <c r="A41" s="5" t="inlineStr">
        <is>
          <t>Loan-to-Cost (realized)</t>
        </is>
      </c>
      <c r="B41" s="50">
        <f>ConLoanTotal/TDC_Total</f>
        <v/>
      </c>
    </row>
    <row r="43">
      <c r="A43" s="15" t="inlineStr">
        <is>
          <t>Construction Reconciliation</t>
        </is>
      </c>
      <c r="B43" s="23" t="n"/>
      <c r="C43" s="23" t="n"/>
    </row>
    <row r="44">
      <c r="A44" s="5" t="inlineStr">
        <is>
          <t>Σ Debt Draws − Commitment</t>
        </is>
      </c>
      <c r="B44" s="18">
        <f>'ConLoan'!$C$29-ConCostCommit</f>
        <v/>
      </c>
    </row>
    <row r="45">
      <c r="A45" s="5" t="inlineStr">
        <is>
          <t>Σ Equity Draws − Equity Budget</t>
        </is>
      </c>
      <c r="B45" s="18">
        <f>'ConLoan'!$C$27-EquityBudget</f>
        <v/>
      </c>
    </row>
    <row r="46">
      <c r="A46" s="5" t="inlineStr">
        <is>
          <t>Σ Uses − Total Uses ex-Int</t>
        </is>
      </c>
      <c r="B46" s="18">
        <f>'ConLoan'!$C$26-ConCostExInt</f>
        <v/>
      </c>
    </row>
    <row r="47">
      <c r="A47" s="5" t="inlineStr">
        <is>
          <t>Ending Balance (must be 0)</t>
        </is>
      </c>
      <c r="B47" s="18">
        <f>INDEX(D32:NK32,372)</f>
        <v/>
      </c>
    </row>
    <row r="48">
      <c r="A48" s="5" t="inlineStr">
        <is>
          <t>Reserve Funded − Accrued (&gt;=0)</t>
        </is>
      </c>
      <c r="B48" s="18">
        <f>InterestReserveFunded-InterestReserveAccrued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K1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14" customWidth="1" min="3" max="3"/>
  </cols>
  <sheetData>
    <row r="1">
      <c r="A1" s="1" t="inlineStr">
        <is>
          <t>Unit Delivery &amp; Lease-Up Engine</t>
        </is>
      </c>
    </row>
    <row r="3">
      <c r="A3" s="5" t="inlineStr">
        <is>
          <t>Stabilized Leased Target (units)</t>
        </is>
      </c>
      <c r="B3" s="24">
        <f>ROUND(StabilizedOccupancy*TotalUnits,0)</f>
        <v/>
      </c>
    </row>
    <row r="5">
      <c r="A5" s="3" t="inlineStr">
        <is>
          <t>Monthly Delivery &amp; Absorption</t>
        </is>
      </c>
      <c r="B5" s="4" t="n"/>
      <c r="C5" s="4" t="n"/>
    </row>
    <row r="6">
      <c r="A6" s="36" t="inlineStr">
        <is>
          <t>Period →</t>
        </is>
      </c>
      <c r="C6" s="27" t="inlineStr">
        <is>
          <t>Total</t>
        </is>
      </c>
      <c r="D6" s="37" t="n">
        <v>1</v>
      </c>
      <c r="E6" s="37" t="n">
        <v>2</v>
      </c>
      <c r="F6" s="37" t="n">
        <v>3</v>
      </c>
      <c r="G6" s="37" t="n">
        <v>4</v>
      </c>
      <c r="H6" s="37" t="n">
        <v>5</v>
      </c>
      <c r="I6" s="37" t="n">
        <v>6</v>
      </c>
      <c r="J6" s="37" t="n">
        <v>7</v>
      </c>
      <c r="K6" s="37" t="n">
        <v>8</v>
      </c>
      <c r="L6" s="37" t="n">
        <v>9</v>
      </c>
      <c r="M6" s="37" t="n">
        <v>10</v>
      </c>
      <c r="N6" s="37" t="n">
        <v>11</v>
      </c>
      <c r="O6" s="37" t="n">
        <v>12</v>
      </c>
      <c r="P6" s="37" t="n">
        <v>13</v>
      </c>
      <c r="Q6" s="37" t="n">
        <v>14</v>
      </c>
      <c r="R6" s="37" t="n">
        <v>15</v>
      </c>
      <c r="S6" s="37" t="n">
        <v>16</v>
      </c>
      <c r="T6" s="37" t="n">
        <v>17</v>
      </c>
      <c r="U6" s="37" t="n">
        <v>18</v>
      </c>
      <c r="V6" s="37" t="n">
        <v>19</v>
      </c>
      <c r="W6" s="37" t="n">
        <v>20</v>
      </c>
      <c r="X6" s="37" t="n">
        <v>21</v>
      </c>
      <c r="Y6" s="37" t="n">
        <v>22</v>
      </c>
      <c r="Z6" s="37" t="n">
        <v>23</v>
      </c>
      <c r="AA6" s="37" t="n">
        <v>24</v>
      </c>
      <c r="AB6" s="37" t="n">
        <v>25</v>
      </c>
      <c r="AC6" s="37" t="n">
        <v>26</v>
      </c>
      <c r="AD6" s="37" t="n">
        <v>27</v>
      </c>
      <c r="AE6" s="37" t="n">
        <v>28</v>
      </c>
      <c r="AF6" s="37" t="n">
        <v>29</v>
      </c>
      <c r="AG6" s="37" t="n">
        <v>30</v>
      </c>
      <c r="AH6" s="37" t="n">
        <v>31</v>
      </c>
      <c r="AI6" s="37" t="n">
        <v>32</v>
      </c>
      <c r="AJ6" s="37" t="n">
        <v>33</v>
      </c>
      <c r="AK6" s="37" t="n">
        <v>34</v>
      </c>
      <c r="AL6" s="37" t="n">
        <v>35</v>
      </c>
      <c r="AM6" s="37" t="n">
        <v>36</v>
      </c>
      <c r="AN6" s="37" t="n">
        <v>37</v>
      </c>
      <c r="AO6" s="37" t="n">
        <v>38</v>
      </c>
      <c r="AP6" s="37" t="n">
        <v>39</v>
      </c>
      <c r="AQ6" s="37" t="n">
        <v>40</v>
      </c>
      <c r="AR6" s="37" t="n">
        <v>41</v>
      </c>
      <c r="AS6" s="37" t="n">
        <v>42</v>
      </c>
      <c r="AT6" s="37" t="n">
        <v>43</v>
      </c>
      <c r="AU6" s="37" t="n">
        <v>44</v>
      </c>
      <c r="AV6" s="37" t="n">
        <v>45</v>
      </c>
      <c r="AW6" s="37" t="n">
        <v>46</v>
      </c>
      <c r="AX6" s="37" t="n">
        <v>47</v>
      </c>
      <c r="AY6" s="37" t="n">
        <v>48</v>
      </c>
      <c r="AZ6" s="37" t="n">
        <v>49</v>
      </c>
      <c r="BA6" s="37" t="n">
        <v>50</v>
      </c>
      <c r="BB6" s="37" t="n">
        <v>51</v>
      </c>
      <c r="BC6" s="37" t="n">
        <v>52</v>
      </c>
      <c r="BD6" s="37" t="n">
        <v>53</v>
      </c>
      <c r="BE6" s="37" t="n">
        <v>54</v>
      </c>
      <c r="BF6" s="37" t="n">
        <v>55</v>
      </c>
      <c r="BG6" s="37" t="n">
        <v>56</v>
      </c>
      <c r="BH6" s="37" t="n">
        <v>57</v>
      </c>
      <c r="BI6" s="37" t="n">
        <v>58</v>
      </c>
      <c r="BJ6" s="37" t="n">
        <v>59</v>
      </c>
      <c r="BK6" s="37" t="n">
        <v>60</v>
      </c>
      <c r="BL6" s="37" t="n">
        <v>61</v>
      </c>
      <c r="BM6" s="37" t="n">
        <v>62</v>
      </c>
      <c r="BN6" s="37" t="n">
        <v>63</v>
      </c>
      <c r="BO6" s="37" t="n">
        <v>64</v>
      </c>
      <c r="BP6" s="37" t="n">
        <v>65</v>
      </c>
      <c r="BQ6" s="37" t="n">
        <v>66</v>
      </c>
      <c r="BR6" s="37" t="n">
        <v>67</v>
      </c>
      <c r="BS6" s="37" t="n">
        <v>68</v>
      </c>
      <c r="BT6" s="37" t="n">
        <v>69</v>
      </c>
      <c r="BU6" s="37" t="n">
        <v>70</v>
      </c>
      <c r="BV6" s="37" t="n">
        <v>71</v>
      </c>
      <c r="BW6" s="37" t="n">
        <v>72</v>
      </c>
      <c r="BX6" s="37" t="n">
        <v>73</v>
      </c>
      <c r="BY6" s="37" t="n">
        <v>74</v>
      </c>
      <c r="BZ6" s="37" t="n">
        <v>75</v>
      </c>
      <c r="CA6" s="37" t="n">
        <v>76</v>
      </c>
      <c r="CB6" s="37" t="n">
        <v>77</v>
      </c>
      <c r="CC6" s="37" t="n">
        <v>78</v>
      </c>
      <c r="CD6" s="37" t="n">
        <v>79</v>
      </c>
      <c r="CE6" s="37" t="n">
        <v>80</v>
      </c>
      <c r="CF6" s="37" t="n">
        <v>81</v>
      </c>
      <c r="CG6" s="37" t="n">
        <v>82</v>
      </c>
      <c r="CH6" s="37" t="n">
        <v>83</v>
      </c>
      <c r="CI6" s="37" t="n">
        <v>84</v>
      </c>
      <c r="CJ6" s="37" t="n">
        <v>85</v>
      </c>
      <c r="CK6" s="37" t="n">
        <v>86</v>
      </c>
      <c r="CL6" s="37" t="n">
        <v>87</v>
      </c>
      <c r="CM6" s="37" t="n">
        <v>88</v>
      </c>
      <c r="CN6" s="37" t="n">
        <v>89</v>
      </c>
      <c r="CO6" s="37" t="n">
        <v>90</v>
      </c>
      <c r="CP6" s="37" t="n">
        <v>91</v>
      </c>
      <c r="CQ6" s="37" t="n">
        <v>92</v>
      </c>
      <c r="CR6" s="37" t="n">
        <v>93</v>
      </c>
      <c r="CS6" s="37" t="n">
        <v>94</v>
      </c>
      <c r="CT6" s="37" t="n">
        <v>95</v>
      </c>
      <c r="CU6" s="37" t="n">
        <v>96</v>
      </c>
      <c r="CV6" s="37" t="n">
        <v>97</v>
      </c>
      <c r="CW6" s="37" t="n">
        <v>98</v>
      </c>
      <c r="CX6" s="37" t="n">
        <v>99</v>
      </c>
      <c r="CY6" s="37" t="n">
        <v>100</v>
      </c>
      <c r="CZ6" s="37" t="n">
        <v>101</v>
      </c>
      <c r="DA6" s="37" t="n">
        <v>102</v>
      </c>
      <c r="DB6" s="37" t="n">
        <v>103</v>
      </c>
      <c r="DC6" s="37" t="n">
        <v>104</v>
      </c>
      <c r="DD6" s="37" t="n">
        <v>105</v>
      </c>
      <c r="DE6" s="37" t="n">
        <v>106</v>
      </c>
      <c r="DF6" s="37" t="n">
        <v>107</v>
      </c>
      <c r="DG6" s="37" t="n">
        <v>108</v>
      </c>
      <c r="DH6" s="37" t="n">
        <v>109</v>
      </c>
      <c r="DI6" s="37" t="n">
        <v>110</v>
      </c>
      <c r="DJ6" s="37" t="n">
        <v>111</v>
      </c>
      <c r="DK6" s="37" t="n">
        <v>112</v>
      </c>
      <c r="DL6" s="37" t="n">
        <v>113</v>
      </c>
      <c r="DM6" s="37" t="n">
        <v>114</v>
      </c>
      <c r="DN6" s="37" t="n">
        <v>115</v>
      </c>
      <c r="DO6" s="37" t="n">
        <v>116</v>
      </c>
      <c r="DP6" s="37" t="n">
        <v>117</v>
      </c>
      <c r="DQ6" s="37" t="n">
        <v>118</v>
      </c>
      <c r="DR6" s="37" t="n">
        <v>119</v>
      </c>
      <c r="DS6" s="37" t="n">
        <v>120</v>
      </c>
      <c r="DT6" s="37" t="n">
        <v>121</v>
      </c>
      <c r="DU6" s="37" t="n">
        <v>122</v>
      </c>
      <c r="DV6" s="37" t="n">
        <v>123</v>
      </c>
      <c r="DW6" s="37" t="n">
        <v>124</v>
      </c>
      <c r="DX6" s="37" t="n">
        <v>125</v>
      </c>
      <c r="DY6" s="37" t="n">
        <v>126</v>
      </c>
      <c r="DZ6" s="37" t="n">
        <v>127</v>
      </c>
      <c r="EA6" s="37" t="n">
        <v>128</v>
      </c>
      <c r="EB6" s="37" t="n">
        <v>129</v>
      </c>
      <c r="EC6" s="37" t="n">
        <v>130</v>
      </c>
      <c r="ED6" s="37" t="n">
        <v>131</v>
      </c>
      <c r="EE6" s="37" t="n">
        <v>132</v>
      </c>
      <c r="EF6" s="37" t="n">
        <v>133</v>
      </c>
      <c r="EG6" s="37" t="n">
        <v>134</v>
      </c>
      <c r="EH6" s="37" t="n">
        <v>135</v>
      </c>
      <c r="EI6" s="37" t="n">
        <v>136</v>
      </c>
      <c r="EJ6" s="37" t="n">
        <v>137</v>
      </c>
      <c r="EK6" s="37" t="n">
        <v>138</v>
      </c>
      <c r="EL6" s="37" t="n">
        <v>139</v>
      </c>
      <c r="EM6" s="37" t="n">
        <v>140</v>
      </c>
      <c r="EN6" s="37" t="n">
        <v>141</v>
      </c>
      <c r="EO6" s="37" t="n">
        <v>142</v>
      </c>
      <c r="EP6" s="37" t="n">
        <v>143</v>
      </c>
      <c r="EQ6" s="37" t="n">
        <v>144</v>
      </c>
      <c r="ER6" s="37" t="n">
        <v>145</v>
      </c>
      <c r="ES6" s="37" t="n">
        <v>146</v>
      </c>
      <c r="ET6" s="37" t="n">
        <v>147</v>
      </c>
      <c r="EU6" s="37" t="n">
        <v>148</v>
      </c>
      <c r="EV6" s="37" t="n">
        <v>149</v>
      </c>
      <c r="EW6" s="37" t="n">
        <v>150</v>
      </c>
      <c r="EX6" s="37" t="n">
        <v>151</v>
      </c>
      <c r="EY6" s="37" t="n">
        <v>152</v>
      </c>
      <c r="EZ6" s="37" t="n">
        <v>153</v>
      </c>
      <c r="FA6" s="37" t="n">
        <v>154</v>
      </c>
      <c r="FB6" s="37" t="n">
        <v>155</v>
      </c>
      <c r="FC6" s="37" t="n">
        <v>156</v>
      </c>
      <c r="FD6" s="37" t="n">
        <v>157</v>
      </c>
      <c r="FE6" s="37" t="n">
        <v>158</v>
      </c>
      <c r="FF6" s="37" t="n">
        <v>159</v>
      </c>
      <c r="FG6" s="37" t="n">
        <v>160</v>
      </c>
      <c r="FH6" s="37" t="n">
        <v>161</v>
      </c>
      <c r="FI6" s="37" t="n">
        <v>162</v>
      </c>
      <c r="FJ6" s="37" t="n">
        <v>163</v>
      </c>
      <c r="FK6" s="37" t="n">
        <v>164</v>
      </c>
      <c r="FL6" s="37" t="n">
        <v>165</v>
      </c>
      <c r="FM6" s="37" t="n">
        <v>166</v>
      </c>
      <c r="FN6" s="37" t="n">
        <v>167</v>
      </c>
      <c r="FO6" s="37" t="n">
        <v>168</v>
      </c>
      <c r="FP6" s="37" t="n">
        <v>169</v>
      </c>
      <c r="FQ6" s="37" t="n">
        <v>170</v>
      </c>
      <c r="FR6" s="37" t="n">
        <v>171</v>
      </c>
      <c r="FS6" s="37" t="n">
        <v>172</v>
      </c>
      <c r="FT6" s="37" t="n">
        <v>173</v>
      </c>
      <c r="FU6" s="37" t="n">
        <v>174</v>
      </c>
      <c r="FV6" s="37" t="n">
        <v>175</v>
      </c>
      <c r="FW6" s="37" t="n">
        <v>176</v>
      </c>
      <c r="FX6" s="37" t="n">
        <v>177</v>
      </c>
      <c r="FY6" s="37" t="n">
        <v>178</v>
      </c>
      <c r="FZ6" s="37" t="n">
        <v>179</v>
      </c>
      <c r="GA6" s="37" t="n">
        <v>180</v>
      </c>
      <c r="GB6" s="37" t="n">
        <v>181</v>
      </c>
      <c r="GC6" s="37" t="n">
        <v>182</v>
      </c>
      <c r="GD6" s="37" t="n">
        <v>183</v>
      </c>
      <c r="GE6" s="37" t="n">
        <v>184</v>
      </c>
      <c r="GF6" s="37" t="n">
        <v>185</v>
      </c>
      <c r="GG6" s="37" t="n">
        <v>186</v>
      </c>
      <c r="GH6" s="37" t="n">
        <v>187</v>
      </c>
      <c r="GI6" s="37" t="n">
        <v>188</v>
      </c>
      <c r="GJ6" s="37" t="n">
        <v>189</v>
      </c>
      <c r="GK6" s="37" t="n">
        <v>190</v>
      </c>
      <c r="GL6" s="37" t="n">
        <v>191</v>
      </c>
      <c r="GM6" s="37" t="n">
        <v>192</v>
      </c>
      <c r="GN6" s="37" t="n">
        <v>193</v>
      </c>
      <c r="GO6" s="37" t="n">
        <v>194</v>
      </c>
      <c r="GP6" s="37" t="n">
        <v>195</v>
      </c>
      <c r="GQ6" s="37" t="n">
        <v>196</v>
      </c>
      <c r="GR6" s="37" t="n">
        <v>197</v>
      </c>
      <c r="GS6" s="37" t="n">
        <v>198</v>
      </c>
      <c r="GT6" s="37" t="n">
        <v>199</v>
      </c>
      <c r="GU6" s="37" t="n">
        <v>200</v>
      </c>
      <c r="GV6" s="37" t="n">
        <v>201</v>
      </c>
      <c r="GW6" s="37" t="n">
        <v>202</v>
      </c>
      <c r="GX6" s="37" t="n">
        <v>203</v>
      </c>
      <c r="GY6" s="37" t="n">
        <v>204</v>
      </c>
      <c r="GZ6" s="37" t="n">
        <v>205</v>
      </c>
      <c r="HA6" s="37" t="n">
        <v>206</v>
      </c>
      <c r="HB6" s="37" t="n">
        <v>207</v>
      </c>
      <c r="HC6" s="37" t="n">
        <v>208</v>
      </c>
      <c r="HD6" s="37" t="n">
        <v>209</v>
      </c>
      <c r="HE6" s="37" t="n">
        <v>210</v>
      </c>
      <c r="HF6" s="37" t="n">
        <v>211</v>
      </c>
      <c r="HG6" s="37" t="n">
        <v>212</v>
      </c>
      <c r="HH6" s="37" t="n">
        <v>213</v>
      </c>
      <c r="HI6" s="37" t="n">
        <v>214</v>
      </c>
      <c r="HJ6" s="37" t="n">
        <v>215</v>
      </c>
      <c r="HK6" s="37" t="n">
        <v>216</v>
      </c>
      <c r="HL6" s="37" t="n">
        <v>217</v>
      </c>
      <c r="HM6" s="37" t="n">
        <v>218</v>
      </c>
      <c r="HN6" s="37" t="n">
        <v>219</v>
      </c>
      <c r="HO6" s="37" t="n">
        <v>220</v>
      </c>
      <c r="HP6" s="37" t="n">
        <v>221</v>
      </c>
      <c r="HQ6" s="37" t="n">
        <v>222</v>
      </c>
      <c r="HR6" s="37" t="n">
        <v>223</v>
      </c>
      <c r="HS6" s="37" t="n">
        <v>224</v>
      </c>
      <c r="HT6" s="37" t="n">
        <v>225</v>
      </c>
      <c r="HU6" s="37" t="n">
        <v>226</v>
      </c>
      <c r="HV6" s="37" t="n">
        <v>227</v>
      </c>
      <c r="HW6" s="37" t="n">
        <v>228</v>
      </c>
      <c r="HX6" s="37" t="n">
        <v>229</v>
      </c>
      <c r="HY6" s="37" t="n">
        <v>230</v>
      </c>
      <c r="HZ6" s="37" t="n">
        <v>231</v>
      </c>
      <c r="IA6" s="37" t="n">
        <v>232</v>
      </c>
      <c r="IB6" s="37" t="n">
        <v>233</v>
      </c>
      <c r="IC6" s="37" t="n">
        <v>234</v>
      </c>
      <c r="ID6" s="37" t="n">
        <v>235</v>
      </c>
      <c r="IE6" s="37" t="n">
        <v>236</v>
      </c>
      <c r="IF6" s="37" t="n">
        <v>237</v>
      </c>
      <c r="IG6" s="37" t="n">
        <v>238</v>
      </c>
      <c r="IH6" s="37" t="n">
        <v>239</v>
      </c>
      <c r="II6" s="37" t="n">
        <v>240</v>
      </c>
      <c r="IJ6" s="37" t="n">
        <v>241</v>
      </c>
      <c r="IK6" s="37" t="n">
        <v>242</v>
      </c>
      <c r="IL6" s="37" t="n">
        <v>243</v>
      </c>
      <c r="IM6" s="37" t="n">
        <v>244</v>
      </c>
      <c r="IN6" s="37" t="n">
        <v>245</v>
      </c>
      <c r="IO6" s="37" t="n">
        <v>246</v>
      </c>
      <c r="IP6" s="37" t="n">
        <v>247</v>
      </c>
      <c r="IQ6" s="37" t="n">
        <v>248</v>
      </c>
      <c r="IR6" s="37" t="n">
        <v>249</v>
      </c>
      <c r="IS6" s="37" t="n">
        <v>250</v>
      </c>
      <c r="IT6" s="37" t="n">
        <v>251</v>
      </c>
      <c r="IU6" s="37" t="n">
        <v>252</v>
      </c>
      <c r="IV6" s="37" t="n">
        <v>253</v>
      </c>
      <c r="IW6" s="37" t="n">
        <v>254</v>
      </c>
      <c r="IX6" s="37" t="n">
        <v>255</v>
      </c>
      <c r="IY6" s="37" t="n">
        <v>256</v>
      </c>
      <c r="IZ6" s="37" t="n">
        <v>257</v>
      </c>
      <c r="JA6" s="37" t="n">
        <v>258</v>
      </c>
      <c r="JB6" s="37" t="n">
        <v>259</v>
      </c>
      <c r="JC6" s="37" t="n">
        <v>260</v>
      </c>
      <c r="JD6" s="37" t="n">
        <v>261</v>
      </c>
      <c r="JE6" s="37" t="n">
        <v>262</v>
      </c>
      <c r="JF6" s="37" t="n">
        <v>263</v>
      </c>
      <c r="JG6" s="37" t="n">
        <v>264</v>
      </c>
      <c r="JH6" s="37" t="n">
        <v>265</v>
      </c>
      <c r="JI6" s="37" t="n">
        <v>266</v>
      </c>
      <c r="JJ6" s="37" t="n">
        <v>267</v>
      </c>
      <c r="JK6" s="37" t="n">
        <v>268</v>
      </c>
      <c r="JL6" s="37" t="n">
        <v>269</v>
      </c>
      <c r="JM6" s="37" t="n">
        <v>270</v>
      </c>
      <c r="JN6" s="37" t="n">
        <v>271</v>
      </c>
      <c r="JO6" s="37" t="n">
        <v>272</v>
      </c>
      <c r="JP6" s="37" t="n">
        <v>273</v>
      </c>
      <c r="JQ6" s="37" t="n">
        <v>274</v>
      </c>
      <c r="JR6" s="37" t="n">
        <v>275</v>
      </c>
      <c r="JS6" s="37" t="n">
        <v>276</v>
      </c>
      <c r="JT6" s="37" t="n">
        <v>277</v>
      </c>
      <c r="JU6" s="37" t="n">
        <v>278</v>
      </c>
      <c r="JV6" s="37" t="n">
        <v>279</v>
      </c>
      <c r="JW6" s="37" t="n">
        <v>280</v>
      </c>
      <c r="JX6" s="37" t="n">
        <v>281</v>
      </c>
      <c r="JY6" s="37" t="n">
        <v>282</v>
      </c>
      <c r="JZ6" s="37" t="n">
        <v>283</v>
      </c>
      <c r="KA6" s="37" t="n">
        <v>284</v>
      </c>
      <c r="KB6" s="37" t="n">
        <v>285</v>
      </c>
      <c r="KC6" s="37" t="n">
        <v>286</v>
      </c>
      <c r="KD6" s="37" t="n">
        <v>287</v>
      </c>
      <c r="KE6" s="37" t="n">
        <v>288</v>
      </c>
      <c r="KF6" s="37" t="n">
        <v>289</v>
      </c>
      <c r="KG6" s="37" t="n">
        <v>290</v>
      </c>
      <c r="KH6" s="37" t="n">
        <v>291</v>
      </c>
      <c r="KI6" s="37" t="n">
        <v>292</v>
      </c>
      <c r="KJ6" s="37" t="n">
        <v>293</v>
      </c>
      <c r="KK6" s="37" t="n">
        <v>294</v>
      </c>
      <c r="KL6" s="37" t="n">
        <v>295</v>
      </c>
      <c r="KM6" s="37" t="n">
        <v>296</v>
      </c>
      <c r="KN6" s="37" t="n">
        <v>297</v>
      </c>
      <c r="KO6" s="37" t="n">
        <v>298</v>
      </c>
      <c r="KP6" s="37" t="n">
        <v>299</v>
      </c>
      <c r="KQ6" s="37" t="n">
        <v>300</v>
      </c>
      <c r="KR6" s="37" t="n">
        <v>301</v>
      </c>
      <c r="KS6" s="37" t="n">
        <v>302</v>
      </c>
      <c r="KT6" s="37" t="n">
        <v>303</v>
      </c>
      <c r="KU6" s="37" t="n">
        <v>304</v>
      </c>
      <c r="KV6" s="37" t="n">
        <v>305</v>
      </c>
      <c r="KW6" s="37" t="n">
        <v>306</v>
      </c>
      <c r="KX6" s="37" t="n">
        <v>307</v>
      </c>
      <c r="KY6" s="37" t="n">
        <v>308</v>
      </c>
      <c r="KZ6" s="37" t="n">
        <v>309</v>
      </c>
      <c r="LA6" s="37" t="n">
        <v>310</v>
      </c>
      <c r="LB6" s="37" t="n">
        <v>311</v>
      </c>
      <c r="LC6" s="37" t="n">
        <v>312</v>
      </c>
      <c r="LD6" s="37" t="n">
        <v>313</v>
      </c>
      <c r="LE6" s="37" t="n">
        <v>314</v>
      </c>
      <c r="LF6" s="37" t="n">
        <v>315</v>
      </c>
      <c r="LG6" s="37" t="n">
        <v>316</v>
      </c>
      <c r="LH6" s="37" t="n">
        <v>317</v>
      </c>
      <c r="LI6" s="37" t="n">
        <v>318</v>
      </c>
      <c r="LJ6" s="37" t="n">
        <v>319</v>
      </c>
      <c r="LK6" s="37" t="n">
        <v>320</v>
      </c>
      <c r="LL6" s="37" t="n">
        <v>321</v>
      </c>
      <c r="LM6" s="37" t="n">
        <v>322</v>
      </c>
      <c r="LN6" s="37" t="n">
        <v>323</v>
      </c>
      <c r="LO6" s="37" t="n">
        <v>324</v>
      </c>
      <c r="LP6" s="37" t="n">
        <v>325</v>
      </c>
      <c r="LQ6" s="37" t="n">
        <v>326</v>
      </c>
      <c r="LR6" s="37" t="n">
        <v>327</v>
      </c>
      <c r="LS6" s="37" t="n">
        <v>328</v>
      </c>
      <c r="LT6" s="37" t="n">
        <v>329</v>
      </c>
      <c r="LU6" s="37" t="n">
        <v>330</v>
      </c>
      <c r="LV6" s="37" t="n">
        <v>331</v>
      </c>
      <c r="LW6" s="37" t="n">
        <v>332</v>
      </c>
      <c r="LX6" s="37" t="n">
        <v>333</v>
      </c>
      <c r="LY6" s="37" t="n">
        <v>334</v>
      </c>
      <c r="LZ6" s="37" t="n">
        <v>335</v>
      </c>
      <c r="MA6" s="37" t="n">
        <v>336</v>
      </c>
      <c r="MB6" s="37" t="n">
        <v>337</v>
      </c>
      <c r="MC6" s="37" t="n">
        <v>338</v>
      </c>
      <c r="MD6" s="37" t="n">
        <v>339</v>
      </c>
      <c r="ME6" s="37" t="n">
        <v>340</v>
      </c>
      <c r="MF6" s="37" t="n">
        <v>341</v>
      </c>
      <c r="MG6" s="37" t="n">
        <v>342</v>
      </c>
      <c r="MH6" s="37" t="n">
        <v>343</v>
      </c>
      <c r="MI6" s="37" t="n">
        <v>344</v>
      </c>
      <c r="MJ6" s="37" t="n">
        <v>345</v>
      </c>
      <c r="MK6" s="37" t="n">
        <v>346</v>
      </c>
      <c r="ML6" s="37" t="n">
        <v>347</v>
      </c>
      <c r="MM6" s="37" t="n">
        <v>348</v>
      </c>
      <c r="MN6" s="37" t="n">
        <v>349</v>
      </c>
      <c r="MO6" s="37" t="n">
        <v>350</v>
      </c>
      <c r="MP6" s="37" t="n">
        <v>351</v>
      </c>
      <c r="MQ6" s="37" t="n">
        <v>352</v>
      </c>
      <c r="MR6" s="37" t="n">
        <v>353</v>
      </c>
      <c r="MS6" s="37" t="n">
        <v>354</v>
      </c>
      <c r="MT6" s="37" t="n">
        <v>355</v>
      </c>
      <c r="MU6" s="37" t="n">
        <v>356</v>
      </c>
      <c r="MV6" s="37" t="n">
        <v>357</v>
      </c>
      <c r="MW6" s="37" t="n">
        <v>358</v>
      </c>
      <c r="MX6" s="37" t="n">
        <v>359</v>
      </c>
      <c r="MY6" s="37" t="n">
        <v>360</v>
      </c>
      <c r="MZ6" s="37" t="n">
        <v>361</v>
      </c>
      <c r="NA6" s="37" t="n">
        <v>362</v>
      </c>
      <c r="NB6" s="37" t="n">
        <v>363</v>
      </c>
      <c r="NC6" s="37" t="n">
        <v>364</v>
      </c>
      <c r="ND6" s="37" t="n">
        <v>365</v>
      </c>
      <c r="NE6" s="37" t="n">
        <v>366</v>
      </c>
      <c r="NF6" s="37" t="n">
        <v>367</v>
      </c>
      <c r="NG6" s="37" t="n">
        <v>368</v>
      </c>
      <c r="NH6" s="37" t="n">
        <v>369</v>
      </c>
      <c r="NI6" s="37" t="n">
        <v>370</v>
      </c>
      <c r="NJ6" s="37" t="n">
        <v>371</v>
      </c>
      <c r="NK6" s="37" t="n">
        <v>372</v>
      </c>
    </row>
    <row r="7">
      <c r="A7" s="5" t="inlineStr">
        <is>
          <t>Cumulative Units Delivered</t>
        </is>
      </c>
      <c r="C7" s="40" t="n"/>
      <c r="D7" s="17">
        <f>IF(1&lt;DeliverStart,0,MIN(TotalUnits,(1-DeliverStart+1)*UnitsDeliveredPerMo))</f>
        <v/>
      </c>
      <c r="E7" s="17">
        <f>IF(2&lt;DeliverStart,0,MIN(TotalUnits,(2-DeliverStart+1)*UnitsDeliveredPerMo))</f>
        <v/>
      </c>
      <c r="F7" s="17">
        <f>IF(3&lt;DeliverStart,0,MIN(TotalUnits,(3-DeliverStart+1)*UnitsDeliveredPerMo))</f>
        <v/>
      </c>
      <c r="G7" s="17">
        <f>IF(4&lt;DeliverStart,0,MIN(TotalUnits,(4-DeliverStart+1)*UnitsDeliveredPerMo))</f>
        <v/>
      </c>
      <c r="H7" s="17">
        <f>IF(5&lt;DeliverStart,0,MIN(TotalUnits,(5-DeliverStart+1)*UnitsDeliveredPerMo))</f>
        <v/>
      </c>
      <c r="I7" s="17">
        <f>IF(6&lt;DeliverStart,0,MIN(TotalUnits,(6-DeliverStart+1)*UnitsDeliveredPerMo))</f>
        <v/>
      </c>
      <c r="J7" s="17">
        <f>IF(7&lt;DeliverStart,0,MIN(TotalUnits,(7-DeliverStart+1)*UnitsDeliveredPerMo))</f>
        <v/>
      </c>
      <c r="K7" s="17">
        <f>IF(8&lt;DeliverStart,0,MIN(TotalUnits,(8-DeliverStart+1)*UnitsDeliveredPerMo))</f>
        <v/>
      </c>
      <c r="L7" s="17">
        <f>IF(9&lt;DeliverStart,0,MIN(TotalUnits,(9-DeliverStart+1)*UnitsDeliveredPerMo))</f>
        <v/>
      </c>
      <c r="M7" s="17">
        <f>IF(10&lt;DeliverStart,0,MIN(TotalUnits,(10-DeliverStart+1)*UnitsDeliveredPerMo))</f>
        <v/>
      </c>
      <c r="N7" s="17">
        <f>IF(11&lt;DeliverStart,0,MIN(TotalUnits,(11-DeliverStart+1)*UnitsDeliveredPerMo))</f>
        <v/>
      </c>
      <c r="O7" s="17">
        <f>IF(12&lt;DeliverStart,0,MIN(TotalUnits,(12-DeliverStart+1)*UnitsDeliveredPerMo))</f>
        <v/>
      </c>
      <c r="P7" s="17">
        <f>IF(13&lt;DeliverStart,0,MIN(TotalUnits,(13-DeliverStart+1)*UnitsDeliveredPerMo))</f>
        <v/>
      </c>
      <c r="Q7" s="17">
        <f>IF(14&lt;DeliverStart,0,MIN(TotalUnits,(14-DeliverStart+1)*UnitsDeliveredPerMo))</f>
        <v/>
      </c>
      <c r="R7" s="17">
        <f>IF(15&lt;DeliverStart,0,MIN(TotalUnits,(15-DeliverStart+1)*UnitsDeliveredPerMo))</f>
        <v/>
      </c>
      <c r="S7" s="17">
        <f>IF(16&lt;DeliverStart,0,MIN(TotalUnits,(16-DeliverStart+1)*UnitsDeliveredPerMo))</f>
        <v/>
      </c>
      <c r="T7" s="17">
        <f>IF(17&lt;DeliverStart,0,MIN(TotalUnits,(17-DeliverStart+1)*UnitsDeliveredPerMo))</f>
        <v/>
      </c>
      <c r="U7" s="17">
        <f>IF(18&lt;DeliverStart,0,MIN(TotalUnits,(18-DeliverStart+1)*UnitsDeliveredPerMo))</f>
        <v/>
      </c>
      <c r="V7" s="17">
        <f>IF(19&lt;DeliverStart,0,MIN(TotalUnits,(19-DeliverStart+1)*UnitsDeliveredPerMo))</f>
        <v/>
      </c>
      <c r="W7" s="17">
        <f>IF(20&lt;DeliverStart,0,MIN(TotalUnits,(20-DeliverStart+1)*UnitsDeliveredPerMo))</f>
        <v/>
      </c>
      <c r="X7" s="17">
        <f>IF(21&lt;DeliverStart,0,MIN(TotalUnits,(21-DeliverStart+1)*UnitsDeliveredPerMo))</f>
        <v/>
      </c>
      <c r="Y7" s="17">
        <f>IF(22&lt;DeliverStart,0,MIN(TotalUnits,(22-DeliverStart+1)*UnitsDeliveredPerMo))</f>
        <v/>
      </c>
      <c r="Z7" s="17">
        <f>IF(23&lt;DeliverStart,0,MIN(TotalUnits,(23-DeliverStart+1)*UnitsDeliveredPerMo))</f>
        <v/>
      </c>
      <c r="AA7" s="17">
        <f>IF(24&lt;DeliverStart,0,MIN(TotalUnits,(24-DeliverStart+1)*UnitsDeliveredPerMo))</f>
        <v/>
      </c>
      <c r="AB7" s="17">
        <f>IF(25&lt;DeliverStart,0,MIN(TotalUnits,(25-DeliverStart+1)*UnitsDeliveredPerMo))</f>
        <v/>
      </c>
      <c r="AC7" s="17">
        <f>IF(26&lt;DeliverStart,0,MIN(TotalUnits,(26-DeliverStart+1)*UnitsDeliveredPerMo))</f>
        <v/>
      </c>
      <c r="AD7" s="17">
        <f>IF(27&lt;DeliverStart,0,MIN(TotalUnits,(27-DeliverStart+1)*UnitsDeliveredPerMo))</f>
        <v/>
      </c>
      <c r="AE7" s="17">
        <f>IF(28&lt;DeliverStart,0,MIN(TotalUnits,(28-DeliverStart+1)*UnitsDeliveredPerMo))</f>
        <v/>
      </c>
      <c r="AF7" s="17">
        <f>IF(29&lt;DeliverStart,0,MIN(TotalUnits,(29-DeliverStart+1)*UnitsDeliveredPerMo))</f>
        <v/>
      </c>
      <c r="AG7" s="17">
        <f>IF(30&lt;DeliverStart,0,MIN(TotalUnits,(30-DeliverStart+1)*UnitsDeliveredPerMo))</f>
        <v/>
      </c>
      <c r="AH7" s="17">
        <f>IF(31&lt;DeliverStart,0,MIN(TotalUnits,(31-DeliverStart+1)*UnitsDeliveredPerMo))</f>
        <v/>
      </c>
      <c r="AI7" s="17">
        <f>IF(32&lt;DeliverStart,0,MIN(TotalUnits,(32-DeliverStart+1)*UnitsDeliveredPerMo))</f>
        <v/>
      </c>
      <c r="AJ7" s="17">
        <f>IF(33&lt;DeliverStart,0,MIN(TotalUnits,(33-DeliverStart+1)*UnitsDeliveredPerMo))</f>
        <v/>
      </c>
      <c r="AK7" s="17">
        <f>IF(34&lt;DeliverStart,0,MIN(TotalUnits,(34-DeliverStart+1)*UnitsDeliveredPerMo))</f>
        <v/>
      </c>
      <c r="AL7" s="17">
        <f>IF(35&lt;DeliverStart,0,MIN(TotalUnits,(35-DeliverStart+1)*UnitsDeliveredPerMo))</f>
        <v/>
      </c>
      <c r="AM7" s="17">
        <f>IF(36&lt;DeliverStart,0,MIN(TotalUnits,(36-DeliverStart+1)*UnitsDeliveredPerMo))</f>
        <v/>
      </c>
      <c r="AN7" s="17">
        <f>IF(37&lt;DeliverStart,0,MIN(TotalUnits,(37-DeliverStart+1)*UnitsDeliveredPerMo))</f>
        <v/>
      </c>
      <c r="AO7" s="17">
        <f>IF(38&lt;DeliverStart,0,MIN(TotalUnits,(38-DeliverStart+1)*UnitsDeliveredPerMo))</f>
        <v/>
      </c>
      <c r="AP7" s="17">
        <f>IF(39&lt;DeliverStart,0,MIN(TotalUnits,(39-DeliverStart+1)*UnitsDeliveredPerMo))</f>
        <v/>
      </c>
      <c r="AQ7" s="17">
        <f>IF(40&lt;DeliverStart,0,MIN(TotalUnits,(40-DeliverStart+1)*UnitsDeliveredPerMo))</f>
        <v/>
      </c>
      <c r="AR7" s="17">
        <f>IF(41&lt;DeliverStart,0,MIN(TotalUnits,(41-DeliverStart+1)*UnitsDeliveredPerMo))</f>
        <v/>
      </c>
      <c r="AS7" s="17">
        <f>IF(42&lt;DeliverStart,0,MIN(TotalUnits,(42-DeliverStart+1)*UnitsDeliveredPerMo))</f>
        <v/>
      </c>
      <c r="AT7" s="17">
        <f>IF(43&lt;DeliverStart,0,MIN(TotalUnits,(43-DeliverStart+1)*UnitsDeliveredPerMo))</f>
        <v/>
      </c>
      <c r="AU7" s="17">
        <f>IF(44&lt;DeliverStart,0,MIN(TotalUnits,(44-DeliverStart+1)*UnitsDeliveredPerMo))</f>
        <v/>
      </c>
      <c r="AV7" s="17">
        <f>IF(45&lt;DeliverStart,0,MIN(TotalUnits,(45-DeliverStart+1)*UnitsDeliveredPerMo))</f>
        <v/>
      </c>
      <c r="AW7" s="17">
        <f>IF(46&lt;DeliverStart,0,MIN(TotalUnits,(46-DeliverStart+1)*UnitsDeliveredPerMo))</f>
        <v/>
      </c>
      <c r="AX7" s="17">
        <f>IF(47&lt;DeliverStart,0,MIN(TotalUnits,(47-DeliverStart+1)*UnitsDeliveredPerMo))</f>
        <v/>
      </c>
      <c r="AY7" s="17">
        <f>IF(48&lt;DeliverStart,0,MIN(TotalUnits,(48-DeliverStart+1)*UnitsDeliveredPerMo))</f>
        <v/>
      </c>
      <c r="AZ7" s="17">
        <f>IF(49&lt;DeliverStart,0,MIN(TotalUnits,(49-DeliverStart+1)*UnitsDeliveredPerMo))</f>
        <v/>
      </c>
      <c r="BA7" s="17">
        <f>IF(50&lt;DeliverStart,0,MIN(TotalUnits,(50-DeliverStart+1)*UnitsDeliveredPerMo))</f>
        <v/>
      </c>
      <c r="BB7" s="17">
        <f>IF(51&lt;DeliverStart,0,MIN(TotalUnits,(51-DeliverStart+1)*UnitsDeliveredPerMo))</f>
        <v/>
      </c>
      <c r="BC7" s="17">
        <f>IF(52&lt;DeliverStart,0,MIN(TotalUnits,(52-DeliverStart+1)*UnitsDeliveredPerMo))</f>
        <v/>
      </c>
      <c r="BD7" s="17">
        <f>IF(53&lt;DeliverStart,0,MIN(TotalUnits,(53-DeliverStart+1)*UnitsDeliveredPerMo))</f>
        <v/>
      </c>
      <c r="BE7" s="17">
        <f>IF(54&lt;DeliverStart,0,MIN(TotalUnits,(54-DeliverStart+1)*UnitsDeliveredPerMo))</f>
        <v/>
      </c>
      <c r="BF7" s="17">
        <f>IF(55&lt;DeliverStart,0,MIN(TotalUnits,(55-DeliverStart+1)*UnitsDeliveredPerMo))</f>
        <v/>
      </c>
      <c r="BG7" s="17">
        <f>IF(56&lt;DeliverStart,0,MIN(TotalUnits,(56-DeliverStart+1)*UnitsDeliveredPerMo))</f>
        <v/>
      </c>
      <c r="BH7" s="17">
        <f>IF(57&lt;DeliverStart,0,MIN(TotalUnits,(57-DeliverStart+1)*UnitsDeliveredPerMo))</f>
        <v/>
      </c>
      <c r="BI7" s="17">
        <f>IF(58&lt;DeliverStart,0,MIN(TotalUnits,(58-DeliverStart+1)*UnitsDeliveredPerMo))</f>
        <v/>
      </c>
      <c r="BJ7" s="17">
        <f>IF(59&lt;DeliverStart,0,MIN(TotalUnits,(59-DeliverStart+1)*UnitsDeliveredPerMo))</f>
        <v/>
      </c>
      <c r="BK7" s="17">
        <f>IF(60&lt;DeliverStart,0,MIN(TotalUnits,(60-DeliverStart+1)*UnitsDeliveredPerMo))</f>
        <v/>
      </c>
      <c r="BL7" s="17">
        <f>IF(61&lt;DeliverStart,0,MIN(TotalUnits,(61-DeliverStart+1)*UnitsDeliveredPerMo))</f>
        <v/>
      </c>
      <c r="BM7" s="17">
        <f>IF(62&lt;DeliverStart,0,MIN(TotalUnits,(62-DeliverStart+1)*UnitsDeliveredPerMo))</f>
        <v/>
      </c>
      <c r="BN7" s="17">
        <f>IF(63&lt;DeliverStart,0,MIN(TotalUnits,(63-DeliverStart+1)*UnitsDeliveredPerMo))</f>
        <v/>
      </c>
      <c r="BO7" s="17">
        <f>IF(64&lt;DeliverStart,0,MIN(TotalUnits,(64-DeliverStart+1)*UnitsDeliveredPerMo))</f>
        <v/>
      </c>
      <c r="BP7" s="17">
        <f>IF(65&lt;DeliverStart,0,MIN(TotalUnits,(65-DeliverStart+1)*UnitsDeliveredPerMo))</f>
        <v/>
      </c>
      <c r="BQ7" s="17">
        <f>IF(66&lt;DeliverStart,0,MIN(TotalUnits,(66-DeliverStart+1)*UnitsDeliveredPerMo))</f>
        <v/>
      </c>
      <c r="BR7" s="17">
        <f>IF(67&lt;DeliverStart,0,MIN(TotalUnits,(67-DeliverStart+1)*UnitsDeliveredPerMo))</f>
        <v/>
      </c>
      <c r="BS7" s="17">
        <f>IF(68&lt;DeliverStart,0,MIN(TotalUnits,(68-DeliverStart+1)*UnitsDeliveredPerMo))</f>
        <v/>
      </c>
      <c r="BT7" s="17">
        <f>IF(69&lt;DeliverStart,0,MIN(TotalUnits,(69-DeliverStart+1)*UnitsDeliveredPerMo))</f>
        <v/>
      </c>
      <c r="BU7" s="17">
        <f>IF(70&lt;DeliverStart,0,MIN(TotalUnits,(70-DeliverStart+1)*UnitsDeliveredPerMo))</f>
        <v/>
      </c>
      <c r="BV7" s="17">
        <f>IF(71&lt;DeliverStart,0,MIN(TotalUnits,(71-DeliverStart+1)*UnitsDeliveredPerMo))</f>
        <v/>
      </c>
      <c r="BW7" s="17">
        <f>IF(72&lt;DeliverStart,0,MIN(TotalUnits,(72-DeliverStart+1)*UnitsDeliveredPerMo))</f>
        <v/>
      </c>
      <c r="BX7" s="17">
        <f>IF(73&lt;DeliverStart,0,MIN(TotalUnits,(73-DeliverStart+1)*UnitsDeliveredPerMo))</f>
        <v/>
      </c>
      <c r="BY7" s="17">
        <f>IF(74&lt;DeliverStart,0,MIN(TotalUnits,(74-DeliverStart+1)*UnitsDeliveredPerMo))</f>
        <v/>
      </c>
      <c r="BZ7" s="17">
        <f>IF(75&lt;DeliverStart,0,MIN(TotalUnits,(75-DeliverStart+1)*UnitsDeliveredPerMo))</f>
        <v/>
      </c>
      <c r="CA7" s="17">
        <f>IF(76&lt;DeliverStart,0,MIN(TotalUnits,(76-DeliverStart+1)*UnitsDeliveredPerMo))</f>
        <v/>
      </c>
      <c r="CB7" s="17">
        <f>IF(77&lt;DeliverStart,0,MIN(TotalUnits,(77-DeliverStart+1)*UnitsDeliveredPerMo))</f>
        <v/>
      </c>
      <c r="CC7" s="17">
        <f>IF(78&lt;DeliverStart,0,MIN(TotalUnits,(78-DeliverStart+1)*UnitsDeliveredPerMo))</f>
        <v/>
      </c>
      <c r="CD7" s="17">
        <f>IF(79&lt;DeliverStart,0,MIN(TotalUnits,(79-DeliverStart+1)*UnitsDeliveredPerMo))</f>
        <v/>
      </c>
      <c r="CE7" s="17">
        <f>IF(80&lt;DeliverStart,0,MIN(TotalUnits,(80-DeliverStart+1)*UnitsDeliveredPerMo))</f>
        <v/>
      </c>
      <c r="CF7" s="17">
        <f>IF(81&lt;DeliverStart,0,MIN(TotalUnits,(81-DeliverStart+1)*UnitsDeliveredPerMo))</f>
        <v/>
      </c>
      <c r="CG7" s="17">
        <f>IF(82&lt;DeliverStart,0,MIN(TotalUnits,(82-DeliverStart+1)*UnitsDeliveredPerMo))</f>
        <v/>
      </c>
      <c r="CH7" s="17">
        <f>IF(83&lt;DeliverStart,0,MIN(TotalUnits,(83-DeliverStart+1)*UnitsDeliveredPerMo))</f>
        <v/>
      </c>
      <c r="CI7" s="17">
        <f>IF(84&lt;DeliverStart,0,MIN(TotalUnits,(84-DeliverStart+1)*UnitsDeliveredPerMo))</f>
        <v/>
      </c>
      <c r="CJ7" s="17">
        <f>IF(85&lt;DeliverStart,0,MIN(TotalUnits,(85-DeliverStart+1)*UnitsDeliveredPerMo))</f>
        <v/>
      </c>
      <c r="CK7" s="17">
        <f>IF(86&lt;DeliverStart,0,MIN(TotalUnits,(86-DeliverStart+1)*UnitsDeliveredPerMo))</f>
        <v/>
      </c>
      <c r="CL7" s="17">
        <f>IF(87&lt;DeliverStart,0,MIN(TotalUnits,(87-DeliverStart+1)*UnitsDeliveredPerMo))</f>
        <v/>
      </c>
      <c r="CM7" s="17">
        <f>IF(88&lt;DeliverStart,0,MIN(TotalUnits,(88-DeliverStart+1)*UnitsDeliveredPerMo))</f>
        <v/>
      </c>
      <c r="CN7" s="17">
        <f>IF(89&lt;DeliverStart,0,MIN(TotalUnits,(89-DeliverStart+1)*UnitsDeliveredPerMo))</f>
        <v/>
      </c>
      <c r="CO7" s="17">
        <f>IF(90&lt;DeliverStart,0,MIN(TotalUnits,(90-DeliverStart+1)*UnitsDeliveredPerMo))</f>
        <v/>
      </c>
      <c r="CP7" s="17">
        <f>IF(91&lt;DeliverStart,0,MIN(TotalUnits,(91-DeliverStart+1)*UnitsDeliveredPerMo))</f>
        <v/>
      </c>
      <c r="CQ7" s="17">
        <f>IF(92&lt;DeliverStart,0,MIN(TotalUnits,(92-DeliverStart+1)*UnitsDeliveredPerMo))</f>
        <v/>
      </c>
      <c r="CR7" s="17">
        <f>IF(93&lt;DeliverStart,0,MIN(TotalUnits,(93-DeliverStart+1)*UnitsDeliveredPerMo))</f>
        <v/>
      </c>
      <c r="CS7" s="17">
        <f>IF(94&lt;DeliverStart,0,MIN(TotalUnits,(94-DeliverStart+1)*UnitsDeliveredPerMo))</f>
        <v/>
      </c>
      <c r="CT7" s="17">
        <f>IF(95&lt;DeliverStart,0,MIN(TotalUnits,(95-DeliverStart+1)*UnitsDeliveredPerMo))</f>
        <v/>
      </c>
      <c r="CU7" s="17">
        <f>IF(96&lt;DeliverStart,0,MIN(TotalUnits,(96-DeliverStart+1)*UnitsDeliveredPerMo))</f>
        <v/>
      </c>
      <c r="CV7" s="17">
        <f>IF(97&lt;DeliverStart,0,MIN(TotalUnits,(97-DeliverStart+1)*UnitsDeliveredPerMo))</f>
        <v/>
      </c>
      <c r="CW7" s="17">
        <f>IF(98&lt;DeliverStart,0,MIN(TotalUnits,(98-DeliverStart+1)*UnitsDeliveredPerMo))</f>
        <v/>
      </c>
      <c r="CX7" s="17">
        <f>IF(99&lt;DeliverStart,0,MIN(TotalUnits,(99-DeliverStart+1)*UnitsDeliveredPerMo))</f>
        <v/>
      </c>
      <c r="CY7" s="17">
        <f>IF(100&lt;DeliverStart,0,MIN(TotalUnits,(100-DeliverStart+1)*UnitsDeliveredPerMo))</f>
        <v/>
      </c>
      <c r="CZ7" s="17">
        <f>IF(101&lt;DeliverStart,0,MIN(TotalUnits,(101-DeliverStart+1)*UnitsDeliveredPerMo))</f>
        <v/>
      </c>
      <c r="DA7" s="17">
        <f>IF(102&lt;DeliverStart,0,MIN(TotalUnits,(102-DeliverStart+1)*UnitsDeliveredPerMo))</f>
        <v/>
      </c>
      <c r="DB7" s="17">
        <f>IF(103&lt;DeliverStart,0,MIN(TotalUnits,(103-DeliverStart+1)*UnitsDeliveredPerMo))</f>
        <v/>
      </c>
      <c r="DC7" s="17">
        <f>IF(104&lt;DeliverStart,0,MIN(TotalUnits,(104-DeliverStart+1)*UnitsDeliveredPerMo))</f>
        <v/>
      </c>
      <c r="DD7" s="17">
        <f>IF(105&lt;DeliverStart,0,MIN(TotalUnits,(105-DeliverStart+1)*UnitsDeliveredPerMo))</f>
        <v/>
      </c>
      <c r="DE7" s="17">
        <f>IF(106&lt;DeliverStart,0,MIN(TotalUnits,(106-DeliverStart+1)*UnitsDeliveredPerMo))</f>
        <v/>
      </c>
      <c r="DF7" s="17">
        <f>IF(107&lt;DeliverStart,0,MIN(TotalUnits,(107-DeliverStart+1)*UnitsDeliveredPerMo))</f>
        <v/>
      </c>
      <c r="DG7" s="17">
        <f>IF(108&lt;DeliverStart,0,MIN(TotalUnits,(108-DeliverStart+1)*UnitsDeliveredPerMo))</f>
        <v/>
      </c>
      <c r="DH7" s="17">
        <f>IF(109&lt;DeliverStart,0,MIN(TotalUnits,(109-DeliverStart+1)*UnitsDeliveredPerMo))</f>
        <v/>
      </c>
      <c r="DI7" s="17">
        <f>IF(110&lt;DeliverStart,0,MIN(TotalUnits,(110-DeliverStart+1)*UnitsDeliveredPerMo))</f>
        <v/>
      </c>
      <c r="DJ7" s="17">
        <f>IF(111&lt;DeliverStart,0,MIN(TotalUnits,(111-DeliverStart+1)*UnitsDeliveredPerMo))</f>
        <v/>
      </c>
      <c r="DK7" s="17">
        <f>IF(112&lt;DeliverStart,0,MIN(TotalUnits,(112-DeliverStart+1)*UnitsDeliveredPerMo))</f>
        <v/>
      </c>
      <c r="DL7" s="17">
        <f>IF(113&lt;DeliverStart,0,MIN(TotalUnits,(113-DeliverStart+1)*UnitsDeliveredPerMo))</f>
        <v/>
      </c>
      <c r="DM7" s="17">
        <f>IF(114&lt;DeliverStart,0,MIN(TotalUnits,(114-DeliverStart+1)*UnitsDeliveredPerMo))</f>
        <v/>
      </c>
      <c r="DN7" s="17">
        <f>IF(115&lt;DeliverStart,0,MIN(TotalUnits,(115-DeliverStart+1)*UnitsDeliveredPerMo))</f>
        <v/>
      </c>
      <c r="DO7" s="17">
        <f>IF(116&lt;DeliverStart,0,MIN(TotalUnits,(116-DeliverStart+1)*UnitsDeliveredPerMo))</f>
        <v/>
      </c>
      <c r="DP7" s="17">
        <f>IF(117&lt;DeliverStart,0,MIN(TotalUnits,(117-DeliverStart+1)*UnitsDeliveredPerMo))</f>
        <v/>
      </c>
      <c r="DQ7" s="17">
        <f>IF(118&lt;DeliverStart,0,MIN(TotalUnits,(118-DeliverStart+1)*UnitsDeliveredPerMo))</f>
        <v/>
      </c>
      <c r="DR7" s="17">
        <f>IF(119&lt;DeliverStart,0,MIN(TotalUnits,(119-DeliverStart+1)*UnitsDeliveredPerMo))</f>
        <v/>
      </c>
      <c r="DS7" s="17">
        <f>IF(120&lt;DeliverStart,0,MIN(TotalUnits,(120-DeliverStart+1)*UnitsDeliveredPerMo))</f>
        <v/>
      </c>
      <c r="DT7" s="17">
        <f>IF(121&lt;DeliverStart,0,MIN(TotalUnits,(121-DeliverStart+1)*UnitsDeliveredPerMo))</f>
        <v/>
      </c>
      <c r="DU7" s="17">
        <f>IF(122&lt;DeliverStart,0,MIN(TotalUnits,(122-DeliverStart+1)*UnitsDeliveredPerMo))</f>
        <v/>
      </c>
      <c r="DV7" s="17">
        <f>IF(123&lt;DeliverStart,0,MIN(TotalUnits,(123-DeliverStart+1)*UnitsDeliveredPerMo))</f>
        <v/>
      </c>
      <c r="DW7" s="17">
        <f>IF(124&lt;DeliverStart,0,MIN(TotalUnits,(124-DeliverStart+1)*UnitsDeliveredPerMo))</f>
        <v/>
      </c>
      <c r="DX7" s="17">
        <f>IF(125&lt;DeliverStart,0,MIN(TotalUnits,(125-DeliverStart+1)*UnitsDeliveredPerMo))</f>
        <v/>
      </c>
      <c r="DY7" s="17">
        <f>IF(126&lt;DeliverStart,0,MIN(TotalUnits,(126-DeliverStart+1)*UnitsDeliveredPerMo))</f>
        <v/>
      </c>
      <c r="DZ7" s="17">
        <f>IF(127&lt;DeliverStart,0,MIN(TotalUnits,(127-DeliverStart+1)*UnitsDeliveredPerMo))</f>
        <v/>
      </c>
      <c r="EA7" s="17">
        <f>IF(128&lt;DeliverStart,0,MIN(TotalUnits,(128-DeliverStart+1)*UnitsDeliveredPerMo))</f>
        <v/>
      </c>
      <c r="EB7" s="17">
        <f>IF(129&lt;DeliverStart,0,MIN(TotalUnits,(129-DeliverStart+1)*UnitsDeliveredPerMo))</f>
        <v/>
      </c>
      <c r="EC7" s="17">
        <f>IF(130&lt;DeliverStart,0,MIN(TotalUnits,(130-DeliverStart+1)*UnitsDeliveredPerMo))</f>
        <v/>
      </c>
      <c r="ED7" s="17">
        <f>IF(131&lt;DeliverStart,0,MIN(TotalUnits,(131-DeliverStart+1)*UnitsDeliveredPerMo))</f>
        <v/>
      </c>
      <c r="EE7" s="17">
        <f>IF(132&lt;DeliverStart,0,MIN(TotalUnits,(132-DeliverStart+1)*UnitsDeliveredPerMo))</f>
        <v/>
      </c>
      <c r="EF7" s="17">
        <f>IF(133&lt;DeliverStart,0,MIN(TotalUnits,(133-DeliverStart+1)*UnitsDeliveredPerMo))</f>
        <v/>
      </c>
      <c r="EG7" s="17">
        <f>IF(134&lt;DeliverStart,0,MIN(TotalUnits,(134-DeliverStart+1)*UnitsDeliveredPerMo))</f>
        <v/>
      </c>
      <c r="EH7" s="17">
        <f>IF(135&lt;DeliverStart,0,MIN(TotalUnits,(135-DeliverStart+1)*UnitsDeliveredPerMo))</f>
        <v/>
      </c>
      <c r="EI7" s="17">
        <f>IF(136&lt;DeliverStart,0,MIN(TotalUnits,(136-DeliverStart+1)*UnitsDeliveredPerMo))</f>
        <v/>
      </c>
      <c r="EJ7" s="17">
        <f>IF(137&lt;DeliverStart,0,MIN(TotalUnits,(137-DeliverStart+1)*UnitsDeliveredPerMo))</f>
        <v/>
      </c>
      <c r="EK7" s="17">
        <f>IF(138&lt;DeliverStart,0,MIN(TotalUnits,(138-DeliverStart+1)*UnitsDeliveredPerMo))</f>
        <v/>
      </c>
      <c r="EL7" s="17">
        <f>IF(139&lt;DeliverStart,0,MIN(TotalUnits,(139-DeliverStart+1)*UnitsDeliveredPerMo))</f>
        <v/>
      </c>
      <c r="EM7" s="17">
        <f>IF(140&lt;DeliverStart,0,MIN(TotalUnits,(140-DeliverStart+1)*UnitsDeliveredPerMo))</f>
        <v/>
      </c>
      <c r="EN7" s="17">
        <f>IF(141&lt;DeliverStart,0,MIN(TotalUnits,(141-DeliverStart+1)*UnitsDeliveredPerMo))</f>
        <v/>
      </c>
      <c r="EO7" s="17">
        <f>IF(142&lt;DeliverStart,0,MIN(TotalUnits,(142-DeliverStart+1)*UnitsDeliveredPerMo))</f>
        <v/>
      </c>
      <c r="EP7" s="17">
        <f>IF(143&lt;DeliverStart,0,MIN(TotalUnits,(143-DeliverStart+1)*UnitsDeliveredPerMo))</f>
        <v/>
      </c>
      <c r="EQ7" s="17">
        <f>IF(144&lt;DeliverStart,0,MIN(TotalUnits,(144-DeliverStart+1)*UnitsDeliveredPerMo))</f>
        <v/>
      </c>
      <c r="ER7" s="17">
        <f>IF(145&lt;DeliverStart,0,MIN(TotalUnits,(145-DeliverStart+1)*UnitsDeliveredPerMo))</f>
        <v/>
      </c>
      <c r="ES7" s="17">
        <f>IF(146&lt;DeliverStart,0,MIN(TotalUnits,(146-DeliverStart+1)*UnitsDeliveredPerMo))</f>
        <v/>
      </c>
      <c r="ET7" s="17">
        <f>IF(147&lt;DeliverStart,0,MIN(TotalUnits,(147-DeliverStart+1)*UnitsDeliveredPerMo))</f>
        <v/>
      </c>
      <c r="EU7" s="17">
        <f>IF(148&lt;DeliverStart,0,MIN(TotalUnits,(148-DeliverStart+1)*UnitsDeliveredPerMo))</f>
        <v/>
      </c>
      <c r="EV7" s="17">
        <f>IF(149&lt;DeliverStart,0,MIN(TotalUnits,(149-DeliverStart+1)*UnitsDeliveredPerMo))</f>
        <v/>
      </c>
      <c r="EW7" s="17">
        <f>IF(150&lt;DeliverStart,0,MIN(TotalUnits,(150-DeliverStart+1)*UnitsDeliveredPerMo))</f>
        <v/>
      </c>
      <c r="EX7" s="17">
        <f>IF(151&lt;DeliverStart,0,MIN(TotalUnits,(151-DeliverStart+1)*UnitsDeliveredPerMo))</f>
        <v/>
      </c>
      <c r="EY7" s="17">
        <f>IF(152&lt;DeliverStart,0,MIN(TotalUnits,(152-DeliverStart+1)*UnitsDeliveredPerMo))</f>
        <v/>
      </c>
      <c r="EZ7" s="17">
        <f>IF(153&lt;DeliverStart,0,MIN(TotalUnits,(153-DeliverStart+1)*UnitsDeliveredPerMo))</f>
        <v/>
      </c>
      <c r="FA7" s="17">
        <f>IF(154&lt;DeliverStart,0,MIN(TotalUnits,(154-DeliverStart+1)*UnitsDeliveredPerMo))</f>
        <v/>
      </c>
      <c r="FB7" s="17">
        <f>IF(155&lt;DeliverStart,0,MIN(TotalUnits,(155-DeliverStart+1)*UnitsDeliveredPerMo))</f>
        <v/>
      </c>
      <c r="FC7" s="17">
        <f>IF(156&lt;DeliverStart,0,MIN(TotalUnits,(156-DeliverStart+1)*UnitsDeliveredPerMo))</f>
        <v/>
      </c>
      <c r="FD7" s="17">
        <f>IF(157&lt;DeliverStart,0,MIN(TotalUnits,(157-DeliverStart+1)*UnitsDeliveredPerMo))</f>
        <v/>
      </c>
      <c r="FE7" s="17">
        <f>IF(158&lt;DeliverStart,0,MIN(TotalUnits,(158-DeliverStart+1)*UnitsDeliveredPerMo))</f>
        <v/>
      </c>
      <c r="FF7" s="17">
        <f>IF(159&lt;DeliverStart,0,MIN(TotalUnits,(159-DeliverStart+1)*UnitsDeliveredPerMo))</f>
        <v/>
      </c>
      <c r="FG7" s="17">
        <f>IF(160&lt;DeliverStart,0,MIN(TotalUnits,(160-DeliverStart+1)*UnitsDeliveredPerMo))</f>
        <v/>
      </c>
      <c r="FH7" s="17">
        <f>IF(161&lt;DeliverStart,0,MIN(TotalUnits,(161-DeliverStart+1)*UnitsDeliveredPerMo))</f>
        <v/>
      </c>
      <c r="FI7" s="17">
        <f>IF(162&lt;DeliverStart,0,MIN(TotalUnits,(162-DeliverStart+1)*UnitsDeliveredPerMo))</f>
        <v/>
      </c>
      <c r="FJ7" s="17">
        <f>IF(163&lt;DeliverStart,0,MIN(TotalUnits,(163-DeliverStart+1)*UnitsDeliveredPerMo))</f>
        <v/>
      </c>
      <c r="FK7" s="17">
        <f>IF(164&lt;DeliverStart,0,MIN(TotalUnits,(164-DeliverStart+1)*UnitsDeliveredPerMo))</f>
        <v/>
      </c>
      <c r="FL7" s="17">
        <f>IF(165&lt;DeliverStart,0,MIN(TotalUnits,(165-DeliverStart+1)*UnitsDeliveredPerMo))</f>
        <v/>
      </c>
      <c r="FM7" s="17">
        <f>IF(166&lt;DeliverStart,0,MIN(TotalUnits,(166-DeliverStart+1)*UnitsDeliveredPerMo))</f>
        <v/>
      </c>
      <c r="FN7" s="17">
        <f>IF(167&lt;DeliverStart,0,MIN(TotalUnits,(167-DeliverStart+1)*UnitsDeliveredPerMo))</f>
        <v/>
      </c>
      <c r="FO7" s="17">
        <f>IF(168&lt;DeliverStart,0,MIN(TotalUnits,(168-DeliverStart+1)*UnitsDeliveredPerMo))</f>
        <v/>
      </c>
      <c r="FP7" s="17">
        <f>IF(169&lt;DeliverStart,0,MIN(TotalUnits,(169-DeliverStart+1)*UnitsDeliveredPerMo))</f>
        <v/>
      </c>
      <c r="FQ7" s="17">
        <f>IF(170&lt;DeliverStart,0,MIN(TotalUnits,(170-DeliverStart+1)*UnitsDeliveredPerMo))</f>
        <v/>
      </c>
      <c r="FR7" s="17">
        <f>IF(171&lt;DeliverStart,0,MIN(TotalUnits,(171-DeliverStart+1)*UnitsDeliveredPerMo))</f>
        <v/>
      </c>
      <c r="FS7" s="17">
        <f>IF(172&lt;DeliverStart,0,MIN(TotalUnits,(172-DeliverStart+1)*UnitsDeliveredPerMo))</f>
        <v/>
      </c>
      <c r="FT7" s="17">
        <f>IF(173&lt;DeliverStart,0,MIN(TotalUnits,(173-DeliverStart+1)*UnitsDeliveredPerMo))</f>
        <v/>
      </c>
      <c r="FU7" s="17">
        <f>IF(174&lt;DeliverStart,0,MIN(TotalUnits,(174-DeliverStart+1)*UnitsDeliveredPerMo))</f>
        <v/>
      </c>
      <c r="FV7" s="17">
        <f>IF(175&lt;DeliverStart,0,MIN(TotalUnits,(175-DeliverStart+1)*UnitsDeliveredPerMo))</f>
        <v/>
      </c>
      <c r="FW7" s="17">
        <f>IF(176&lt;DeliverStart,0,MIN(TotalUnits,(176-DeliverStart+1)*UnitsDeliveredPerMo))</f>
        <v/>
      </c>
      <c r="FX7" s="17">
        <f>IF(177&lt;DeliverStart,0,MIN(TotalUnits,(177-DeliverStart+1)*UnitsDeliveredPerMo))</f>
        <v/>
      </c>
      <c r="FY7" s="17">
        <f>IF(178&lt;DeliverStart,0,MIN(TotalUnits,(178-DeliverStart+1)*UnitsDeliveredPerMo))</f>
        <v/>
      </c>
      <c r="FZ7" s="17">
        <f>IF(179&lt;DeliverStart,0,MIN(TotalUnits,(179-DeliverStart+1)*UnitsDeliveredPerMo))</f>
        <v/>
      </c>
      <c r="GA7" s="17">
        <f>IF(180&lt;DeliverStart,0,MIN(TotalUnits,(180-DeliverStart+1)*UnitsDeliveredPerMo))</f>
        <v/>
      </c>
      <c r="GB7" s="17">
        <f>IF(181&lt;DeliverStart,0,MIN(TotalUnits,(181-DeliverStart+1)*UnitsDeliveredPerMo))</f>
        <v/>
      </c>
      <c r="GC7" s="17">
        <f>IF(182&lt;DeliverStart,0,MIN(TotalUnits,(182-DeliverStart+1)*UnitsDeliveredPerMo))</f>
        <v/>
      </c>
      <c r="GD7" s="17">
        <f>IF(183&lt;DeliverStart,0,MIN(TotalUnits,(183-DeliverStart+1)*UnitsDeliveredPerMo))</f>
        <v/>
      </c>
      <c r="GE7" s="17">
        <f>IF(184&lt;DeliverStart,0,MIN(TotalUnits,(184-DeliverStart+1)*UnitsDeliveredPerMo))</f>
        <v/>
      </c>
      <c r="GF7" s="17">
        <f>IF(185&lt;DeliverStart,0,MIN(TotalUnits,(185-DeliverStart+1)*UnitsDeliveredPerMo))</f>
        <v/>
      </c>
      <c r="GG7" s="17">
        <f>IF(186&lt;DeliverStart,0,MIN(TotalUnits,(186-DeliverStart+1)*UnitsDeliveredPerMo))</f>
        <v/>
      </c>
      <c r="GH7" s="17">
        <f>IF(187&lt;DeliverStart,0,MIN(TotalUnits,(187-DeliverStart+1)*UnitsDeliveredPerMo))</f>
        <v/>
      </c>
      <c r="GI7" s="17">
        <f>IF(188&lt;DeliverStart,0,MIN(TotalUnits,(188-DeliverStart+1)*UnitsDeliveredPerMo))</f>
        <v/>
      </c>
      <c r="GJ7" s="17">
        <f>IF(189&lt;DeliverStart,0,MIN(TotalUnits,(189-DeliverStart+1)*UnitsDeliveredPerMo))</f>
        <v/>
      </c>
      <c r="GK7" s="17">
        <f>IF(190&lt;DeliverStart,0,MIN(TotalUnits,(190-DeliverStart+1)*UnitsDeliveredPerMo))</f>
        <v/>
      </c>
      <c r="GL7" s="17">
        <f>IF(191&lt;DeliverStart,0,MIN(TotalUnits,(191-DeliverStart+1)*UnitsDeliveredPerMo))</f>
        <v/>
      </c>
      <c r="GM7" s="17">
        <f>IF(192&lt;DeliverStart,0,MIN(TotalUnits,(192-DeliverStart+1)*UnitsDeliveredPerMo))</f>
        <v/>
      </c>
      <c r="GN7" s="17">
        <f>IF(193&lt;DeliverStart,0,MIN(TotalUnits,(193-DeliverStart+1)*UnitsDeliveredPerMo))</f>
        <v/>
      </c>
      <c r="GO7" s="17">
        <f>IF(194&lt;DeliverStart,0,MIN(TotalUnits,(194-DeliverStart+1)*UnitsDeliveredPerMo))</f>
        <v/>
      </c>
      <c r="GP7" s="17">
        <f>IF(195&lt;DeliverStart,0,MIN(TotalUnits,(195-DeliverStart+1)*UnitsDeliveredPerMo))</f>
        <v/>
      </c>
      <c r="GQ7" s="17">
        <f>IF(196&lt;DeliverStart,0,MIN(TotalUnits,(196-DeliverStart+1)*UnitsDeliveredPerMo))</f>
        <v/>
      </c>
      <c r="GR7" s="17">
        <f>IF(197&lt;DeliverStart,0,MIN(TotalUnits,(197-DeliverStart+1)*UnitsDeliveredPerMo))</f>
        <v/>
      </c>
      <c r="GS7" s="17">
        <f>IF(198&lt;DeliverStart,0,MIN(TotalUnits,(198-DeliverStart+1)*UnitsDeliveredPerMo))</f>
        <v/>
      </c>
      <c r="GT7" s="17">
        <f>IF(199&lt;DeliverStart,0,MIN(TotalUnits,(199-DeliverStart+1)*UnitsDeliveredPerMo))</f>
        <v/>
      </c>
      <c r="GU7" s="17">
        <f>IF(200&lt;DeliverStart,0,MIN(TotalUnits,(200-DeliverStart+1)*UnitsDeliveredPerMo))</f>
        <v/>
      </c>
      <c r="GV7" s="17">
        <f>IF(201&lt;DeliverStart,0,MIN(TotalUnits,(201-DeliverStart+1)*UnitsDeliveredPerMo))</f>
        <v/>
      </c>
      <c r="GW7" s="17">
        <f>IF(202&lt;DeliverStart,0,MIN(TotalUnits,(202-DeliverStart+1)*UnitsDeliveredPerMo))</f>
        <v/>
      </c>
      <c r="GX7" s="17">
        <f>IF(203&lt;DeliverStart,0,MIN(TotalUnits,(203-DeliverStart+1)*UnitsDeliveredPerMo))</f>
        <v/>
      </c>
      <c r="GY7" s="17">
        <f>IF(204&lt;DeliverStart,0,MIN(TotalUnits,(204-DeliverStart+1)*UnitsDeliveredPerMo))</f>
        <v/>
      </c>
      <c r="GZ7" s="17">
        <f>IF(205&lt;DeliverStart,0,MIN(TotalUnits,(205-DeliverStart+1)*UnitsDeliveredPerMo))</f>
        <v/>
      </c>
      <c r="HA7" s="17">
        <f>IF(206&lt;DeliverStart,0,MIN(TotalUnits,(206-DeliverStart+1)*UnitsDeliveredPerMo))</f>
        <v/>
      </c>
      <c r="HB7" s="17">
        <f>IF(207&lt;DeliverStart,0,MIN(TotalUnits,(207-DeliverStart+1)*UnitsDeliveredPerMo))</f>
        <v/>
      </c>
      <c r="HC7" s="17">
        <f>IF(208&lt;DeliverStart,0,MIN(TotalUnits,(208-DeliverStart+1)*UnitsDeliveredPerMo))</f>
        <v/>
      </c>
      <c r="HD7" s="17">
        <f>IF(209&lt;DeliverStart,0,MIN(TotalUnits,(209-DeliverStart+1)*UnitsDeliveredPerMo))</f>
        <v/>
      </c>
      <c r="HE7" s="17">
        <f>IF(210&lt;DeliverStart,0,MIN(TotalUnits,(210-DeliverStart+1)*UnitsDeliveredPerMo))</f>
        <v/>
      </c>
      <c r="HF7" s="17">
        <f>IF(211&lt;DeliverStart,0,MIN(TotalUnits,(211-DeliverStart+1)*UnitsDeliveredPerMo))</f>
        <v/>
      </c>
      <c r="HG7" s="17">
        <f>IF(212&lt;DeliverStart,0,MIN(TotalUnits,(212-DeliverStart+1)*UnitsDeliveredPerMo))</f>
        <v/>
      </c>
      <c r="HH7" s="17">
        <f>IF(213&lt;DeliverStart,0,MIN(TotalUnits,(213-DeliverStart+1)*UnitsDeliveredPerMo))</f>
        <v/>
      </c>
      <c r="HI7" s="17">
        <f>IF(214&lt;DeliverStart,0,MIN(TotalUnits,(214-DeliverStart+1)*UnitsDeliveredPerMo))</f>
        <v/>
      </c>
      <c r="HJ7" s="17">
        <f>IF(215&lt;DeliverStart,0,MIN(TotalUnits,(215-DeliverStart+1)*UnitsDeliveredPerMo))</f>
        <v/>
      </c>
      <c r="HK7" s="17">
        <f>IF(216&lt;DeliverStart,0,MIN(TotalUnits,(216-DeliverStart+1)*UnitsDeliveredPerMo))</f>
        <v/>
      </c>
      <c r="HL7" s="17">
        <f>IF(217&lt;DeliverStart,0,MIN(TotalUnits,(217-DeliverStart+1)*UnitsDeliveredPerMo))</f>
        <v/>
      </c>
      <c r="HM7" s="17">
        <f>IF(218&lt;DeliverStart,0,MIN(TotalUnits,(218-DeliverStart+1)*UnitsDeliveredPerMo))</f>
        <v/>
      </c>
      <c r="HN7" s="17">
        <f>IF(219&lt;DeliverStart,0,MIN(TotalUnits,(219-DeliverStart+1)*UnitsDeliveredPerMo))</f>
        <v/>
      </c>
      <c r="HO7" s="17">
        <f>IF(220&lt;DeliverStart,0,MIN(TotalUnits,(220-DeliverStart+1)*UnitsDeliveredPerMo))</f>
        <v/>
      </c>
      <c r="HP7" s="17">
        <f>IF(221&lt;DeliverStart,0,MIN(TotalUnits,(221-DeliverStart+1)*UnitsDeliveredPerMo))</f>
        <v/>
      </c>
      <c r="HQ7" s="17">
        <f>IF(222&lt;DeliverStart,0,MIN(TotalUnits,(222-DeliverStart+1)*UnitsDeliveredPerMo))</f>
        <v/>
      </c>
      <c r="HR7" s="17">
        <f>IF(223&lt;DeliverStart,0,MIN(TotalUnits,(223-DeliverStart+1)*UnitsDeliveredPerMo))</f>
        <v/>
      </c>
      <c r="HS7" s="17">
        <f>IF(224&lt;DeliverStart,0,MIN(TotalUnits,(224-DeliverStart+1)*UnitsDeliveredPerMo))</f>
        <v/>
      </c>
      <c r="HT7" s="17">
        <f>IF(225&lt;DeliverStart,0,MIN(TotalUnits,(225-DeliverStart+1)*UnitsDeliveredPerMo))</f>
        <v/>
      </c>
      <c r="HU7" s="17">
        <f>IF(226&lt;DeliverStart,0,MIN(TotalUnits,(226-DeliverStart+1)*UnitsDeliveredPerMo))</f>
        <v/>
      </c>
      <c r="HV7" s="17">
        <f>IF(227&lt;DeliverStart,0,MIN(TotalUnits,(227-DeliverStart+1)*UnitsDeliveredPerMo))</f>
        <v/>
      </c>
      <c r="HW7" s="17">
        <f>IF(228&lt;DeliverStart,0,MIN(TotalUnits,(228-DeliverStart+1)*UnitsDeliveredPerMo))</f>
        <v/>
      </c>
      <c r="HX7" s="17">
        <f>IF(229&lt;DeliverStart,0,MIN(TotalUnits,(229-DeliverStart+1)*UnitsDeliveredPerMo))</f>
        <v/>
      </c>
      <c r="HY7" s="17">
        <f>IF(230&lt;DeliverStart,0,MIN(TotalUnits,(230-DeliverStart+1)*UnitsDeliveredPerMo))</f>
        <v/>
      </c>
      <c r="HZ7" s="17">
        <f>IF(231&lt;DeliverStart,0,MIN(TotalUnits,(231-DeliverStart+1)*UnitsDeliveredPerMo))</f>
        <v/>
      </c>
      <c r="IA7" s="17">
        <f>IF(232&lt;DeliverStart,0,MIN(TotalUnits,(232-DeliverStart+1)*UnitsDeliveredPerMo))</f>
        <v/>
      </c>
      <c r="IB7" s="17">
        <f>IF(233&lt;DeliverStart,0,MIN(TotalUnits,(233-DeliverStart+1)*UnitsDeliveredPerMo))</f>
        <v/>
      </c>
      <c r="IC7" s="17">
        <f>IF(234&lt;DeliverStart,0,MIN(TotalUnits,(234-DeliverStart+1)*UnitsDeliveredPerMo))</f>
        <v/>
      </c>
      <c r="ID7" s="17">
        <f>IF(235&lt;DeliverStart,0,MIN(TotalUnits,(235-DeliverStart+1)*UnitsDeliveredPerMo))</f>
        <v/>
      </c>
      <c r="IE7" s="17">
        <f>IF(236&lt;DeliverStart,0,MIN(TotalUnits,(236-DeliverStart+1)*UnitsDeliveredPerMo))</f>
        <v/>
      </c>
      <c r="IF7" s="17">
        <f>IF(237&lt;DeliverStart,0,MIN(TotalUnits,(237-DeliverStart+1)*UnitsDeliveredPerMo))</f>
        <v/>
      </c>
      <c r="IG7" s="17">
        <f>IF(238&lt;DeliverStart,0,MIN(TotalUnits,(238-DeliverStart+1)*UnitsDeliveredPerMo))</f>
        <v/>
      </c>
      <c r="IH7" s="17">
        <f>IF(239&lt;DeliverStart,0,MIN(TotalUnits,(239-DeliverStart+1)*UnitsDeliveredPerMo))</f>
        <v/>
      </c>
      <c r="II7" s="17">
        <f>IF(240&lt;DeliverStart,0,MIN(TotalUnits,(240-DeliverStart+1)*UnitsDeliveredPerMo))</f>
        <v/>
      </c>
      <c r="IJ7" s="17">
        <f>IF(241&lt;DeliverStart,0,MIN(TotalUnits,(241-DeliverStart+1)*UnitsDeliveredPerMo))</f>
        <v/>
      </c>
      <c r="IK7" s="17">
        <f>IF(242&lt;DeliverStart,0,MIN(TotalUnits,(242-DeliverStart+1)*UnitsDeliveredPerMo))</f>
        <v/>
      </c>
      <c r="IL7" s="17">
        <f>IF(243&lt;DeliverStart,0,MIN(TotalUnits,(243-DeliverStart+1)*UnitsDeliveredPerMo))</f>
        <v/>
      </c>
      <c r="IM7" s="17">
        <f>IF(244&lt;DeliverStart,0,MIN(TotalUnits,(244-DeliverStart+1)*UnitsDeliveredPerMo))</f>
        <v/>
      </c>
      <c r="IN7" s="17">
        <f>IF(245&lt;DeliverStart,0,MIN(TotalUnits,(245-DeliverStart+1)*UnitsDeliveredPerMo))</f>
        <v/>
      </c>
      <c r="IO7" s="17">
        <f>IF(246&lt;DeliverStart,0,MIN(TotalUnits,(246-DeliverStart+1)*UnitsDeliveredPerMo))</f>
        <v/>
      </c>
      <c r="IP7" s="17">
        <f>IF(247&lt;DeliverStart,0,MIN(TotalUnits,(247-DeliverStart+1)*UnitsDeliveredPerMo))</f>
        <v/>
      </c>
      <c r="IQ7" s="17">
        <f>IF(248&lt;DeliverStart,0,MIN(TotalUnits,(248-DeliverStart+1)*UnitsDeliveredPerMo))</f>
        <v/>
      </c>
      <c r="IR7" s="17">
        <f>IF(249&lt;DeliverStart,0,MIN(TotalUnits,(249-DeliverStart+1)*UnitsDeliveredPerMo))</f>
        <v/>
      </c>
      <c r="IS7" s="17">
        <f>IF(250&lt;DeliverStart,0,MIN(TotalUnits,(250-DeliverStart+1)*UnitsDeliveredPerMo))</f>
        <v/>
      </c>
      <c r="IT7" s="17">
        <f>IF(251&lt;DeliverStart,0,MIN(TotalUnits,(251-DeliverStart+1)*UnitsDeliveredPerMo))</f>
        <v/>
      </c>
      <c r="IU7" s="17">
        <f>IF(252&lt;DeliverStart,0,MIN(TotalUnits,(252-DeliverStart+1)*UnitsDeliveredPerMo))</f>
        <v/>
      </c>
      <c r="IV7" s="17">
        <f>IF(253&lt;DeliverStart,0,MIN(TotalUnits,(253-DeliverStart+1)*UnitsDeliveredPerMo))</f>
        <v/>
      </c>
      <c r="IW7" s="17">
        <f>IF(254&lt;DeliverStart,0,MIN(TotalUnits,(254-DeliverStart+1)*UnitsDeliveredPerMo))</f>
        <v/>
      </c>
      <c r="IX7" s="17">
        <f>IF(255&lt;DeliverStart,0,MIN(TotalUnits,(255-DeliverStart+1)*UnitsDeliveredPerMo))</f>
        <v/>
      </c>
      <c r="IY7" s="17">
        <f>IF(256&lt;DeliverStart,0,MIN(TotalUnits,(256-DeliverStart+1)*UnitsDeliveredPerMo))</f>
        <v/>
      </c>
      <c r="IZ7" s="17">
        <f>IF(257&lt;DeliverStart,0,MIN(TotalUnits,(257-DeliverStart+1)*UnitsDeliveredPerMo))</f>
        <v/>
      </c>
      <c r="JA7" s="17">
        <f>IF(258&lt;DeliverStart,0,MIN(TotalUnits,(258-DeliverStart+1)*UnitsDeliveredPerMo))</f>
        <v/>
      </c>
      <c r="JB7" s="17">
        <f>IF(259&lt;DeliverStart,0,MIN(TotalUnits,(259-DeliverStart+1)*UnitsDeliveredPerMo))</f>
        <v/>
      </c>
      <c r="JC7" s="17">
        <f>IF(260&lt;DeliverStart,0,MIN(TotalUnits,(260-DeliverStart+1)*UnitsDeliveredPerMo))</f>
        <v/>
      </c>
      <c r="JD7" s="17">
        <f>IF(261&lt;DeliverStart,0,MIN(TotalUnits,(261-DeliverStart+1)*UnitsDeliveredPerMo))</f>
        <v/>
      </c>
      <c r="JE7" s="17">
        <f>IF(262&lt;DeliverStart,0,MIN(TotalUnits,(262-DeliverStart+1)*UnitsDeliveredPerMo))</f>
        <v/>
      </c>
      <c r="JF7" s="17">
        <f>IF(263&lt;DeliverStart,0,MIN(TotalUnits,(263-DeliverStart+1)*UnitsDeliveredPerMo))</f>
        <v/>
      </c>
      <c r="JG7" s="17">
        <f>IF(264&lt;DeliverStart,0,MIN(TotalUnits,(264-DeliverStart+1)*UnitsDeliveredPerMo))</f>
        <v/>
      </c>
      <c r="JH7" s="17">
        <f>IF(265&lt;DeliverStart,0,MIN(TotalUnits,(265-DeliverStart+1)*UnitsDeliveredPerMo))</f>
        <v/>
      </c>
      <c r="JI7" s="17">
        <f>IF(266&lt;DeliverStart,0,MIN(TotalUnits,(266-DeliverStart+1)*UnitsDeliveredPerMo))</f>
        <v/>
      </c>
      <c r="JJ7" s="17">
        <f>IF(267&lt;DeliverStart,0,MIN(TotalUnits,(267-DeliverStart+1)*UnitsDeliveredPerMo))</f>
        <v/>
      </c>
      <c r="JK7" s="17">
        <f>IF(268&lt;DeliverStart,0,MIN(TotalUnits,(268-DeliverStart+1)*UnitsDeliveredPerMo))</f>
        <v/>
      </c>
      <c r="JL7" s="17">
        <f>IF(269&lt;DeliverStart,0,MIN(TotalUnits,(269-DeliverStart+1)*UnitsDeliveredPerMo))</f>
        <v/>
      </c>
      <c r="JM7" s="17">
        <f>IF(270&lt;DeliverStart,0,MIN(TotalUnits,(270-DeliverStart+1)*UnitsDeliveredPerMo))</f>
        <v/>
      </c>
      <c r="JN7" s="17">
        <f>IF(271&lt;DeliverStart,0,MIN(TotalUnits,(271-DeliverStart+1)*UnitsDeliveredPerMo))</f>
        <v/>
      </c>
      <c r="JO7" s="17">
        <f>IF(272&lt;DeliverStart,0,MIN(TotalUnits,(272-DeliverStart+1)*UnitsDeliveredPerMo))</f>
        <v/>
      </c>
      <c r="JP7" s="17">
        <f>IF(273&lt;DeliverStart,0,MIN(TotalUnits,(273-DeliverStart+1)*UnitsDeliveredPerMo))</f>
        <v/>
      </c>
      <c r="JQ7" s="17">
        <f>IF(274&lt;DeliverStart,0,MIN(TotalUnits,(274-DeliverStart+1)*UnitsDeliveredPerMo))</f>
        <v/>
      </c>
      <c r="JR7" s="17">
        <f>IF(275&lt;DeliverStart,0,MIN(TotalUnits,(275-DeliverStart+1)*UnitsDeliveredPerMo))</f>
        <v/>
      </c>
      <c r="JS7" s="17">
        <f>IF(276&lt;DeliverStart,0,MIN(TotalUnits,(276-DeliverStart+1)*UnitsDeliveredPerMo))</f>
        <v/>
      </c>
      <c r="JT7" s="17">
        <f>IF(277&lt;DeliverStart,0,MIN(TotalUnits,(277-DeliverStart+1)*UnitsDeliveredPerMo))</f>
        <v/>
      </c>
      <c r="JU7" s="17">
        <f>IF(278&lt;DeliverStart,0,MIN(TotalUnits,(278-DeliverStart+1)*UnitsDeliveredPerMo))</f>
        <v/>
      </c>
      <c r="JV7" s="17">
        <f>IF(279&lt;DeliverStart,0,MIN(TotalUnits,(279-DeliverStart+1)*UnitsDeliveredPerMo))</f>
        <v/>
      </c>
      <c r="JW7" s="17">
        <f>IF(280&lt;DeliverStart,0,MIN(TotalUnits,(280-DeliverStart+1)*UnitsDeliveredPerMo))</f>
        <v/>
      </c>
      <c r="JX7" s="17">
        <f>IF(281&lt;DeliverStart,0,MIN(TotalUnits,(281-DeliverStart+1)*UnitsDeliveredPerMo))</f>
        <v/>
      </c>
      <c r="JY7" s="17">
        <f>IF(282&lt;DeliverStart,0,MIN(TotalUnits,(282-DeliverStart+1)*UnitsDeliveredPerMo))</f>
        <v/>
      </c>
      <c r="JZ7" s="17">
        <f>IF(283&lt;DeliverStart,0,MIN(TotalUnits,(283-DeliverStart+1)*UnitsDeliveredPerMo))</f>
        <v/>
      </c>
      <c r="KA7" s="17">
        <f>IF(284&lt;DeliverStart,0,MIN(TotalUnits,(284-DeliverStart+1)*UnitsDeliveredPerMo))</f>
        <v/>
      </c>
      <c r="KB7" s="17">
        <f>IF(285&lt;DeliverStart,0,MIN(TotalUnits,(285-DeliverStart+1)*UnitsDeliveredPerMo))</f>
        <v/>
      </c>
      <c r="KC7" s="17">
        <f>IF(286&lt;DeliverStart,0,MIN(TotalUnits,(286-DeliverStart+1)*UnitsDeliveredPerMo))</f>
        <v/>
      </c>
      <c r="KD7" s="17">
        <f>IF(287&lt;DeliverStart,0,MIN(TotalUnits,(287-DeliverStart+1)*UnitsDeliveredPerMo))</f>
        <v/>
      </c>
      <c r="KE7" s="17">
        <f>IF(288&lt;DeliverStart,0,MIN(TotalUnits,(288-DeliverStart+1)*UnitsDeliveredPerMo))</f>
        <v/>
      </c>
      <c r="KF7" s="17">
        <f>IF(289&lt;DeliverStart,0,MIN(TotalUnits,(289-DeliverStart+1)*UnitsDeliveredPerMo))</f>
        <v/>
      </c>
      <c r="KG7" s="17">
        <f>IF(290&lt;DeliverStart,0,MIN(TotalUnits,(290-DeliverStart+1)*UnitsDeliveredPerMo))</f>
        <v/>
      </c>
      <c r="KH7" s="17">
        <f>IF(291&lt;DeliverStart,0,MIN(TotalUnits,(291-DeliverStart+1)*UnitsDeliveredPerMo))</f>
        <v/>
      </c>
      <c r="KI7" s="17">
        <f>IF(292&lt;DeliverStart,0,MIN(TotalUnits,(292-DeliverStart+1)*UnitsDeliveredPerMo))</f>
        <v/>
      </c>
      <c r="KJ7" s="17">
        <f>IF(293&lt;DeliverStart,0,MIN(TotalUnits,(293-DeliverStart+1)*UnitsDeliveredPerMo))</f>
        <v/>
      </c>
      <c r="KK7" s="17">
        <f>IF(294&lt;DeliverStart,0,MIN(TotalUnits,(294-DeliverStart+1)*UnitsDeliveredPerMo))</f>
        <v/>
      </c>
      <c r="KL7" s="17">
        <f>IF(295&lt;DeliverStart,0,MIN(TotalUnits,(295-DeliverStart+1)*UnitsDeliveredPerMo))</f>
        <v/>
      </c>
      <c r="KM7" s="17">
        <f>IF(296&lt;DeliverStart,0,MIN(TotalUnits,(296-DeliverStart+1)*UnitsDeliveredPerMo))</f>
        <v/>
      </c>
      <c r="KN7" s="17">
        <f>IF(297&lt;DeliverStart,0,MIN(TotalUnits,(297-DeliverStart+1)*UnitsDeliveredPerMo))</f>
        <v/>
      </c>
      <c r="KO7" s="17">
        <f>IF(298&lt;DeliverStart,0,MIN(TotalUnits,(298-DeliverStart+1)*UnitsDeliveredPerMo))</f>
        <v/>
      </c>
      <c r="KP7" s="17">
        <f>IF(299&lt;DeliverStart,0,MIN(TotalUnits,(299-DeliverStart+1)*UnitsDeliveredPerMo))</f>
        <v/>
      </c>
      <c r="KQ7" s="17">
        <f>IF(300&lt;DeliverStart,0,MIN(TotalUnits,(300-DeliverStart+1)*UnitsDeliveredPerMo))</f>
        <v/>
      </c>
      <c r="KR7" s="17">
        <f>IF(301&lt;DeliverStart,0,MIN(TotalUnits,(301-DeliverStart+1)*UnitsDeliveredPerMo))</f>
        <v/>
      </c>
      <c r="KS7" s="17">
        <f>IF(302&lt;DeliverStart,0,MIN(TotalUnits,(302-DeliverStart+1)*UnitsDeliveredPerMo))</f>
        <v/>
      </c>
      <c r="KT7" s="17">
        <f>IF(303&lt;DeliverStart,0,MIN(TotalUnits,(303-DeliverStart+1)*UnitsDeliveredPerMo))</f>
        <v/>
      </c>
      <c r="KU7" s="17">
        <f>IF(304&lt;DeliverStart,0,MIN(TotalUnits,(304-DeliverStart+1)*UnitsDeliveredPerMo))</f>
        <v/>
      </c>
      <c r="KV7" s="17">
        <f>IF(305&lt;DeliverStart,0,MIN(TotalUnits,(305-DeliverStart+1)*UnitsDeliveredPerMo))</f>
        <v/>
      </c>
      <c r="KW7" s="17">
        <f>IF(306&lt;DeliverStart,0,MIN(TotalUnits,(306-DeliverStart+1)*UnitsDeliveredPerMo))</f>
        <v/>
      </c>
      <c r="KX7" s="17">
        <f>IF(307&lt;DeliverStart,0,MIN(TotalUnits,(307-DeliverStart+1)*UnitsDeliveredPerMo))</f>
        <v/>
      </c>
      <c r="KY7" s="17">
        <f>IF(308&lt;DeliverStart,0,MIN(TotalUnits,(308-DeliverStart+1)*UnitsDeliveredPerMo))</f>
        <v/>
      </c>
      <c r="KZ7" s="17">
        <f>IF(309&lt;DeliverStart,0,MIN(TotalUnits,(309-DeliverStart+1)*UnitsDeliveredPerMo))</f>
        <v/>
      </c>
      <c r="LA7" s="17">
        <f>IF(310&lt;DeliverStart,0,MIN(TotalUnits,(310-DeliverStart+1)*UnitsDeliveredPerMo))</f>
        <v/>
      </c>
      <c r="LB7" s="17">
        <f>IF(311&lt;DeliverStart,0,MIN(TotalUnits,(311-DeliverStart+1)*UnitsDeliveredPerMo))</f>
        <v/>
      </c>
      <c r="LC7" s="17">
        <f>IF(312&lt;DeliverStart,0,MIN(TotalUnits,(312-DeliverStart+1)*UnitsDeliveredPerMo))</f>
        <v/>
      </c>
      <c r="LD7" s="17">
        <f>IF(313&lt;DeliverStart,0,MIN(TotalUnits,(313-DeliverStart+1)*UnitsDeliveredPerMo))</f>
        <v/>
      </c>
      <c r="LE7" s="17">
        <f>IF(314&lt;DeliverStart,0,MIN(TotalUnits,(314-DeliverStart+1)*UnitsDeliveredPerMo))</f>
        <v/>
      </c>
      <c r="LF7" s="17">
        <f>IF(315&lt;DeliverStart,0,MIN(TotalUnits,(315-DeliverStart+1)*UnitsDeliveredPerMo))</f>
        <v/>
      </c>
      <c r="LG7" s="17">
        <f>IF(316&lt;DeliverStart,0,MIN(TotalUnits,(316-DeliverStart+1)*UnitsDeliveredPerMo))</f>
        <v/>
      </c>
      <c r="LH7" s="17">
        <f>IF(317&lt;DeliverStart,0,MIN(TotalUnits,(317-DeliverStart+1)*UnitsDeliveredPerMo))</f>
        <v/>
      </c>
      <c r="LI7" s="17">
        <f>IF(318&lt;DeliverStart,0,MIN(TotalUnits,(318-DeliverStart+1)*UnitsDeliveredPerMo))</f>
        <v/>
      </c>
      <c r="LJ7" s="17">
        <f>IF(319&lt;DeliverStart,0,MIN(TotalUnits,(319-DeliverStart+1)*UnitsDeliveredPerMo))</f>
        <v/>
      </c>
      <c r="LK7" s="17">
        <f>IF(320&lt;DeliverStart,0,MIN(TotalUnits,(320-DeliverStart+1)*UnitsDeliveredPerMo))</f>
        <v/>
      </c>
      <c r="LL7" s="17">
        <f>IF(321&lt;DeliverStart,0,MIN(TotalUnits,(321-DeliverStart+1)*UnitsDeliveredPerMo))</f>
        <v/>
      </c>
      <c r="LM7" s="17">
        <f>IF(322&lt;DeliverStart,0,MIN(TotalUnits,(322-DeliverStart+1)*UnitsDeliveredPerMo))</f>
        <v/>
      </c>
      <c r="LN7" s="17">
        <f>IF(323&lt;DeliverStart,0,MIN(TotalUnits,(323-DeliverStart+1)*UnitsDeliveredPerMo))</f>
        <v/>
      </c>
      <c r="LO7" s="17">
        <f>IF(324&lt;DeliverStart,0,MIN(TotalUnits,(324-DeliverStart+1)*UnitsDeliveredPerMo))</f>
        <v/>
      </c>
      <c r="LP7" s="17">
        <f>IF(325&lt;DeliverStart,0,MIN(TotalUnits,(325-DeliverStart+1)*UnitsDeliveredPerMo))</f>
        <v/>
      </c>
      <c r="LQ7" s="17">
        <f>IF(326&lt;DeliverStart,0,MIN(TotalUnits,(326-DeliverStart+1)*UnitsDeliveredPerMo))</f>
        <v/>
      </c>
      <c r="LR7" s="17">
        <f>IF(327&lt;DeliverStart,0,MIN(TotalUnits,(327-DeliverStart+1)*UnitsDeliveredPerMo))</f>
        <v/>
      </c>
      <c r="LS7" s="17">
        <f>IF(328&lt;DeliverStart,0,MIN(TotalUnits,(328-DeliverStart+1)*UnitsDeliveredPerMo))</f>
        <v/>
      </c>
      <c r="LT7" s="17">
        <f>IF(329&lt;DeliverStart,0,MIN(TotalUnits,(329-DeliverStart+1)*UnitsDeliveredPerMo))</f>
        <v/>
      </c>
      <c r="LU7" s="17">
        <f>IF(330&lt;DeliverStart,0,MIN(TotalUnits,(330-DeliverStart+1)*UnitsDeliveredPerMo))</f>
        <v/>
      </c>
      <c r="LV7" s="17">
        <f>IF(331&lt;DeliverStart,0,MIN(TotalUnits,(331-DeliverStart+1)*UnitsDeliveredPerMo))</f>
        <v/>
      </c>
      <c r="LW7" s="17">
        <f>IF(332&lt;DeliverStart,0,MIN(TotalUnits,(332-DeliverStart+1)*UnitsDeliveredPerMo))</f>
        <v/>
      </c>
      <c r="LX7" s="17">
        <f>IF(333&lt;DeliverStart,0,MIN(TotalUnits,(333-DeliverStart+1)*UnitsDeliveredPerMo))</f>
        <v/>
      </c>
      <c r="LY7" s="17">
        <f>IF(334&lt;DeliverStart,0,MIN(TotalUnits,(334-DeliverStart+1)*UnitsDeliveredPerMo))</f>
        <v/>
      </c>
      <c r="LZ7" s="17">
        <f>IF(335&lt;DeliverStart,0,MIN(TotalUnits,(335-DeliverStart+1)*UnitsDeliveredPerMo))</f>
        <v/>
      </c>
      <c r="MA7" s="17">
        <f>IF(336&lt;DeliverStart,0,MIN(TotalUnits,(336-DeliverStart+1)*UnitsDeliveredPerMo))</f>
        <v/>
      </c>
      <c r="MB7" s="17">
        <f>IF(337&lt;DeliverStart,0,MIN(TotalUnits,(337-DeliverStart+1)*UnitsDeliveredPerMo))</f>
        <v/>
      </c>
      <c r="MC7" s="17">
        <f>IF(338&lt;DeliverStart,0,MIN(TotalUnits,(338-DeliverStart+1)*UnitsDeliveredPerMo))</f>
        <v/>
      </c>
      <c r="MD7" s="17">
        <f>IF(339&lt;DeliverStart,0,MIN(TotalUnits,(339-DeliverStart+1)*UnitsDeliveredPerMo))</f>
        <v/>
      </c>
      <c r="ME7" s="17">
        <f>IF(340&lt;DeliverStart,0,MIN(TotalUnits,(340-DeliverStart+1)*UnitsDeliveredPerMo))</f>
        <v/>
      </c>
      <c r="MF7" s="17">
        <f>IF(341&lt;DeliverStart,0,MIN(TotalUnits,(341-DeliverStart+1)*UnitsDeliveredPerMo))</f>
        <v/>
      </c>
      <c r="MG7" s="17">
        <f>IF(342&lt;DeliverStart,0,MIN(TotalUnits,(342-DeliverStart+1)*UnitsDeliveredPerMo))</f>
        <v/>
      </c>
      <c r="MH7" s="17">
        <f>IF(343&lt;DeliverStart,0,MIN(TotalUnits,(343-DeliverStart+1)*UnitsDeliveredPerMo))</f>
        <v/>
      </c>
      <c r="MI7" s="17">
        <f>IF(344&lt;DeliverStart,0,MIN(TotalUnits,(344-DeliverStart+1)*UnitsDeliveredPerMo))</f>
        <v/>
      </c>
      <c r="MJ7" s="17">
        <f>IF(345&lt;DeliverStart,0,MIN(TotalUnits,(345-DeliverStart+1)*UnitsDeliveredPerMo))</f>
        <v/>
      </c>
      <c r="MK7" s="17">
        <f>IF(346&lt;DeliverStart,0,MIN(TotalUnits,(346-DeliverStart+1)*UnitsDeliveredPerMo))</f>
        <v/>
      </c>
      <c r="ML7" s="17">
        <f>IF(347&lt;DeliverStart,0,MIN(TotalUnits,(347-DeliverStart+1)*UnitsDeliveredPerMo))</f>
        <v/>
      </c>
      <c r="MM7" s="17">
        <f>IF(348&lt;DeliverStart,0,MIN(TotalUnits,(348-DeliverStart+1)*UnitsDeliveredPerMo))</f>
        <v/>
      </c>
      <c r="MN7" s="17">
        <f>IF(349&lt;DeliverStart,0,MIN(TotalUnits,(349-DeliverStart+1)*UnitsDeliveredPerMo))</f>
        <v/>
      </c>
      <c r="MO7" s="17">
        <f>IF(350&lt;DeliverStart,0,MIN(TotalUnits,(350-DeliverStart+1)*UnitsDeliveredPerMo))</f>
        <v/>
      </c>
      <c r="MP7" s="17">
        <f>IF(351&lt;DeliverStart,0,MIN(TotalUnits,(351-DeliverStart+1)*UnitsDeliveredPerMo))</f>
        <v/>
      </c>
      <c r="MQ7" s="17">
        <f>IF(352&lt;DeliverStart,0,MIN(TotalUnits,(352-DeliverStart+1)*UnitsDeliveredPerMo))</f>
        <v/>
      </c>
      <c r="MR7" s="17">
        <f>IF(353&lt;DeliverStart,0,MIN(TotalUnits,(353-DeliverStart+1)*UnitsDeliveredPerMo))</f>
        <v/>
      </c>
      <c r="MS7" s="17">
        <f>IF(354&lt;DeliverStart,0,MIN(TotalUnits,(354-DeliverStart+1)*UnitsDeliveredPerMo))</f>
        <v/>
      </c>
      <c r="MT7" s="17">
        <f>IF(355&lt;DeliverStart,0,MIN(TotalUnits,(355-DeliverStart+1)*UnitsDeliveredPerMo))</f>
        <v/>
      </c>
      <c r="MU7" s="17">
        <f>IF(356&lt;DeliverStart,0,MIN(TotalUnits,(356-DeliverStart+1)*UnitsDeliveredPerMo))</f>
        <v/>
      </c>
      <c r="MV7" s="17">
        <f>IF(357&lt;DeliverStart,0,MIN(TotalUnits,(357-DeliverStart+1)*UnitsDeliveredPerMo))</f>
        <v/>
      </c>
      <c r="MW7" s="17">
        <f>IF(358&lt;DeliverStart,0,MIN(TotalUnits,(358-DeliverStart+1)*UnitsDeliveredPerMo))</f>
        <v/>
      </c>
      <c r="MX7" s="17">
        <f>IF(359&lt;DeliverStart,0,MIN(TotalUnits,(359-DeliverStart+1)*UnitsDeliveredPerMo))</f>
        <v/>
      </c>
      <c r="MY7" s="17">
        <f>IF(360&lt;DeliverStart,0,MIN(TotalUnits,(360-DeliverStart+1)*UnitsDeliveredPerMo))</f>
        <v/>
      </c>
      <c r="MZ7" s="17">
        <f>IF(361&lt;DeliverStart,0,MIN(TotalUnits,(361-DeliverStart+1)*UnitsDeliveredPerMo))</f>
        <v/>
      </c>
      <c r="NA7" s="17">
        <f>IF(362&lt;DeliverStart,0,MIN(TotalUnits,(362-DeliverStart+1)*UnitsDeliveredPerMo))</f>
        <v/>
      </c>
      <c r="NB7" s="17">
        <f>IF(363&lt;DeliverStart,0,MIN(TotalUnits,(363-DeliverStart+1)*UnitsDeliveredPerMo))</f>
        <v/>
      </c>
      <c r="NC7" s="17">
        <f>IF(364&lt;DeliverStart,0,MIN(TotalUnits,(364-DeliverStart+1)*UnitsDeliveredPerMo))</f>
        <v/>
      </c>
      <c r="ND7" s="17">
        <f>IF(365&lt;DeliverStart,0,MIN(TotalUnits,(365-DeliverStart+1)*UnitsDeliveredPerMo))</f>
        <v/>
      </c>
      <c r="NE7" s="17">
        <f>IF(366&lt;DeliverStart,0,MIN(TotalUnits,(366-DeliverStart+1)*UnitsDeliveredPerMo))</f>
        <v/>
      </c>
      <c r="NF7" s="17">
        <f>IF(367&lt;DeliverStart,0,MIN(TotalUnits,(367-DeliverStart+1)*UnitsDeliveredPerMo))</f>
        <v/>
      </c>
      <c r="NG7" s="17">
        <f>IF(368&lt;DeliverStart,0,MIN(TotalUnits,(368-DeliverStart+1)*UnitsDeliveredPerMo))</f>
        <v/>
      </c>
      <c r="NH7" s="17">
        <f>IF(369&lt;DeliverStart,0,MIN(TotalUnits,(369-DeliverStart+1)*UnitsDeliveredPerMo))</f>
        <v/>
      </c>
      <c r="NI7" s="17">
        <f>IF(370&lt;DeliverStart,0,MIN(TotalUnits,(370-DeliverStart+1)*UnitsDeliveredPerMo))</f>
        <v/>
      </c>
      <c r="NJ7" s="17">
        <f>IF(371&lt;DeliverStart,0,MIN(TotalUnits,(371-DeliverStart+1)*UnitsDeliveredPerMo))</f>
        <v/>
      </c>
      <c r="NK7" s="17">
        <f>IF(372&lt;DeliverStart,0,MIN(TotalUnits,(372-DeliverStart+1)*UnitsDeliveredPerMo))</f>
        <v/>
      </c>
    </row>
    <row r="8">
      <c r="A8" s="5" t="inlineStr">
        <is>
          <t>Cumulative Units Leased</t>
        </is>
      </c>
      <c r="C8" s="40" t="n"/>
      <c r="D8" s="17">
        <f>IF(1&lt;DeliverStart,0,MIN(StabLeasedTarget,D$7,(1-DeliverStart+1)*UnitsLeasedPerMo))</f>
        <v/>
      </c>
      <c r="E8" s="17">
        <f>IF(2&lt;DeliverStart,0,MIN(StabLeasedTarget,E$7,(2-DeliverStart+1)*UnitsLeasedPerMo))</f>
        <v/>
      </c>
      <c r="F8" s="17">
        <f>IF(3&lt;DeliverStart,0,MIN(StabLeasedTarget,F$7,(3-DeliverStart+1)*UnitsLeasedPerMo))</f>
        <v/>
      </c>
      <c r="G8" s="17">
        <f>IF(4&lt;DeliverStart,0,MIN(StabLeasedTarget,G$7,(4-DeliverStart+1)*UnitsLeasedPerMo))</f>
        <v/>
      </c>
      <c r="H8" s="17">
        <f>IF(5&lt;DeliverStart,0,MIN(StabLeasedTarget,H$7,(5-DeliverStart+1)*UnitsLeasedPerMo))</f>
        <v/>
      </c>
      <c r="I8" s="17">
        <f>IF(6&lt;DeliverStart,0,MIN(StabLeasedTarget,I$7,(6-DeliverStart+1)*UnitsLeasedPerMo))</f>
        <v/>
      </c>
      <c r="J8" s="17">
        <f>IF(7&lt;DeliverStart,0,MIN(StabLeasedTarget,J$7,(7-DeliverStart+1)*UnitsLeasedPerMo))</f>
        <v/>
      </c>
      <c r="K8" s="17">
        <f>IF(8&lt;DeliverStart,0,MIN(StabLeasedTarget,K$7,(8-DeliverStart+1)*UnitsLeasedPerMo))</f>
        <v/>
      </c>
      <c r="L8" s="17">
        <f>IF(9&lt;DeliverStart,0,MIN(StabLeasedTarget,L$7,(9-DeliverStart+1)*UnitsLeasedPerMo))</f>
        <v/>
      </c>
      <c r="M8" s="17">
        <f>IF(10&lt;DeliverStart,0,MIN(StabLeasedTarget,M$7,(10-DeliverStart+1)*UnitsLeasedPerMo))</f>
        <v/>
      </c>
      <c r="N8" s="17">
        <f>IF(11&lt;DeliverStart,0,MIN(StabLeasedTarget,N$7,(11-DeliverStart+1)*UnitsLeasedPerMo))</f>
        <v/>
      </c>
      <c r="O8" s="17">
        <f>IF(12&lt;DeliverStart,0,MIN(StabLeasedTarget,O$7,(12-DeliverStart+1)*UnitsLeasedPerMo))</f>
        <v/>
      </c>
      <c r="P8" s="17">
        <f>IF(13&lt;DeliverStart,0,MIN(StabLeasedTarget,P$7,(13-DeliverStart+1)*UnitsLeasedPerMo))</f>
        <v/>
      </c>
      <c r="Q8" s="17">
        <f>IF(14&lt;DeliverStart,0,MIN(StabLeasedTarget,Q$7,(14-DeliverStart+1)*UnitsLeasedPerMo))</f>
        <v/>
      </c>
      <c r="R8" s="17">
        <f>IF(15&lt;DeliverStart,0,MIN(StabLeasedTarget,R$7,(15-DeliverStart+1)*UnitsLeasedPerMo))</f>
        <v/>
      </c>
      <c r="S8" s="17">
        <f>IF(16&lt;DeliverStart,0,MIN(StabLeasedTarget,S$7,(16-DeliverStart+1)*UnitsLeasedPerMo))</f>
        <v/>
      </c>
      <c r="T8" s="17">
        <f>IF(17&lt;DeliverStart,0,MIN(StabLeasedTarget,T$7,(17-DeliverStart+1)*UnitsLeasedPerMo))</f>
        <v/>
      </c>
      <c r="U8" s="17">
        <f>IF(18&lt;DeliverStart,0,MIN(StabLeasedTarget,U$7,(18-DeliverStart+1)*UnitsLeasedPerMo))</f>
        <v/>
      </c>
      <c r="V8" s="17">
        <f>IF(19&lt;DeliverStart,0,MIN(StabLeasedTarget,V$7,(19-DeliverStart+1)*UnitsLeasedPerMo))</f>
        <v/>
      </c>
      <c r="W8" s="17">
        <f>IF(20&lt;DeliverStart,0,MIN(StabLeasedTarget,W$7,(20-DeliverStart+1)*UnitsLeasedPerMo))</f>
        <v/>
      </c>
      <c r="X8" s="17">
        <f>IF(21&lt;DeliverStart,0,MIN(StabLeasedTarget,X$7,(21-DeliverStart+1)*UnitsLeasedPerMo))</f>
        <v/>
      </c>
      <c r="Y8" s="17">
        <f>IF(22&lt;DeliverStart,0,MIN(StabLeasedTarget,Y$7,(22-DeliverStart+1)*UnitsLeasedPerMo))</f>
        <v/>
      </c>
      <c r="Z8" s="17">
        <f>IF(23&lt;DeliverStart,0,MIN(StabLeasedTarget,Z$7,(23-DeliverStart+1)*UnitsLeasedPerMo))</f>
        <v/>
      </c>
      <c r="AA8" s="17">
        <f>IF(24&lt;DeliverStart,0,MIN(StabLeasedTarget,AA$7,(24-DeliverStart+1)*UnitsLeasedPerMo))</f>
        <v/>
      </c>
      <c r="AB8" s="17">
        <f>IF(25&lt;DeliverStart,0,MIN(StabLeasedTarget,AB$7,(25-DeliverStart+1)*UnitsLeasedPerMo))</f>
        <v/>
      </c>
      <c r="AC8" s="17">
        <f>IF(26&lt;DeliverStart,0,MIN(StabLeasedTarget,AC$7,(26-DeliverStart+1)*UnitsLeasedPerMo))</f>
        <v/>
      </c>
      <c r="AD8" s="17">
        <f>IF(27&lt;DeliverStart,0,MIN(StabLeasedTarget,AD$7,(27-DeliverStart+1)*UnitsLeasedPerMo))</f>
        <v/>
      </c>
      <c r="AE8" s="17">
        <f>IF(28&lt;DeliverStart,0,MIN(StabLeasedTarget,AE$7,(28-DeliverStart+1)*UnitsLeasedPerMo))</f>
        <v/>
      </c>
      <c r="AF8" s="17">
        <f>IF(29&lt;DeliverStart,0,MIN(StabLeasedTarget,AF$7,(29-DeliverStart+1)*UnitsLeasedPerMo))</f>
        <v/>
      </c>
      <c r="AG8" s="17">
        <f>IF(30&lt;DeliverStart,0,MIN(StabLeasedTarget,AG$7,(30-DeliverStart+1)*UnitsLeasedPerMo))</f>
        <v/>
      </c>
      <c r="AH8" s="17">
        <f>IF(31&lt;DeliverStart,0,MIN(StabLeasedTarget,AH$7,(31-DeliverStart+1)*UnitsLeasedPerMo))</f>
        <v/>
      </c>
      <c r="AI8" s="17">
        <f>IF(32&lt;DeliverStart,0,MIN(StabLeasedTarget,AI$7,(32-DeliverStart+1)*UnitsLeasedPerMo))</f>
        <v/>
      </c>
      <c r="AJ8" s="17">
        <f>IF(33&lt;DeliverStart,0,MIN(StabLeasedTarget,AJ$7,(33-DeliverStart+1)*UnitsLeasedPerMo))</f>
        <v/>
      </c>
      <c r="AK8" s="17">
        <f>IF(34&lt;DeliverStart,0,MIN(StabLeasedTarget,AK$7,(34-DeliverStart+1)*UnitsLeasedPerMo))</f>
        <v/>
      </c>
      <c r="AL8" s="17">
        <f>IF(35&lt;DeliverStart,0,MIN(StabLeasedTarget,AL$7,(35-DeliverStart+1)*UnitsLeasedPerMo))</f>
        <v/>
      </c>
      <c r="AM8" s="17">
        <f>IF(36&lt;DeliverStart,0,MIN(StabLeasedTarget,AM$7,(36-DeliverStart+1)*UnitsLeasedPerMo))</f>
        <v/>
      </c>
      <c r="AN8" s="17">
        <f>IF(37&lt;DeliverStart,0,MIN(StabLeasedTarget,AN$7,(37-DeliverStart+1)*UnitsLeasedPerMo))</f>
        <v/>
      </c>
      <c r="AO8" s="17">
        <f>IF(38&lt;DeliverStart,0,MIN(StabLeasedTarget,AO$7,(38-DeliverStart+1)*UnitsLeasedPerMo))</f>
        <v/>
      </c>
      <c r="AP8" s="17">
        <f>IF(39&lt;DeliverStart,0,MIN(StabLeasedTarget,AP$7,(39-DeliverStart+1)*UnitsLeasedPerMo))</f>
        <v/>
      </c>
      <c r="AQ8" s="17">
        <f>IF(40&lt;DeliverStart,0,MIN(StabLeasedTarget,AQ$7,(40-DeliverStart+1)*UnitsLeasedPerMo))</f>
        <v/>
      </c>
      <c r="AR8" s="17">
        <f>IF(41&lt;DeliverStart,0,MIN(StabLeasedTarget,AR$7,(41-DeliverStart+1)*UnitsLeasedPerMo))</f>
        <v/>
      </c>
      <c r="AS8" s="17">
        <f>IF(42&lt;DeliverStart,0,MIN(StabLeasedTarget,AS$7,(42-DeliverStart+1)*UnitsLeasedPerMo))</f>
        <v/>
      </c>
      <c r="AT8" s="17">
        <f>IF(43&lt;DeliverStart,0,MIN(StabLeasedTarget,AT$7,(43-DeliverStart+1)*UnitsLeasedPerMo))</f>
        <v/>
      </c>
      <c r="AU8" s="17">
        <f>IF(44&lt;DeliverStart,0,MIN(StabLeasedTarget,AU$7,(44-DeliverStart+1)*UnitsLeasedPerMo))</f>
        <v/>
      </c>
      <c r="AV8" s="17">
        <f>IF(45&lt;DeliverStart,0,MIN(StabLeasedTarget,AV$7,(45-DeliverStart+1)*UnitsLeasedPerMo))</f>
        <v/>
      </c>
      <c r="AW8" s="17">
        <f>IF(46&lt;DeliverStart,0,MIN(StabLeasedTarget,AW$7,(46-DeliverStart+1)*UnitsLeasedPerMo))</f>
        <v/>
      </c>
      <c r="AX8" s="17">
        <f>IF(47&lt;DeliverStart,0,MIN(StabLeasedTarget,AX$7,(47-DeliverStart+1)*UnitsLeasedPerMo))</f>
        <v/>
      </c>
      <c r="AY8" s="17">
        <f>IF(48&lt;DeliverStart,0,MIN(StabLeasedTarget,AY$7,(48-DeliverStart+1)*UnitsLeasedPerMo))</f>
        <v/>
      </c>
      <c r="AZ8" s="17">
        <f>IF(49&lt;DeliverStart,0,MIN(StabLeasedTarget,AZ$7,(49-DeliverStart+1)*UnitsLeasedPerMo))</f>
        <v/>
      </c>
      <c r="BA8" s="17">
        <f>IF(50&lt;DeliverStart,0,MIN(StabLeasedTarget,BA$7,(50-DeliverStart+1)*UnitsLeasedPerMo))</f>
        <v/>
      </c>
      <c r="BB8" s="17">
        <f>IF(51&lt;DeliverStart,0,MIN(StabLeasedTarget,BB$7,(51-DeliverStart+1)*UnitsLeasedPerMo))</f>
        <v/>
      </c>
      <c r="BC8" s="17">
        <f>IF(52&lt;DeliverStart,0,MIN(StabLeasedTarget,BC$7,(52-DeliverStart+1)*UnitsLeasedPerMo))</f>
        <v/>
      </c>
      <c r="BD8" s="17">
        <f>IF(53&lt;DeliverStart,0,MIN(StabLeasedTarget,BD$7,(53-DeliverStart+1)*UnitsLeasedPerMo))</f>
        <v/>
      </c>
      <c r="BE8" s="17">
        <f>IF(54&lt;DeliverStart,0,MIN(StabLeasedTarget,BE$7,(54-DeliverStart+1)*UnitsLeasedPerMo))</f>
        <v/>
      </c>
      <c r="BF8" s="17">
        <f>IF(55&lt;DeliverStart,0,MIN(StabLeasedTarget,BF$7,(55-DeliverStart+1)*UnitsLeasedPerMo))</f>
        <v/>
      </c>
      <c r="BG8" s="17">
        <f>IF(56&lt;DeliverStart,0,MIN(StabLeasedTarget,BG$7,(56-DeliverStart+1)*UnitsLeasedPerMo))</f>
        <v/>
      </c>
      <c r="BH8" s="17">
        <f>IF(57&lt;DeliverStart,0,MIN(StabLeasedTarget,BH$7,(57-DeliverStart+1)*UnitsLeasedPerMo))</f>
        <v/>
      </c>
      <c r="BI8" s="17">
        <f>IF(58&lt;DeliverStart,0,MIN(StabLeasedTarget,BI$7,(58-DeliverStart+1)*UnitsLeasedPerMo))</f>
        <v/>
      </c>
      <c r="BJ8" s="17">
        <f>IF(59&lt;DeliverStart,0,MIN(StabLeasedTarget,BJ$7,(59-DeliverStart+1)*UnitsLeasedPerMo))</f>
        <v/>
      </c>
      <c r="BK8" s="17">
        <f>IF(60&lt;DeliverStart,0,MIN(StabLeasedTarget,BK$7,(60-DeliverStart+1)*UnitsLeasedPerMo))</f>
        <v/>
      </c>
      <c r="BL8" s="17">
        <f>IF(61&lt;DeliverStart,0,MIN(StabLeasedTarget,BL$7,(61-DeliverStart+1)*UnitsLeasedPerMo))</f>
        <v/>
      </c>
      <c r="BM8" s="17">
        <f>IF(62&lt;DeliverStart,0,MIN(StabLeasedTarget,BM$7,(62-DeliverStart+1)*UnitsLeasedPerMo))</f>
        <v/>
      </c>
      <c r="BN8" s="17">
        <f>IF(63&lt;DeliverStart,0,MIN(StabLeasedTarget,BN$7,(63-DeliverStart+1)*UnitsLeasedPerMo))</f>
        <v/>
      </c>
      <c r="BO8" s="17">
        <f>IF(64&lt;DeliverStart,0,MIN(StabLeasedTarget,BO$7,(64-DeliverStart+1)*UnitsLeasedPerMo))</f>
        <v/>
      </c>
      <c r="BP8" s="17">
        <f>IF(65&lt;DeliverStart,0,MIN(StabLeasedTarget,BP$7,(65-DeliverStart+1)*UnitsLeasedPerMo))</f>
        <v/>
      </c>
      <c r="BQ8" s="17">
        <f>IF(66&lt;DeliverStart,0,MIN(StabLeasedTarget,BQ$7,(66-DeliverStart+1)*UnitsLeasedPerMo))</f>
        <v/>
      </c>
      <c r="BR8" s="17">
        <f>IF(67&lt;DeliverStart,0,MIN(StabLeasedTarget,BR$7,(67-DeliverStart+1)*UnitsLeasedPerMo))</f>
        <v/>
      </c>
      <c r="BS8" s="17">
        <f>IF(68&lt;DeliverStart,0,MIN(StabLeasedTarget,BS$7,(68-DeliverStart+1)*UnitsLeasedPerMo))</f>
        <v/>
      </c>
      <c r="BT8" s="17">
        <f>IF(69&lt;DeliverStart,0,MIN(StabLeasedTarget,BT$7,(69-DeliverStart+1)*UnitsLeasedPerMo))</f>
        <v/>
      </c>
      <c r="BU8" s="17">
        <f>IF(70&lt;DeliverStart,0,MIN(StabLeasedTarget,BU$7,(70-DeliverStart+1)*UnitsLeasedPerMo))</f>
        <v/>
      </c>
      <c r="BV8" s="17">
        <f>IF(71&lt;DeliverStart,0,MIN(StabLeasedTarget,BV$7,(71-DeliverStart+1)*UnitsLeasedPerMo))</f>
        <v/>
      </c>
      <c r="BW8" s="17">
        <f>IF(72&lt;DeliverStart,0,MIN(StabLeasedTarget,BW$7,(72-DeliverStart+1)*UnitsLeasedPerMo))</f>
        <v/>
      </c>
      <c r="BX8" s="17">
        <f>IF(73&lt;DeliverStart,0,MIN(StabLeasedTarget,BX$7,(73-DeliverStart+1)*UnitsLeasedPerMo))</f>
        <v/>
      </c>
      <c r="BY8" s="17">
        <f>IF(74&lt;DeliverStart,0,MIN(StabLeasedTarget,BY$7,(74-DeliverStart+1)*UnitsLeasedPerMo))</f>
        <v/>
      </c>
      <c r="BZ8" s="17">
        <f>IF(75&lt;DeliverStart,0,MIN(StabLeasedTarget,BZ$7,(75-DeliverStart+1)*UnitsLeasedPerMo))</f>
        <v/>
      </c>
      <c r="CA8" s="17">
        <f>IF(76&lt;DeliverStart,0,MIN(StabLeasedTarget,CA$7,(76-DeliverStart+1)*UnitsLeasedPerMo))</f>
        <v/>
      </c>
      <c r="CB8" s="17">
        <f>IF(77&lt;DeliverStart,0,MIN(StabLeasedTarget,CB$7,(77-DeliverStart+1)*UnitsLeasedPerMo))</f>
        <v/>
      </c>
      <c r="CC8" s="17">
        <f>IF(78&lt;DeliverStart,0,MIN(StabLeasedTarget,CC$7,(78-DeliverStart+1)*UnitsLeasedPerMo))</f>
        <v/>
      </c>
      <c r="CD8" s="17">
        <f>IF(79&lt;DeliverStart,0,MIN(StabLeasedTarget,CD$7,(79-DeliverStart+1)*UnitsLeasedPerMo))</f>
        <v/>
      </c>
      <c r="CE8" s="17">
        <f>IF(80&lt;DeliverStart,0,MIN(StabLeasedTarget,CE$7,(80-DeliverStart+1)*UnitsLeasedPerMo))</f>
        <v/>
      </c>
      <c r="CF8" s="17">
        <f>IF(81&lt;DeliverStart,0,MIN(StabLeasedTarget,CF$7,(81-DeliverStart+1)*UnitsLeasedPerMo))</f>
        <v/>
      </c>
      <c r="CG8" s="17">
        <f>IF(82&lt;DeliverStart,0,MIN(StabLeasedTarget,CG$7,(82-DeliverStart+1)*UnitsLeasedPerMo))</f>
        <v/>
      </c>
      <c r="CH8" s="17">
        <f>IF(83&lt;DeliverStart,0,MIN(StabLeasedTarget,CH$7,(83-DeliverStart+1)*UnitsLeasedPerMo))</f>
        <v/>
      </c>
      <c r="CI8" s="17">
        <f>IF(84&lt;DeliverStart,0,MIN(StabLeasedTarget,CI$7,(84-DeliverStart+1)*UnitsLeasedPerMo))</f>
        <v/>
      </c>
      <c r="CJ8" s="17">
        <f>IF(85&lt;DeliverStart,0,MIN(StabLeasedTarget,CJ$7,(85-DeliverStart+1)*UnitsLeasedPerMo))</f>
        <v/>
      </c>
      <c r="CK8" s="17">
        <f>IF(86&lt;DeliverStart,0,MIN(StabLeasedTarget,CK$7,(86-DeliverStart+1)*UnitsLeasedPerMo))</f>
        <v/>
      </c>
      <c r="CL8" s="17">
        <f>IF(87&lt;DeliverStart,0,MIN(StabLeasedTarget,CL$7,(87-DeliverStart+1)*UnitsLeasedPerMo))</f>
        <v/>
      </c>
      <c r="CM8" s="17">
        <f>IF(88&lt;DeliverStart,0,MIN(StabLeasedTarget,CM$7,(88-DeliverStart+1)*UnitsLeasedPerMo))</f>
        <v/>
      </c>
      <c r="CN8" s="17">
        <f>IF(89&lt;DeliverStart,0,MIN(StabLeasedTarget,CN$7,(89-DeliverStart+1)*UnitsLeasedPerMo))</f>
        <v/>
      </c>
      <c r="CO8" s="17">
        <f>IF(90&lt;DeliverStart,0,MIN(StabLeasedTarget,CO$7,(90-DeliverStart+1)*UnitsLeasedPerMo))</f>
        <v/>
      </c>
      <c r="CP8" s="17">
        <f>IF(91&lt;DeliverStart,0,MIN(StabLeasedTarget,CP$7,(91-DeliverStart+1)*UnitsLeasedPerMo))</f>
        <v/>
      </c>
      <c r="CQ8" s="17">
        <f>IF(92&lt;DeliverStart,0,MIN(StabLeasedTarget,CQ$7,(92-DeliverStart+1)*UnitsLeasedPerMo))</f>
        <v/>
      </c>
      <c r="CR8" s="17">
        <f>IF(93&lt;DeliverStart,0,MIN(StabLeasedTarget,CR$7,(93-DeliverStart+1)*UnitsLeasedPerMo))</f>
        <v/>
      </c>
      <c r="CS8" s="17">
        <f>IF(94&lt;DeliverStart,0,MIN(StabLeasedTarget,CS$7,(94-DeliverStart+1)*UnitsLeasedPerMo))</f>
        <v/>
      </c>
      <c r="CT8" s="17">
        <f>IF(95&lt;DeliverStart,0,MIN(StabLeasedTarget,CT$7,(95-DeliverStart+1)*UnitsLeasedPerMo))</f>
        <v/>
      </c>
      <c r="CU8" s="17">
        <f>IF(96&lt;DeliverStart,0,MIN(StabLeasedTarget,CU$7,(96-DeliverStart+1)*UnitsLeasedPerMo))</f>
        <v/>
      </c>
      <c r="CV8" s="17">
        <f>IF(97&lt;DeliverStart,0,MIN(StabLeasedTarget,CV$7,(97-DeliverStart+1)*UnitsLeasedPerMo))</f>
        <v/>
      </c>
      <c r="CW8" s="17">
        <f>IF(98&lt;DeliverStart,0,MIN(StabLeasedTarget,CW$7,(98-DeliverStart+1)*UnitsLeasedPerMo))</f>
        <v/>
      </c>
      <c r="CX8" s="17">
        <f>IF(99&lt;DeliverStart,0,MIN(StabLeasedTarget,CX$7,(99-DeliverStart+1)*UnitsLeasedPerMo))</f>
        <v/>
      </c>
      <c r="CY8" s="17">
        <f>IF(100&lt;DeliverStart,0,MIN(StabLeasedTarget,CY$7,(100-DeliverStart+1)*UnitsLeasedPerMo))</f>
        <v/>
      </c>
      <c r="CZ8" s="17">
        <f>IF(101&lt;DeliverStart,0,MIN(StabLeasedTarget,CZ$7,(101-DeliverStart+1)*UnitsLeasedPerMo))</f>
        <v/>
      </c>
      <c r="DA8" s="17">
        <f>IF(102&lt;DeliverStart,0,MIN(StabLeasedTarget,DA$7,(102-DeliverStart+1)*UnitsLeasedPerMo))</f>
        <v/>
      </c>
      <c r="DB8" s="17">
        <f>IF(103&lt;DeliverStart,0,MIN(StabLeasedTarget,DB$7,(103-DeliverStart+1)*UnitsLeasedPerMo))</f>
        <v/>
      </c>
      <c r="DC8" s="17">
        <f>IF(104&lt;DeliverStart,0,MIN(StabLeasedTarget,DC$7,(104-DeliverStart+1)*UnitsLeasedPerMo))</f>
        <v/>
      </c>
      <c r="DD8" s="17">
        <f>IF(105&lt;DeliverStart,0,MIN(StabLeasedTarget,DD$7,(105-DeliverStart+1)*UnitsLeasedPerMo))</f>
        <v/>
      </c>
      <c r="DE8" s="17">
        <f>IF(106&lt;DeliverStart,0,MIN(StabLeasedTarget,DE$7,(106-DeliverStart+1)*UnitsLeasedPerMo))</f>
        <v/>
      </c>
      <c r="DF8" s="17">
        <f>IF(107&lt;DeliverStart,0,MIN(StabLeasedTarget,DF$7,(107-DeliverStart+1)*UnitsLeasedPerMo))</f>
        <v/>
      </c>
      <c r="DG8" s="17">
        <f>IF(108&lt;DeliverStart,0,MIN(StabLeasedTarget,DG$7,(108-DeliverStart+1)*UnitsLeasedPerMo))</f>
        <v/>
      </c>
      <c r="DH8" s="17">
        <f>IF(109&lt;DeliverStart,0,MIN(StabLeasedTarget,DH$7,(109-DeliverStart+1)*UnitsLeasedPerMo))</f>
        <v/>
      </c>
      <c r="DI8" s="17">
        <f>IF(110&lt;DeliverStart,0,MIN(StabLeasedTarget,DI$7,(110-DeliverStart+1)*UnitsLeasedPerMo))</f>
        <v/>
      </c>
      <c r="DJ8" s="17">
        <f>IF(111&lt;DeliverStart,0,MIN(StabLeasedTarget,DJ$7,(111-DeliverStart+1)*UnitsLeasedPerMo))</f>
        <v/>
      </c>
      <c r="DK8" s="17">
        <f>IF(112&lt;DeliverStart,0,MIN(StabLeasedTarget,DK$7,(112-DeliverStart+1)*UnitsLeasedPerMo))</f>
        <v/>
      </c>
      <c r="DL8" s="17">
        <f>IF(113&lt;DeliverStart,0,MIN(StabLeasedTarget,DL$7,(113-DeliverStart+1)*UnitsLeasedPerMo))</f>
        <v/>
      </c>
      <c r="DM8" s="17">
        <f>IF(114&lt;DeliverStart,0,MIN(StabLeasedTarget,DM$7,(114-DeliverStart+1)*UnitsLeasedPerMo))</f>
        <v/>
      </c>
      <c r="DN8" s="17">
        <f>IF(115&lt;DeliverStart,0,MIN(StabLeasedTarget,DN$7,(115-DeliverStart+1)*UnitsLeasedPerMo))</f>
        <v/>
      </c>
      <c r="DO8" s="17">
        <f>IF(116&lt;DeliverStart,0,MIN(StabLeasedTarget,DO$7,(116-DeliverStart+1)*UnitsLeasedPerMo))</f>
        <v/>
      </c>
      <c r="DP8" s="17">
        <f>IF(117&lt;DeliverStart,0,MIN(StabLeasedTarget,DP$7,(117-DeliverStart+1)*UnitsLeasedPerMo))</f>
        <v/>
      </c>
      <c r="DQ8" s="17">
        <f>IF(118&lt;DeliverStart,0,MIN(StabLeasedTarget,DQ$7,(118-DeliverStart+1)*UnitsLeasedPerMo))</f>
        <v/>
      </c>
      <c r="DR8" s="17">
        <f>IF(119&lt;DeliverStart,0,MIN(StabLeasedTarget,DR$7,(119-DeliverStart+1)*UnitsLeasedPerMo))</f>
        <v/>
      </c>
      <c r="DS8" s="17">
        <f>IF(120&lt;DeliverStart,0,MIN(StabLeasedTarget,DS$7,(120-DeliverStart+1)*UnitsLeasedPerMo))</f>
        <v/>
      </c>
      <c r="DT8" s="17">
        <f>IF(121&lt;DeliverStart,0,MIN(StabLeasedTarget,DT$7,(121-DeliverStart+1)*UnitsLeasedPerMo))</f>
        <v/>
      </c>
      <c r="DU8" s="17">
        <f>IF(122&lt;DeliverStart,0,MIN(StabLeasedTarget,DU$7,(122-DeliverStart+1)*UnitsLeasedPerMo))</f>
        <v/>
      </c>
      <c r="DV8" s="17">
        <f>IF(123&lt;DeliverStart,0,MIN(StabLeasedTarget,DV$7,(123-DeliverStart+1)*UnitsLeasedPerMo))</f>
        <v/>
      </c>
      <c r="DW8" s="17">
        <f>IF(124&lt;DeliverStart,0,MIN(StabLeasedTarget,DW$7,(124-DeliverStart+1)*UnitsLeasedPerMo))</f>
        <v/>
      </c>
      <c r="DX8" s="17">
        <f>IF(125&lt;DeliverStart,0,MIN(StabLeasedTarget,DX$7,(125-DeliverStart+1)*UnitsLeasedPerMo))</f>
        <v/>
      </c>
      <c r="DY8" s="17">
        <f>IF(126&lt;DeliverStart,0,MIN(StabLeasedTarget,DY$7,(126-DeliverStart+1)*UnitsLeasedPerMo))</f>
        <v/>
      </c>
      <c r="DZ8" s="17">
        <f>IF(127&lt;DeliverStart,0,MIN(StabLeasedTarget,DZ$7,(127-DeliverStart+1)*UnitsLeasedPerMo))</f>
        <v/>
      </c>
      <c r="EA8" s="17">
        <f>IF(128&lt;DeliverStart,0,MIN(StabLeasedTarget,EA$7,(128-DeliverStart+1)*UnitsLeasedPerMo))</f>
        <v/>
      </c>
      <c r="EB8" s="17">
        <f>IF(129&lt;DeliverStart,0,MIN(StabLeasedTarget,EB$7,(129-DeliverStart+1)*UnitsLeasedPerMo))</f>
        <v/>
      </c>
      <c r="EC8" s="17">
        <f>IF(130&lt;DeliverStart,0,MIN(StabLeasedTarget,EC$7,(130-DeliverStart+1)*UnitsLeasedPerMo))</f>
        <v/>
      </c>
      <c r="ED8" s="17">
        <f>IF(131&lt;DeliverStart,0,MIN(StabLeasedTarget,ED$7,(131-DeliverStart+1)*UnitsLeasedPerMo))</f>
        <v/>
      </c>
      <c r="EE8" s="17">
        <f>IF(132&lt;DeliverStart,0,MIN(StabLeasedTarget,EE$7,(132-DeliverStart+1)*UnitsLeasedPerMo))</f>
        <v/>
      </c>
      <c r="EF8" s="17">
        <f>IF(133&lt;DeliverStart,0,MIN(StabLeasedTarget,EF$7,(133-DeliverStart+1)*UnitsLeasedPerMo))</f>
        <v/>
      </c>
      <c r="EG8" s="17">
        <f>IF(134&lt;DeliverStart,0,MIN(StabLeasedTarget,EG$7,(134-DeliverStart+1)*UnitsLeasedPerMo))</f>
        <v/>
      </c>
      <c r="EH8" s="17">
        <f>IF(135&lt;DeliverStart,0,MIN(StabLeasedTarget,EH$7,(135-DeliverStart+1)*UnitsLeasedPerMo))</f>
        <v/>
      </c>
      <c r="EI8" s="17">
        <f>IF(136&lt;DeliverStart,0,MIN(StabLeasedTarget,EI$7,(136-DeliverStart+1)*UnitsLeasedPerMo))</f>
        <v/>
      </c>
      <c r="EJ8" s="17">
        <f>IF(137&lt;DeliverStart,0,MIN(StabLeasedTarget,EJ$7,(137-DeliverStart+1)*UnitsLeasedPerMo))</f>
        <v/>
      </c>
      <c r="EK8" s="17">
        <f>IF(138&lt;DeliverStart,0,MIN(StabLeasedTarget,EK$7,(138-DeliverStart+1)*UnitsLeasedPerMo))</f>
        <v/>
      </c>
      <c r="EL8" s="17">
        <f>IF(139&lt;DeliverStart,0,MIN(StabLeasedTarget,EL$7,(139-DeliverStart+1)*UnitsLeasedPerMo))</f>
        <v/>
      </c>
      <c r="EM8" s="17">
        <f>IF(140&lt;DeliverStart,0,MIN(StabLeasedTarget,EM$7,(140-DeliverStart+1)*UnitsLeasedPerMo))</f>
        <v/>
      </c>
      <c r="EN8" s="17">
        <f>IF(141&lt;DeliverStart,0,MIN(StabLeasedTarget,EN$7,(141-DeliverStart+1)*UnitsLeasedPerMo))</f>
        <v/>
      </c>
      <c r="EO8" s="17">
        <f>IF(142&lt;DeliverStart,0,MIN(StabLeasedTarget,EO$7,(142-DeliverStart+1)*UnitsLeasedPerMo))</f>
        <v/>
      </c>
      <c r="EP8" s="17">
        <f>IF(143&lt;DeliverStart,0,MIN(StabLeasedTarget,EP$7,(143-DeliverStart+1)*UnitsLeasedPerMo))</f>
        <v/>
      </c>
      <c r="EQ8" s="17">
        <f>IF(144&lt;DeliverStart,0,MIN(StabLeasedTarget,EQ$7,(144-DeliverStart+1)*UnitsLeasedPerMo))</f>
        <v/>
      </c>
      <c r="ER8" s="17">
        <f>IF(145&lt;DeliverStart,0,MIN(StabLeasedTarget,ER$7,(145-DeliverStart+1)*UnitsLeasedPerMo))</f>
        <v/>
      </c>
      <c r="ES8" s="17">
        <f>IF(146&lt;DeliverStart,0,MIN(StabLeasedTarget,ES$7,(146-DeliverStart+1)*UnitsLeasedPerMo))</f>
        <v/>
      </c>
      <c r="ET8" s="17">
        <f>IF(147&lt;DeliverStart,0,MIN(StabLeasedTarget,ET$7,(147-DeliverStart+1)*UnitsLeasedPerMo))</f>
        <v/>
      </c>
      <c r="EU8" s="17">
        <f>IF(148&lt;DeliverStart,0,MIN(StabLeasedTarget,EU$7,(148-DeliverStart+1)*UnitsLeasedPerMo))</f>
        <v/>
      </c>
      <c r="EV8" s="17">
        <f>IF(149&lt;DeliverStart,0,MIN(StabLeasedTarget,EV$7,(149-DeliverStart+1)*UnitsLeasedPerMo))</f>
        <v/>
      </c>
      <c r="EW8" s="17">
        <f>IF(150&lt;DeliverStart,0,MIN(StabLeasedTarget,EW$7,(150-DeliverStart+1)*UnitsLeasedPerMo))</f>
        <v/>
      </c>
      <c r="EX8" s="17">
        <f>IF(151&lt;DeliverStart,0,MIN(StabLeasedTarget,EX$7,(151-DeliverStart+1)*UnitsLeasedPerMo))</f>
        <v/>
      </c>
      <c r="EY8" s="17">
        <f>IF(152&lt;DeliverStart,0,MIN(StabLeasedTarget,EY$7,(152-DeliverStart+1)*UnitsLeasedPerMo))</f>
        <v/>
      </c>
      <c r="EZ8" s="17">
        <f>IF(153&lt;DeliverStart,0,MIN(StabLeasedTarget,EZ$7,(153-DeliverStart+1)*UnitsLeasedPerMo))</f>
        <v/>
      </c>
      <c r="FA8" s="17">
        <f>IF(154&lt;DeliverStart,0,MIN(StabLeasedTarget,FA$7,(154-DeliverStart+1)*UnitsLeasedPerMo))</f>
        <v/>
      </c>
      <c r="FB8" s="17">
        <f>IF(155&lt;DeliverStart,0,MIN(StabLeasedTarget,FB$7,(155-DeliverStart+1)*UnitsLeasedPerMo))</f>
        <v/>
      </c>
      <c r="FC8" s="17">
        <f>IF(156&lt;DeliverStart,0,MIN(StabLeasedTarget,FC$7,(156-DeliverStart+1)*UnitsLeasedPerMo))</f>
        <v/>
      </c>
      <c r="FD8" s="17">
        <f>IF(157&lt;DeliverStart,0,MIN(StabLeasedTarget,FD$7,(157-DeliverStart+1)*UnitsLeasedPerMo))</f>
        <v/>
      </c>
      <c r="FE8" s="17">
        <f>IF(158&lt;DeliverStart,0,MIN(StabLeasedTarget,FE$7,(158-DeliverStart+1)*UnitsLeasedPerMo))</f>
        <v/>
      </c>
      <c r="FF8" s="17">
        <f>IF(159&lt;DeliverStart,0,MIN(StabLeasedTarget,FF$7,(159-DeliverStart+1)*UnitsLeasedPerMo))</f>
        <v/>
      </c>
      <c r="FG8" s="17">
        <f>IF(160&lt;DeliverStart,0,MIN(StabLeasedTarget,FG$7,(160-DeliverStart+1)*UnitsLeasedPerMo))</f>
        <v/>
      </c>
      <c r="FH8" s="17">
        <f>IF(161&lt;DeliverStart,0,MIN(StabLeasedTarget,FH$7,(161-DeliverStart+1)*UnitsLeasedPerMo))</f>
        <v/>
      </c>
      <c r="FI8" s="17">
        <f>IF(162&lt;DeliverStart,0,MIN(StabLeasedTarget,FI$7,(162-DeliverStart+1)*UnitsLeasedPerMo))</f>
        <v/>
      </c>
      <c r="FJ8" s="17">
        <f>IF(163&lt;DeliverStart,0,MIN(StabLeasedTarget,FJ$7,(163-DeliverStart+1)*UnitsLeasedPerMo))</f>
        <v/>
      </c>
      <c r="FK8" s="17">
        <f>IF(164&lt;DeliverStart,0,MIN(StabLeasedTarget,FK$7,(164-DeliverStart+1)*UnitsLeasedPerMo))</f>
        <v/>
      </c>
      <c r="FL8" s="17">
        <f>IF(165&lt;DeliverStart,0,MIN(StabLeasedTarget,FL$7,(165-DeliverStart+1)*UnitsLeasedPerMo))</f>
        <v/>
      </c>
      <c r="FM8" s="17">
        <f>IF(166&lt;DeliverStart,0,MIN(StabLeasedTarget,FM$7,(166-DeliverStart+1)*UnitsLeasedPerMo))</f>
        <v/>
      </c>
      <c r="FN8" s="17">
        <f>IF(167&lt;DeliverStart,0,MIN(StabLeasedTarget,FN$7,(167-DeliverStart+1)*UnitsLeasedPerMo))</f>
        <v/>
      </c>
      <c r="FO8" s="17">
        <f>IF(168&lt;DeliverStart,0,MIN(StabLeasedTarget,FO$7,(168-DeliverStart+1)*UnitsLeasedPerMo))</f>
        <v/>
      </c>
      <c r="FP8" s="17">
        <f>IF(169&lt;DeliverStart,0,MIN(StabLeasedTarget,FP$7,(169-DeliverStart+1)*UnitsLeasedPerMo))</f>
        <v/>
      </c>
      <c r="FQ8" s="17">
        <f>IF(170&lt;DeliverStart,0,MIN(StabLeasedTarget,FQ$7,(170-DeliverStart+1)*UnitsLeasedPerMo))</f>
        <v/>
      </c>
      <c r="FR8" s="17">
        <f>IF(171&lt;DeliverStart,0,MIN(StabLeasedTarget,FR$7,(171-DeliverStart+1)*UnitsLeasedPerMo))</f>
        <v/>
      </c>
      <c r="FS8" s="17">
        <f>IF(172&lt;DeliverStart,0,MIN(StabLeasedTarget,FS$7,(172-DeliverStart+1)*UnitsLeasedPerMo))</f>
        <v/>
      </c>
      <c r="FT8" s="17">
        <f>IF(173&lt;DeliverStart,0,MIN(StabLeasedTarget,FT$7,(173-DeliverStart+1)*UnitsLeasedPerMo))</f>
        <v/>
      </c>
      <c r="FU8" s="17">
        <f>IF(174&lt;DeliverStart,0,MIN(StabLeasedTarget,FU$7,(174-DeliverStart+1)*UnitsLeasedPerMo))</f>
        <v/>
      </c>
      <c r="FV8" s="17">
        <f>IF(175&lt;DeliverStart,0,MIN(StabLeasedTarget,FV$7,(175-DeliverStart+1)*UnitsLeasedPerMo))</f>
        <v/>
      </c>
      <c r="FW8" s="17">
        <f>IF(176&lt;DeliverStart,0,MIN(StabLeasedTarget,FW$7,(176-DeliverStart+1)*UnitsLeasedPerMo))</f>
        <v/>
      </c>
      <c r="FX8" s="17">
        <f>IF(177&lt;DeliverStart,0,MIN(StabLeasedTarget,FX$7,(177-DeliverStart+1)*UnitsLeasedPerMo))</f>
        <v/>
      </c>
      <c r="FY8" s="17">
        <f>IF(178&lt;DeliverStart,0,MIN(StabLeasedTarget,FY$7,(178-DeliverStart+1)*UnitsLeasedPerMo))</f>
        <v/>
      </c>
      <c r="FZ8" s="17">
        <f>IF(179&lt;DeliverStart,0,MIN(StabLeasedTarget,FZ$7,(179-DeliverStart+1)*UnitsLeasedPerMo))</f>
        <v/>
      </c>
      <c r="GA8" s="17">
        <f>IF(180&lt;DeliverStart,0,MIN(StabLeasedTarget,GA$7,(180-DeliverStart+1)*UnitsLeasedPerMo))</f>
        <v/>
      </c>
      <c r="GB8" s="17">
        <f>IF(181&lt;DeliverStart,0,MIN(StabLeasedTarget,GB$7,(181-DeliverStart+1)*UnitsLeasedPerMo))</f>
        <v/>
      </c>
      <c r="GC8" s="17">
        <f>IF(182&lt;DeliverStart,0,MIN(StabLeasedTarget,GC$7,(182-DeliverStart+1)*UnitsLeasedPerMo))</f>
        <v/>
      </c>
      <c r="GD8" s="17">
        <f>IF(183&lt;DeliverStart,0,MIN(StabLeasedTarget,GD$7,(183-DeliverStart+1)*UnitsLeasedPerMo))</f>
        <v/>
      </c>
      <c r="GE8" s="17">
        <f>IF(184&lt;DeliverStart,0,MIN(StabLeasedTarget,GE$7,(184-DeliverStart+1)*UnitsLeasedPerMo))</f>
        <v/>
      </c>
      <c r="GF8" s="17">
        <f>IF(185&lt;DeliverStart,0,MIN(StabLeasedTarget,GF$7,(185-DeliverStart+1)*UnitsLeasedPerMo))</f>
        <v/>
      </c>
      <c r="GG8" s="17">
        <f>IF(186&lt;DeliverStart,0,MIN(StabLeasedTarget,GG$7,(186-DeliverStart+1)*UnitsLeasedPerMo))</f>
        <v/>
      </c>
      <c r="GH8" s="17">
        <f>IF(187&lt;DeliverStart,0,MIN(StabLeasedTarget,GH$7,(187-DeliverStart+1)*UnitsLeasedPerMo))</f>
        <v/>
      </c>
      <c r="GI8" s="17">
        <f>IF(188&lt;DeliverStart,0,MIN(StabLeasedTarget,GI$7,(188-DeliverStart+1)*UnitsLeasedPerMo))</f>
        <v/>
      </c>
      <c r="GJ8" s="17">
        <f>IF(189&lt;DeliverStart,0,MIN(StabLeasedTarget,GJ$7,(189-DeliverStart+1)*UnitsLeasedPerMo))</f>
        <v/>
      </c>
      <c r="GK8" s="17">
        <f>IF(190&lt;DeliverStart,0,MIN(StabLeasedTarget,GK$7,(190-DeliverStart+1)*UnitsLeasedPerMo))</f>
        <v/>
      </c>
      <c r="GL8" s="17">
        <f>IF(191&lt;DeliverStart,0,MIN(StabLeasedTarget,GL$7,(191-DeliverStart+1)*UnitsLeasedPerMo))</f>
        <v/>
      </c>
      <c r="GM8" s="17">
        <f>IF(192&lt;DeliverStart,0,MIN(StabLeasedTarget,GM$7,(192-DeliverStart+1)*UnitsLeasedPerMo))</f>
        <v/>
      </c>
      <c r="GN8" s="17">
        <f>IF(193&lt;DeliverStart,0,MIN(StabLeasedTarget,GN$7,(193-DeliverStart+1)*UnitsLeasedPerMo))</f>
        <v/>
      </c>
      <c r="GO8" s="17">
        <f>IF(194&lt;DeliverStart,0,MIN(StabLeasedTarget,GO$7,(194-DeliverStart+1)*UnitsLeasedPerMo))</f>
        <v/>
      </c>
      <c r="GP8" s="17">
        <f>IF(195&lt;DeliverStart,0,MIN(StabLeasedTarget,GP$7,(195-DeliverStart+1)*UnitsLeasedPerMo))</f>
        <v/>
      </c>
      <c r="GQ8" s="17">
        <f>IF(196&lt;DeliverStart,0,MIN(StabLeasedTarget,GQ$7,(196-DeliverStart+1)*UnitsLeasedPerMo))</f>
        <v/>
      </c>
      <c r="GR8" s="17">
        <f>IF(197&lt;DeliverStart,0,MIN(StabLeasedTarget,GR$7,(197-DeliverStart+1)*UnitsLeasedPerMo))</f>
        <v/>
      </c>
      <c r="GS8" s="17">
        <f>IF(198&lt;DeliverStart,0,MIN(StabLeasedTarget,GS$7,(198-DeliverStart+1)*UnitsLeasedPerMo))</f>
        <v/>
      </c>
      <c r="GT8" s="17">
        <f>IF(199&lt;DeliverStart,0,MIN(StabLeasedTarget,GT$7,(199-DeliverStart+1)*UnitsLeasedPerMo))</f>
        <v/>
      </c>
      <c r="GU8" s="17">
        <f>IF(200&lt;DeliverStart,0,MIN(StabLeasedTarget,GU$7,(200-DeliverStart+1)*UnitsLeasedPerMo))</f>
        <v/>
      </c>
      <c r="GV8" s="17">
        <f>IF(201&lt;DeliverStart,0,MIN(StabLeasedTarget,GV$7,(201-DeliverStart+1)*UnitsLeasedPerMo))</f>
        <v/>
      </c>
      <c r="GW8" s="17">
        <f>IF(202&lt;DeliverStart,0,MIN(StabLeasedTarget,GW$7,(202-DeliverStart+1)*UnitsLeasedPerMo))</f>
        <v/>
      </c>
      <c r="GX8" s="17">
        <f>IF(203&lt;DeliverStart,0,MIN(StabLeasedTarget,GX$7,(203-DeliverStart+1)*UnitsLeasedPerMo))</f>
        <v/>
      </c>
      <c r="GY8" s="17">
        <f>IF(204&lt;DeliverStart,0,MIN(StabLeasedTarget,GY$7,(204-DeliverStart+1)*UnitsLeasedPerMo))</f>
        <v/>
      </c>
      <c r="GZ8" s="17">
        <f>IF(205&lt;DeliverStart,0,MIN(StabLeasedTarget,GZ$7,(205-DeliverStart+1)*UnitsLeasedPerMo))</f>
        <v/>
      </c>
      <c r="HA8" s="17">
        <f>IF(206&lt;DeliverStart,0,MIN(StabLeasedTarget,HA$7,(206-DeliverStart+1)*UnitsLeasedPerMo))</f>
        <v/>
      </c>
      <c r="HB8" s="17">
        <f>IF(207&lt;DeliverStart,0,MIN(StabLeasedTarget,HB$7,(207-DeliverStart+1)*UnitsLeasedPerMo))</f>
        <v/>
      </c>
      <c r="HC8" s="17">
        <f>IF(208&lt;DeliverStart,0,MIN(StabLeasedTarget,HC$7,(208-DeliverStart+1)*UnitsLeasedPerMo))</f>
        <v/>
      </c>
      <c r="HD8" s="17">
        <f>IF(209&lt;DeliverStart,0,MIN(StabLeasedTarget,HD$7,(209-DeliverStart+1)*UnitsLeasedPerMo))</f>
        <v/>
      </c>
      <c r="HE8" s="17">
        <f>IF(210&lt;DeliverStart,0,MIN(StabLeasedTarget,HE$7,(210-DeliverStart+1)*UnitsLeasedPerMo))</f>
        <v/>
      </c>
      <c r="HF8" s="17">
        <f>IF(211&lt;DeliverStart,0,MIN(StabLeasedTarget,HF$7,(211-DeliverStart+1)*UnitsLeasedPerMo))</f>
        <v/>
      </c>
      <c r="HG8" s="17">
        <f>IF(212&lt;DeliverStart,0,MIN(StabLeasedTarget,HG$7,(212-DeliverStart+1)*UnitsLeasedPerMo))</f>
        <v/>
      </c>
      <c r="HH8" s="17">
        <f>IF(213&lt;DeliverStart,0,MIN(StabLeasedTarget,HH$7,(213-DeliverStart+1)*UnitsLeasedPerMo))</f>
        <v/>
      </c>
      <c r="HI8" s="17">
        <f>IF(214&lt;DeliverStart,0,MIN(StabLeasedTarget,HI$7,(214-DeliverStart+1)*UnitsLeasedPerMo))</f>
        <v/>
      </c>
      <c r="HJ8" s="17">
        <f>IF(215&lt;DeliverStart,0,MIN(StabLeasedTarget,HJ$7,(215-DeliverStart+1)*UnitsLeasedPerMo))</f>
        <v/>
      </c>
      <c r="HK8" s="17">
        <f>IF(216&lt;DeliverStart,0,MIN(StabLeasedTarget,HK$7,(216-DeliverStart+1)*UnitsLeasedPerMo))</f>
        <v/>
      </c>
      <c r="HL8" s="17">
        <f>IF(217&lt;DeliverStart,0,MIN(StabLeasedTarget,HL$7,(217-DeliverStart+1)*UnitsLeasedPerMo))</f>
        <v/>
      </c>
      <c r="HM8" s="17">
        <f>IF(218&lt;DeliverStart,0,MIN(StabLeasedTarget,HM$7,(218-DeliverStart+1)*UnitsLeasedPerMo))</f>
        <v/>
      </c>
      <c r="HN8" s="17">
        <f>IF(219&lt;DeliverStart,0,MIN(StabLeasedTarget,HN$7,(219-DeliverStart+1)*UnitsLeasedPerMo))</f>
        <v/>
      </c>
      <c r="HO8" s="17">
        <f>IF(220&lt;DeliverStart,0,MIN(StabLeasedTarget,HO$7,(220-DeliverStart+1)*UnitsLeasedPerMo))</f>
        <v/>
      </c>
      <c r="HP8" s="17">
        <f>IF(221&lt;DeliverStart,0,MIN(StabLeasedTarget,HP$7,(221-DeliverStart+1)*UnitsLeasedPerMo))</f>
        <v/>
      </c>
      <c r="HQ8" s="17">
        <f>IF(222&lt;DeliverStart,0,MIN(StabLeasedTarget,HQ$7,(222-DeliverStart+1)*UnitsLeasedPerMo))</f>
        <v/>
      </c>
      <c r="HR8" s="17">
        <f>IF(223&lt;DeliverStart,0,MIN(StabLeasedTarget,HR$7,(223-DeliverStart+1)*UnitsLeasedPerMo))</f>
        <v/>
      </c>
      <c r="HS8" s="17">
        <f>IF(224&lt;DeliverStart,0,MIN(StabLeasedTarget,HS$7,(224-DeliverStart+1)*UnitsLeasedPerMo))</f>
        <v/>
      </c>
      <c r="HT8" s="17">
        <f>IF(225&lt;DeliverStart,0,MIN(StabLeasedTarget,HT$7,(225-DeliverStart+1)*UnitsLeasedPerMo))</f>
        <v/>
      </c>
      <c r="HU8" s="17">
        <f>IF(226&lt;DeliverStart,0,MIN(StabLeasedTarget,HU$7,(226-DeliverStart+1)*UnitsLeasedPerMo))</f>
        <v/>
      </c>
      <c r="HV8" s="17">
        <f>IF(227&lt;DeliverStart,0,MIN(StabLeasedTarget,HV$7,(227-DeliverStart+1)*UnitsLeasedPerMo))</f>
        <v/>
      </c>
      <c r="HW8" s="17">
        <f>IF(228&lt;DeliverStart,0,MIN(StabLeasedTarget,HW$7,(228-DeliverStart+1)*UnitsLeasedPerMo))</f>
        <v/>
      </c>
      <c r="HX8" s="17">
        <f>IF(229&lt;DeliverStart,0,MIN(StabLeasedTarget,HX$7,(229-DeliverStart+1)*UnitsLeasedPerMo))</f>
        <v/>
      </c>
      <c r="HY8" s="17">
        <f>IF(230&lt;DeliverStart,0,MIN(StabLeasedTarget,HY$7,(230-DeliverStart+1)*UnitsLeasedPerMo))</f>
        <v/>
      </c>
      <c r="HZ8" s="17">
        <f>IF(231&lt;DeliverStart,0,MIN(StabLeasedTarget,HZ$7,(231-DeliverStart+1)*UnitsLeasedPerMo))</f>
        <v/>
      </c>
      <c r="IA8" s="17">
        <f>IF(232&lt;DeliverStart,0,MIN(StabLeasedTarget,IA$7,(232-DeliverStart+1)*UnitsLeasedPerMo))</f>
        <v/>
      </c>
      <c r="IB8" s="17">
        <f>IF(233&lt;DeliverStart,0,MIN(StabLeasedTarget,IB$7,(233-DeliverStart+1)*UnitsLeasedPerMo))</f>
        <v/>
      </c>
      <c r="IC8" s="17">
        <f>IF(234&lt;DeliverStart,0,MIN(StabLeasedTarget,IC$7,(234-DeliverStart+1)*UnitsLeasedPerMo))</f>
        <v/>
      </c>
      <c r="ID8" s="17">
        <f>IF(235&lt;DeliverStart,0,MIN(StabLeasedTarget,ID$7,(235-DeliverStart+1)*UnitsLeasedPerMo))</f>
        <v/>
      </c>
      <c r="IE8" s="17">
        <f>IF(236&lt;DeliverStart,0,MIN(StabLeasedTarget,IE$7,(236-DeliverStart+1)*UnitsLeasedPerMo))</f>
        <v/>
      </c>
      <c r="IF8" s="17">
        <f>IF(237&lt;DeliverStart,0,MIN(StabLeasedTarget,IF$7,(237-DeliverStart+1)*UnitsLeasedPerMo))</f>
        <v/>
      </c>
      <c r="IG8" s="17">
        <f>IF(238&lt;DeliverStart,0,MIN(StabLeasedTarget,IG$7,(238-DeliverStart+1)*UnitsLeasedPerMo))</f>
        <v/>
      </c>
      <c r="IH8" s="17">
        <f>IF(239&lt;DeliverStart,0,MIN(StabLeasedTarget,IH$7,(239-DeliverStart+1)*UnitsLeasedPerMo))</f>
        <v/>
      </c>
      <c r="II8" s="17">
        <f>IF(240&lt;DeliverStart,0,MIN(StabLeasedTarget,II$7,(240-DeliverStart+1)*UnitsLeasedPerMo))</f>
        <v/>
      </c>
      <c r="IJ8" s="17">
        <f>IF(241&lt;DeliverStart,0,MIN(StabLeasedTarget,IJ$7,(241-DeliverStart+1)*UnitsLeasedPerMo))</f>
        <v/>
      </c>
      <c r="IK8" s="17">
        <f>IF(242&lt;DeliverStart,0,MIN(StabLeasedTarget,IK$7,(242-DeliverStart+1)*UnitsLeasedPerMo))</f>
        <v/>
      </c>
      <c r="IL8" s="17">
        <f>IF(243&lt;DeliverStart,0,MIN(StabLeasedTarget,IL$7,(243-DeliverStart+1)*UnitsLeasedPerMo))</f>
        <v/>
      </c>
      <c r="IM8" s="17">
        <f>IF(244&lt;DeliverStart,0,MIN(StabLeasedTarget,IM$7,(244-DeliverStart+1)*UnitsLeasedPerMo))</f>
        <v/>
      </c>
      <c r="IN8" s="17">
        <f>IF(245&lt;DeliverStart,0,MIN(StabLeasedTarget,IN$7,(245-DeliverStart+1)*UnitsLeasedPerMo))</f>
        <v/>
      </c>
      <c r="IO8" s="17">
        <f>IF(246&lt;DeliverStart,0,MIN(StabLeasedTarget,IO$7,(246-DeliverStart+1)*UnitsLeasedPerMo))</f>
        <v/>
      </c>
      <c r="IP8" s="17">
        <f>IF(247&lt;DeliverStart,0,MIN(StabLeasedTarget,IP$7,(247-DeliverStart+1)*UnitsLeasedPerMo))</f>
        <v/>
      </c>
      <c r="IQ8" s="17">
        <f>IF(248&lt;DeliverStart,0,MIN(StabLeasedTarget,IQ$7,(248-DeliverStart+1)*UnitsLeasedPerMo))</f>
        <v/>
      </c>
      <c r="IR8" s="17">
        <f>IF(249&lt;DeliverStart,0,MIN(StabLeasedTarget,IR$7,(249-DeliverStart+1)*UnitsLeasedPerMo))</f>
        <v/>
      </c>
      <c r="IS8" s="17">
        <f>IF(250&lt;DeliverStart,0,MIN(StabLeasedTarget,IS$7,(250-DeliverStart+1)*UnitsLeasedPerMo))</f>
        <v/>
      </c>
      <c r="IT8" s="17">
        <f>IF(251&lt;DeliverStart,0,MIN(StabLeasedTarget,IT$7,(251-DeliverStart+1)*UnitsLeasedPerMo))</f>
        <v/>
      </c>
      <c r="IU8" s="17">
        <f>IF(252&lt;DeliverStart,0,MIN(StabLeasedTarget,IU$7,(252-DeliverStart+1)*UnitsLeasedPerMo))</f>
        <v/>
      </c>
      <c r="IV8" s="17">
        <f>IF(253&lt;DeliverStart,0,MIN(StabLeasedTarget,IV$7,(253-DeliverStart+1)*UnitsLeasedPerMo))</f>
        <v/>
      </c>
      <c r="IW8" s="17">
        <f>IF(254&lt;DeliverStart,0,MIN(StabLeasedTarget,IW$7,(254-DeliverStart+1)*UnitsLeasedPerMo))</f>
        <v/>
      </c>
      <c r="IX8" s="17">
        <f>IF(255&lt;DeliverStart,0,MIN(StabLeasedTarget,IX$7,(255-DeliverStart+1)*UnitsLeasedPerMo))</f>
        <v/>
      </c>
      <c r="IY8" s="17">
        <f>IF(256&lt;DeliverStart,0,MIN(StabLeasedTarget,IY$7,(256-DeliverStart+1)*UnitsLeasedPerMo))</f>
        <v/>
      </c>
      <c r="IZ8" s="17">
        <f>IF(257&lt;DeliverStart,0,MIN(StabLeasedTarget,IZ$7,(257-DeliverStart+1)*UnitsLeasedPerMo))</f>
        <v/>
      </c>
      <c r="JA8" s="17">
        <f>IF(258&lt;DeliverStart,0,MIN(StabLeasedTarget,JA$7,(258-DeliverStart+1)*UnitsLeasedPerMo))</f>
        <v/>
      </c>
      <c r="JB8" s="17">
        <f>IF(259&lt;DeliverStart,0,MIN(StabLeasedTarget,JB$7,(259-DeliverStart+1)*UnitsLeasedPerMo))</f>
        <v/>
      </c>
      <c r="JC8" s="17">
        <f>IF(260&lt;DeliverStart,0,MIN(StabLeasedTarget,JC$7,(260-DeliverStart+1)*UnitsLeasedPerMo))</f>
        <v/>
      </c>
      <c r="JD8" s="17">
        <f>IF(261&lt;DeliverStart,0,MIN(StabLeasedTarget,JD$7,(261-DeliverStart+1)*UnitsLeasedPerMo))</f>
        <v/>
      </c>
      <c r="JE8" s="17">
        <f>IF(262&lt;DeliverStart,0,MIN(StabLeasedTarget,JE$7,(262-DeliverStart+1)*UnitsLeasedPerMo))</f>
        <v/>
      </c>
      <c r="JF8" s="17">
        <f>IF(263&lt;DeliverStart,0,MIN(StabLeasedTarget,JF$7,(263-DeliverStart+1)*UnitsLeasedPerMo))</f>
        <v/>
      </c>
      <c r="JG8" s="17">
        <f>IF(264&lt;DeliverStart,0,MIN(StabLeasedTarget,JG$7,(264-DeliverStart+1)*UnitsLeasedPerMo))</f>
        <v/>
      </c>
      <c r="JH8" s="17">
        <f>IF(265&lt;DeliverStart,0,MIN(StabLeasedTarget,JH$7,(265-DeliverStart+1)*UnitsLeasedPerMo))</f>
        <v/>
      </c>
      <c r="JI8" s="17">
        <f>IF(266&lt;DeliverStart,0,MIN(StabLeasedTarget,JI$7,(266-DeliverStart+1)*UnitsLeasedPerMo))</f>
        <v/>
      </c>
      <c r="JJ8" s="17">
        <f>IF(267&lt;DeliverStart,0,MIN(StabLeasedTarget,JJ$7,(267-DeliverStart+1)*UnitsLeasedPerMo))</f>
        <v/>
      </c>
      <c r="JK8" s="17">
        <f>IF(268&lt;DeliverStart,0,MIN(StabLeasedTarget,JK$7,(268-DeliverStart+1)*UnitsLeasedPerMo))</f>
        <v/>
      </c>
      <c r="JL8" s="17">
        <f>IF(269&lt;DeliverStart,0,MIN(StabLeasedTarget,JL$7,(269-DeliverStart+1)*UnitsLeasedPerMo))</f>
        <v/>
      </c>
      <c r="JM8" s="17">
        <f>IF(270&lt;DeliverStart,0,MIN(StabLeasedTarget,JM$7,(270-DeliverStart+1)*UnitsLeasedPerMo))</f>
        <v/>
      </c>
      <c r="JN8" s="17">
        <f>IF(271&lt;DeliverStart,0,MIN(StabLeasedTarget,JN$7,(271-DeliverStart+1)*UnitsLeasedPerMo))</f>
        <v/>
      </c>
      <c r="JO8" s="17">
        <f>IF(272&lt;DeliverStart,0,MIN(StabLeasedTarget,JO$7,(272-DeliverStart+1)*UnitsLeasedPerMo))</f>
        <v/>
      </c>
      <c r="JP8" s="17">
        <f>IF(273&lt;DeliverStart,0,MIN(StabLeasedTarget,JP$7,(273-DeliverStart+1)*UnitsLeasedPerMo))</f>
        <v/>
      </c>
      <c r="JQ8" s="17">
        <f>IF(274&lt;DeliverStart,0,MIN(StabLeasedTarget,JQ$7,(274-DeliverStart+1)*UnitsLeasedPerMo))</f>
        <v/>
      </c>
      <c r="JR8" s="17">
        <f>IF(275&lt;DeliverStart,0,MIN(StabLeasedTarget,JR$7,(275-DeliverStart+1)*UnitsLeasedPerMo))</f>
        <v/>
      </c>
      <c r="JS8" s="17">
        <f>IF(276&lt;DeliverStart,0,MIN(StabLeasedTarget,JS$7,(276-DeliverStart+1)*UnitsLeasedPerMo))</f>
        <v/>
      </c>
      <c r="JT8" s="17">
        <f>IF(277&lt;DeliverStart,0,MIN(StabLeasedTarget,JT$7,(277-DeliverStart+1)*UnitsLeasedPerMo))</f>
        <v/>
      </c>
      <c r="JU8" s="17">
        <f>IF(278&lt;DeliverStart,0,MIN(StabLeasedTarget,JU$7,(278-DeliverStart+1)*UnitsLeasedPerMo))</f>
        <v/>
      </c>
      <c r="JV8" s="17">
        <f>IF(279&lt;DeliverStart,0,MIN(StabLeasedTarget,JV$7,(279-DeliverStart+1)*UnitsLeasedPerMo))</f>
        <v/>
      </c>
      <c r="JW8" s="17">
        <f>IF(280&lt;DeliverStart,0,MIN(StabLeasedTarget,JW$7,(280-DeliverStart+1)*UnitsLeasedPerMo))</f>
        <v/>
      </c>
      <c r="JX8" s="17">
        <f>IF(281&lt;DeliverStart,0,MIN(StabLeasedTarget,JX$7,(281-DeliverStart+1)*UnitsLeasedPerMo))</f>
        <v/>
      </c>
      <c r="JY8" s="17">
        <f>IF(282&lt;DeliverStart,0,MIN(StabLeasedTarget,JY$7,(282-DeliverStart+1)*UnitsLeasedPerMo))</f>
        <v/>
      </c>
      <c r="JZ8" s="17">
        <f>IF(283&lt;DeliverStart,0,MIN(StabLeasedTarget,JZ$7,(283-DeliverStart+1)*UnitsLeasedPerMo))</f>
        <v/>
      </c>
      <c r="KA8" s="17">
        <f>IF(284&lt;DeliverStart,0,MIN(StabLeasedTarget,KA$7,(284-DeliverStart+1)*UnitsLeasedPerMo))</f>
        <v/>
      </c>
      <c r="KB8" s="17">
        <f>IF(285&lt;DeliverStart,0,MIN(StabLeasedTarget,KB$7,(285-DeliverStart+1)*UnitsLeasedPerMo))</f>
        <v/>
      </c>
      <c r="KC8" s="17">
        <f>IF(286&lt;DeliverStart,0,MIN(StabLeasedTarget,KC$7,(286-DeliverStart+1)*UnitsLeasedPerMo))</f>
        <v/>
      </c>
      <c r="KD8" s="17">
        <f>IF(287&lt;DeliverStart,0,MIN(StabLeasedTarget,KD$7,(287-DeliverStart+1)*UnitsLeasedPerMo))</f>
        <v/>
      </c>
      <c r="KE8" s="17">
        <f>IF(288&lt;DeliverStart,0,MIN(StabLeasedTarget,KE$7,(288-DeliverStart+1)*UnitsLeasedPerMo))</f>
        <v/>
      </c>
      <c r="KF8" s="17">
        <f>IF(289&lt;DeliverStart,0,MIN(StabLeasedTarget,KF$7,(289-DeliverStart+1)*UnitsLeasedPerMo))</f>
        <v/>
      </c>
      <c r="KG8" s="17">
        <f>IF(290&lt;DeliverStart,0,MIN(StabLeasedTarget,KG$7,(290-DeliverStart+1)*UnitsLeasedPerMo))</f>
        <v/>
      </c>
      <c r="KH8" s="17">
        <f>IF(291&lt;DeliverStart,0,MIN(StabLeasedTarget,KH$7,(291-DeliverStart+1)*UnitsLeasedPerMo))</f>
        <v/>
      </c>
      <c r="KI8" s="17">
        <f>IF(292&lt;DeliverStart,0,MIN(StabLeasedTarget,KI$7,(292-DeliverStart+1)*UnitsLeasedPerMo))</f>
        <v/>
      </c>
      <c r="KJ8" s="17">
        <f>IF(293&lt;DeliverStart,0,MIN(StabLeasedTarget,KJ$7,(293-DeliverStart+1)*UnitsLeasedPerMo))</f>
        <v/>
      </c>
      <c r="KK8" s="17">
        <f>IF(294&lt;DeliverStart,0,MIN(StabLeasedTarget,KK$7,(294-DeliverStart+1)*UnitsLeasedPerMo))</f>
        <v/>
      </c>
      <c r="KL8" s="17">
        <f>IF(295&lt;DeliverStart,0,MIN(StabLeasedTarget,KL$7,(295-DeliverStart+1)*UnitsLeasedPerMo))</f>
        <v/>
      </c>
      <c r="KM8" s="17">
        <f>IF(296&lt;DeliverStart,0,MIN(StabLeasedTarget,KM$7,(296-DeliverStart+1)*UnitsLeasedPerMo))</f>
        <v/>
      </c>
      <c r="KN8" s="17">
        <f>IF(297&lt;DeliverStart,0,MIN(StabLeasedTarget,KN$7,(297-DeliverStart+1)*UnitsLeasedPerMo))</f>
        <v/>
      </c>
      <c r="KO8" s="17">
        <f>IF(298&lt;DeliverStart,0,MIN(StabLeasedTarget,KO$7,(298-DeliverStart+1)*UnitsLeasedPerMo))</f>
        <v/>
      </c>
      <c r="KP8" s="17">
        <f>IF(299&lt;DeliverStart,0,MIN(StabLeasedTarget,KP$7,(299-DeliverStart+1)*UnitsLeasedPerMo))</f>
        <v/>
      </c>
      <c r="KQ8" s="17">
        <f>IF(300&lt;DeliverStart,0,MIN(StabLeasedTarget,KQ$7,(300-DeliverStart+1)*UnitsLeasedPerMo))</f>
        <v/>
      </c>
      <c r="KR8" s="17">
        <f>IF(301&lt;DeliverStart,0,MIN(StabLeasedTarget,KR$7,(301-DeliverStart+1)*UnitsLeasedPerMo))</f>
        <v/>
      </c>
      <c r="KS8" s="17">
        <f>IF(302&lt;DeliverStart,0,MIN(StabLeasedTarget,KS$7,(302-DeliverStart+1)*UnitsLeasedPerMo))</f>
        <v/>
      </c>
      <c r="KT8" s="17">
        <f>IF(303&lt;DeliverStart,0,MIN(StabLeasedTarget,KT$7,(303-DeliverStart+1)*UnitsLeasedPerMo))</f>
        <v/>
      </c>
      <c r="KU8" s="17">
        <f>IF(304&lt;DeliverStart,0,MIN(StabLeasedTarget,KU$7,(304-DeliverStart+1)*UnitsLeasedPerMo))</f>
        <v/>
      </c>
      <c r="KV8" s="17">
        <f>IF(305&lt;DeliverStart,0,MIN(StabLeasedTarget,KV$7,(305-DeliverStart+1)*UnitsLeasedPerMo))</f>
        <v/>
      </c>
      <c r="KW8" s="17">
        <f>IF(306&lt;DeliverStart,0,MIN(StabLeasedTarget,KW$7,(306-DeliverStart+1)*UnitsLeasedPerMo))</f>
        <v/>
      </c>
      <c r="KX8" s="17">
        <f>IF(307&lt;DeliverStart,0,MIN(StabLeasedTarget,KX$7,(307-DeliverStart+1)*UnitsLeasedPerMo))</f>
        <v/>
      </c>
      <c r="KY8" s="17">
        <f>IF(308&lt;DeliverStart,0,MIN(StabLeasedTarget,KY$7,(308-DeliverStart+1)*UnitsLeasedPerMo))</f>
        <v/>
      </c>
      <c r="KZ8" s="17">
        <f>IF(309&lt;DeliverStart,0,MIN(StabLeasedTarget,KZ$7,(309-DeliverStart+1)*UnitsLeasedPerMo))</f>
        <v/>
      </c>
      <c r="LA8" s="17">
        <f>IF(310&lt;DeliverStart,0,MIN(StabLeasedTarget,LA$7,(310-DeliverStart+1)*UnitsLeasedPerMo))</f>
        <v/>
      </c>
      <c r="LB8" s="17">
        <f>IF(311&lt;DeliverStart,0,MIN(StabLeasedTarget,LB$7,(311-DeliverStart+1)*UnitsLeasedPerMo))</f>
        <v/>
      </c>
      <c r="LC8" s="17">
        <f>IF(312&lt;DeliverStart,0,MIN(StabLeasedTarget,LC$7,(312-DeliverStart+1)*UnitsLeasedPerMo))</f>
        <v/>
      </c>
      <c r="LD8" s="17">
        <f>IF(313&lt;DeliverStart,0,MIN(StabLeasedTarget,LD$7,(313-DeliverStart+1)*UnitsLeasedPerMo))</f>
        <v/>
      </c>
      <c r="LE8" s="17">
        <f>IF(314&lt;DeliverStart,0,MIN(StabLeasedTarget,LE$7,(314-DeliverStart+1)*UnitsLeasedPerMo))</f>
        <v/>
      </c>
      <c r="LF8" s="17">
        <f>IF(315&lt;DeliverStart,0,MIN(StabLeasedTarget,LF$7,(315-DeliverStart+1)*UnitsLeasedPerMo))</f>
        <v/>
      </c>
      <c r="LG8" s="17">
        <f>IF(316&lt;DeliverStart,0,MIN(StabLeasedTarget,LG$7,(316-DeliverStart+1)*UnitsLeasedPerMo))</f>
        <v/>
      </c>
      <c r="LH8" s="17">
        <f>IF(317&lt;DeliverStart,0,MIN(StabLeasedTarget,LH$7,(317-DeliverStart+1)*UnitsLeasedPerMo))</f>
        <v/>
      </c>
      <c r="LI8" s="17">
        <f>IF(318&lt;DeliverStart,0,MIN(StabLeasedTarget,LI$7,(318-DeliverStart+1)*UnitsLeasedPerMo))</f>
        <v/>
      </c>
      <c r="LJ8" s="17">
        <f>IF(319&lt;DeliverStart,0,MIN(StabLeasedTarget,LJ$7,(319-DeliverStart+1)*UnitsLeasedPerMo))</f>
        <v/>
      </c>
      <c r="LK8" s="17">
        <f>IF(320&lt;DeliverStart,0,MIN(StabLeasedTarget,LK$7,(320-DeliverStart+1)*UnitsLeasedPerMo))</f>
        <v/>
      </c>
      <c r="LL8" s="17">
        <f>IF(321&lt;DeliverStart,0,MIN(StabLeasedTarget,LL$7,(321-DeliverStart+1)*UnitsLeasedPerMo))</f>
        <v/>
      </c>
      <c r="LM8" s="17">
        <f>IF(322&lt;DeliverStart,0,MIN(StabLeasedTarget,LM$7,(322-DeliverStart+1)*UnitsLeasedPerMo))</f>
        <v/>
      </c>
      <c r="LN8" s="17">
        <f>IF(323&lt;DeliverStart,0,MIN(StabLeasedTarget,LN$7,(323-DeliverStart+1)*UnitsLeasedPerMo))</f>
        <v/>
      </c>
      <c r="LO8" s="17">
        <f>IF(324&lt;DeliverStart,0,MIN(StabLeasedTarget,LO$7,(324-DeliverStart+1)*UnitsLeasedPerMo))</f>
        <v/>
      </c>
      <c r="LP8" s="17">
        <f>IF(325&lt;DeliverStart,0,MIN(StabLeasedTarget,LP$7,(325-DeliverStart+1)*UnitsLeasedPerMo))</f>
        <v/>
      </c>
      <c r="LQ8" s="17">
        <f>IF(326&lt;DeliverStart,0,MIN(StabLeasedTarget,LQ$7,(326-DeliverStart+1)*UnitsLeasedPerMo))</f>
        <v/>
      </c>
      <c r="LR8" s="17">
        <f>IF(327&lt;DeliverStart,0,MIN(StabLeasedTarget,LR$7,(327-DeliverStart+1)*UnitsLeasedPerMo))</f>
        <v/>
      </c>
      <c r="LS8" s="17">
        <f>IF(328&lt;DeliverStart,0,MIN(StabLeasedTarget,LS$7,(328-DeliverStart+1)*UnitsLeasedPerMo))</f>
        <v/>
      </c>
      <c r="LT8" s="17">
        <f>IF(329&lt;DeliverStart,0,MIN(StabLeasedTarget,LT$7,(329-DeliverStart+1)*UnitsLeasedPerMo))</f>
        <v/>
      </c>
      <c r="LU8" s="17">
        <f>IF(330&lt;DeliverStart,0,MIN(StabLeasedTarget,LU$7,(330-DeliverStart+1)*UnitsLeasedPerMo))</f>
        <v/>
      </c>
      <c r="LV8" s="17">
        <f>IF(331&lt;DeliverStart,0,MIN(StabLeasedTarget,LV$7,(331-DeliverStart+1)*UnitsLeasedPerMo))</f>
        <v/>
      </c>
      <c r="LW8" s="17">
        <f>IF(332&lt;DeliverStart,0,MIN(StabLeasedTarget,LW$7,(332-DeliverStart+1)*UnitsLeasedPerMo))</f>
        <v/>
      </c>
      <c r="LX8" s="17">
        <f>IF(333&lt;DeliverStart,0,MIN(StabLeasedTarget,LX$7,(333-DeliverStart+1)*UnitsLeasedPerMo))</f>
        <v/>
      </c>
      <c r="LY8" s="17">
        <f>IF(334&lt;DeliverStart,0,MIN(StabLeasedTarget,LY$7,(334-DeliverStart+1)*UnitsLeasedPerMo))</f>
        <v/>
      </c>
      <c r="LZ8" s="17">
        <f>IF(335&lt;DeliverStart,0,MIN(StabLeasedTarget,LZ$7,(335-DeliverStart+1)*UnitsLeasedPerMo))</f>
        <v/>
      </c>
      <c r="MA8" s="17">
        <f>IF(336&lt;DeliverStart,0,MIN(StabLeasedTarget,MA$7,(336-DeliverStart+1)*UnitsLeasedPerMo))</f>
        <v/>
      </c>
      <c r="MB8" s="17">
        <f>IF(337&lt;DeliverStart,0,MIN(StabLeasedTarget,MB$7,(337-DeliverStart+1)*UnitsLeasedPerMo))</f>
        <v/>
      </c>
      <c r="MC8" s="17">
        <f>IF(338&lt;DeliverStart,0,MIN(StabLeasedTarget,MC$7,(338-DeliverStart+1)*UnitsLeasedPerMo))</f>
        <v/>
      </c>
      <c r="MD8" s="17">
        <f>IF(339&lt;DeliverStart,0,MIN(StabLeasedTarget,MD$7,(339-DeliverStart+1)*UnitsLeasedPerMo))</f>
        <v/>
      </c>
      <c r="ME8" s="17">
        <f>IF(340&lt;DeliverStart,0,MIN(StabLeasedTarget,ME$7,(340-DeliverStart+1)*UnitsLeasedPerMo))</f>
        <v/>
      </c>
      <c r="MF8" s="17">
        <f>IF(341&lt;DeliverStart,0,MIN(StabLeasedTarget,MF$7,(341-DeliverStart+1)*UnitsLeasedPerMo))</f>
        <v/>
      </c>
      <c r="MG8" s="17">
        <f>IF(342&lt;DeliverStart,0,MIN(StabLeasedTarget,MG$7,(342-DeliverStart+1)*UnitsLeasedPerMo))</f>
        <v/>
      </c>
      <c r="MH8" s="17">
        <f>IF(343&lt;DeliverStart,0,MIN(StabLeasedTarget,MH$7,(343-DeliverStart+1)*UnitsLeasedPerMo))</f>
        <v/>
      </c>
      <c r="MI8" s="17">
        <f>IF(344&lt;DeliverStart,0,MIN(StabLeasedTarget,MI$7,(344-DeliverStart+1)*UnitsLeasedPerMo))</f>
        <v/>
      </c>
      <c r="MJ8" s="17">
        <f>IF(345&lt;DeliverStart,0,MIN(StabLeasedTarget,MJ$7,(345-DeliverStart+1)*UnitsLeasedPerMo))</f>
        <v/>
      </c>
      <c r="MK8" s="17">
        <f>IF(346&lt;DeliverStart,0,MIN(StabLeasedTarget,MK$7,(346-DeliverStart+1)*UnitsLeasedPerMo))</f>
        <v/>
      </c>
      <c r="ML8" s="17">
        <f>IF(347&lt;DeliverStart,0,MIN(StabLeasedTarget,ML$7,(347-DeliverStart+1)*UnitsLeasedPerMo))</f>
        <v/>
      </c>
      <c r="MM8" s="17">
        <f>IF(348&lt;DeliverStart,0,MIN(StabLeasedTarget,MM$7,(348-DeliverStart+1)*UnitsLeasedPerMo))</f>
        <v/>
      </c>
      <c r="MN8" s="17">
        <f>IF(349&lt;DeliverStart,0,MIN(StabLeasedTarget,MN$7,(349-DeliverStart+1)*UnitsLeasedPerMo))</f>
        <v/>
      </c>
      <c r="MO8" s="17">
        <f>IF(350&lt;DeliverStart,0,MIN(StabLeasedTarget,MO$7,(350-DeliverStart+1)*UnitsLeasedPerMo))</f>
        <v/>
      </c>
      <c r="MP8" s="17">
        <f>IF(351&lt;DeliverStart,0,MIN(StabLeasedTarget,MP$7,(351-DeliverStart+1)*UnitsLeasedPerMo))</f>
        <v/>
      </c>
      <c r="MQ8" s="17">
        <f>IF(352&lt;DeliverStart,0,MIN(StabLeasedTarget,MQ$7,(352-DeliverStart+1)*UnitsLeasedPerMo))</f>
        <v/>
      </c>
      <c r="MR8" s="17">
        <f>IF(353&lt;DeliverStart,0,MIN(StabLeasedTarget,MR$7,(353-DeliverStart+1)*UnitsLeasedPerMo))</f>
        <v/>
      </c>
      <c r="MS8" s="17">
        <f>IF(354&lt;DeliverStart,0,MIN(StabLeasedTarget,MS$7,(354-DeliverStart+1)*UnitsLeasedPerMo))</f>
        <v/>
      </c>
      <c r="MT8" s="17">
        <f>IF(355&lt;DeliverStart,0,MIN(StabLeasedTarget,MT$7,(355-DeliverStart+1)*UnitsLeasedPerMo))</f>
        <v/>
      </c>
      <c r="MU8" s="17">
        <f>IF(356&lt;DeliverStart,0,MIN(StabLeasedTarget,MU$7,(356-DeliverStart+1)*UnitsLeasedPerMo))</f>
        <v/>
      </c>
      <c r="MV8" s="17">
        <f>IF(357&lt;DeliverStart,0,MIN(StabLeasedTarget,MV$7,(357-DeliverStart+1)*UnitsLeasedPerMo))</f>
        <v/>
      </c>
      <c r="MW8" s="17">
        <f>IF(358&lt;DeliverStart,0,MIN(StabLeasedTarget,MW$7,(358-DeliverStart+1)*UnitsLeasedPerMo))</f>
        <v/>
      </c>
      <c r="MX8" s="17">
        <f>IF(359&lt;DeliverStart,0,MIN(StabLeasedTarget,MX$7,(359-DeliverStart+1)*UnitsLeasedPerMo))</f>
        <v/>
      </c>
      <c r="MY8" s="17">
        <f>IF(360&lt;DeliverStart,0,MIN(StabLeasedTarget,MY$7,(360-DeliverStart+1)*UnitsLeasedPerMo))</f>
        <v/>
      </c>
      <c r="MZ8" s="17">
        <f>IF(361&lt;DeliverStart,0,MIN(StabLeasedTarget,MZ$7,(361-DeliverStart+1)*UnitsLeasedPerMo))</f>
        <v/>
      </c>
      <c r="NA8" s="17">
        <f>IF(362&lt;DeliverStart,0,MIN(StabLeasedTarget,NA$7,(362-DeliverStart+1)*UnitsLeasedPerMo))</f>
        <v/>
      </c>
      <c r="NB8" s="17">
        <f>IF(363&lt;DeliverStart,0,MIN(StabLeasedTarget,NB$7,(363-DeliverStart+1)*UnitsLeasedPerMo))</f>
        <v/>
      </c>
      <c r="NC8" s="17">
        <f>IF(364&lt;DeliverStart,0,MIN(StabLeasedTarget,NC$7,(364-DeliverStart+1)*UnitsLeasedPerMo))</f>
        <v/>
      </c>
      <c r="ND8" s="17">
        <f>IF(365&lt;DeliverStart,0,MIN(StabLeasedTarget,ND$7,(365-DeliverStart+1)*UnitsLeasedPerMo))</f>
        <v/>
      </c>
      <c r="NE8" s="17">
        <f>IF(366&lt;DeliverStart,0,MIN(StabLeasedTarget,NE$7,(366-DeliverStart+1)*UnitsLeasedPerMo))</f>
        <v/>
      </c>
      <c r="NF8" s="17">
        <f>IF(367&lt;DeliverStart,0,MIN(StabLeasedTarget,NF$7,(367-DeliverStart+1)*UnitsLeasedPerMo))</f>
        <v/>
      </c>
      <c r="NG8" s="17">
        <f>IF(368&lt;DeliverStart,0,MIN(StabLeasedTarget,NG$7,(368-DeliverStart+1)*UnitsLeasedPerMo))</f>
        <v/>
      </c>
      <c r="NH8" s="17">
        <f>IF(369&lt;DeliverStart,0,MIN(StabLeasedTarget,NH$7,(369-DeliverStart+1)*UnitsLeasedPerMo))</f>
        <v/>
      </c>
      <c r="NI8" s="17">
        <f>IF(370&lt;DeliverStart,0,MIN(StabLeasedTarget,NI$7,(370-DeliverStart+1)*UnitsLeasedPerMo))</f>
        <v/>
      </c>
      <c r="NJ8" s="17">
        <f>IF(371&lt;DeliverStart,0,MIN(StabLeasedTarget,NJ$7,(371-DeliverStart+1)*UnitsLeasedPerMo))</f>
        <v/>
      </c>
      <c r="NK8" s="17">
        <f>IF(372&lt;DeliverStart,0,MIN(StabLeasedTarget,NK$7,(372-DeliverStart+1)*UnitsLeasedPerMo))</f>
        <v/>
      </c>
    </row>
    <row r="9">
      <c r="A9" s="5" t="inlineStr">
        <is>
          <t>Physical Occupancy</t>
        </is>
      </c>
      <c r="C9" s="51" t="n"/>
      <c r="D9" s="20">
        <f>IF(TotalUnits=0,0,D$8/TotalUnits)</f>
        <v/>
      </c>
      <c r="E9" s="20">
        <f>IF(TotalUnits=0,0,E$8/TotalUnits)</f>
        <v/>
      </c>
      <c r="F9" s="20">
        <f>IF(TotalUnits=0,0,F$8/TotalUnits)</f>
        <v/>
      </c>
      <c r="G9" s="20">
        <f>IF(TotalUnits=0,0,G$8/TotalUnits)</f>
        <v/>
      </c>
      <c r="H9" s="20">
        <f>IF(TotalUnits=0,0,H$8/TotalUnits)</f>
        <v/>
      </c>
      <c r="I9" s="20">
        <f>IF(TotalUnits=0,0,I$8/TotalUnits)</f>
        <v/>
      </c>
      <c r="J9" s="20">
        <f>IF(TotalUnits=0,0,J$8/TotalUnits)</f>
        <v/>
      </c>
      <c r="K9" s="20">
        <f>IF(TotalUnits=0,0,K$8/TotalUnits)</f>
        <v/>
      </c>
      <c r="L9" s="20">
        <f>IF(TotalUnits=0,0,L$8/TotalUnits)</f>
        <v/>
      </c>
      <c r="M9" s="20">
        <f>IF(TotalUnits=0,0,M$8/TotalUnits)</f>
        <v/>
      </c>
      <c r="N9" s="20">
        <f>IF(TotalUnits=0,0,N$8/TotalUnits)</f>
        <v/>
      </c>
      <c r="O9" s="20">
        <f>IF(TotalUnits=0,0,O$8/TotalUnits)</f>
        <v/>
      </c>
      <c r="P9" s="20">
        <f>IF(TotalUnits=0,0,P$8/TotalUnits)</f>
        <v/>
      </c>
      <c r="Q9" s="20">
        <f>IF(TotalUnits=0,0,Q$8/TotalUnits)</f>
        <v/>
      </c>
      <c r="R9" s="20">
        <f>IF(TotalUnits=0,0,R$8/TotalUnits)</f>
        <v/>
      </c>
      <c r="S9" s="20">
        <f>IF(TotalUnits=0,0,S$8/TotalUnits)</f>
        <v/>
      </c>
      <c r="T9" s="20">
        <f>IF(TotalUnits=0,0,T$8/TotalUnits)</f>
        <v/>
      </c>
      <c r="U9" s="20">
        <f>IF(TotalUnits=0,0,U$8/TotalUnits)</f>
        <v/>
      </c>
      <c r="V9" s="20">
        <f>IF(TotalUnits=0,0,V$8/TotalUnits)</f>
        <v/>
      </c>
      <c r="W9" s="20">
        <f>IF(TotalUnits=0,0,W$8/TotalUnits)</f>
        <v/>
      </c>
      <c r="X9" s="20">
        <f>IF(TotalUnits=0,0,X$8/TotalUnits)</f>
        <v/>
      </c>
      <c r="Y9" s="20">
        <f>IF(TotalUnits=0,0,Y$8/TotalUnits)</f>
        <v/>
      </c>
      <c r="Z9" s="20">
        <f>IF(TotalUnits=0,0,Z$8/TotalUnits)</f>
        <v/>
      </c>
      <c r="AA9" s="20">
        <f>IF(TotalUnits=0,0,AA$8/TotalUnits)</f>
        <v/>
      </c>
      <c r="AB9" s="20">
        <f>IF(TotalUnits=0,0,AB$8/TotalUnits)</f>
        <v/>
      </c>
      <c r="AC9" s="20">
        <f>IF(TotalUnits=0,0,AC$8/TotalUnits)</f>
        <v/>
      </c>
      <c r="AD9" s="20">
        <f>IF(TotalUnits=0,0,AD$8/TotalUnits)</f>
        <v/>
      </c>
      <c r="AE9" s="20">
        <f>IF(TotalUnits=0,0,AE$8/TotalUnits)</f>
        <v/>
      </c>
      <c r="AF9" s="20">
        <f>IF(TotalUnits=0,0,AF$8/TotalUnits)</f>
        <v/>
      </c>
      <c r="AG9" s="20">
        <f>IF(TotalUnits=0,0,AG$8/TotalUnits)</f>
        <v/>
      </c>
      <c r="AH9" s="20">
        <f>IF(TotalUnits=0,0,AH$8/TotalUnits)</f>
        <v/>
      </c>
      <c r="AI9" s="20">
        <f>IF(TotalUnits=0,0,AI$8/TotalUnits)</f>
        <v/>
      </c>
      <c r="AJ9" s="20">
        <f>IF(TotalUnits=0,0,AJ$8/TotalUnits)</f>
        <v/>
      </c>
      <c r="AK9" s="20">
        <f>IF(TotalUnits=0,0,AK$8/TotalUnits)</f>
        <v/>
      </c>
      <c r="AL9" s="20">
        <f>IF(TotalUnits=0,0,AL$8/TotalUnits)</f>
        <v/>
      </c>
      <c r="AM9" s="20">
        <f>IF(TotalUnits=0,0,AM$8/TotalUnits)</f>
        <v/>
      </c>
      <c r="AN9" s="20">
        <f>IF(TotalUnits=0,0,AN$8/TotalUnits)</f>
        <v/>
      </c>
      <c r="AO9" s="20">
        <f>IF(TotalUnits=0,0,AO$8/TotalUnits)</f>
        <v/>
      </c>
      <c r="AP9" s="20">
        <f>IF(TotalUnits=0,0,AP$8/TotalUnits)</f>
        <v/>
      </c>
      <c r="AQ9" s="20">
        <f>IF(TotalUnits=0,0,AQ$8/TotalUnits)</f>
        <v/>
      </c>
      <c r="AR9" s="20">
        <f>IF(TotalUnits=0,0,AR$8/TotalUnits)</f>
        <v/>
      </c>
      <c r="AS9" s="20">
        <f>IF(TotalUnits=0,0,AS$8/TotalUnits)</f>
        <v/>
      </c>
      <c r="AT9" s="20">
        <f>IF(TotalUnits=0,0,AT$8/TotalUnits)</f>
        <v/>
      </c>
      <c r="AU9" s="20">
        <f>IF(TotalUnits=0,0,AU$8/TotalUnits)</f>
        <v/>
      </c>
      <c r="AV9" s="20">
        <f>IF(TotalUnits=0,0,AV$8/TotalUnits)</f>
        <v/>
      </c>
      <c r="AW9" s="20">
        <f>IF(TotalUnits=0,0,AW$8/TotalUnits)</f>
        <v/>
      </c>
      <c r="AX9" s="20">
        <f>IF(TotalUnits=0,0,AX$8/TotalUnits)</f>
        <v/>
      </c>
      <c r="AY9" s="20">
        <f>IF(TotalUnits=0,0,AY$8/TotalUnits)</f>
        <v/>
      </c>
      <c r="AZ9" s="20">
        <f>IF(TotalUnits=0,0,AZ$8/TotalUnits)</f>
        <v/>
      </c>
      <c r="BA9" s="20">
        <f>IF(TotalUnits=0,0,BA$8/TotalUnits)</f>
        <v/>
      </c>
      <c r="BB9" s="20">
        <f>IF(TotalUnits=0,0,BB$8/TotalUnits)</f>
        <v/>
      </c>
      <c r="BC9" s="20">
        <f>IF(TotalUnits=0,0,BC$8/TotalUnits)</f>
        <v/>
      </c>
      <c r="BD9" s="20">
        <f>IF(TotalUnits=0,0,BD$8/TotalUnits)</f>
        <v/>
      </c>
      <c r="BE9" s="20">
        <f>IF(TotalUnits=0,0,BE$8/TotalUnits)</f>
        <v/>
      </c>
      <c r="BF9" s="20">
        <f>IF(TotalUnits=0,0,BF$8/TotalUnits)</f>
        <v/>
      </c>
      <c r="BG9" s="20">
        <f>IF(TotalUnits=0,0,BG$8/TotalUnits)</f>
        <v/>
      </c>
      <c r="BH9" s="20">
        <f>IF(TotalUnits=0,0,BH$8/TotalUnits)</f>
        <v/>
      </c>
      <c r="BI9" s="20">
        <f>IF(TotalUnits=0,0,BI$8/TotalUnits)</f>
        <v/>
      </c>
      <c r="BJ9" s="20">
        <f>IF(TotalUnits=0,0,BJ$8/TotalUnits)</f>
        <v/>
      </c>
      <c r="BK9" s="20">
        <f>IF(TotalUnits=0,0,BK$8/TotalUnits)</f>
        <v/>
      </c>
      <c r="BL9" s="20">
        <f>IF(TotalUnits=0,0,BL$8/TotalUnits)</f>
        <v/>
      </c>
      <c r="BM9" s="20">
        <f>IF(TotalUnits=0,0,BM$8/TotalUnits)</f>
        <v/>
      </c>
      <c r="BN9" s="20">
        <f>IF(TotalUnits=0,0,BN$8/TotalUnits)</f>
        <v/>
      </c>
      <c r="BO9" s="20">
        <f>IF(TotalUnits=0,0,BO$8/TotalUnits)</f>
        <v/>
      </c>
      <c r="BP9" s="20">
        <f>IF(TotalUnits=0,0,BP$8/TotalUnits)</f>
        <v/>
      </c>
      <c r="BQ9" s="20">
        <f>IF(TotalUnits=0,0,BQ$8/TotalUnits)</f>
        <v/>
      </c>
      <c r="BR9" s="20">
        <f>IF(TotalUnits=0,0,BR$8/TotalUnits)</f>
        <v/>
      </c>
      <c r="BS9" s="20">
        <f>IF(TotalUnits=0,0,BS$8/TotalUnits)</f>
        <v/>
      </c>
      <c r="BT9" s="20">
        <f>IF(TotalUnits=0,0,BT$8/TotalUnits)</f>
        <v/>
      </c>
      <c r="BU9" s="20">
        <f>IF(TotalUnits=0,0,BU$8/TotalUnits)</f>
        <v/>
      </c>
      <c r="BV9" s="20">
        <f>IF(TotalUnits=0,0,BV$8/TotalUnits)</f>
        <v/>
      </c>
      <c r="BW9" s="20">
        <f>IF(TotalUnits=0,0,BW$8/TotalUnits)</f>
        <v/>
      </c>
      <c r="BX9" s="20">
        <f>IF(TotalUnits=0,0,BX$8/TotalUnits)</f>
        <v/>
      </c>
      <c r="BY9" s="20">
        <f>IF(TotalUnits=0,0,BY$8/TotalUnits)</f>
        <v/>
      </c>
      <c r="BZ9" s="20">
        <f>IF(TotalUnits=0,0,BZ$8/TotalUnits)</f>
        <v/>
      </c>
      <c r="CA9" s="20">
        <f>IF(TotalUnits=0,0,CA$8/TotalUnits)</f>
        <v/>
      </c>
      <c r="CB9" s="20">
        <f>IF(TotalUnits=0,0,CB$8/TotalUnits)</f>
        <v/>
      </c>
      <c r="CC9" s="20">
        <f>IF(TotalUnits=0,0,CC$8/TotalUnits)</f>
        <v/>
      </c>
      <c r="CD9" s="20">
        <f>IF(TotalUnits=0,0,CD$8/TotalUnits)</f>
        <v/>
      </c>
      <c r="CE9" s="20">
        <f>IF(TotalUnits=0,0,CE$8/TotalUnits)</f>
        <v/>
      </c>
      <c r="CF9" s="20">
        <f>IF(TotalUnits=0,0,CF$8/TotalUnits)</f>
        <v/>
      </c>
      <c r="CG9" s="20">
        <f>IF(TotalUnits=0,0,CG$8/TotalUnits)</f>
        <v/>
      </c>
      <c r="CH9" s="20">
        <f>IF(TotalUnits=0,0,CH$8/TotalUnits)</f>
        <v/>
      </c>
      <c r="CI9" s="20">
        <f>IF(TotalUnits=0,0,CI$8/TotalUnits)</f>
        <v/>
      </c>
      <c r="CJ9" s="20">
        <f>IF(TotalUnits=0,0,CJ$8/TotalUnits)</f>
        <v/>
      </c>
      <c r="CK9" s="20">
        <f>IF(TotalUnits=0,0,CK$8/TotalUnits)</f>
        <v/>
      </c>
      <c r="CL9" s="20">
        <f>IF(TotalUnits=0,0,CL$8/TotalUnits)</f>
        <v/>
      </c>
      <c r="CM9" s="20">
        <f>IF(TotalUnits=0,0,CM$8/TotalUnits)</f>
        <v/>
      </c>
      <c r="CN9" s="20">
        <f>IF(TotalUnits=0,0,CN$8/TotalUnits)</f>
        <v/>
      </c>
      <c r="CO9" s="20">
        <f>IF(TotalUnits=0,0,CO$8/TotalUnits)</f>
        <v/>
      </c>
      <c r="CP9" s="20">
        <f>IF(TotalUnits=0,0,CP$8/TotalUnits)</f>
        <v/>
      </c>
      <c r="CQ9" s="20">
        <f>IF(TotalUnits=0,0,CQ$8/TotalUnits)</f>
        <v/>
      </c>
      <c r="CR9" s="20">
        <f>IF(TotalUnits=0,0,CR$8/TotalUnits)</f>
        <v/>
      </c>
      <c r="CS9" s="20">
        <f>IF(TotalUnits=0,0,CS$8/TotalUnits)</f>
        <v/>
      </c>
      <c r="CT9" s="20">
        <f>IF(TotalUnits=0,0,CT$8/TotalUnits)</f>
        <v/>
      </c>
      <c r="CU9" s="20">
        <f>IF(TotalUnits=0,0,CU$8/TotalUnits)</f>
        <v/>
      </c>
      <c r="CV9" s="20">
        <f>IF(TotalUnits=0,0,CV$8/TotalUnits)</f>
        <v/>
      </c>
      <c r="CW9" s="20">
        <f>IF(TotalUnits=0,0,CW$8/TotalUnits)</f>
        <v/>
      </c>
      <c r="CX9" s="20">
        <f>IF(TotalUnits=0,0,CX$8/TotalUnits)</f>
        <v/>
      </c>
      <c r="CY9" s="20">
        <f>IF(TotalUnits=0,0,CY$8/TotalUnits)</f>
        <v/>
      </c>
      <c r="CZ9" s="20">
        <f>IF(TotalUnits=0,0,CZ$8/TotalUnits)</f>
        <v/>
      </c>
      <c r="DA9" s="20">
        <f>IF(TotalUnits=0,0,DA$8/TotalUnits)</f>
        <v/>
      </c>
      <c r="DB9" s="20">
        <f>IF(TotalUnits=0,0,DB$8/TotalUnits)</f>
        <v/>
      </c>
      <c r="DC9" s="20">
        <f>IF(TotalUnits=0,0,DC$8/TotalUnits)</f>
        <v/>
      </c>
      <c r="DD9" s="20">
        <f>IF(TotalUnits=0,0,DD$8/TotalUnits)</f>
        <v/>
      </c>
      <c r="DE9" s="20">
        <f>IF(TotalUnits=0,0,DE$8/TotalUnits)</f>
        <v/>
      </c>
      <c r="DF9" s="20">
        <f>IF(TotalUnits=0,0,DF$8/TotalUnits)</f>
        <v/>
      </c>
      <c r="DG9" s="20">
        <f>IF(TotalUnits=0,0,DG$8/TotalUnits)</f>
        <v/>
      </c>
      <c r="DH9" s="20">
        <f>IF(TotalUnits=0,0,DH$8/TotalUnits)</f>
        <v/>
      </c>
      <c r="DI9" s="20">
        <f>IF(TotalUnits=0,0,DI$8/TotalUnits)</f>
        <v/>
      </c>
      <c r="DJ9" s="20">
        <f>IF(TotalUnits=0,0,DJ$8/TotalUnits)</f>
        <v/>
      </c>
      <c r="DK9" s="20">
        <f>IF(TotalUnits=0,0,DK$8/TotalUnits)</f>
        <v/>
      </c>
      <c r="DL9" s="20">
        <f>IF(TotalUnits=0,0,DL$8/TotalUnits)</f>
        <v/>
      </c>
      <c r="DM9" s="20">
        <f>IF(TotalUnits=0,0,DM$8/TotalUnits)</f>
        <v/>
      </c>
      <c r="DN9" s="20">
        <f>IF(TotalUnits=0,0,DN$8/TotalUnits)</f>
        <v/>
      </c>
      <c r="DO9" s="20">
        <f>IF(TotalUnits=0,0,DO$8/TotalUnits)</f>
        <v/>
      </c>
      <c r="DP9" s="20">
        <f>IF(TotalUnits=0,0,DP$8/TotalUnits)</f>
        <v/>
      </c>
      <c r="DQ9" s="20">
        <f>IF(TotalUnits=0,0,DQ$8/TotalUnits)</f>
        <v/>
      </c>
      <c r="DR9" s="20">
        <f>IF(TotalUnits=0,0,DR$8/TotalUnits)</f>
        <v/>
      </c>
      <c r="DS9" s="20">
        <f>IF(TotalUnits=0,0,DS$8/TotalUnits)</f>
        <v/>
      </c>
      <c r="DT9" s="20">
        <f>IF(TotalUnits=0,0,DT$8/TotalUnits)</f>
        <v/>
      </c>
      <c r="DU9" s="20">
        <f>IF(TotalUnits=0,0,DU$8/TotalUnits)</f>
        <v/>
      </c>
      <c r="DV9" s="20">
        <f>IF(TotalUnits=0,0,DV$8/TotalUnits)</f>
        <v/>
      </c>
      <c r="DW9" s="20">
        <f>IF(TotalUnits=0,0,DW$8/TotalUnits)</f>
        <v/>
      </c>
      <c r="DX9" s="20">
        <f>IF(TotalUnits=0,0,DX$8/TotalUnits)</f>
        <v/>
      </c>
      <c r="DY9" s="20">
        <f>IF(TotalUnits=0,0,DY$8/TotalUnits)</f>
        <v/>
      </c>
      <c r="DZ9" s="20">
        <f>IF(TotalUnits=0,0,DZ$8/TotalUnits)</f>
        <v/>
      </c>
      <c r="EA9" s="20">
        <f>IF(TotalUnits=0,0,EA$8/TotalUnits)</f>
        <v/>
      </c>
      <c r="EB9" s="20">
        <f>IF(TotalUnits=0,0,EB$8/TotalUnits)</f>
        <v/>
      </c>
      <c r="EC9" s="20">
        <f>IF(TotalUnits=0,0,EC$8/TotalUnits)</f>
        <v/>
      </c>
      <c r="ED9" s="20">
        <f>IF(TotalUnits=0,0,ED$8/TotalUnits)</f>
        <v/>
      </c>
      <c r="EE9" s="20">
        <f>IF(TotalUnits=0,0,EE$8/TotalUnits)</f>
        <v/>
      </c>
      <c r="EF9" s="20">
        <f>IF(TotalUnits=0,0,EF$8/TotalUnits)</f>
        <v/>
      </c>
      <c r="EG9" s="20">
        <f>IF(TotalUnits=0,0,EG$8/TotalUnits)</f>
        <v/>
      </c>
      <c r="EH9" s="20">
        <f>IF(TotalUnits=0,0,EH$8/TotalUnits)</f>
        <v/>
      </c>
      <c r="EI9" s="20">
        <f>IF(TotalUnits=0,0,EI$8/TotalUnits)</f>
        <v/>
      </c>
      <c r="EJ9" s="20">
        <f>IF(TotalUnits=0,0,EJ$8/TotalUnits)</f>
        <v/>
      </c>
      <c r="EK9" s="20">
        <f>IF(TotalUnits=0,0,EK$8/TotalUnits)</f>
        <v/>
      </c>
      <c r="EL9" s="20">
        <f>IF(TotalUnits=0,0,EL$8/TotalUnits)</f>
        <v/>
      </c>
      <c r="EM9" s="20">
        <f>IF(TotalUnits=0,0,EM$8/TotalUnits)</f>
        <v/>
      </c>
      <c r="EN9" s="20">
        <f>IF(TotalUnits=0,0,EN$8/TotalUnits)</f>
        <v/>
      </c>
      <c r="EO9" s="20">
        <f>IF(TotalUnits=0,0,EO$8/TotalUnits)</f>
        <v/>
      </c>
      <c r="EP9" s="20">
        <f>IF(TotalUnits=0,0,EP$8/TotalUnits)</f>
        <v/>
      </c>
      <c r="EQ9" s="20">
        <f>IF(TotalUnits=0,0,EQ$8/TotalUnits)</f>
        <v/>
      </c>
      <c r="ER9" s="20">
        <f>IF(TotalUnits=0,0,ER$8/TotalUnits)</f>
        <v/>
      </c>
      <c r="ES9" s="20">
        <f>IF(TotalUnits=0,0,ES$8/TotalUnits)</f>
        <v/>
      </c>
      <c r="ET9" s="20">
        <f>IF(TotalUnits=0,0,ET$8/TotalUnits)</f>
        <v/>
      </c>
      <c r="EU9" s="20">
        <f>IF(TotalUnits=0,0,EU$8/TotalUnits)</f>
        <v/>
      </c>
      <c r="EV9" s="20">
        <f>IF(TotalUnits=0,0,EV$8/TotalUnits)</f>
        <v/>
      </c>
      <c r="EW9" s="20">
        <f>IF(TotalUnits=0,0,EW$8/TotalUnits)</f>
        <v/>
      </c>
      <c r="EX9" s="20">
        <f>IF(TotalUnits=0,0,EX$8/TotalUnits)</f>
        <v/>
      </c>
      <c r="EY9" s="20">
        <f>IF(TotalUnits=0,0,EY$8/TotalUnits)</f>
        <v/>
      </c>
      <c r="EZ9" s="20">
        <f>IF(TotalUnits=0,0,EZ$8/TotalUnits)</f>
        <v/>
      </c>
      <c r="FA9" s="20">
        <f>IF(TotalUnits=0,0,FA$8/TotalUnits)</f>
        <v/>
      </c>
      <c r="FB9" s="20">
        <f>IF(TotalUnits=0,0,FB$8/TotalUnits)</f>
        <v/>
      </c>
      <c r="FC9" s="20">
        <f>IF(TotalUnits=0,0,FC$8/TotalUnits)</f>
        <v/>
      </c>
      <c r="FD9" s="20">
        <f>IF(TotalUnits=0,0,FD$8/TotalUnits)</f>
        <v/>
      </c>
      <c r="FE9" s="20">
        <f>IF(TotalUnits=0,0,FE$8/TotalUnits)</f>
        <v/>
      </c>
      <c r="FF9" s="20">
        <f>IF(TotalUnits=0,0,FF$8/TotalUnits)</f>
        <v/>
      </c>
      <c r="FG9" s="20">
        <f>IF(TotalUnits=0,0,FG$8/TotalUnits)</f>
        <v/>
      </c>
      <c r="FH9" s="20">
        <f>IF(TotalUnits=0,0,FH$8/TotalUnits)</f>
        <v/>
      </c>
      <c r="FI9" s="20">
        <f>IF(TotalUnits=0,0,FI$8/TotalUnits)</f>
        <v/>
      </c>
      <c r="FJ9" s="20">
        <f>IF(TotalUnits=0,0,FJ$8/TotalUnits)</f>
        <v/>
      </c>
      <c r="FK9" s="20">
        <f>IF(TotalUnits=0,0,FK$8/TotalUnits)</f>
        <v/>
      </c>
      <c r="FL9" s="20">
        <f>IF(TotalUnits=0,0,FL$8/TotalUnits)</f>
        <v/>
      </c>
      <c r="FM9" s="20">
        <f>IF(TotalUnits=0,0,FM$8/TotalUnits)</f>
        <v/>
      </c>
      <c r="FN9" s="20">
        <f>IF(TotalUnits=0,0,FN$8/TotalUnits)</f>
        <v/>
      </c>
      <c r="FO9" s="20">
        <f>IF(TotalUnits=0,0,FO$8/TotalUnits)</f>
        <v/>
      </c>
      <c r="FP9" s="20">
        <f>IF(TotalUnits=0,0,FP$8/TotalUnits)</f>
        <v/>
      </c>
      <c r="FQ9" s="20">
        <f>IF(TotalUnits=0,0,FQ$8/TotalUnits)</f>
        <v/>
      </c>
      <c r="FR9" s="20">
        <f>IF(TotalUnits=0,0,FR$8/TotalUnits)</f>
        <v/>
      </c>
      <c r="FS9" s="20">
        <f>IF(TotalUnits=0,0,FS$8/TotalUnits)</f>
        <v/>
      </c>
      <c r="FT9" s="20">
        <f>IF(TotalUnits=0,0,FT$8/TotalUnits)</f>
        <v/>
      </c>
      <c r="FU9" s="20">
        <f>IF(TotalUnits=0,0,FU$8/TotalUnits)</f>
        <v/>
      </c>
      <c r="FV9" s="20">
        <f>IF(TotalUnits=0,0,FV$8/TotalUnits)</f>
        <v/>
      </c>
      <c r="FW9" s="20">
        <f>IF(TotalUnits=0,0,FW$8/TotalUnits)</f>
        <v/>
      </c>
      <c r="FX9" s="20">
        <f>IF(TotalUnits=0,0,FX$8/TotalUnits)</f>
        <v/>
      </c>
      <c r="FY9" s="20">
        <f>IF(TotalUnits=0,0,FY$8/TotalUnits)</f>
        <v/>
      </c>
      <c r="FZ9" s="20">
        <f>IF(TotalUnits=0,0,FZ$8/TotalUnits)</f>
        <v/>
      </c>
      <c r="GA9" s="20">
        <f>IF(TotalUnits=0,0,GA$8/TotalUnits)</f>
        <v/>
      </c>
      <c r="GB9" s="20">
        <f>IF(TotalUnits=0,0,GB$8/TotalUnits)</f>
        <v/>
      </c>
      <c r="GC9" s="20">
        <f>IF(TotalUnits=0,0,GC$8/TotalUnits)</f>
        <v/>
      </c>
      <c r="GD9" s="20">
        <f>IF(TotalUnits=0,0,GD$8/TotalUnits)</f>
        <v/>
      </c>
      <c r="GE9" s="20">
        <f>IF(TotalUnits=0,0,GE$8/TotalUnits)</f>
        <v/>
      </c>
      <c r="GF9" s="20">
        <f>IF(TotalUnits=0,0,GF$8/TotalUnits)</f>
        <v/>
      </c>
      <c r="GG9" s="20">
        <f>IF(TotalUnits=0,0,GG$8/TotalUnits)</f>
        <v/>
      </c>
      <c r="GH9" s="20">
        <f>IF(TotalUnits=0,0,GH$8/TotalUnits)</f>
        <v/>
      </c>
      <c r="GI9" s="20">
        <f>IF(TotalUnits=0,0,GI$8/TotalUnits)</f>
        <v/>
      </c>
      <c r="GJ9" s="20">
        <f>IF(TotalUnits=0,0,GJ$8/TotalUnits)</f>
        <v/>
      </c>
      <c r="GK9" s="20">
        <f>IF(TotalUnits=0,0,GK$8/TotalUnits)</f>
        <v/>
      </c>
      <c r="GL9" s="20">
        <f>IF(TotalUnits=0,0,GL$8/TotalUnits)</f>
        <v/>
      </c>
      <c r="GM9" s="20">
        <f>IF(TotalUnits=0,0,GM$8/TotalUnits)</f>
        <v/>
      </c>
      <c r="GN9" s="20">
        <f>IF(TotalUnits=0,0,GN$8/TotalUnits)</f>
        <v/>
      </c>
      <c r="GO9" s="20">
        <f>IF(TotalUnits=0,0,GO$8/TotalUnits)</f>
        <v/>
      </c>
      <c r="GP9" s="20">
        <f>IF(TotalUnits=0,0,GP$8/TotalUnits)</f>
        <v/>
      </c>
      <c r="GQ9" s="20">
        <f>IF(TotalUnits=0,0,GQ$8/TotalUnits)</f>
        <v/>
      </c>
      <c r="GR9" s="20">
        <f>IF(TotalUnits=0,0,GR$8/TotalUnits)</f>
        <v/>
      </c>
      <c r="GS9" s="20">
        <f>IF(TotalUnits=0,0,GS$8/TotalUnits)</f>
        <v/>
      </c>
      <c r="GT9" s="20">
        <f>IF(TotalUnits=0,0,GT$8/TotalUnits)</f>
        <v/>
      </c>
      <c r="GU9" s="20">
        <f>IF(TotalUnits=0,0,GU$8/TotalUnits)</f>
        <v/>
      </c>
      <c r="GV9" s="20">
        <f>IF(TotalUnits=0,0,GV$8/TotalUnits)</f>
        <v/>
      </c>
      <c r="GW9" s="20">
        <f>IF(TotalUnits=0,0,GW$8/TotalUnits)</f>
        <v/>
      </c>
      <c r="GX9" s="20">
        <f>IF(TotalUnits=0,0,GX$8/TotalUnits)</f>
        <v/>
      </c>
      <c r="GY9" s="20">
        <f>IF(TotalUnits=0,0,GY$8/TotalUnits)</f>
        <v/>
      </c>
      <c r="GZ9" s="20">
        <f>IF(TotalUnits=0,0,GZ$8/TotalUnits)</f>
        <v/>
      </c>
      <c r="HA9" s="20">
        <f>IF(TotalUnits=0,0,HA$8/TotalUnits)</f>
        <v/>
      </c>
      <c r="HB9" s="20">
        <f>IF(TotalUnits=0,0,HB$8/TotalUnits)</f>
        <v/>
      </c>
      <c r="HC9" s="20">
        <f>IF(TotalUnits=0,0,HC$8/TotalUnits)</f>
        <v/>
      </c>
      <c r="HD9" s="20">
        <f>IF(TotalUnits=0,0,HD$8/TotalUnits)</f>
        <v/>
      </c>
      <c r="HE9" s="20">
        <f>IF(TotalUnits=0,0,HE$8/TotalUnits)</f>
        <v/>
      </c>
      <c r="HF9" s="20">
        <f>IF(TotalUnits=0,0,HF$8/TotalUnits)</f>
        <v/>
      </c>
      <c r="HG9" s="20">
        <f>IF(TotalUnits=0,0,HG$8/TotalUnits)</f>
        <v/>
      </c>
      <c r="HH9" s="20">
        <f>IF(TotalUnits=0,0,HH$8/TotalUnits)</f>
        <v/>
      </c>
      <c r="HI9" s="20">
        <f>IF(TotalUnits=0,0,HI$8/TotalUnits)</f>
        <v/>
      </c>
      <c r="HJ9" s="20">
        <f>IF(TotalUnits=0,0,HJ$8/TotalUnits)</f>
        <v/>
      </c>
      <c r="HK9" s="20">
        <f>IF(TotalUnits=0,0,HK$8/TotalUnits)</f>
        <v/>
      </c>
      <c r="HL9" s="20">
        <f>IF(TotalUnits=0,0,HL$8/TotalUnits)</f>
        <v/>
      </c>
      <c r="HM9" s="20">
        <f>IF(TotalUnits=0,0,HM$8/TotalUnits)</f>
        <v/>
      </c>
      <c r="HN9" s="20">
        <f>IF(TotalUnits=0,0,HN$8/TotalUnits)</f>
        <v/>
      </c>
      <c r="HO9" s="20">
        <f>IF(TotalUnits=0,0,HO$8/TotalUnits)</f>
        <v/>
      </c>
      <c r="HP9" s="20">
        <f>IF(TotalUnits=0,0,HP$8/TotalUnits)</f>
        <v/>
      </c>
      <c r="HQ9" s="20">
        <f>IF(TotalUnits=0,0,HQ$8/TotalUnits)</f>
        <v/>
      </c>
      <c r="HR9" s="20">
        <f>IF(TotalUnits=0,0,HR$8/TotalUnits)</f>
        <v/>
      </c>
      <c r="HS9" s="20">
        <f>IF(TotalUnits=0,0,HS$8/TotalUnits)</f>
        <v/>
      </c>
      <c r="HT9" s="20">
        <f>IF(TotalUnits=0,0,HT$8/TotalUnits)</f>
        <v/>
      </c>
      <c r="HU9" s="20">
        <f>IF(TotalUnits=0,0,HU$8/TotalUnits)</f>
        <v/>
      </c>
      <c r="HV9" s="20">
        <f>IF(TotalUnits=0,0,HV$8/TotalUnits)</f>
        <v/>
      </c>
      <c r="HW9" s="20">
        <f>IF(TotalUnits=0,0,HW$8/TotalUnits)</f>
        <v/>
      </c>
      <c r="HX9" s="20">
        <f>IF(TotalUnits=0,0,HX$8/TotalUnits)</f>
        <v/>
      </c>
      <c r="HY9" s="20">
        <f>IF(TotalUnits=0,0,HY$8/TotalUnits)</f>
        <v/>
      </c>
      <c r="HZ9" s="20">
        <f>IF(TotalUnits=0,0,HZ$8/TotalUnits)</f>
        <v/>
      </c>
      <c r="IA9" s="20">
        <f>IF(TotalUnits=0,0,IA$8/TotalUnits)</f>
        <v/>
      </c>
      <c r="IB9" s="20">
        <f>IF(TotalUnits=0,0,IB$8/TotalUnits)</f>
        <v/>
      </c>
      <c r="IC9" s="20">
        <f>IF(TotalUnits=0,0,IC$8/TotalUnits)</f>
        <v/>
      </c>
      <c r="ID9" s="20">
        <f>IF(TotalUnits=0,0,ID$8/TotalUnits)</f>
        <v/>
      </c>
      <c r="IE9" s="20">
        <f>IF(TotalUnits=0,0,IE$8/TotalUnits)</f>
        <v/>
      </c>
      <c r="IF9" s="20">
        <f>IF(TotalUnits=0,0,IF$8/TotalUnits)</f>
        <v/>
      </c>
      <c r="IG9" s="20">
        <f>IF(TotalUnits=0,0,IG$8/TotalUnits)</f>
        <v/>
      </c>
      <c r="IH9" s="20">
        <f>IF(TotalUnits=0,0,IH$8/TotalUnits)</f>
        <v/>
      </c>
      <c r="II9" s="20">
        <f>IF(TotalUnits=0,0,II$8/TotalUnits)</f>
        <v/>
      </c>
      <c r="IJ9" s="20">
        <f>IF(TotalUnits=0,0,IJ$8/TotalUnits)</f>
        <v/>
      </c>
      <c r="IK9" s="20">
        <f>IF(TotalUnits=0,0,IK$8/TotalUnits)</f>
        <v/>
      </c>
      <c r="IL9" s="20">
        <f>IF(TotalUnits=0,0,IL$8/TotalUnits)</f>
        <v/>
      </c>
      <c r="IM9" s="20">
        <f>IF(TotalUnits=0,0,IM$8/TotalUnits)</f>
        <v/>
      </c>
      <c r="IN9" s="20">
        <f>IF(TotalUnits=0,0,IN$8/TotalUnits)</f>
        <v/>
      </c>
      <c r="IO9" s="20">
        <f>IF(TotalUnits=0,0,IO$8/TotalUnits)</f>
        <v/>
      </c>
      <c r="IP9" s="20">
        <f>IF(TotalUnits=0,0,IP$8/TotalUnits)</f>
        <v/>
      </c>
      <c r="IQ9" s="20">
        <f>IF(TotalUnits=0,0,IQ$8/TotalUnits)</f>
        <v/>
      </c>
      <c r="IR9" s="20">
        <f>IF(TotalUnits=0,0,IR$8/TotalUnits)</f>
        <v/>
      </c>
      <c r="IS9" s="20">
        <f>IF(TotalUnits=0,0,IS$8/TotalUnits)</f>
        <v/>
      </c>
      <c r="IT9" s="20">
        <f>IF(TotalUnits=0,0,IT$8/TotalUnits)</f>
        <v/>
      </c>
      <c r="IU9" s="20">
        <f>IF(TotalUnits=0,0,IU$8/TotalUnits)</f>
        <v/>
      </c>
      <c r="IV9" s="20">
        <f>IF(TotalUnits=0,0,IV$8/TotalUnits)</f>
        <v/>
      </c>
      <c r="IW9" s="20">
        <f>IF(TotalUnits=0,0,IW$8/TotalUnits)</f>
        <v/>
      </c>
      <c r="IX9" s="20">
        <f>IF(TotalUnits=0,0,IX$8/TotalUnits)</f>
        <v/>
      </c>
      <c r="IY9" s="20">
        <f>IF(TotalUnits=0,0,IY$8/TotalUnits)</f>
        <v/>
      </c>
      <c r="IZ9" s="20">
        <f>IF(TotalUnits=0,0,IZ$8/TotalUnits)</f>
        <v/>
      </c>
      <c r="JA9" s="20">
        <f>IF(TotalUnits=0,0,JA$8/TotalUnits)</f>
        <v/>
      </c>
      <c r="JB9" s="20">
        <f>IF(TotalUnits=0,0,JB$8/TotalUnits)</f>
        <v/>
      </c>
      <c r="JC9" s="20">
        <f>IF(TotalUnits=0,0,JC$8/TotalUnits)</f>
        <v/>
      </c>
      <c r="JD9" s="20">
        <f>IF(TotalUnits=0,0,JD$8/TotalUnits)</f>
        <v/>
      </c>
      <c r="JE9" s="20">
        <f>IF(TotalUnits=0,0,JE$8/TotalUnits)</f>
        <v/>
      </c>
      <c r="JF9" s="20">
        <f>IF(TotalUnits=0,0,JF$8/TotalUnits)</f>
        <v/>
      </c>
      <c r="JG9" s="20">
        <f>IF(TotalUnits=0,0,JG$8/TotalUnits)</f>
        <v/>
      </c>
      <c r="JH9" s="20">
        <f>IF(TotalUnits=0,0,JH$8/TotalUnits)</f>
        <v/>
      </c>
      <c r="JI9" s="20">
        <f>IF(TotalUnits=0,0,JI$8/TotalUnits)</f>
        <v/>
      </c>
      <c r="JJ9" s="20">
        <f>IF(TotalUnits=0,0,JJ$8/TotalUnits)</f>
        <v/>
      </c>
      <c r="JK9" s="20">
        <f>IF(TotalUnits=0,0,JK$8/TotalUnits)</f>
        <v/>
      </c>
      <c r="JL9" s="20">
        <f>IF(TotalUnits=0,0,JL$8/TotalUnits)</f>
        <v/>
      </c>
      <c r="JM9" s="20">
        <f>IF(TotalUnits=0,0,JM$8/TotalUnits)</f>
        <v/>
      </c>
      <c r="JN9" s="20">
        <f>IF(TotalUnits=0,0,JN$8/TotalUnits)</f>
        <v/>
      </c>
      <c r="JO9" s="20">
        <f>IF(TotalUnits=0,0,JO$8/TotalUnits)</f>
        <v/>
      </c>
      <c r="JP9" s="20">
        <f>IF(TotalUnits=0,0,JP$8/TotalUnits)</f>
        <v/>
      </c>
      <c r="JQ9" s="20">
        <f>IF(TotalUnits=0,0,JQ$8/TotalUnits)</f>
        <v/>
      </c>
      <c r="JR9" s="20">
        <f>IF(TotalUnits=0,0,JR$8/TotalUnits)</f>
        <v/>
      </c>
      <c r="JS9" s="20">
        <f>IF(TotalUnits=0,0,JS$8/TotalUnits)</f>
        <v/>
      </c>
      <c r="JT9" s="20">
        <f>IF(TotalUnits=0,0,JT$8/TotalUnits)</f>
        <v/>
      </c>
      <c r="JU9" s="20">
        <f>IF(TotalUnits=0,0,JU$8/TotalUnits)</f>
        <v/>
      </c>
      <c r="JV9" s="20">
        <f>IF(TotalUnits=0,0,JV$8/TotalUnits)</f>
        <v/>
      </c>
      <c r="JW9" s="20">
        <f>IF(TotalUnits=0,0,JW$8/TotalUnits)</f>
        <v/>
      </c>
      <c r="JX9" s="20">
        <f>IF(TotalUnits=0,0,JX$8/TotalUnits)</f>
        <v/>
      </c>
      <c r="JY9" s="20">
        <f>IF(TotalUnits=0,0,JY$8/TotalUnits)</f>
        <v/>
      </c>
      <c r="JZ9" s="20">
        <f>IF(TotalUnits=0,0,JZ$8/TotalUnits)</f>
        <v/>
      </c>
      <c r="KA9" s="20">
        <f>IF(TotalUnits=0,0,KA$8/TotalUnits)</f>
        <v/>
      </c>
      <c r="KB9" s="20">
        <f>IF(TotalUnits=0,0,KB$8/TotalUnits)</f>
        <v/>
      </c>
      <c r="KC9" s="20">
        <f>IF(TotalUnits=0,0,KC$8/TotalUnits)</f>
        <v/>
      </c>
      <c r="KD9" s="20">
        <f>IF(TotalUnits=0,0,KD$8/TotalUnits)</f>
        <v/>
      </c>
      <c r="KE9" s="20">
        <f>IF(TotalUnits=0,0,KE$8/TotalUnits)</f>
        <v/>
      </c>
      <c r="KF9" s="20">
        <f>IF(TotalUnits=0,0,KF$8/TotalUnits)</f>
        <v/>
      </c>
      <c r="KG9" s="20">
        <f>IF(TotalUnits=0,0,KG$8/TotalUnits)</f>
        <v/>
      </c>
      <c r="KH9" s="20">
        <f>IF(TotalUnits=0,0,KH$8/TotalUnits)</f>
        <v/>
      </c>
      <c r="KI9" s="20">
        <f>IF(TotalUnits=0,0,KI$8/TotalUnits)</f>
        <v/>
      </c>
      <c r="KJ9" s="20">
        <f>IF(TotalUnits=0,0,KJ$8/TotalUnits)</f>
        <v/>
      </c>
      <c r="KK9" s="20">
        <f>IF(TotalUnits=0,0,KK$8/TotalUnits)</f>
        <v/>
      </c>
      <c r="KL9" s="20">
        <f>IF(TotalUnits=0,0,KL$8/TotalUnits)</f>
        <v/>
      </c>
      <c r="KM9" s="20">
        <f>IF(TotalUnits=0,0,KM$8/TotalUnits)</f>
        <v/>
      </c>
      <c r="KN9" s="20">
        <f>IF(TotalUnits=0,0,KN$8/TotalUnits)</f>
        <v/>
      </c>
      <c r="KO9" s="20">
        <f>IF(TotalUnits=0,0,KO$8/TotalUnits)</f>
        <v/>
      </c>
      <c r="KP9" s="20">
        <f>IF(TotalUnits=0,0,KP$8/TotalUnits)</f>
        <v/>
      </c>
      <c r="KQ9" s="20">
        <f>IF(TotalUnits=0,0,KQ$8/TotalUnits)</f>
        <v/>
      </c>
      <c r="KR9" s="20">
        <f>IF(TotalUnits=0,0,KR$8/TotalUnits)</f>
        <v/>
      </c>
      <c r="KS9" s="20">
        <f>IF(TotalUnits=0,0,KS$8/TotalUnits)</f>
        <v/>
      </c>
      <c r="KT9" s="20">
        <f>IF(TotalUnits=0,0,KT$8/TotalUnits)</f>
        <v/>
      </c>
      <c r="KU9" s="20">
        <f>IF(TotalUnits=0,0,KU$8/TotalUnits)</f>
        <v/>
      </c>
      <c r="KV9" s="20">
        <f>IF(TotalUnits=0,0,KV$8/TotalUnits)</f>
        <v/>
      </c>
      <c r="KW9" s="20">
        <f>IF(TotalUnits=0,0,KW$8/TotalUnits)</f>
        <v/>
      </c>
      <c r="KX9" s="20">
        <f>IF(TotalUnits=0,0,KX$8/TotalUnits)</f>
        <v/>
      </c>
      <c r="KY9" s="20">
        <f>IF(TotalUnits=0,0,KY$8/TotalUnits)</f>
        <v/>
      </c>
      <c r="KZ9" s="20">
        <f>IF(TotalUnits=0,0,KZ$8/TotalUnits)</f>
        <v/>
      </c>
      <c r="LA9" s="20">
        <f>IF(TotalUnits=0,0,LA$8/TotalUnits)</f>
        <v/>
      </c>
      <c r="LB9" s="20">
        <f>IF(TotalUnits=0,0,LB$8/TotalUnits)</f>
        <v/>
      </c>
      <c r="LC9" s="20">
        <f>IF(TotalUnits=0,0,LC$8/TotalUnits)</f>
        <v/>
      </c>
      <c r="LD9" s="20">
        <f>IF(TotalUnits=0,0,LD$8/TotalUnits)</f>
        <v/>
      </c>
      <c r="LE9" s="20">
        <f>IF(TotalUnits=0,0,LE$8/TotalUnits)</f>
        <v/>
      </c>
      <c r="LF9" s="20">
        <f>IF(TotalUnits=0,0,LF$8/TotalUnits)</f>
        <v/>
      </c>
      <c r="LG9" s="20">
        <f>IF(TotalUnits=0,0,LG$8/TotalUnits)</f>
        <v/>
      </c>
      <c r="LH9" s="20">
        <f>IF(TotalUnits=0,0,LH$8/TotalUnits)</f>
        <v/>
      </c>
      <c r="LI9" s="20">
        <f>IF(TotalUnits=0,0,LI$8/TotalUnits)</f>
        <v/>
      </c>
      <c r="LJ9" s="20">
        <f>IF(TotalUnits=0,0,LJ$8/TotalUnits)</f>
        <v/>
      </c>
      <c r="LK9" s="20">
        <f>IF(TotalUnits=0,0,LK$8/TotalUnits)</f>
        <v/>
      </c>
      <c r="LL9" s="20">
        <f>IF(TotalUnits=0,0,LL$8/TotalUnits)</f>
        <v/>
      </c>
      <c r="LM9" s="20">
        <f>IF(TotalUnits=0,0,LM$8/TotalUnits)</f>
        <v/>
      </c>
      <c r="LN9" s="20">
        <f>IF(TotalUnits=0,0,LN$8/TotalUnits)</f>
        <v/>
      </c>
      <c r="LO9" s="20">
        <f>IF(TotalUnits=0,0,LO$8/TotalUnits)</f>
        <v/>
      </c>
      <c r="LP9" s="20">
        <f>IF(TotalUnits=0,0,LP$8/TotalUnits)</f>
        <v/>
      </c>
      <c r="LQ9" s="20">
        <f>IF(TotalUnits=0,0,LQ$8/TotalUnits)</f>
        <v/>
      </c>
      <c r="LR9" s="20">
        <f>IF(TotalUnits=0,0,LR$8/TotalUnits)</f>
        <v/>
      </c>
      <c r="LS9" s="20">
        <f>IF(TotalUnits=0,0,LS$8/TotalUnits)</f>
        <v/>
      </c>
      <c r="LT9" s="20">
        <f>IF(TotalUnits=0,0,LT$8/TotalUnits)</f>
        <v/>
      </c>
      <c r="LU9" s="20">
        <f>IF(TotalUnits=0,0,LU$8/TotalUnits)</f>
        <v/>
      </c>
      <c r="LV9" s="20">
        <f>IF(TotalUnits=0,0,LV$8/TotalUnits)</f>
        <v/>
      </c>
      <c r="LW9" s="20">
        <f>IF(TotalUnits=0,0,LW$8/TotalUnits)</f>
        <v/>
      </c>
      <c r="LX9" s="20">
        <f>IF(TotalUnits=0,0,LX$8/TotalUnits)</f>
        <v/>
      </c>
      <c r="LY9" s="20">
        <f>IF(TotalUnits=0,0,LY$8/TotalUnits)</f>
        <v/>
      </c>
      <c r="LZ9" s="20">
        <f>IF(TotalUnits=0,0,LZ$8/TotalUnits)</f>
        <v/>
      </c>
      <c r="MA9" s="20">
        <f>IF(TotalUnits=0,0,MA$8/TotalUnits)</f>
        <v/>
      </c>
      <c r="MB9" s="20">
        <f>IF(TotalUnits=0,0,MB$8/TotalUnits)</f>
        <v/>
      </c>
      <c r="MC9" s="20">
        <f>IF(TotalUnits=0,0,MC$8/TotalUnits)</f>
        <v/>
      </c>
      <c r="MD9" s="20">
        <f>IF(TotalUnits=0,0,MD$8/TotalUnits)</f>
        <v/>
      </c>
      <c r="ME9" s="20">
        <f>IF(TotalUnits=0,0,ME$8/TotalUnits)</f>
        <v/>
      </c>
      <c r="MF9" s="20">
        <f>IF(TotalUnits=0,0,MF$8/TotalUnits)</f>
        <v/>
      </c>
      <c r="MG9" s="20">
        <f>IF(TotalUnits=0,0,MG$8/TotalUnits)</f>
        <v/>
      </c>
      <c r="MH9" s="20">
        <f>IF(TotalUnits=0,0,MH$8/TotalUnits)</f>
        <v/>
      </c>
      <c r="MI9" s="20">
        <f>IF(TotalUnits=0,0,MI$8/TotalUnits)</f>
        <v/>
      </c>
      <c r="MJ9" s="20">
        <f>IF(TotalUnits=0,0,MJ$8/TotalUnits)</f>
        <v/>
      </c>
      <c r="MK9" s="20">
        <f>IF(TotalUnits=0,0,MK$8/TotalUnits)</f>
        <v/>
      </c>
      <c r="ML9" s="20">
        <f>IF(TotalUnits=0,0,ML$8/TotalUnits)</f>
        <v/>
      </c>
      <c r="MM9" s="20">
        <f>IF(TotalUnits=0,0,MM$8/TotalUnits)</f>
        <v/>
      </c>
      <c r="MN9" s="20">
        <f>IF(TotalUnits=0,0,MN$8/TotalUnits)</f>
        <v/>
      </c>
      <c r="MO9" s="20">
        <f>IF(TotalUnits=0,0,MO$8/TotalUnits)</f>
        <v/>
      </c>
      <c r="MP9" s="20">
        <f>IF(TotalUnits=0,0,MP$8/TotalUnits)</f>
        <v/>
      </c>
      <c r="MQ9" s="20">
        <f>IF(TotalUnits=0,0,MQ$8/TotalUnits)</f>
        <v/>
      </c>
      <c r="MR9" s="20">
        <f>IF(TotalUnits=0,0,MR$8/TotalUnits)</f>
        <v/>
      </c>
      <c r="MS9" s="20">
        <f>IF(TotalUnits=0,0,MS$8/TotalUnits)</f>
        <v/>
      </c>
      <c r="MT9" s="20">
        <f>IF(TotalUnits=0,0,MT$8/TotalUnits)</f>
        <v/>
      </c>
      <c r="MU9" s="20">
        <f>IF(TotalUnits=0,0,MU$8/TotalUnits)</f>
        <v/>
      </c>
      <c r="MV9" s="20">
        <f>IF(TotalUnits=0,0,MV$8/TotalUnits)</f>
        <v/>
      </c>
      <c r="MW9" s="20">
        <f>IF(TotalUnits=0,0,MW$8/TotalUnits)</f>
        <v/>
      </c>
      <c r="MX9" s="20">
        <f>IF(TotalUnits=0,0,MX$8/TotalUnits)</f>
        <v/>
      </c>
      <c r="MY9" s="20">
        <f>IF(TotalUnits=0,0,MY$8/TotalUnits)</f>
        <v/>
      </c>
      <c r="MZ9" s="20">
        <f>IF(TotalUnits=0,0,MZ$8/TotalUnits)</f>
        <v/>
      </c>
      <c r="NA9" s="20">
        <f>IF(TotalUnits=0,0,NA$8/TotalUnits)</f>
        <v/>
      </c>
      <c r="NB9" s="20">
        <f>IF(TotalUnits=0,0,NB$8/TotalUnits)</f>
        <v/>
      </c>
      <c r="NC9" s="20">
        <f>IF(TotalUnits=0,0,NC$8/TotalUnits)</f>
        <v/>
      </c>
      <c r="ND9" s="20">
        <f>IF(TotalUnits=0,0,ND$8/TotalUnits)</f>
        <v/>
      </c>
      <c r="NE9" s="20">
        <f>IF(TotalUnits=0,0,NE$8/TotalUnits)</f>
        <v/>
      </c>
      <c r="NF9" s="20">
        <f>IF(TotalUnits=0,0,NF$8/TotalUnits)</f>
        <v/>
      </c>
      <c r="NG9" s="20">
        <f>IF(TotalUnits=0,0,NG$8/TotalUnits)</f>
        <v/>
      </c>
      <c r="NH9" s="20">
        <f>IF(TotalUnits=0,0,NH$8/TotalUnits)</f>
        <v/>
      </c>
      <c r="NI9" s="20">
        <f>IF(TotalUnits=0,0,NI$8/TotalUnits)</f>
        <v/>
      </c>
      <c r="NJ9" s="20">
        <f>IF(TotalUnits=0,0,NJ$8/TotalUnits)</f>
        <v/>
      </c>
      <c r="NK9" s="20">
        <f>IF(TotalUnits=0,0,NK$8/TotalUnits)</f>
        <v/>
      </c>
    </row>
    <row r="11">
      <c r="A11" s="15" t="inlineStr">
        <is>
          <t>Lease-Up Reconciliation</t>
        </is>
      </c>
      <c r="B11" s="23" t="n"/>
      <c r="C11" s="23" t="n"/>
    </row>
    <row r="12">
      <c r="A12" s="5" t="inlineStr">
        <is>
          <t>Occupancy at Stabilization − target</t>
        </is>
      </c>
      <c r="B12" s="17">
        <f>INDEX(D8:NK8,StabMonth)-StabLeasedTarget</f>
        <v/>
      </c>
    </row>
    <row r="13">
      <c r="A13" s="5" t="inlineStr">
        <is>
          <t>Units delivered at Stabilization</t>
        </is>
      </c>
      <c r="B13" s="17">
        <f>INDEX(D7:NK7,StabMonth)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2026-07-02T16:33:59Z</dcterms:created>
  <dcterms:modified xsi:type="dcterms:W3CDTF">2026-07-02T16:34:00Z</dcterms:modified>
</cp:coreProperties>
</file>