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LeaseUpIncomeOffset">'Inputs'!$B$30</definedName>
    <definedName name="UnitsDeliveredPerMo">'Inputs'!$B$31</definedName>
    <definedName name="UnitsLeasedPerMo">'Inputs'!$B$32</definedName>
    <definedName name="LeaseUpRampPct">'Inputs'!$B$33</definedName>
    <definedName name="LeaseUpElevationPct">'Inputs'!$B$34</definedName>
    <definedName name="StabilizedOccupancy">'Inputs'!$B$35</definedName>
    <definedName name="LandCost">'Inputs'!$B$38</definedName>
    <definedName name="GrossAcres">'Inputs'!$B$39</definedName>
    <definedName name="NetAcres">'Inputs'!$B$40</definedName>
    <definedName name="FARRatio">'Inputs'!$B$41</definedName>
    <definedName name="EfficiencyRatio">'Inputs'!$B$42</definedName>
    <definedName name="ExistingStructureCost">'Inputs'!$B$43</definedName>
    <definedName name="TaxLevyPct">'Inputs'!$B$46</definedName>
    <definedName name="TaxAssessmentPct">'Inputs'!$B$47</definedName>
    <definedName name="TaxValueAdjFactor">'Inputs'!$B$48</definedName>
    <definedName name="TaxMethodValue">'Inputs'!$B$49</definedName>
    <definedName name="TaxYear1">'Inputs'!$B$50</definedName>
    <definedName name="ReassessOnSale">'Inputs'!$B$51</definedName>
    <definedName name="DispoTaxRatePct">'Inputs'!$B$52</definedName>
    <definedName name="FundingOrderPari">'Inputs'!$B$55</definedName>
    <definedName name="TargetLTC">'Inputs'!$B$56</definedName>
    <definedName name="OpReserveCoverage">'Inputs'!$B$57</definedName>
    <definedName name="OpReserveMinMonths">'Inputs'!$B$58</definedName>
    <definedName name="ConLoanTermMonths">'Inputs'!$B$61</definedName>
    <definedName name="ConRate">'Inputs'!$B$62</definedName>
    <definedName name="ConActual360">'Inputs'!$B$63</definedName>
    <definedName name="ConPointsPct">'Inputs'!$B$64</definedName>
    <definedName name="ConOtherCosts">'Inputs'!$B$65</definedName>
    <definedName name="ConMinDebtYield">'Inputs'!$B$66</definedName>
    <definedName name="ConMinDSCR">'Inputs'!$B$67</definedName>
    <definedName name="LenderReqReserveOverride">'Inputs'!$B$68</definedName>
    <definedName name="PermMaxLTV">'Inputs'!$B$71</definedName>
    <definedName name="PermRate">'Inputs'!$B$72</definedName>
    <definedName name="PermTermMonths">'Inputs'!$B$73</definedName>
    <definedName name="PermIOMonths">'Inputs'!$B$74</definedName>
    <definedName name="PermAmortMonths">'Inputs'!$B$75</definedName>
    <definedName name="PermActual360">'Inputs'!$B$76</definedName>
    <definedName name="PermPointsPct">'Inputs'!$B$77</definedName>
    <definedName name="PermMinDebtYield">'Inputs'!$B$78</definedName>
    <definedName name="PermMinDSCR">'Inputs'!$B$79</definedName>
    <definedName name="NoCashOut">'Inputs'!$B$80</definedName>
    <definedName name="RefiMonthOverride">'Inputs'!$B$81</definedName>
    <definedName name="DevFeePctDirect">'Inputs'!$B$84</definedName>
    <definedName name="DevFeeThirdPartySplit">'Inputs'!$B$85</definedName>
    <definedName name="SponsorDispoFeePct">'Inputs'!$B$86</definedName>
    <definedName name="RecourseFeePct">'Inputs'!$B$87</definedName>
    <definedName name="BrokerCostPct">'Inputs'!$B$90</definedName>
    <definedName name="SalesTaxPct">'Inputs'!$B$91</definedName>
    <definedName name="TaxProrationMonths">'Inputs'!$B$92</definedName>
    <definedName name="BadDebtPct">'Inputs'!$B$95</definedName>
    <definedName name="ConcessionsPct">'Inputs'!$B$96</definedName>
    <definedName name="LossToLeasePct">'Inputs'!$B$97</definedName>
    <definedName name="ModelUnits">'Inputs'!$B$98</definedName>
    <definedName name="ParkingPerUnitMo">'Inputs'!$B$99</definedName>
    <definedName name="RetailIncomeMo">'Inputs'!$B$100</definedName>
    <definedName name="UtilReimbPerUnitMo">'Inputs'!$B$101</definedName>
    <definedName name="OtherIncPerUnitMo">'Inputs'!$B$102</definedName>
    <definedName name="ExpInsurancePerUnit">'Inputs'!$B$105</definedName>
    <definedName name="ExpUtilitiesPerUnit">'Inputs'!$B$106</definedName>
    <definedName name="ExpPayrollPerUnit">'Inputs'!$B$107</definedName>
    <definedName name="ExpRMPerUnit">'Inputs'!$B$108</definedName>
    <definedName name="ExpTurnoverPerUnit">'Inputs'!$B$109</definedName>
    <definedName name="ExpContractPerUnit">'Inputs'!$B$110</definedName>
    <definedName name="ExpAdminPerUnit">'Inputs'!$B$111</definedName>
    <definedName name="ExpAdvertisingPerUnit">'Inputs'!$B$112</definedName>
    <definedName name="MgmtFeePct">'Inputs'!$B$113</definedName>
    <definedName name="CapReservePerUnit">'Inputs'!$B$114</definedName>
    <definedName name="TaxPrepPerUnit">'Inputs'!$B$115</definedName>
    <definedName name="AssetMgmtFeePct">'Inputs'!$B$116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'Budget'!$I$35</definedName>
    <definedName name="BudgetSoft">'Budget'!$I$36</definedName>
    <definedName name="BudgetHard">'Budget'!$I$37</definedName>
    <definedName name="DirectCosts">'Budget'!$I$38</definedName>
    <definedName name="DevFee">'Budget'!$I$39</definedName>
    <definedName name="BudgetTDCref">'Budget'!$I$40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mmm-yyyy"/>
    <numFmt numFmtId="165" formatCode="#,##0&quot; mo&quot;"/>
    <numFmt numFmtId="166" formatCode="0.0%"/>
    <numFmt numFmtId="167" formatCode="$#,##0;($#,##0)"/>
    <numFmt numFmtId="168" formatCode="0.00&quot;x&quot;"/>
    <numFmt numFmtId="169" formatCode="#,##0;(#,##0)"/>
    <numFmt numFmtId="170" formatCode="$#,##0.00;($#,##0.00)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9" fillId="5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inlineStr">
        <is>
          <t>2026-01-01</t>
        </is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9">
      <c r="A29" s="3" t="inlineStr">
        <is>
          <t>Unit Delivery &amp; Lease-Up</t>
        </is>
      </c>
      <c r="B29" s="4" t="n"/>
      <c r="C29" s="4" t="n"/>
    </row>
    <row r="30">
      <c r="A30" s="5" t="inlineStr">
        <is>
          <t>Lease Up Income Offset</t>
        </is>
      </c>
      <c r="B30" s="10" t="n">
        <v>1</v>
      </c>
      <c r="C30" s="2" t="inlineStr">
        <is>
          <t>1=offset lease-up income vs equity, 0=no</t>
        </is>
      </c>
    </row>
    <row r="31">
      <c r="A31" s="5" t="inlineStr">
        <is>
          <t>Units Delivered Per Mo</t>
        </is>
      </c>
      <c r="B31" s="10" t="n">
        <v>30</v>
      </c>
      <c r="C31" s="2" t="inlineStr">
        <is>
          <t>Units delivered per month</t>
        </is>
      </c>
    </row>
    <row r="32">
      <c r="A32" s="5" t="inlineStr">
        <is>
          <t>Units Leased Per Mo</t>
        </is>
      </c>
      <c r="B32" s="10" t="n">
        <v>18</v>
      </c>
      <c r="C32" s="2" t="inlineStr">
        <is>
          <t>Units absorbed (leased) per month</t>
        </is>
      </c>
    </row>
    <row r="33">
      <c r="A33" s="5" t="inlineStr">
        <is>
          <t>Lease Up Ramp Pct</t>
        </is>
      </c>
      <c r="B33" s="11" t="n">
        <v>0.6</v>
      </c>
      <c r="C33" s="2" t="inlineStr">
        <is>
          <t>Variable-opex ramp: % of stabilized during lease-up</t>
        </is>
      </c>
    </row>
    <row r="34">
      <c r="A34" s="5" t="inlineStr">
        <is>
          <t>Lease Up Elevation Pct</t>
        </is>
      </c>
      <c r="B34" s="11" t="n">
        <v>0.25</v>
      </c>
      <c r="C34" s="2" t="inlineStr">
        <is>
          <t>Elevated-opex uplift over stabilized during lease-up</t>
        </is>
      </c>
    </row>
    <row r="35">
      <c r="A35" s="5" t="inlineStr">
        <is>
          <t>Stabilized Occupancy</t>
        </is>
      </c>
      <c r="B35" s="11" t="n">
        <v>0.93</v>
      </c>
      <c r="C35" s="2" t="inlineStr">
        <is>
          <t>Physical occupancy at stabilization</t>
        </is>
      </c>
    </row>
    <row r="37">
      <c r="A37" s="3" t="inlineStr">
        <is>
          <t>Site Details</t>
        </is>
      </c>
      <c r="B37" s="4" t="n"/>
      <c r="C37" s="4" t="n"/>
    </row>
    <row r="38">
      <c r="A38" s="5" t="inlineStr">
        <is>
          <t>Land Cost</t>
        </is>
      </c>
      <c r="B38" s="12" t="n">
        <v>14000000</v>
      </c>
      <c r="C38" s="2" t="inlineStr">
        <is>
          <t>Total land cost</t>
        </is>
      </c>
    </row>
    <row r="39">
      <c r="A39" s="5" t="inlineStr">
        <is>
          <t>Gross Acres</t>
        </is>
      </c>
      <c r="B39" s="13" t="n">
        <v>9.5</v>
      </c>
      <c r="C39" s="2" t="inlineStr">
        <is>
          <t>Gross site acres</t>
        </is>
      </c>
    </row>
    <row r="40">
      <c r="A40" s="5" t="inlineStr">
        <is>
          <t>Net Acres</t>
        </is>
      </c>
      <c r="B40" s="13" t="n">
        <v>8</v>
      </c>
      <c r="C40" s="2" t="inlineStr">
        <is>
          <t>Net developable acres</t>
        </is>
      </c>
    </row>
    <row r="41">
      <c r="A41" s="5" t="inlineStr">
        <is>
          <t>FARRatio</t>
        </is>
      </c>
      <c r="B41" s="13" t="n">
        <v>1.75</v>
      </c>
      <c r="C41" s="2" t="inlineStr">
        <is>
          <t>Floor-area ratio</t>
        </is>
      </c>
    </row>
    <row r="42">
      <c r="A42" s="5" t="inlineStr">
        <is>
          <t>Efficiency Ratio</t>
        </is>
      </c>
      <c r="B42" s="11" t="n">
        <v>0.85</v>
      </c>
      <c r="C42" s="2" t="inlineStr">
        <is>
          <t>Net rentable / gross buildable</t>
        </is>
      </c>
    </row>
    <row r="43">
      <c r="A43" s="5" t="inlineStr">
        <is>
          <t>Existing Structure Cost</t>
        </is>
      </c>
      <c r="B43" s="12" t="n">
        <v>0</v>
      </c>
      <c r="C43" s="2" t="inlineStr">
        <is>
          <t>Demo / existing structure</t>
        </is>
      </c>
    </row>
    <row r="45">
      <c r="A45" s="3" t="inlineStr">
        <is>
          <t>Property Taxes</t>
        </is>
      </c>
      <c r="B45" s="4" t="n"/>
      <c r="C45" s="4" t="n"/>
    </row>
    <row r="46">
      <c r="A46" s="5" t="inlineStr">
        <is>
          <t>Tax Levy Pct</t>
        </is>
      </c>
      <c r="B46" s="9" t="n">
        <v>0.0185</v>
      </c>
      <c r="C46" s="2" t="inlineStr">
        <is>
          <t>Levy / mill rate (% of assessed)</t>
        </is>
      </c>
    </row>
    <row r="47">
      <c r="A47" s="5" t="inlineStr">
        <is>
          <t>Tax Assessment Pct</t>
        </is>
      </c>
      <c r="B47" s="11" t="n">
        <v>1</v>
      </c>
      <c r="C47" s="2" t="inlineStr">
        <is>
          <t>Assessment ratio (% of value)</t>
        </is>
      </c>
    </row>
    <row r="48">
      <c r="A48" s="5" t="inlineStr">
        <is>
          <t>Tax Value Adj Factor</t>
        </is>
      </c>
      <c r="B48" s="13" t="n">
        <v>1</v>
      </c>
      <c r="C48" s="2" t="inlineStr">
        <is>
          <t>Value-adjustment factor</t>
        </is>
      </c>
    </row>
    <row r="49">
      <c r="A49" s="5" t="inlineStr">
        <is>
          <t>Tax Method Value</t>
        </is>
      </c>
      <c r="B49" s="10" t="n">
        <v>1</v>
      </c>
      <c r="C49" s="2" t="inlineStr">
        <is>
          <t>Post-stab method: 1=value approach, 0=income approach</t>
        </is>
      </c>
    </row>
    <row r="50">
      <c r="A50" s="5" t="inlineStr">
        <is>
          <t>Tax Year1</t>
        </is>
      </c>
      <c r="B50" s="12" t="n">
        <v>650000</v>
      </c>
      <c r="C50" s="2" t="inlineStr">
        <is>
          <t>Year-1 stabilized tax (value approach)</t>
        </is>
      </c>
    </row>
    <row r="51">
      <c r="A51" s="5" t="inlineStr">
        <is>
          <t>Reassess On Sale</t>
        </is>
      </c>
      <c r="B51" s="10" t="n">
        <v>1</v>
      </c>
      <c r="C51" s="2" t="inlineStr">
        <is>
          <t>1=reassess buyer taxes on sale value, 0=in-place</t>
        </is>
      </c>
    </row>
    <row r="52">
      <c r="A52" s="5" t="inlineStr">
        <is>
          <t>Dispo Tax Rate Pct</t>
        </is>
      </c>
      <c r="B52" s="9" t="n">
        <v>0.0185</v>
      </c>
      <c r="C52" s="2" t="inlineStr">
        <is>
          <t>Disposition-period effective tax rate on value</t>
        </is>
      </c>
    </row>
    <row r="54">
      <c r="A54" s="3" t="inlineStr">
        <is>
          <t>Capitalization &amp; Funding</t>
        </is>
      </c>
      <c r="B54" s="4" t="n"/>
      <c r="C54" s="4" t="n"/>
    </row>
    <row r="55">
      <c r="A55" s="5" t="inlineStr">
        <is>
          <t>Funding Order Pari</t>
        </is>
      </c>
      <c r="B55" s="10" t="n">
        <v>0</v>
      </c>
      <c r="C55" s="2" t="inlineStr">
        <is>
          <t>1=pari-passu, 0=equity-first</t>
        </is>
      </c>
    </row>
    <row r="56">
      <c r="A56" s="5" t="inlineStr">
        <is>
          <t>Target LTC</t>
        </is>
      </c>
      <c r="B56" s="9" t="n">
        <v>0.65</v>
      </c>
      <c r="C56" s="2" t="inlineStr">
        <is>
          <t>Target construction loan-to-cost</t>
        </is>
      </c>
    </row>
    <row r="57">
      <c r="A57" s="5" t="inlineStr">
        <is>
          <t>Op Reserve Coverage</t>
        </is>
      </c>
      <c r="B57" s="14" t="n">
        <v>1.1</v>
      </c>
      <c r="C57" s="2" t="inlineStr">
        <is>
          <t>Operating reserve coverage multiple on peak shortfall</t>
        </is>
      </c>
    </row>
    <row r="58">
      <c r="A58" s="5" t="inlineStr">
        <is>
          <t>Op Reserve Min Months</t>
        </is>
      </c>
      <c r="B58" s="10" t="n">
        <v>3</v>
      </c>
      <c r="C58" s="2" t="inlineStr">
        <is>
          <t>Minimum months of stabilized opex floor for reserve</t>
        </is>
      </c>
    </row>
    <row r="60">
      <c r="A60" s="3" t="inlineStr">
        <is>
          <t>Construction Loan</t>
        </is>
      </c>
      <c r="B60" s="4" t="n"/>
      <c r="C60" s="4" t="n"/>
    </row>
    <row r="61">
      <c r="A61" s="5" t="inlineStr">
        <is>
          <t>Con Loan Term Months</t>
        </is>
      </c>
      <c r="B61" s="8" t="n">
        <v>36</v>
      </c>
      <c r="C61" s="2" t="inlineStr">
        <is>
          <t>Construction loan term</t>
        </is>
      </c>
    </row>
    <row r="62">
      <c r="A62" s="5" t="inlineStr">
        <is>
          <t>Con Rate</t>
        </is>
      </c>
      <c r="B62" s="9" t="n">
        <v>0.08500000000000001</v>
      </c>
      <c r="C62" s="2" t="inlineStr">
        <is>
          <t>Construction interest rate (annual)</t>
        </is>
      </c>
    </row>
    <row r="63">
      <c r="A63" s="5" t="inlineStr">
        <is>
          <t>Con Actual360</t>
        </is>
      </c>
      <c r="B63" s="10" t="n">
        <v>1</v>
      </c>
      <c r="C63" s="2" t="inlineStr">
        <is>
          <t>1=Actual/360, 0=30/360</t>
        </is>
      </c>
    </row>
    <row r="64">
      <c r="A64" s="5" t="inlineStr">
        <is>
          <t>Con Points Pct</t>
        </is>
      </c>
      <c r="B64" s="9" t="n">
        <v>0.01</v>
      </c>
      <c r="C64" s="2" t="inlineStr">
        <is>
          <t>Origination points</t>
        </is>
      </c>
    </row>
    <row r="65">
      <c r="A65" s="5" t="inlineStr">
        <is>
          <t>Con Other Costs</t>
        </is>
      </c>
      <c r="B65" s="12" t="n">
        <v>250000</v>
      </c>
      <c r="C65" s="2" t="inlineStr">
        <is>
          <t>Other construction loan costs</t>
        </is>
      </c>
    </row>
    <row r="66">
      <c r="A66" s="5" t="inlineStr">
        <is>
          <t>Con Min Debt Yield</t>
        </is>
      </c>
      <c r="B66" s="9" t="n">
        <v>0.07000000000000001</v>
      </c>
      <c r="C66" s="2" t="inlineStr">
        <is>
          <t>Min stabilized debt yield (sizing)</t>
        </is>
      </c>
    </row>
    <row r="67">
      <c r="A67" s="5" t="inlineStr">
        <is>
          <t>Con Min DSCR</t>
        </is>
      </c>
      <c r="B67" s="14" t="n">
        <v>1.2</v>
      </c>
      <c r="C67" s="2" t="inlineStr">
        <is>
          <t>Min DSCR at target (sizing)</t>
        </is>
      </c>
    </row>
    <row r="68">
      <c r="A68" s="5" t="inlineStr">
        <is>
          <t>Lender Req Reserve Override</t>
        </is>
      </c>
      <c r="B68" s="12" t="n">
        <v>0</v>
      </c>
      <c r="C68" s="2" t="inlineStr">
        <is>
          <t>If &gt;0, overrides computed interest reserve</t>
        </is>
      </c>
    </row>
    <row r="70">
      <c r="A70" s="3" t="inlineStr">
        <is>
          <t>Permanent Loan (Refinance)</t>
        </is>
      </c>
      <c r="B70" s="4" t="n"/>
      <c r="C70" s="4" t="n"/>
    </row>
    <row r="71">
      <c r="A71" s="5" t="inlineStr">
        <is>
          <t>Perm Max LTV</t>
        </is>
      </c>
      <c r="B71" s="9" t="n">
        <v>0.65</v>
      </c>
      <c r="C71" s="2" t="inlineStr">
        <is>
          <t>Max permanent loan-to-value</t>
        </is>
      </c>
    </row>
    <row r="72">
      <c r="A72" s="5" t="inlineStr">
        <is>
          <t>Perm Rate</t>
        </is>
      </c>
      <c r="B72" s="9" t="n">
        <v>0.0625</v>
      </c>
      <c r="C72" s="2" t="inlineStr">
        <is>
          <t>Permanent interest rate (annual)</t>
        </is>
      </c>
    </row>
    <row r="73">
      <c r="A73" s="5" t="inlineStr">
        <is>
          <t>Perm Term Months</t>
        </is>
      </c>
      <c r="B73" s="8" t="n">
        <v>360</v>
      </c>
      <c r="C73" s="2" t="inlineStr">
        <is>
          <t>Permanent loan term</t>
        </is>
      </c>
    </row>
    <row r="74">
      <c r="A74" s="5" t="inlineStr">
        <is>
          <t>Perm IOMonths</t>
        </is>
      </c>
      <c r="B74" s="8" t="n">
        <v>24</v>
      </c>
      <c r="C74" s="2" t="inlineStr">
        <is>
          <t>Permanent interest-only period</t>
        </is>
      </c>
    </row>
    <row r="75">
      <c r="A75" s="5" t="inlineStr">
        <is>
          <t>Perm Amort Months</t>
        </is>
      </c>
      <c r="B75" s="8" t="n">
        <v>360</v>
      </c>
      <c r="C75" s="2" t="inlineStr">
        <is>
          <t>Permanent amortization period</t>
        </is>
      </c>
    </row>
    <row r="76">
      <c r="A76" s="5" t="inlineStr">
        <is>
          <t>Perm Actual360</t>
        </is>
      </c>
      <c r="B76" s="10" t="n">
        <v>0</v>
      </c>
      <c r="C76" s="2" t="inlineStr">
        <is>
          <t>1=Actual/360, 0=30/360</t>
        </is>
      </c>
    </row>
    <row r="77">
      <c r="A77" s="5" t="inlineStr">
        <is>
          <t>Perm Points Pct</t>
        </is>
      </c>
      <c r="B77" s="9" t="n">
        <v>0.0075</v>
      </c>
      <c r="C77" s="2" t="inlineStr">
        <is>
          <t>Permanent loan points</t>
        </is>
      </c>
    </row>
    <row r="78">
      <c r="A78" s="5" t="inlineStr">
        <is>
          <t>Perm Min Debt Yield</t>
        </is>
      </c>
      <c r="B78" s="9" t="n">
        <v>0.08</v>
      </c>
      <c r="C78" s="2" t="inlineStr">
        <is>
          <t>Min debt yield at refi (sizing)</t>
        </is>
      </c>
    </row>
    <row r="79">
      <c r="A79" s="5" t="inlineStr">
        <is>
          <t>Perm Min DSCR</t>
        </is>
      </c>
      <c r="B79" s="14" t="n">
        <v>1.15</v>
      </c>
      <c r="C79" s="2" t="inlineStr">
        <is>
          <t>Min DSCR at refi (sizing)</t>
        </is>
      </c>
    </row>
    <row r="80">
      <c r="A80" s="5" t="inlineStr">
        <is>
          <t>No Cash Out</t>
        </is>
      </c>
      <c r="B80" s="10" t="n">
        <v>0</v>
      </c>
      <c r="C80" s="2" t="inlineStr">
        <is>
          <t>1=size perm so net cash at refi = 0</t>
        </is>
      </c>
    </row>
    <row r="81">
      <c r="A81" s="5" t="inlineStr">
        <is>
          <t>Refi Month Override</t>
        </is>
      </c>
      <c r="B81" s="10" t="n">
        <v>0</v>
      </c>
      <c r="C81" s="2" t="inlineStr">
        <is>
          <t>If &gt;0, override refi month (else = con maturity)</t>
        </is>
      </c>
    </row>
    <row r="83">
      <c r="A83" s="3" t="inlineStr">
        <is>
          <t>Sponsor Fees</t>
        </is>
      </c>
      <c r="B83" s="4" t="n"/>
      <c r="C83" s="4" t="n"/>
    </row>
    <row r="84">
      <c r="A84" s="5" t="inlineStr">
        <is>
          <t>Dev Fee Pct Direct</t>
        </is>
      </c>
      <c r="B84" s="9" t="n">
        <v>0.04</v>
      </c>
      <c r="C84" s="2" t="inlineStr">
        <is>
          <t>Development fee % of direct costs</t>
        </is>
      </c>
    </row>
    <row r="85">
      <c r="A85" s="5" t="inlineStr">
        <is>
          <t>Dev Fee Third Party Split</t>
        </is>
      </c>
      <c r="B85" s="9" t="n">
        <v>0</v>
      </c>
      <c r="C85" s="2" t="inlineStr">
        <is>
          <t>Portion of dev fee paid to 3rd party</t>
        </is>
      </c>
    </row>
    <row r="86">
      <c r="A86" s="5" t="inlineStr">
        <is>
          <t>Sponsor Dispo Fee Pct</t>
        </is>
      </c>
      <c r="B86" s="9" t="n">
        <v>0.01</v>
      </c>
      <c r="C86" s="2" t="inlineStr">
        <is>
          <t>Sponsor disposition fee % of sale</t>
        </is>
      </c>
    </row>
    <row r="87">
      <c r="A87" s="5" t="inlineStr">
        <is>
          <t>Recourse Fee Pct</t>
        </is>
      </c>
      <c r="B87" s="9" t="n">
        <v>0.0025</v>
      </c>
      <c r="C87" s="2" t="inlineStr">
        <is>
          <t>Loan recourse / indemnity fee % of loan</t>
        </is>
      </c>
    </row>
    <row r="89">
      <c r="A89" s="3" t="inlineStr">
        <is>
          <t>Disposition &amp; Sale</t>
        </is>
      </c>
      <c r="B89" s="4" t="n"/>
      <c r="C89" s="4" t="n"/>
    </row>
    <row r="90">
      <c r="A90" s="5" t="inlineStr">
        <is>
          <t>Broker Cost Pct</t>
        </is>
      </c>
      <c r="B90" s="9" t="n">
        <v>0.015</v>
      </c>
      <c r="C90" s="2" t="inlineStr">
        <is>
          <t>Broker / sale cost % of gross sale</t>
        </is>
      </c>
    </row>
    <row r="91">
      <c r="A91" s="5" t="inlineStr">
        <is>
          <t>Sales Tax Pct</t>
        </is>
      </c>
      <c r="B91" s="9" t="n">
        <v>0</v>
      </c>
      <c r="C91" s="2" t="inlineStr">
        <is>
          <t>Transfer / sales tax % of gross sale</t>
        </is>
      </c>
    </row>
    <row r="92">
      <c r="A92" s="5" t="inlineStr">
        <is>
          <t>Tax Proration Months</t>
        </is>
      </c>
      <c r="B92" s="8" t="n">
        <v>2</v>
      </c>
      <c r="C92" s="2" t="inlineStr">
        <is>
          <t>Property-tax proration at sale (months)</t>
        </is>
      </c>
    </row>
    <row r="94">
      <c r="A94" s="3" t="inlineStr">
        <is>
          <t>Stabilized Revenue (other income)</t>
        </is>
      </c>
      <c r="B94" s="4" t="n"/>
      <c r="C94" s="4" t="n"/>
    </row>
    <row r="95">
      <c r="A95" s="5" t="inlineStr">
        <is>
          <t>Bad Debt Pct</t>
        </is>
      </c>
      <c r="B95" s="9" t="n">
        <v>0.005</v>
      </c>
      <c r="C95" s="2" t="inlineStr">
        <is>
          <t>Bad debt % of GPR</t>
        </is>
      </c>
    </row>
    <row r="96">
      <c r="A96" s="5" t="inlineStr">
        <is>
          <t>Concessions Pct</t>
        </is>
      </c>
      <c r="B96" s="9" t="n">
        <v>0.01</v>
      </c>
      <c r="C96" s="2" t="inlineStr">
        <is>
          <t>Concessions % of GPR</t>
        </is>
      </c>
    </row>
    <row r="97">
      <c r="A97" s="5" t="inlineStr">
        <is>
          <t>Loss To Lease Pct</t>
        </is>
      </c>
      <c r="B97" s="9" t="n">
        <v>0.01</v>
      </c>
      <c r="C97" s="2" t="inlineStr">
        <is>
          <t>Gain/loss-to-lease % of GPR</t>
        </is>
      </c>
    </row>
    <row r="98">
      <c r="A98" s="5" t="inlineStr">
        <is>
          <t>Model Units</t>
        </is>
      </c>
      <c r="B98" s="10" t="n">
        <v>1</v>
      </c>
      <c r="C98" s="2" t="inlineStr">
        <is>
          <t>Down / model units (non-revenue)</t>
        </is>
      </c>
    </row>
    <row r="99">
      <c r="A99" s="5" t="inlineStr">
        <is>
          <t>Parking Per Unit Mo</t>
        </is>
      </c>
      <c r="B99" s="12" t="n">
        <v>35</v>
      </c>
      <c r="C99" s="2" t="inlineStr">
        <is>
          <t>Parking &amp; storage income $/unit/mo</t>
        </is>
      </c>
    </row>
    <row r="100">
      <c r="A100" s="5" t="inlineStr">
        <is>
          <t>Retail Income Mo</t>
        </is>
      </c>
      <c r="B100" s="12" t="n">
        <v>18000</v>
      </c>
      <c r="C100" s="2" t="inlineStr">
        <is>
          <t>Retail income $/mo (stabilized)</t>
        </is>
      </c>
    </row>
    <row r="101">
      <c r="A101" s="5" t="inlineStr">
        <is>
          <t>Util Reimb Per Unit Mo</t>
        </is>
      </c>
      <c r="B101" s="12" t="n">
        <v>45</v>
      </c>
      <c r="C101" s="2" t="inlineStr">
        <is>
          <t>Utility reimbursement $/unit/mo</t>
        </is>
      </c>
    </row>
    <row r="102">
      <c r="A102" s="5" t="inlineStr">
        <is>
          <t>Other Inc Per Unit Mo</t>
        </is>
      </c>
      <c r="B102" s="12" t="n">
        <v>25</v>
      </c>
      <c r="C102" s="2" t="inlineStr">
        <is>
          <t>Other income $/unit/mo</t>
        </is>
      </c>
    </row>
    <row r="104">
      <c r="A104" s="3" t="inlineStr">
        <is>
          <t>Stabilized Operating Expenses (annual)</t>
        </is>
      </c>
      <c r="B104" s="4" t="n"/>
      <c r="C104" s="4" t="n"/>
    </row>
    <row r="105">
      <c r="A105" s="5" t="inlineStr">
        <is>
          <t>Exp Insurance Per Unit</t>
        </is>
      </c>
      <c r="B105" s="12" t="n">
        <v>425</v>
      </c>
      <c r="C105" s="2" t="inlineStr">
        <is>
          <t>Insurance $/unit/yr</t>
        </is>
      </c>
    </row>
    <row r="106">
      <c r="A106" s="5" t="inlineStr">
        <is>
          <t>Exp Utilities Per Unit</t>
        </is>
      </c>
      <c r="B106" s="12" t="n">
        <v>900</v>
      </c>
      <c r="C106" s="2" t="inlineStr">
        <is>
          <t>Utilities $/unit/yr (variable)</t>
        </is>
      </c>
    </row>
    <row r="107">
      <c r="A107" s="5" t="inlineStr">
        <is>
          <t>Exp Payroll Per Unit</t>
        </is>
      </c>
      <c r="B107" s="12" t="n">
        <v>1300</v>
      </c>
      <c r="C107" s="2" t="inlineStr">
        <is>
          <t>Payroll $/unit/yr (elevated in lease-up)</t>
        </is>
      </c>
    </row>
    <row r="108">
      <c r="A108" s="5" t="inlineStr">
        <is>
          <t>Exp RMPer Unit</t>
        </is>
      </c>
      <c r="B108" s="12" t="n">
        <v>650</v>
      </c>
      <c r="C108" s="2" t="inlineStr">
        <is>
          <t>Repairs &amp; maintenance $/unit/yr (variable)</t>
        </is>
      </c>
    </row>
    <row r="109">
      <c r="A109" s="5" t="inlineStr">
        <is>
          <t>Exp Turnover Per Unit</t>
        </is>
      </c>
      <c r="B109" s="12" t="n">
        <v>250</v>
      </c>
      <c r="C109" s="2" t="inlineStr">
        <is>
          <t>Turnover $/unit/yr (variable)</t>
        </is>
      </c>
    </row>
    <row r="110">
      <c r="A110" s="5" t="inlineStr">
        <is>
          <t>Exp Contract Per Unit</t>
        </is>
      </c>
      <c r="B110" s="12" t="n">
        <v>500</v>
      </c>
      <c r="C110" s="2" t="inlineStr">
        <is>
          <t>Contract services $/unit/yr (variable)</t>
        </is>
      </c>
    </row>
    <row r="111">
      <c r="A111" s="5" t="inlineStr">
        <is>
          <t>Exp Admin Per Unit</t>
        </is>
      </c>
      <c r="B111" s="12" t="n">
        <v>300</v>
      </c>
      <c r="C111" s="2" t="inlineStr">
        <is>
          <t>Admin &amp; legal $/unit/yr</t>
        </is>
      </c>
    </row>
    <row r="112">
      <c r="A112" s="5" t="inlineStr">
        <is>
          <t>Exp Advertising Per Unit</t>
        </is>
      </c>
      <c r="B112" s="12" t="n">
        <v>200</v>
      </c>
      <c r="C112" s="2" t="inlineStr">
        <is>
          <t>Advertising $/unit/yr (elevated in lease-up)</t>
        </is>
      </c>
    </row>
    <row r="113">
      <c r="A113" s="5" t="inlineStr">
        <is>
          <t>Mgmt Fee Pct</t>
        </is>
      </c>
      <c r="B113" s="9" t="n">
        <v>0.03</v>
      </c>
      <c r="C113" s="2" t="inlineStr">
        <is>
          <t>Management fee % of EGI</t>
        </is>
      </c>
    </row>
    <row r="114">
      <c r="A114" s="5" t="inlineStr">
        <is>
          <t>Cap Reserve Per Unit</t>
        </is>
      </c>
      <c r="B114" s="12" t="n">
        <v>250</v>
      </c>
      <c r="C114" s="2" t="inlineStr">
        <is>
          <t>Capital reserves $/unit/yr (below NOI)</t>
        </is>
      </c>
    </row>
    <row r="115">
      <c r="A115" s="5" t="inlineStr">
        <is>
          <t>Tax Prep Per Unit</t>
        </is>
      </c>
      <c r="B115" s="12" t="n">
        <v>15</v>
      </c>
      <c r="C115" s="2" t="inlineStr">
        <is>
          <t>Tax prep $/unit/yr (below NOI)</t>
        </is>
      </c>
    </row>
    <row r="116">
      <c r="A116" s="5" t="inlineStr">
        <is>
          <t>Asset Mgmt Fee Pct</t>
        </is>
      </c>
      <c r="B116" s="9" t="n">
        <v>0.01</v>
      </c>
      <c r="C116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Property Taxes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700000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Insurance (Dev)</t>
        </is>
      </c>
      <c r="B14" s="5" t="inlineStr">
        <is>
          <t>Soft</t>
        </is>
      </c>
      <c r="C14" s="5" t="inlineStr">
        <is>
          <t>Soft</t>
        </is>
      </c>
      <c r="D14" s="6" t="inlineStr">
        <is>
          <t>abs</t>
        </is>
      </c>
      <c r="E14" s="29" t="n">
        <v>500000</v>
      </c>
      <c r="F14" s="6" t="inlineStr">
        <is>
          <t>Construction</t>
        </is>
      </c>
      <c r="G14" s="6" t="inlineStr">
        <is>
          <t>Straight_Line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GC Contract (Hard)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sf</t>
        </is>
      </c>
      <c r="E15" s="13" t="n">
        <v>200</v>
      </c>
      <c r="F15" s="6" t="inlineStr">
        <is>
          <t>Construction</t>
        </is>
      </c>
      <c r="G15" s="6" t="inlineStr">
        <is>
          <t>Bell_Curve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Off-Site Improvements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1200000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Utilities &amp; Hookups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900000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Builder's Risk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abs</t>
        </is>
      </c>
      <c r="E18" s="29" t="n">
        <v>350000</v>
      </c>
      <c r="F18" s="6" t="inlineStr">
        <is>
          <t>Construction</t>
        </is>
      </c>
      <c r="G18" s="6" t="inlineStr">
        <is>
          <t>Straight_Line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Hard Cost Contingency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10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GC Fee</t>
        </is>
      </c>
      <c r="B20" s="5" t="inlineStr">
        <is>
          <t>Hard</t>
        </is>
      </c>
      <c r="C20" s="5" t="inlineStr">
        <is>
          <t>Hard</t>
        </is>
      </c>
      <c r="D20" s="6" t="inlineStr">
        <is>
          <t>sf</t>
        </is>
      </c>
      <c r="E20" s="13" t="n">
        <v>12</v>
      </c>
      <c r="F20" s="6" t="inlineStr">
        <is>
          <t>Construction</t>
        </is>
      </c>
      <c r="G20" s="6" t="inlineStr">
        <is>
          <t>Bell_Curve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1 - FF&amp;E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unit</t>
        </is>
      </c>
      <c r="E21" s="13" t="n">
        <v>800</v>
      </c>
      <c r="F21" s="6" t="inlineStr">
        <is>
          <t>Pre-Construction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2 - Permits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250000</v>
      </c>
      <c r="F22" s="6" t="inlineStr">
        <is>
          <t>Entitlement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3 - Testing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120000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4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5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Soft Cost 6</t>
        </is>
      </c>
      <c r="B26" s="5" t="inlineStr">
        <is>
          <t>Soft</t>
        </is>
      </c>
      <c r="C26" s="5" t="inlineStr">
        <is>
          <t>Soft</t>
        </is>
      </c>
      <c r="D26" s="6" t="inlineStr">
        <is>
          <t>abs</t>
        </is>
      </c>
      <c r="E26" s="29" t="n">
        <v>0</v>
      </c>
      <c r="F26" s="6" t="inlineStr">
        <is>
          <t>Construction</t>
        </is>
      </c>
      <c r="G26" s="6" t="inlineStr">
        <is>
          <t>Straight_Line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1 - Landscape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650000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2 - Amenity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900000</v>
      </c>
      <c r="F28" s="6" t="inlineStr">
        <is>
          <t>Construction</t>
        </is>
      </c>
      <c r="G28" s="6" t="inlineStr">
        <is>
          <t>Bell_Curve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3 - Signage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150000</v>
      </c>
      <c r="F29" s="6" t="inlineStr">
        <is>
          <t>Construction</t>
        </is>
      </c>
      <c r="G29" s="6" t="inlineStr">
        <is>
          <t>Straight_Line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4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5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2">
      <c r="A32" s="5" t="inlineStr">
        <is>
          <t>Other Hard Cost 6</t>
        </is>
      </c>
      <c r="B32" s="5" t="inlineStr">
        <is>
          <t>Hard</t>
        </is>
      </c>
      <c r="C32" s="5" t="inlineStr">
        <is>
          <t>Hard</t>
        </is>
      </c>
      <c r="D32" s="6" t="inlineStr">
        <is>
          <t>abs</t>
        </is>
      </c>
      <c r="E32" s="29" t="n">
        <v>0</v>
      </c>
      <c r="F32" s="6" t="inlineStr">
        <is>
          <t>Construction</t>
        </is>
      </c>
      <c r="G32" s="6" t="inlineStr">
        <is>
          <t>Bell_Curve</t>
        </is>
      </c>
      <c r="H32" s="10" t="n">
        <v>0</v>
      </c>
      <c r="I32" s="18">
        <f>IF(D32="abs",E32,IF(D32="unit",E32*TotalUnits,IF(D32="sf",E32*NRSF,E32)))</f>
        <v/>
      </c>
      <c r="J32" s="18">
        <f>IF(TotalUnits=0,0,I32/TotalUnits)</f>
        <v/>
      </c>
      <c r="K32" s="19">
        <f>IF(NRSF=0,0,I32/NRSF)</f>
        <v/>
      </c>
    </row>
    <row r="34">
      <c r="A34" s="15" t="inlineStr">
        <is>
          <t>Budget Summary</t>
        </is>
      </c>
      <c r="B34" s="23" t="n"/>
      <c r="C34" s="23" t="n"/>
      <c r="D34" s="23" t="n"/>
    </row>
    <row r="35">
      <c r="A35" s="21" t="inlineStr">
        <is>
          <t>Land</t>
        </is>
      </c>
      <c r="I35" s="30">
        <f>SUMIF(B5:B32,"Land",I5:I32)</f>
        <v/>
      </c>
    </row>
    <row r="36">
      <c r="A36" s="21" t="inlineStr">
        <is>
          <t>Soft Costs</t>
        </is>
      </c>
      <c r="I36" s="30">
        <f>SUMIF(B5:B32,"Soft",I5:I32)</f>
        <v/>
      </c>
    </row>
    <row r="37">
      <c r="A37" s="21" t="inlineStr">
        <is>
          <t>Hard Costs</t>
        </is>
      </c>
      <c r="I37" s="30">
        <f>SUMIF(B5:B32,"Hard",I5:I32)</f>
        <v/>
      </c>
    </row>
    <row r="38">
      <c r="A38" s="21" t="inlineStr">
        <is>
          <t>Direct Costs (subtotal)</t>
        </is>
      </c>
      <c r="I38" s="30">
        <f>SUM(I5:I32)</f>
        <v/>
      </c>
    </row>
    <row r="39">
      <c r="A39" s="21" t="inlineStr">
        <is>
          <t>Sponsor Development Fee</t>
        </is>
      </c>
      <c r="I39" s="30">
        <f>DevFeePctDirect*DirectCosts</f>
        <v/>
      </c>
    </row>
    <row r="40">
      <c r="A40" s="21" t="inlineStr">
        <is>
          <t>Total Development Cost (per Diagnostics)</t>
        </is>
      </c>
      <c r="I40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2026-07-02T16:33:59Z</dcterms:created>
  <dcterms:modified xsi:type="dcterms:W3CDTF">2026-07-02T16:33:59Z</dcterms:modified>
</cp:coreProperties>
</file>