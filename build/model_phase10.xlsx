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LeaseUpIncomeOffset">'Inputs'!$B$30</definedName>
    <definedName name="UnitsDeliveredPerMo">'Inputs'!$B$31</definedName>
    <definedName name="UnitsLeasedPerMo">'Inputs'!$B$32</definedName>
    <definedName name="LeaseUpRampPct">'Inputs'!$B$33</definedName>
    <definedName name="LeaseUpElevationPct">'Inputs'!$B$34</definedName>
    <definedName name="StabilizedOccupancy">'Inputs'!$B$35</definedName>
    <definedName name="LandCost">'Inputs'!$B$38</definedName>
    <definedName name="GrossAcres">'Inputs'!$B$39</definedName>
    <definedName name="NetAcres">'Inputs'!$B$40</definedName>
    <definedName name="FARRatio">'Inputs'!$B$41</definedName>
    <definedName name="EfficiencyRatio">'Inputs'!$B$42</definedName>
    <definedName name="ExistingStructureCost">'Inputs'!$B$43</definedName>
    <definedName name="TaxLevyPct">'Inputs'!$B$46</definedName>
    <definedName name="TaxAssessmentPct">'Inputs'!$B$47</definedName>
    <definedName name="TaxValueAdjFactor">'Inputs'!$B$48</definedName>
    <definedName name="TaxMethodValue">'Inputs'!$B$49</definedName>
    <definedName name="TaxYear1">'Inputs'!$B$50</definedName>
    <definedName name="ReassessOnSale">'Inputs'!$B$51</definedName>
    <definedName name="DispoTaxRatePct">'Inputs'!$B$52</definedName>
    <definedName name="FundingOrderPari">'Inputs'!$B$55</definedName>
    <definedName name="TargetLTC">'Inputs'!$B$56</definedName>
    <definedName name="OpReserveCoverage">'Inputs'!$B$57</definedName>
    <definedName name="OpReserveMinMonths">'Inputs'!$B$58</definedName>
    <definedName name="ConLoanTermMonths">'Inputs'!$B$61</definedName>
    <definedName name="ConRate">'Inputs'!$B$62</definedName>
    <definedName name="ConActual360">'Inputs'!$B$63</definedName>
    <definedName name="ConPointsPct">'Inputs'!$B$64</definedName>
    <definedName name="ConOtherCosts">'Inputs'!$B$65</definedName>
    <definedName name="ConMinDebtYield">'Inputs'!$B$66</definedName>
    <definedName name="ConMinDSCR">'Inputs'!$B$67</definedName>
    <definedName name="LenderReqReserveOverride">'Inputs'!$B$68</definedName>
    <definedName name="PermMaxLTV">'Inputs'!$B$71</definedName>
    <definedName name="PermRate">'Inputs'!$B$72</definedName>
    <definedName name="PermTermMonths">'Inputs'!$B$73</definedName>
    <definedName name="PermIOMonths">'Inputs'!$B$74</definedName>
    <definedName name="PermAmortMonths">'Inputs'!$B$75</definedName>
    <definedName name="PermActual360">'Inputs'!$B$76</definedName>
    <definedName name="PermPointsPct">'Inputs'!$B$77</definedName>
    <definedName name="PermMinDebtYield">'Inputs'!$B$78</definedName>
    <definedName name="PermMinDSCR">'Inputs'!$B$79</definedName>
    <definedName name="NoCashOut">'Inputs'!$B$80</definedName>
    <definedName name="RefiMonthOverride">'Inputs'!$B$81</definedName>
    <definedName name="DevFeePctDirect">'Inputs'!$B$84</definedName>
    <definedName name="DevFeeThirdPartySplit">'Inputs'!$B$85</definedName>
    <definedName name="SponsorDispoFeePct">'Inputs'!$B$86</definedName>
    <definedName name="RecourseFeePct">'Inputs'!$B$87</definedName>
    <definedName name="BrokerCostPct">'Inputs'!$B$90</definedName>
    <definedName name="SalesTaxPct">'Inputs'!$B$91</definedName>
    <definedName name="TaxProrationMonths">'Inputs'!$B$92</definedName>
    <definedName name="BadDebtPct">'Inputs'!$B$95</definedName>
    <definedName name="ConcessionsPct">'Inputs'!$B$96</definedName>
    <definedName name="LossToLeasePct">'Inputs'!$B$97</definedName>
    <definedName name="ModelUnits">'Inputs'!$B$98</definedName>
    <definedName name="ParkingPerUnitMo">'Inputs'!$B$99</definedName>
    <definedName name="RetailIncomeMo">'Inputs'!$B$100</definedName>
    <definedName name="UtilReimbPerUnitMo">'Inputs'!$B$101</definedName>
    <definedName name="OtherIncPerUnitMo">'Inputs'!$B$102</definedName>
    <definedName name="ExpInsurancePerUnit">'Inputs'!$B$105</definedName>
    <definedName name="ExpUtilitiesPerUnit">'Inputs'!$B$106</definedName>
    <definedName name="ExpPayrollPerUnit">'Inputs'!$B$107</definedName>
    <definedName name="ExpRMPerUnit">'Inputs'!$B$108</definedName>
    <definedName name="ExpTurnoverPerUnit">'Inputs'!$B$109</definedName>
    <definedName name="ExpContractPerUnit">'Inputs'!$B$110</definedName>
    <definedName name="ExpAdminPerUnit">'Inputs'!$B$111</definedName>
    <definedName name="ExpAdvertisingPerUnit">'Inputs'!$B$112</definedName>
    <definedName name="MgmtFeePct">'Inputs'!$B$113</definedName>
    <definedName name="CapReservePerUnit">'Inputs'!$B$114</definedName>
    <definedName name="TaxPrepPerUnit">'Inputs'!$B$115</definedName>
    <definedName name="AssetMgmtFeePct">'Inputs'!$B$116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'Budget'!$I$35</definedName>
    <definedName name="BudgetSoft">'Budget'!$I$36</definedName>
    <definedName name="BudgetHard">'Budget'!$I$37</definedName>
    <definedName name="DirectCosts">'Budget'!$I$38</definedName>
    <definedName name="DevFee">'Budget'!$I$39</definedName>
    <definedName name="BudgetTDCref">'Budget'!$I$40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RefiFlag">'Timeline'!$B$22</definedName>
    <definedName name="RefiMonth">'Timeline'!$B$23</definedName>
    <definedName name="ConPayoffMonth">'Timeline'!$B$24</definedName>
    <definedName name="Chk_CostCurve">'DevSpend'!$C$38</definedName>
    <definedName name="Chk_DevFeeCurve">'DevSpend'!$C$39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'LeaseUp'!$B$12</definedName>
    <definedName name="Chk_UnitsDelivered">'LeaseUp'!$B$13</definedName>
    <definedName name="StabNOI">'Operating'!$B$46</definedName>
    <definedName name="Year1NOI">'Operating'!$B$47</definedName>
    <definedName name="PeakShort">'Operating'!$B$48</definedName>
    <definedName name="OpReserve">'Operating'!$B$49</definedName>
    <definedName name="EffTaxRateOnValue">'Operating'!$B$52</definedName>
    <definedName name="DispoEffTaxRate">'Operating'!$B$53</definedName>
    <definedName name="StabTaxAnnual">'Operating'!$B$54</definedName>
    <definedName name="Chk_TaxMethod">'Operating'!$B$55</definedName>
    <definedName name="StabNOIrefi">'PermLoan'!$B$4</definedName>
    <definedName name="ValueAtRefi">'PermLoan'!$B$5</definedName>
    <definedName name="MortConst">'PermLoan'!$B$6</definedName>
    <definedName name="MaxLTVperm">'PermLoan'!$B$7</definedName>
    <definedName name="MaxDYperm">'PermLoan'!$B$8</definedName>
    <definedName name="MaxDSCRperm">'PermLoan'!$B$9</definedName>
    <definedName name="PermSized">'PermLoan'!$B$10</definedName>
    <definedName name="PermNeedNCO">'PermLoan'!$B$11</definedName>
    <definedName name="PermLoan">'PermLoan'!$B$12</definedName>
    <definedName name="PermPoints">'PermLoan'!$B$13</definedName>
    <definedName name="RefiCashOut">'PermLoan'!$B$14</definedName>
    <definedName name="PermPmt">'PermLoan'!$B$15</definedName>
    <definedName name="PermLTVtest">'PermLoan'!$B$18</definedName>
    <definedName name="PermDYtest">'PermLoan'!$B$19</definedName>
    <definedName name="PermDSCRtest">'PermLoan'!$B$20</definedName>
    <definedName name="PermPayoffBal">'PermLoan'!$B$32</definedName>
    <definedName name="Chk_RefiBalance">'PermLoan'!$B$33</definedName>
    <definedName name="SumOpCFpre">'Operating'!$B$58</definedName>
    <definedName name="SumUnlevOps">'Operating'!$B$59</definedName>
    <definedName name="SumNOI">'Operating'!$B$60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-yyyy"/>
    <numFmt numFmtId="165" formatCode="#,##0&quot; mo&quot;"/>
    <numFmt numFmtId="166" formatCode="0.0%"/>
    <numFmt numFmtId="167" formatCode="$#,##0;($#,##0)"/>
    <numFmt numFmtId="168" formatCode="0.00&quot;x&quot;"/>
    <numFmt numFmtId="169" formatCode="#,##0;(#,##0)"/>
    <numFmt numFmtId="170" formatCode="$#,##0.00;($#,##0.00)"/>
    <numFmt numFmtId="171" formatCode="0.0000%"/>
    <numFmt numFmtId="172" formatCode="0.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9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5" fontId="4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9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2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inlineStr">
        <is>
          <t>2026-01-01</t>
        </is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9">
      <c r="A29" s="3" t="inlineStr">
        <is>
          <t>Unit Delivery &amp; Lease-Up</t>
        </is>
      </c>
      <c r="B29" s="4" t="n"/>
      <c r="C29" s="4" t="n"/>
    </row>
    <row r="30">
      <c r="A30" s="5" t="inlineStr">
        <is>
          <t>Lease Up Income Offset</t>
        </is>
      </c>
      <c r="B30" s="10" t="n">
        <v>1</v>
      </c>
      <c r="C30" s="2" t="inlineStr">
        <is>
          <t>1=offset lease-up income vs equity, 0=no</t>
        </is>
      </c>
    </row>
    <row r="31">
      <c r="A31" s="5" t="inlineStr">
        <is>
          <t>Units Delivered Per Mo</t>
        </is>
      </c>
      <c r="B31" s="10" t="n">
        <v>30</v>
      </c>
      <c r="C31" s="2" t="inlineStr">
        <is>
          <t>Units delivered per month</t>
        </is>
      </c>
    </row>
    <row r="32">
      <c r="A32" s="5" t="inlineStr">
        <is>
          <t>Units Leased Per Mo</t>
        </is>
      </c>
      <c r="B32" s="10" t="n">
        <v>18</v>
      </c>
      <c r="C32" s="2" t="inlineStr">
        <is>
          <t>Units absorbed (leased) per month</t>
        </is>
      </c>
    </row>
    <row r="33">
      <c r="A33" s="5" t="inlineStr">
        <is>
          <t>Lease Up Ramp Pct</t>
        </is>
      </c>
      <c r="B33" s="11" t="n">
        <v>0.6</v>
      </c>
      <c r="C33" s="2" t="inlineStr">
        <is>
          <t>Variable-opex ramp: % of stabilized during lease-up</t>
        </is>
      </c>
    </row>
    <row r="34">
      <c r="A34" s="5" t="inlineStr">
        <is>
          <t>Lease Up Elevation Pct</t>
        </is>
      </c>
      <c r="B34" s="11" t="n">
        <v>0.25</v>
      </c>
      <c r="C34" s="2" t="inlineStr">
        <is>
          <t>Elevated-opex uplift over stabilized during lease-up</t>
        </is>
      </c>
    </row>
    <row r="35">
      <c r="A35" s="5" t="inlineStr">
        <is>
          <t>Stabilized Occupancy</t>
        </is>
      </c>
      <c r="B35" s="11" t="n">
        <v>0.93</v>
      </c>
      <c r="C35" s="2" t="inlineStr">
        <is>
          <t>Physical occupancy at stabilization</t>
        </is>
      </c>
    </row>
    <row r="37">
      <c r="A37" s="3" t="inlineStr">
        <is>
          <t>Site Details</t>
        </is>
      </c>
      <c r="B37" s="4" t="n"/>
      <c r="C37" s="4" t="n"/>
    </row>
    <row r="38">
      <c r="A38" s="5" t="inlineStr">
        <is>
          <t>Land Cost</t>
        </is>
      </c>
      <c r="B38" s="12" t="n">
        <v>14000000</v>
      </c>
      <c r="C38" s="2" t="inlineStr">
        <is>
          <t>Total land cost</t>
        </is>
      </c>
    </row>
    <row r="39">
      <c r="A39" s="5" t="inlineStr">
        <is>
          <t>Gross Acres</t>
        </is>
      </c>
      <c r="B39" s="13" t="n">
        <v>9.5</v>
      </c>
      <c r="C39" s="2" t="inlineStr">
        <is>
          <t>Gross site acres</t>
        </is>
      </c>
    </row>
    <row r="40">
      <c r="A40" s="5" t="inlineStr">
        <is>
          <t>Net Acres</t>
        </is>
      </c>
      <c r="B40" s="13" t="n">
        <v>8</v>
      </c>
      <c r="C40" s="2" t="inlineStr">
        <is>
          <t>Net developable acres</t>
        </is>
      </c>
    </row>
    <row r="41">
      <c r="A41" s="5" t="inlineStr">
        <is>
          <t>FARRatio</t>
        </is>
      </c>
      <c r="B41" s="13" t="n">
        <v>1.75</v>
      </c>
      <c r="C41" s="2" t="inlineStr">
        <is>
          <t>Floor-area ratio</t>
        </is>
      </c>
    </row>
    <row r="42">
      <c r="A42" s="5" t="inlineStr">
        <is>
          <t>Efficiency Ratio</t>
        </is>
      </c>
      <c r="B42" s="11" t="n">
        <v>0.85</v>
      </c>
      <c r="C42" s="2" t="inlineStr">
        <is>
          <t>Net rentable / gross buildable</t>
        </is>
      </c>
    </row>
    <row r="43">
      <c r="A43" s="5" t="inlineStr">
        <is>
          <t>Existing Structure Cost</t>
        </is>
      </c>
      <c r="B43" s="12" t="n">
        <v>0</v>
      </c>
      <c r="C43" s="2" t="inlineStr">
        <is>
          <t>Demo / existing structure</t>
        </is>
      </c>
    </row>
    <row r="45">
      <c r="A45" s="3" t="inlineStr">
        <is>
          <t>Property Taxes</t>
        </is>
      </c>
      <c r="B45" s="4" t="n"/>
      <c r="C45" s="4" t="n"/>
    </row>
    <row r="46">
      <c r="A46" s="5" t="inlineStr">
        <is>
          <t>Tax Levy Pct</t>
        </is>
      </c>
      <c r="B46" s="9" t="n">
        <v>0.0185</v>
      </c>
      <c r="C46" s="2" t="inlineStr">
        <is>
          <t>Levy / mill rate (% of assessed)</t>
        </is>
      </c>
    </row>
    <row r="47">
      <c r="A47" s="5" t="inlineStr">
        <is>
          <t>Tax Assessment Pct</t>
        </is>
      </c>
      <c r="B47" s="11" t="n">
        <v>1</v>
      </c>
      <c r="C47" s="2" t="inlineStr">
        <is>
          <t>Assessment ratio (% of value)</t>
        </is>
      </c>
    </row>
    <row r="48">
      <c r="A48" s="5" t="inlineStr">
        <is>
          <t>Tax Value Adj Factor</t>
        </is>
      </c>
      <c r="B48" s="13" t="n">
        <v>1</v>
      </c>
      <c r="C48" s="2" t="inlineStr">
        <is>
          <t>Value-adjustment factor</t>
        </is>
      </c>
    </row>
    <row r="49">
      <c r="A49" s="5" t="inlineStr">
        <is>
          <t>Tax Method Value</t>
        </is>
      </c>
      <c r="B49" s="10" t="n">
        <v>1</v>
      </c>
      <c r="C49" s="2" t="inlineStr">
        <is>
          <t>Post-stab method: 1=value approach, 0=income approach</t>
        </is>
      </c>
    </row>
    <row r="50">
      <c r="A50" s="5" t="inlineStr">
        <is>
          <t>Tax Year1</t>
        </is>
      </c>
      <c r="B50" s="12" t="n">
        <v>650000</v>
      </c>
      <c r="C50" s="2" t="inlineStr">
        <is>
          <t>Year-1 stabilized tax (value approach)</t>
        </is>
      </c>
    </row>
    <row r="51">
      <c r="A51" s="5" t="inlineStr">
        <is>
          <t>Reassess On Sale</t>
        </is>
      </c>
      <c r="B51" s="10" t="n">
        <v>1</v>
      </c>
      <c r="C51" s="2" t="inlineStr">
        <is>
          <t>1=reassess buyer taxes on sale value, 0=in-place</t>
        </is>
      </c>
    </row>
    <row r="52">
      <c r="A52" s="5" t="inlineStr">
        <is>
          <t>Dispo Tax Rate Pct</t>
        </is>
      </c>
      <c r="B52" s="9" t="n">
        <v>0.0185</v>
      </c>
      <c r="C52" s="2" t="inlineStr">
        <is>
          <t>Disposition-period effective tax rate on value</t>
        </is>
      </c>
    </row>
    <row r="54">
      <c r="A54" s="3" t="inlineStr">
        <is>
          <t>Capitalization &amp; Funding</t>
        </is>
      </c>
      <c r="B54" s="4" t="n"/>
      <c r="C54" s="4" t="n"/>
    </row>
    <row r="55">
      <c r="A55" s="5" t="inlineStr">
        <is>
          <t>Funding Order Pari</t>
        </is>
      </c>
      <c r="B55" s="10" t="n">
        <v>0</v>
      </c>
      <c r="C55" s="2" t="inlineStr">
        <is>
          <t>1=pari-passu, 0=equity-first</t>
        </is>
      </c>
    </row>
    <row r="56">
      <c r="A56" s="5" t="inlineStr">
        <is>
          <t>Target LTC</t>
        </is>
      </c>
      <c r="B56" s="9" t="n">
        <v>0.65</v>
      </c>
      <c r="C56" s="2" t="inlineStr">
        <is>
          <t>Target construction loan-to-cost</t>
        </is>
      </c>
    </row>
    <row r="57">
      <c r="A57" s="5" t="inlineStr">
        <is>
          <t>Op Reserve Coverage</t>
        </is>
      </c>
      <c r="B57" s="14" t="n">
        <v>1.1</v>
      </c>
      <c r="C57" s="2" t="inlineStr">
        <is>
          <t>Operating reserve coverage multiple on peak shortfall</t>
        </is>
      </c>
    </row>
    <row r="58">
      <c r="A58" s="5" t="inlineStr">
        <is>
          <t>Op Reserve Min Months</t>
        </is>
      </c>
      <c r="B58" s="10" t="n">
        <v>3</v>
      </c>
      <c r="C58" s="2" t="inlineStr">
        <is>
          <t>Minimum months of stabilized opex floor for reserve</t>
        </is>
      </c>
    </row>
    <row r="60">
      <c r="A60" s="3" t="inlineStr">
        <is>
          <t>Construction Loan</t>
        </is>
      </c>
      <c r="B60" s="4" t="n"/>
      <c r="C60" s="4" t="n"/>
    </row>
    <row r="61">
      <c r="A61" s="5" t="inlineStr">
        <is>
          <t>Con Loan Term Months</t>
        </is>
      </c>
      <c r="B61" s="8" t="n">
        <v>36</v>
      </c>
      <c r="C61" s="2" t="inlineStr">
        <is>
          <t>Construction loan term</t>
        </is>
      </c>
    </row>
    <row r="62">
      <c r="A62" s="5" t="inlineStr">
        <is>
          <t>Con Rate</t>
        </is>
      </c>
      <c r="B62" s="9" t="n">
        <v>0.08500000000000001</v>
      </c>
      <c r="C62" s="2" t="inlineStr">
        <is>
          <t>Construction interest rate (annual)</t>
        </is>
      </c>
    </row>
    <row r="63">
      <c r="A63" s="5" t="inlineStr">
        <is>
          <t>Con Actual360</t>
        </is>
      </c>
      <c r="B63" s="10" t="n">
        <v>1</v>
      </c>
      <c r="C63" s="2" t="inlineStr">
        <is>
          <t>1=Actual/360, 0=30/360</t>
        </is>
      </c>
    </row>
    <row r="64">
      <c r="A64" s="5" t="inlineStr">
        <is>
          <t>Con Points Pct</t>
        </is>
      </c>
      <c r="B64" s="9" t="n">
        <v>0.01</v>
      </c>
      <c r="C64" s="2" t="inlineStr">
        <is>
          <t>Origination points</t>
        </is>
      </c>
    </row>
    <row r="65">
      <c r="A65" s="5" t="inlineStr">
        <is>
          <t>Con Other Costs</t>
        </is>
      </c>
      <c r="B65" s="12" t="n">
        <v>250000</v>
      </c>
      <c r="C65" s="2" t="inlineStr">
        <is>
          <t>Other construction loan costs</t>
        </is>
      </c>
    </row>
    <row r="66">
      <c r="A66" s="5" t="inlineStr">
        <is>
          <t>Con Min Debt Yield</t>
        </is>
      </c>
      <c r="B66" s="9" t="n">
        <v>0.07000000000000001</v>
      </c>
      <c r="C66" s="2" t="inlineStr">
        <is>
          <t>Min stabilized debt yield (sizing)</t>
        </is>
      </c>
    </row>
    <row r="67">
      <c r="A67" s="5" t="inlineStr">
        <is>
          <t>Con Min DSCR</t>
        </is>
      </c>
      <c r="B67" s="14" t="n">
        <v>1.2</v>
      </c>
      <c r="C67" s="2" t="inlineStr">
        <is>
          <t>Min DSCR at target (sizing)</t>
        </is>
      </c>
    </row>
    <row r="68">
      <c r="A68" s="5" t="inlineStr">
        <is>
          <t>Lender Req Reserve Override</t>
        </is>
      </c>
      <c r="B68" s="12" t="n">
        <v>0</v>
      </c>
      <c r="C68" s="2" t="inlineStr">
        <is>
          <t>If &gt;0, overrides computed interest reserve</t>
        </is>
      </c>
    </row>
    <row r="70">
      <c r="A70" s="3" t="inlineStr">
        <is>
          <t>Permanent Loan (Refinance)</t>
        </is>
      </c>
      <c r="B70" s="4" t="n"/>
      <c r="C70" s="4" t="n"/>
    </row>
    <row r="71">
      <c r="A71" s="5" t="inlineStr">
        <is>
          <t>Perm Max LTV</t>
        </is>
      </c>
      <c r="B71" s="9" t="n">
        <v>0.65</v>
      </c>
      <c r="C71" s="2" t="inlineStr">
        <is>
          <t>Max permanent loan-to-value</t>
        </is>
      </c>
    </row>
    <row r="72">
      <c r="A72" s="5" t="inlineStr">
        <is>
          <t>Perm Rate</t>
        </is>
      </c>
      <c r="B72" s="9" t="n">
        <v>0.0625</v>
      </c>
      <c r="C72" s="2" t="inlineStr">
        <is>
          <t>Permanent interest rate (annual)</t>
        </is>
      </c>
    </row>
    <row r="73">
      <c r="A73" s="5" t="inlineStr">
        <is>
          <t>Perm Term Months</t>
        </is>
      </c>
      <c r="B73" s="8" t="n">
        <v>360</v>
      </c>
      <c r="C73" s="2" t="inlineStr">
        <is>
          <t>Permanent loan term</t>
        </is>
      </c>
    </row>
    <row r="74">
      <c r="A74" s="5" t="inlineStr">
        <is>
          <t>Perm IOMonths</t>
        </is>
      </c>
      <c r="B74" s="8" t="n">
        <v>24</v>
      </c>
      <c r="C74" s="2" t="inlineStr">
        <is>
          <t>Permanent interest-only period</t>
        </is>
      </c>
    </row>
    <row r="75">
      <c r="A75" s="5" t="inlineStr">
        <is>
          <t>Perm Amort Months</t>
        </is>
      </c>
      <c r="B75" s="8" t="n">
        <v>360</v>
      </c>
      <c r="C75" s="2" t="inlineStr">
        <is>
          <t>Permanent amortization period</t>
        </is>
      </c>
    </row>
    <row r="76">
      <c r="A76" s="5" t="inlineStr">
        <is>
          <t>Perm Actual360</t>
        </is>
      </c>
      <c r="B76" s="10" t="n">
        <v>0</v>
      </c>
      <c r="C76" s="2" t="inlineStr">
        <is>
          <t>1=Actual/360, 0=30/360</t>
        </is>
      </c>
    </row>
    <row r="77">
      <c r="A77" s="5" t="inlineStr">
        <is>
          <t>Perm Points Pct</t>
        </is>
      </c>
      <c r="B77" s="9" t="n">
        <v>0.0075</v>
      </c>
      <c r="C77" s="2" t="inlineStr">
        <is>
          <t>Permanent loan points</t>
        </is>
      </c>
    </row>
    <row r="78">
      <c r="A78" s="5" t="inlineStr">
        <is>
          <t>Perm Min Debt Yield</t>
        </is>
      </c>
      <c r="B78" s="9" t="n">
        <v>0.08</v>
      </c>
      <c r="C78" s="2" t="inlineStr">
        <is>
          <t>Min debt yield at refi (sizing)</t>
        </is>
      </c>
    </row>
    <row r="79">
      <c r="A79" s="5" t="inlineStr">
        <is>
          <t>Perm Min DSCR</t>
        </is>
      </c>
      <c r="B79" s="14" t="n">
        <v>1.15</v>
      </c>
      <c r="C79" s="2" t="inlineStr">
        <is>
          <t>Min DSCR at refi (sizing)</t>
        </is>
      </c>
    </row>
    <row r="80">
      <c r="A80" s="5" t="inlineStr">
        <is>
          <t>No Cash Out</t>
        </is>
      </c>
      <c r="B80" s="10" t="n">
        <v>0</v>
      </c>
      <c r="C80" s="2" t="inlineStr">
        <is>
          <t>1=size perm so net cash at refi = 0</t>
        </is>
      </c>
    </row>
    <row r="81">
      <c r="A81" s="5" t="inlineStr">
        <is>
          <t>Refi Month Override</t>
        </is>
      </c>
      <c r="B81" s="10" t="n">
        <v>0</v>
      </c>
      <c r="C81" s="2" t="inlineStr">
        <is>
          <t>If &gt;0, override refi month (else = con maturity)</t>
        </is>
      </c>
    </row>
    <row r="83">
      <c r="A83" s="3" t="inlineStr">
        <is>
          <t>Sponsor Fees</t>
        </is>
      </c>
      <c r="B83" s="4" t="n"/>
      <c r="C83" s="4" t="n"/>
    </row>
    <row r="84">
      <c r="A84" s="5" t="inlineStr">
        <is>
          <t>Dev Fee Pct Direct</t>
        </is>
      </c>
      <c r="B84" s="9" t="n">
        <v>0.04</v>
      </c>
      <c r="C84" s="2" t="inlineStr">
        <is>
          <t>Development fee % of direct costs</t>
        </is>
      </c>
    </row>
    <row r="85">
      <c r="A85" s="5" t="inlineStr">
        <is>
          <t>Dev Fee Third Party Split</t>
        </is>
      </c>
      <c r="B85" s="9" t="n">
        <v>0</v>
      </c>
      <c r="C85" s="2" t="inlineStr">
        <is>
          <t>Portion of dev fee paid to 3rd party</t>
        </is>
      </c>
    </row>
    <row r="86">
      <c r="A86" s="5" t="inlineStr">
        <is>
          <t>Sponsor Dispo Fee Pct</t>
        </is>
      </c>
      <c r="B86" s="9" t="n">
        <v>0.01</v>
      </c>
      <c r="C86" s="2" t="inlineStr">
        <is>
          <t>Sponsor disposition fee % of sale</t>
        </is>
      </c>
    </row>
    <row r="87">
      <c r="A87" s="5" t="inlineStr">
        <is>
          <t>Recourse Fee Pct</t>
        </is>
      </c>
      <c r="B87" s="9" t="n">
        <v>0.0025</v>
      </c>
      <c r="C87" s="2" t="inlineStr">
        <is>
          <t>Loan recourse / indemnity fee % of loan</t>
        </is>
      </c>
    </row>
    <row r="89">
      <c r="A89" s="3" t="inlineStr">
        <is>
          <t>Disposition &amp; Sale</t>
        </is>
      </c>
      <c r="B89" s="4" t="n"/>
      <c r="C89" s="4" t="n"/>
    </row>
    <row r="90">
      <c r="A90" s="5" t="inlineStr">
        <is>
          <t>Broker Cost Pct</t>
        </is>
      </c>
      <c r="B90" s="9" t="n">
        <v>0.015</v>
      </c>
      <c r="C90" s="2" t="inlineStr">
        <is>
          <t>Broker / sale cost % of gross sale</t>
        </is>
      </c>
    </row>
    <row r="91">
      <c r="A91" s="5" t="inlineStr">
        <is>
          <t>Sales Tax Pct</t>
        </is>
      </c>
      <c r="B91" s="9" t="n">
        <v>0</v>
      </c>
      <c r="C91" s="2" t="inlineStr">
        <is>
          <t>Transfer / sales tax % of gross sale</t>
        </is>
      </c>
    </row>
    <row r="92">
      <c r="A92" s="5" t="inlineStr">
        <is>
          <t>Tax Proration Months</t>
        </is>
      </c>
      <c r="B92" s="8" t="n">
        <v>2</v>
      </c>
      <c r="C92" s="2" t="inlineStr">
        <is>
          <t>Property-tax proration at sale (months)</t>
        </is>
      </c>
    </row>
    <row r="94">
      <c r="A94" s="3" t="inlineStr">
        <is>
          <t>Stabilized Revenue (other income)</t>
        </is>
      </c>
      <c r="B94" s="4" t="n"/>
      <c r="C94" s="4" t="n"/>
    </row>
    <row r="95">
      <c r="A95" s="5" t="inlineStr">
        <is>
          <t>Bad Debt Pct</t>
        </is>
      </c>
      <c r="B95" s="9" t="n">
        <v>0.005</v>
      </c>
      <c r="C95" s="2" t="inlineStr">
        <is>
          <t>Bad debt % of GPR</t>
        </is>
      </c>
    </row>
    <row r="96">
      <c r="A96" s="5" t="inlineStr">
        <is>
          <t>Concessions Pct</t>
        </is>
      </c>
      <c r="B96" s="9" t="n">
        <v>0.01</v>
      </c>
      <c r="C96" s="2" t="inlineStr">
        <is>
          <t>Concessions % of GPR</t>
        </is>
      </c>
    </row>
    <row r="97">
      <c r="A97" s="5" t="inlineStr">
        <is>
          <t>Loss To Lease Pct</t>
        </is>
      </c>
      <c r="B97" s="9" t="n">
        <v>0.01</v>
      </c>
      <c r="C97" s="2" t="inlineStr">
        <is>
          <t>Gain/loss-to-lease % of GPR</t>
        </is>
      </c>
    </row>
    <row r="98">
      <c r="A98" s="5" t="inlineStr">
        <is>
          <t>Model Units</t>
        </is>
      </c>
      <c r="B98" s="10" t="n">
        <v>1</v>
      </c>
      <c r="C98" s="2" t="inlineStr">
        <is>
          <t>Down / model units (non-revenue)</t>
        </is>
      </c>
    </row>
    <row r="99">
      <c r="A99" s="5" t="inlineStr">
        <is>
          <t>Parking Per Unit Mo</t>
        </is>
      </c>
      <c r="B99" s="12" t="n">
        <v>35</v>
      </c>
      <c r="C99" s="2" t="inlineStr">
        <is>
          <t>Parking &amp; storage income $/unit/mo</t>
        </is>
      </c>
    </row>
    <row r="100">
      <c r="A100" s="5" t="inlineStr">
        <is>
          <t>Retail Income Mo</t>
        </is>
      </c>
      <c r="B100" s="12" t="n">
        <v>18000</v>
      </c>
      <c r="C100" s="2" t="inlineStr">
        <is>
          <t>Retail income $/mo (stabilized)</t>
        </is>
      </c>
    </row>
    <row r="101">
      <c r="A101" s="5" t="inlineStr">
        <is>
          <t>Util Reimb Per Unit Mo</t>
        </is>
      </c>
      <c r="B101" s="12" t="n">
        <v>45</v>
      </c>
      <c r="C101" s="2" t="inlineStr">
        <is>
          <t>Utility reimbursement $/unit/mo</t>
        </is>
      </c>
    </row>
    <row r="102">
      <c r="A102" s="5" t="inlineStr">
        <is>
          <t>Other Inc Per Unit Mo</t>
        </is>
      </c>
      <c r="B102" s="12" t="n">
        <v>25</v>
      </c>
      <c r="C102" s="2" t="inlineStr">
        <is>
          <t>Other income $/unit/mo</t>
        </is>
      </c>
    </row>
    <row r="104">
      <c r="A104" s="3" t="inlineStr">
        <is>
          <t>Stabilized Operating Expenses (annual)</t>
        </is>
      </c>
      <c r="B104" s="4" t="n"/>
      <c r="C104" s="4" t="n"/>
    </row>
    <row r="105">
      <c r="A105" s="5" t="inlineStr">
        <is>
          <t>Exp Insurance Per Unit</t>
        </is>
      </c>
      <c r="B105" s="12" t="n">
        <v>425</v>
      </c>
      <c r="C105" s="2" t="inlineStr">
        <is>
          <t>Insurance $/unit/yr</t>
        </is>
      </c>
    </row>
    <row r="106">
      <c r="A106" s="5" t="inlineStr">
        <is>
          <t>Exp Utilities Per Unit</t>
        </is>
      </c>
      <c r="B106" s="12" t="n">
        <v>900</v>
      </c>
      <c r="C106" s="2" t="inlineStr">
        <is>
          <t>Utilities $/unit/yr (variable)</t>
        </is>
      </c>
    </row>
    <row r="107">
      <c r="A107" s="5" t="inlineStr">
        <is>
          <t>Exp Payroll Per Unit</t>
        </is>
      </c>
      <c r="B107" s="12" t="n">
        <v>1300</v>
      </c>
      <c r="C107" s="2" t="inlineStr">
        <is>
          <t>Payroll $/unit/yr (elevated in lease-up)</t>
        </is>
      </c>
    </row>
    <row r="108">
      <c r="A108" s="5" t="inlineStr">
        <is>
          <t>Exp RMPer Unit</t>
        </is>
      </c>
      <c r="B108" s="12" t="n">
        <v>650</v>
      </c>
      <c r="C108" s="2" t="inlineStr">
        <is>
          <t>Repairs &amp; maintenance $/unit/yr (variable)</t>
        </is>
      </c>
    </row>
    <row r="109">
      <c r="A109" s="5" t="inlineStr">
        <is>
          <t>Exp Turnover Per Unit</t>
        </is>
      </c>
      <c r="B109" s="12" t="n">
        <v>250</v>
      </c>
      <c r="C109" s="2" t="inlineStr">
        <is>
          <t>Turnover $/unit/yr (variable)</t>
        </is>
      </c>
    </row>
    <row r="110">
      <c r="A110" s="5" t="inlineStr">
        <is>
          <t>Exp Contract Per Unit</t>
        </is>
      </c>
      <c r="B110" s="12" t="n">
        <v>500</v>
      </c>
      <c r="C110" s="2" t="inlineStr">
        <is>
          <t>Contract services $/unit/yr (variable)</t>
        </is>
      </c>
    </row>
    <row r="111">
      <c r="A111" s="5" t="inlineStr">
        <is>
          <t>Exp Admin Per Unit</t>
        </is>
      </c>
      <c r="B111" s="12" t="n">
        <v>300</v>
      </c>
      <c r="C111" s="2" t="inlineStr">
        <is>
          <t>Admin &amp; legal $/unit/yr</t>
        </is>
      </c>
    </row>
    <row r="112">
      <c r="A112" s="5" t="inlineStr">
        <is>
          <t>Exp Advertising Per Unit</t>
        </is>
      </c>
      <c r="B112" s="12" t="n">
        <v>200</v>
      </c>
      <c r="C112" s="2" t="inlineStr">
        <is>
          <t>Advertising $/unit/yr (elevated in lease-up)</t>
        </is>
      </c>
    </row>
    <row r="113">
      <c r="A113" s="5" t="inlineStr">
        <is>
          <t>Mgmt Fee Pct</t>
        </is>
      </c>
      <c r="B113" s="9" t="n">
        <v>0.03</v>
      </c>
      <c r="C113" s="2" t="inlineStr">
        <is>
          <t>Management fee % of EGI</t>
        </is>
      </c>
    </row>
    <row r="114">
      <c r="A114" s="5" t="inlineStr">
        <is>
          <t>Cap Reserve Per Unit</t>
        </is>
      </c>
      <c r="B114" s="12" t="n">
        <v>250</v>
      </c>
      <c r="C114" s="2" t="inlineStr">
        <is>
          <t>Capital reserves $/unit/yr (below NOI)</t>
        </is>
      </c>
    </row>
    <row r="115">
      <c r="A115" s="5" t="inlineStr">
        <is>
          <t>Tax Prep Per Unit</t>
        </is>
      </c>
      <c r="B115" s="12" t="n">
        <v>15</v>
      </c>
      <c r="C115" s="2" t="inlineStr">
        <is>
          <t>Tax prep $/unit/yr (below NOI)</t>
        </is>
      </c>
    </row>
    <row r="116">
      <c r="A116" s="5" t="inlineStr">
        <is>
          <t>Asset Mgmt Fee Pct</t>
        </is>
      </c>
      <c r="B116" s="9" t="n">
        <v>0.01</v>
      </c>
      <c r="C116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Property Taxes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700000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Insurance (Dev)</t>
        </is>
      </c>
      <c r="B14" s="5" t="inlineStr">
        <is>
          <t>Soft</t>
        </is>
      </c>
      <c r="C14" s="5" t="inlineStr">
        <is>
          <t>Soft</t>
        </is>
      </c>
      <c r="D14" s="6" t="inlineStr">
        <is>
          <t>abs</t>
        </is>
      </c>
      <c r="E14" s="29" t="n">
        <v>500000</v>
      </c>
      <c r="F14" s="6" t="inlineStr">
        <is>
          <t>Construction</t>
        </is>
      </c>
      <c r="G14" s="6" t="inlineStr">
        <is>
          <t>Straight_Line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GC Contract (Hard)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sf</t>
        </is>
      </c>
      <c r="E15" s="13" t="n">
        <v>200</v>
      </c>
      <c r="F15" s="6" t="inlineStr">
        <is>
          <t>Construction</t>
        </is>
      </c>
      <c r="G15" s="6" t="inlineStr">
        <is>
          <t>Bell_Curve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Off-Site Improvements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1200000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Utilities &amp; Hookups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900000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Builder's Risk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abs</t>
        </is>
      </c>
      <c r="E18" s="29" t="n">
        <v>350000</v>
      </c>
      <c r="F18" s="6" t="inlineStr">
        <is>
          <t>Construction</t>
        </is>
      </c>
      <c r="G18" s="6" t="inlineStr">
        <is>
          <t>Straight_Line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Hard Cost Contingency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10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GC Fee</t>
        </is>
      </c>
      <c r="B20" s="5" t="inlineStr">
        <is>
          <t>Hard</t>
        </is>
      </c>
      <c r="C20" s="5" t="inlineStr">
        <is>
          <t>Hard</t>
        </is>
      </c>
      <c r="D20" s="6" t="inlineStr">
        <is>
          <t>sf</t>
        </is>
      </c>
      <c r="E20" s="13" t="n">
        <v>12</v>
      </c>
      <c r="F20" s="6" t="inlineStr">
        <is>
          <t>Construction</t>
        </is>
      </c>
      <c r="G20" s="6" t="inlineStr">
        <is>
          <t>Bell_Curve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1 - FF&amp;E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unit</t>
        </is>
      </c>
      <c r="E21" s="13" t="n">
        <v>800</v>
      </c>
      <c r="F21" s="6" t="inlineStr">
        <is>
          <t>Pre-Construction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2 - Permits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250000</v>
      </c>
      <c r="F22" s="6" t="inlineStr">
        <is>
          <t>Entitlement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3 - Testing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120000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4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5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Soft Cost 6</t>
        </is>
      </c>
      <c r="B26" s="5" t="inlineStr">
        <is>
          <t>Soft</t>
        </is>
      </c>
      <c r="C26" s="5" t="inlineStr">
        <is>
          <t>Soft</t>
        </is>
      </c>
      <c r="D26" s="6" t="inlineStr">
        <is>
          <t>abs</t>
        </is>
      </c>
      <c r="E26" s="29" t="n">
        <v>0</v>
      </c>
      <c r="F26" s="6" t="inlineStr">
        <is>
          <t>Construction</t>
        </is>
      </c>
      <c r="G26" s="6" t="inlineStr">
        <is>
          <t>Straight_Line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1 - Landscape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650000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2 - Amenity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900000</v>
      </c>
      <c r="F28" s="6" t="inlineStr">
        <is>
          <t>Construction</t>
        </is>
      </c>
      <c r="G28" s="6" t="inlineStr">
        <is>
          <t>Bell_Curve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3 - Signage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150000</v>
      </c>
      <c r="F29" s="6" t="inlineStr">
        <is>
          <t>Construction</t>
        </is>
      </c>
      <c r="G29" s="6" t="inlineStr">
        <is>
          <t>Straight_Line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4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5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2">
      <c r="A32" s="5" t="inlineStr">
        <is>
          <t>Other Hard Cost 6</t>
        </is>
      </c>
      <c r="B32" s="5" t="inlineStr">
        <is>
          <t>Hard</t>
        </is>
      </c>
      <c r="C32" s="5" t="inlineStr">
        <is>
          <t>Hard</t>
        </is>
      </c>
      <c r="D32" s="6" t="inlineStr">
        <is>
          <t>abs</t>
        </is>
      </c>
      <c r="E32" s="29" t="n">
        <v>0</v>
      </c>
      <c r="F32" s="6" t="inlineStr">
        <is>
          <t>Construction</t>
        </is>
      </c>
      <c r="G32" s="6" t="inlineStr">
        <is>
          <t>Bell_Curve</t>
        </is>
      </c>
      <c r="H32" s="10" t="n">
        <v>0</v>
      </c>
      <c r="I32" s="18">
        <f>IF(D32="abs",E32,IF(D32="unit",E32*TotalUnits,IF(D32="sf",E32*NRSF,E32)))</f>
        <v/>
      </c>
      <c r="J32" s="18">
        <f>IF(TotalUnits=0,0,I32/TotalUnits)</f>
        <v/>
      </c>
      <c r="K32" s="19">
        <f>IF(NRSF=0,0,I32/NRSF)</f>
        <v/>
      </c>
    </row>
    <row r="34">
      <c r="A34" s="15" t="inlineStr">
        <is>
          <t>Budget Summary</t>
        </is>
      </c>
      <c r="B34" s="23" t="n"/>
      <c r="C34" s="23" t="n"/>
      <c r="D34" s="23" t="n"/>
    </row>
    <row r="35">
      <c r="A35" s="21" t="inlineStr">
        <is>
          <t>Land</t>
        </is>
      </c>
      <c r="I35" s="30">
        <f>SUMIF(B5:B32,"Land",I5:I32)</f>
        <v/>
      </c>
    </row>
    <row r="36">
      <c r="A36" s="21" t="inlineStr">
        <is>
          <t>Soft Costs</t>
        </is>
      </c>
      <c r="I36" s="30">
        <f>SUMIF(B5:B32,"Soft",I5:I32)</f>
        <v/>
      </c>
    </row>
    <row r="37">
      <c r="A37" s="21" t="inlineStr">
        <is>
          <t>Hard Costs</t>
        </is>
      </c>
      <c r="I37" s="30">
        <f>SUMIF(B5:B32,"Hard",I5:I32)</f>
        <v/>
      </c>
    </row>
    <row r="38">
      <c r="A38" s="21" t="inlineStr">
        <is>
          <t>Direct Costs (subtotal)</t>
        </is>
      </c>
      <c r="I38" s="30">
        <f>SUM(I5:I32)</f>
        <v/>
      </c>
    </row>
    <row r="39">
      <c r="A39" s="21" t="inlineStr">
        <is>
          <t>Sponsor Development Fee</t>
        </is>
      </c>
      <c r="I39" s="30">
        <f>DevFeePctDirect*DirectCosts</f>
        <v/>
      </c>
    </row>
    <row r="40">
      <c r="A40" s="21" t="inlineStr">
        <is>
          <t>Total Development Cost (per Diagnostics)</t>
        </is>
      </c>
      <c r="I40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Refi Flag (1=refi,0=sell)</t>
        </is>
      </c>
      <c r="B22" s="35">
        <f>IF(DispoMonth&gt;ConMaturity,1,0)</f>
        <v/>
      </c>
    </row>
    <row r="23">
      <c r="A23" s="5" t="inlineStr">
        <is>
          <t>Refi Month</t>
        </is>
      </c>
      <c r="B23" s="34">
        <f>IF(RefiFlag=1,MIN(ConMaturity,IF(RefiMonthOverride&gt;0,RefiMonthOverride,ConMaturity)),0)</f>
        <v/>
      </c>
    </row>
    <row r="24">
      <c r="A24" s="5" t="inlineStr">
        <is>
          <t>Con Payoff Month</t>
        </is>
      </c>
      <c r="B24" s="34">
        <f>IF(RefiFlag=1,RefiMonth,DispoMonth)</f>
        <v/>
      </c>
    </row>
    <row r="26">
      <c r="A26" s="3" t="inlineStr">
        <is>
          <t>Monthly Period Grid</t>
        </is>
      </c>
      <c r="B26" s="4" t="n"/>
      <c r="C26" s="4" t="n"/>
    </row>
    <row r="27">
      <c r="A27" s="36" t="inlineStr">
        <is>
          <t>Period →</t>
        </is>
      </c>
      <c r="C27" s="27" t="inlineStr">
        <is>
          <t>Total</t>
        </is>
      </c>
      <c r="D27" s="37" t="n">
        <v>1</v>
      </c>
      <c r="E27" s="37" t="n">
        <v>2</v>
      </c>
      <c r="F27" s="37" t="n">
        <v>3</v>
      </c>
      <c r="G27" s="37" t="n">
        <v>4</v>
      </c>
      <c r="H27" s="37" t="n">
        <v>5</v>
      </c>
      <c r="I27" s="37" t="n">
        <v>6</v>
      </c>
      <c r="J27" s="37" t="n">
        <v>7</v>
      </c>
      <c r="K27" s="37" t="n">
        <v>8</v>
      </c>
      <c r="L27" s="37" t="n">
        <v>9</v>
      </c>
      <c r="M27" s="37" t="n">
        <v>10</v>
      </c>
      <c r="N27" s="37" t="n">
        <v>11</v>
      </c>
      <c r="O27" s="37" t="n">
        <v>12</v>
      </c>
      <c r="P27" s="37" t="n">
        <v>13</v>
      </c>
      <c r="Q27" s="37" t="n">
        <v>14</v>
      </c>
      <c r="R27" s="37" t="n">
        <v>15</v>
      </c>
      <c r="S27" s="37" t="n">
        <v>16</v>
      </c>
      <c r="T27" s="37" t="n">
        <v>17</v>
      </c>
      <c r="U27" s="37" t="n">
        <v>18</v>
      </c>
      <c r="V27" s="37" t="n">
        <v>19</v>
      </c>
      <c r="W27" s="37" t="n">
        <v>20</v>
      </c>
      <c r="X27" s="37" t="n">
        <v>21</v>
      </c>
      <c r="Y27" s="37" t="n">
        <v>22</v>
      </c>
      <c r="Z27" s="37" t="n">
        <v>23</v>
      </c>
      <c r="AA27" s="37" t="n">
        <v>24</v>
      </c>
      <c r="AB27" s="37" t="n">
        <v>25</v>
      </c>
      <c r="AC27" s="37" t="n">
        <v>26</v>
      </c>
      <c r="AD27" s="37" t="n">
        <v>27</v>
      </c>
      <c r="AE27" s="37" t="n">
        <v>28</v>
      </c>
      <c r="AF27" s="37" t="n">
        <v>29</v>
      </c>
      <c r="AG27" s="37" t="n">
        <v>30</v>
      </c>
      <c r="AH27" s="37" t="n">
        <v>31</v>
      </c>
      <c r="AI27" s="37" t="n">
        <v>32</v>
      </c>
      <c r="AJ27" s="37" t="n">
        <v>33</v>
      </c>
      <c r="AK27" s="37" t="n">
        <v>34</v>
      </c>
      <c r="AL27" s="37" t="n">
        <v>35</v>
      </c>
      <c r="AM27" s="37" t="n">
        <v>36</v>
      </c>
      <c r="AN27" s="37" t="n">
        <v>37</v>
      </c>
      <c r="AO27" s="37" t="n">
        <v>38</v>
      </c>
      <c r="AP27" s="37" t="n">
        <v>39</v>
      </c>
      <c r="AQ27" s="37" t="n">
        <v>40</v>
      </c>
      <c r="AR27" s="37" t="n">
        <v>41</v>
      </c>
      <c r="AS27" s="37" t="n">
        <v>42</v>
      </c>
      <c r="AT27" s="37" t="n">
        <v>43</v>
      </c>
      <c r="AU27" s="37" t="n">
        <v>44</v>
      </c>
      <c r="AV27" s="37" t="n">
        <v>45</v>
      </c>
      <c r="AW27" s="37" t="n">
        <v>46</v>
      </c>
      <c r="AX27" s="37" t="n">
        <v>47</v>
      </c>
      <c r="AY27" s="37" t="n">
        <v>48</v>
      </c>
      <c r="AZ27" s="37" t="n">
        <v>49</v>
      </c>
      <c r="BA27" s="37" t="n">
        <v>50</v>
      </c>
      <c r="BB27" s="37" t="n">
        <v>51</v>
      </c>
      <c r="BC27" s="37" t="n">
        <v>52</v>
      </c>
      <c r="BD27" s="37" t="n">
        <v>53</v>
      </c>
      <c r="BE27" s="37" t="n">
        <v>54</v>
      </c>
      <c r="BF27" s="37" t="n">
        <v>55</v>
      </c>
      <c r="BG27" s="37" t="n">
        <v>56</v>
      </c>
      <c r="BH27" s="37" t="n">
        <v>57</v>
      </c>
      <c r="BI27" s="37" t="n">
        <v>58</v>
      </c>
      <c r="BJ27" s="37" t="n">
        <v>59</v>
      </c>
      <c r="BK27" s="37" t="n">
        <v>60</v>
      </c>
      <c r="BL27" s="37" t="n">
        <v>61</v>
      </c>
      <c r="BM27" s="37" t="n">
        <v>62</v>
      </c>
      <c r="BN27" s="37" t="n">
        <v>63</v>
      </c>
      <c r="BO27" s="37" t="n">
        <v>64</v>
      </c>
      <c r="BP27" s="37" t="n">
        <v>65</v>
      </c>
      <c r="BQ27" s="37" t="n">
        <v>66</v>
      </c>
      <c r="BR27" s="37" t="n">
        <v>67</v>
      </c>
      <c r="BS27" s="37" t="n">
        <v>68</v>
      </c>
      <c r="BT27" s="37" t="n">
        <v>69</v>
      </c>
      <c r="BU27" s="37" t="n">
        <v>70</v>
      </c>
      <c r="BV27" s="37" t="n">
        <v>71</v>
      </c>
      <c r="BW27" s="37" t="n">
        <v>72</v>
      </c>
      <c r="BX27" s="37" t="n">
        <v>73</v>
      </c>
      <c r="BY27" s="37" t="n">
        <v>74</v>
      </c>
      <c r="BZ27" s="37" t="n">
        <v>75</v>
      </c>
      <c r="CA27" s="37" t="n">
        <v>76</v>
      </c>
      <c r="CB27" s="37" t="n">
        <v>77</v>
      </c>
      <c r="CC27" s="37" t="n">
        <v>78</v>
      </c>
      <c r="CD27" s="37" t="n">
        <v>79</v>
      </c>
      <c r="CE27" s="37" t="n">
        <v>80</v>
      </c>
      <c r="CF27" s="37" t="n">
        <v>81</v>
      </c>
      <c r="CG27" s="37" t="n">
        <v>82</v>
      </c>
      <c r="CH27" s="37" t="n">
        <v>83</v>
      </c>
      <c r="CI27" s="37" t="n">
        <v>84</v>
      </c>
      <c r="CJ27" s="37" t="n">
        <v>85</v>
      </c>
      <c r="CK27" s="37" t="n">
        <v>86</v>
      </c>
      <c r="CL27" s="37" t="n">
        <v>87</v>
      </c>
      <c r="CM27" s="37" t="n">
        <v>88</v>
      </c>
      <c r="CN27" s="37" t="n">
        <v>89</v>
      </c>
      <c r="CO27" s="37" t="n">
        <v>90</v>
      </c>
      <c r="CP27" s="37" t="n">
        <v>91</v>
      </c>
      <c r="CQ27" s="37" t="n">
        <v>92</v>
      </c>
      <c r="CR27" s="37" t="n">
        <v>93</v>
      </c>
      <c r="CS27" s="37" t="n">
        <v>94</v>
      </c>
      <c r="CT27" s="37" t="n">
        <v>95</v>
      </c>
      <c r="CU27" s="37" t="n">
        <v>96</v>
      </c>
      <c r="CV27" s="37" t="n">
        <v>97</v>
      </c>
      <c r="CW27" s="37" t="n">
        <v>98</v>
      </c>
      <c r="CX27" s="37" t="n">
        <v>99</v>
      </c>
      <c r="CY27" s="37" t="n">
        <v>100</v>
      </c>
      <c r="CZ27" s="37" t="n">
        <v>101</v>
      </c>
      <c r="DA27" s="37" t="n">
        <v>102</v>
      </c>
      <c r="DB27" s="37" t="n">
        <v>103</v>
      </c>
      <c r="DC27" s="37" t="n">
        <v>104</v>
      </c>
      <c r="DD27" s="37" t="n">
        <v>105</v>
      </c>
      <c r="DE27" s="37" t="n">
        <v>106</v>
      </c>
      <c r="DF27" s="37" t="n">
        <v>107</v>
      </c>
      <c r="DG27" s="37" t="n">
        <v>108</v>
      </c>
      <c r="DH27" s="37" t="n">
        <v>109</v>
      </c>
      <c r="DI27" s="37" t="n">
        <v>110</v>
      </c>
      <c r="DJ27" s="37" t="n">
        <v>111</v>
      </c>
      <c r="DK27" s="37" t="n">
        <v>112</v>
      </c>
      <c r="DL27" s="37" t="n">
        <v>113</v>
      </c>
      <c r="DM27" s="37" t="n">
        <v>114</v>
      </c>
      <c r="DN27" s="37" t="n">
        <v>115</v>
      </c>
      <c r="DO27" s="37" t="n">
        <v>116</v>
      </c>
      <c r="DP27" s="37" t="n">
        <v>117</v>
      </c>
      <c r="DQ27" s="37" t="n">
        <v>118</v>
      </c>
      <c r="DR27" s="37" t="n">
        <v>119</v>
      </c>
      <c r="DS27" s="37" t="n">
        <v>120</v>
      </c>
      <c r="DT27" s="37" t="n">
        <v>121</v>
      </c>
      <c r="DU27" s="37" t="n">
        <v>122</v>
      </c>
      <c r="DV27" s="37" t="n">
        <v>123</v>
      </c>
      <c r="DW27" s="37" t="n">
        <v>124</v>
      </c>
      <c r="DX27" s="37" t="n">
        <v>125</v>
      </c>
      <c r="DY27" s="37" t="n">
        <v>126</v>
      </c>
      <c r="DZ27" s="37" t="n">
        <v>127</v>
      </c>
      <c r="EA27" s="37" t="n">
        <v>128</v>
      </c>
      <c r="EB27" s="37" t="n">
        <v>129</v>
      </c>
      <c r="EC27" s="37" t="n">
        <v>130</v>
      </c>
      <c r="ED27" s="37" t="n">
        <v>131</v>
      </c>
      <c r="EE27" s="37" t="n">
        <v>132</v>
      </c>
      <c r="EF27" s="37" t="n">
        <v>133</v>
      </c>
      <c r="EG27" s="37" t="n">
        <v>134</v>
      </c>
      <c r="EH27" s="37" t="n">
        <v>135</v>
      </c>
      <c r="EI27" s="37" t="n">
        <v>136</v>
      </c>
      <c r="EJ27" s="37" t="n">
        <v>137</v>
      </c>
      <c r="EK27" s="37" t="n">
        <v>138</v>
      </c>
      <c r="EL27" s="37" t="n">
        <v>139</v>
      </c>
      <c r="EM27" s="37" t="n">
        <v>140</v>
      </c>
      <c r="EN27" s="37" t="n">
        <v>141</v>
      </c>
      <c r="EO27" s="37" t="n">
        <v>142</v>
      </c>
      <c r="EP27" s="37" t="n">
        <v>143</v>
      </c>
      <c r="EQ27" s="37" t="n">
        <v>144</v>
      </c>
      <c r="ER27" s="37" t="n">
        <v>145</v>
      </c>
      <c r="ES27" s="37" t="n">
        <v>146</v>
      </c>
      <c r="ET27" s="37" t="n">
        <v>147</v>
      </c>
      <c r="EU27" s="37" t="n">
        <v>148</v>
      </c>
      <c r="EV27" s="37" t="n">
        <v>149</v>
      </c>
      <c r="EW27" s="37" t="n">
        <v>150</v>
      </c>
      <c r="EX27" s="37" t="n">
        <v>151</v>
      </c>
      <c r="EY27" s="37" t="n">
        <v>152</v>
      </c>
      <c r="EZ27" s="37" t="n">
        <v>153</v>
      </c>
      <c r="FA27" s="37" t="n">
        <v>154</v>
      </c>
      <c r="FB27" s="37" t="n">
        <v>155</v>
      </c>
      <c r="FC27" s="37" t="n">
        <v>156</v>
      </c>
      <c r="FD27" s="37" t="n">
        <v>157</v>
      </c>
      <c r="FE27" s="37" t="n">
        <v>158</v>
      </c>
      <c r="FF27" s="37" t="n">
        <v>159</v>
      </c>
      <c r="FG27" s="37" t="n">
        <v>160</v>
      </c>
      <c r="FH27" s="37" t="n">
        <v>161</v>
      </c>
      <c r="FI27" s="37" t="n">
        <v>162</v>
      </c>
      <c r="FJ27" s="37" t="n">
        <v>163</v>
      </c>
      <c r="FK27" s="37" t="n">
        <v>164</v>
      </c>
      <c r="FL27" s="37" t="n">
        <v>165</v>
      </c>
      <c r="FM27" s="37" t="n">
        <v>166</v>
      </c>
      <c r="FN27" s="37" t="n">
        <v>167</v>
      </c>
      <c r="FO27" s="37" t="n">
        <v>168</v>
      </c>
      <c r="FP27" s="37" t="n">
        <v>169</v>
      </c>
      <c r="FQ27" s="37" t="n">
        <v>170</v>
      </c>
      <c r="FR27" s="37" t="n">
        <v>171</v>
      </c>
      <c r="FS27" s="37" t="n">
        <v>172</v>
      </c>
      <c r="FT27" s="37" t="n">
        <v>173</v>
      </c>
      <c r="FU27" s="37" t="n">
        <v>174</v>
      </c>
      <c r="FV27" s="37" t="n">
        <v>175</v>
      </c>
      <c r="FW27" s="37" t="n">
        <v>176</v>
      </c>
      <c r="FX27" s="37" t="n">
        <v>177</v>
      </c>
      <c r="FY27" s="37" t="n">
        <v>178</v>
      </c>
      <c r="FZ27" s="37" t="n">
        <v>179</v>
      </c>
      <c r="GA27" s="37" t="n">
        <v>180</v>
      </c>
      <c r="GB27" s="37" t="n">
        <v>181</v>
      </c>
      <c r="GC27" s="37" t="n">
        <v>182</v>
      </c>
      <c r="GD27" s="37" t="n">
        <v>183</v>
      </c>
      <c r="GE27" s="37" t="n">
        <v>184</v>
      </c>
      <c r="GF27" s="37" t="n">
        <v>185</v>
      </c>
      <c r="GG27" s="37" t="n">
        <v>186</v>
      </c>
      <c r="GH27" s="37" t="n">
        <v>187</v>
      </c>
      <c r="GI27" s="37" t="n">
        <v>188</v>
      </c>
      <c r="GJ27" s="37" t="n">
        <v>189</v>
      </c>
      <c r="GK27" s="37" t="n">
        <v>190</v>
      </c>
      <c r="GL27" s="37" t="n">
        <v>191</v>
      </c>
      <c r="GM27" s="37" t="n">
        <v>192</v>
      </c>
      <c r="GN27" s="37" t="n">
        <v>193</v>
      </c>
      <c r="GO27" s="37" t="n">
        <v>194</v>
      </c>
      <c r="GP27" s="37" t="n">
        <v>195</v>
      </c>
      <c r="GQ27" s="37" t="n">
        <v>196</v>
      </c>
      <c r="GR27" s="37" t="n">
        <v>197</v>
      </c>
      <c r="GS27" s="37" t="n">
        <v>198</v>
      </c>
      <c r="GT27" s="37" t="n">
        <v>199</v>
      </c>
      <c r="GU27" s="37" t="n">
        <v>200</v>
      </c>
      <c r="GV27" s="37" t="n">
        <v>201</v>
      </c>
      <c r="GW27" s="37" t="n">
        <v>202</v>
      </c>
      <c r="GX27" s="37" t="n">
        <v>203</v>
      </c>
      <c r="GY27" s="37" t="n">
        <v>204</v>
      </c>
      <c r="GZ27" s="37" t="n">
        <v>205</v>
      </c>
      <c r="HA27" s="37" t="n">
        <v>206</v>
      </c>
      <c r="HB27" s="37" t="n">
        <v>207</v>
      </c>
      <c r="HC27" s="37" t="n">
        <v>208</v>
      </c>
      <c r="HD27" s="37" t="n">
        <v>209</v>
      </c>
      <c r="HE27" s="37" t="n">
        <v>210</v>
      </c>
      <c r="HF27" s="37" t="n">
        <v>211</v>
      </c>
      <c r="HG27" s="37" t="n">
        <v>212</v>
      </c>
      <c r="HH27" s="37" t="n">
        <v>213</v>
      </c>
      <c r="HI27" s="37" t="n">
        <v>214</v>
      </c>
      <c r="HJ27" s="37" t="n">
        <v>215</v>
      </c>
      <c r="HK27" s="37" t="n">
        <v>216</v>
      </c>
      <c r="HL27" s="37" t="n">
        <v>217</v>
      </c>
      <c r="HM27" s="37" t="n">
        <v>218</v>
      </c>
      <c r="HN27" s="37" t="n">
        <v>219</v>
      </c>
      <c r="HO27" s="37" t="n">
        <v>220</v>
      </c>
      <c r="HP27" s="37" t="n">
        <v>221</v>
      </c>
      <c r="HQ27" s="37" t="n">
        <v>222</v>
      </c>
      <c r="HR27" s="37" t="n">
        <v>223</v>
      </c>
      <c r="HS27" s="37" t="n">
        <v>224</v>
      </c>
      <c r="HT27" s="37" t="n">
        <v>225</v>
      </c>
      <c r="HU27" s="37" t="n">
        <v>226</v>
      </c>
      <c r="HV27" s="37" t="n">
        <v>227</v>
      </c>
      <c r="HW27" s="37" t="n">
        <v>228</v>
      </c>
      <c r="HX27" s="37" t="n">
        <v>229</v>
      </c>
      <c r="HY27" s="37" t="n">
        <v>230</v>
      </c>
      <c r="HZ27" s="37" t="n">
        <v>231</v>
      </c>
      <c r="IA27" s="37" t="n">
        <v>232</v>
      </c>
      <c r="IB27" s="37" t="n">
        <v>233</v>
      </c>
      <c r="IC27" s="37" t="n">
        <v>234</v>
      </c>
      <c r="ID27" s="37" t="n">
        <v>235</v>
      </c>
      <c r="IE27" s="37" t="n">
        <v>236</v>
      </c>
      <c r="IF27" s="37" t="n">
        <v>237</v>
      </c>
      <c r="IG27" s="37" t="n">
        <v>238</v>
      </c>
      <c r="IH27" s="37" t="n">
        <v>239</v>
      </c>
      <c r="II27" s="37" t="n">
        <v>240</v>
      </c>
      <c r="IJ27" s="37" t="n">
        <v>241</v>
      </c>
      <c r="IK27" s="37" t="n">
        <v>242</v>
      </c>
      <c r="IL27" s="37" t="n">
        <v>243</v>
      </c>
      <c r="IM27" s="37" t="n">
        <v>244</v>
      </c>
      <c r="IN27" s="37" t="n">
        <v>245</v>
      </c>
      <c r="IO27" s="37" t="n">
        <v>246</v>
      </c>
      <c r="IP27" s="37" t="n">
        <v>247</v>
      </c>
      <c r="IQ27" s="37" t="n">
        <v>248</v>
      </c>
      <c r="IR27" s="37" t="n">
        <v>249</v>
      </c>
      <c r="IS27" s="37" t="n">
        <v>250</v>
      </c>
      <c r="IT27" s="37" t="n">
        <v>251</v>
      </c>
      <c r="IU27" s="37" t="n">
        <v>252</v>
      </c>
      <c r="IV27" s="37" t="n">
        <v>253</v>
      </c>
      <c r="IW27" s="37" t="n">
        <v>254</v>
      </c>
      <c r="IX27" s="37" t="n">
        <v>255</v>
      </c>
      <c r="IY27" s="37" t="n">
        <v>256</v>
      </c>
      <c r="IZ27" s="37" t="n">
        <v>257</v>
      </c>
      <c r="JA27" s="37" t="n">
        <v>258</v>
      </c>
      <c r="JB27" s="37" t="n">
        <v>259</v>
      </c>
      <c r="JC27" s="37" t="n">
        <v>260</v>
      </c>
      <c r="JD27" s="37" t="n">
        <v>261</v>
      </c>
      <c r="JE27" s="37" t="n">
        <v>262</v>
      </c>
      <c r="JF27" s="37" t="n">
        <v>263</v>
      </c>
      <c r="JG27" s="37" t="n">
        <v>264</v>
      </c>
      <c r="JH27" s="37" t="n">
        <v>265</v>
      </c>
      <c r="JI27" s="37" t="n">
        <v>266</v>
      </c>
      <c r="JJ27" s="37" t="n">
        <v>267</v>
      </c>
      <c r="JK27" s="37" t="n">
        <v>268</v>
      </c>
      <c r="JL27" s="37" t="n">
        <v>269</v>
      </c>
      <c r="JM27" s="37" t="n">
        <v>270</v>
      </c>
      <c r="JN27" s="37" t="n">
        <v>271</v>
      </c>
      <c r="JO27" s="37" t="n">
        <v>272</v>
      </c>
      <c r="JP27" s="37" t="n">
        <v>273</v>
      </c>
      <c r="JQ27" s="37" t="n">
        <v>274</v>
      </c>
      <c r="JR27" s="37" t="n">
        <v>275</v>
      </c>
      <c r="JS27" s="37" t="n">
        <v>276</v>
      </c>
      <c r="JT27" s="37" t="n">
        <v>277</v>
      </c>
      <c r="JU27" s="37" t="n">
        <v>278</v>
      </c>
      <c r="JV27" s="37" t="n">
        <v>279</v>
      </c>
      <c r="JW27" s="37" t="n">
        <v>280</v>
      </c>
      <c r="JX27" s="37" t="n">
        <v>281</v>
      </c>
      <c r="JY27" s="37" t="n">
        <v>282</v>
      </c>
      <c r="JZ27" s="37" t="n">
        <v>283</v>
      </c>
      <c r="KA27" s="37" t="n">
        <v>284</v>
      </c>
      <c r="KB27" s="37" t="n">
        <v>285</v>
      </c>
      <c r="KC27" s="37" t="n">
        <v>286</v>
      </c>
      <c r="KD27" s="37" t="n">
        <v>287</v>
      </c>
      <c r="KE27" s="37" t="n">
        <v>288</v>
      </c>
      <c r="KF27" s="37" t="n">
        <v>289</v>
      </c>
      <c r="KG27" s="37" t="n">
        <v>290</v>
      </c>
      <c r="KH27" s="37" t="n">
        <v>291</v>
      </c>
      <c r="KI27" s="37" t="n">
        <v>292</v>
      </c>
      <c r="KJ27" s="37" t="n">
        <v>293</v>
      </c>
      <c r="KK27" s="37" t="n">
        <v>294</v>
      </c>
      <c r="KL27" s="37" t="n">
        <v>295</v>
      </c>
      <c r="KM27" s="37" t="n">
        <v>296</v>
      </c>
      <c r="KN27" s="37" t="n">
        <v>297</v>
      </c>
      <c r="KO27" s="37" t="n">
        <v>298</v>
      </c>
      <c r="KP27" s="37" t="n">
        <v>299</v>
      </c>
      <c r="KQ27" s="37" t="n">
        <v>300</v>
      </c>
      <c r="KR27" s="37" t="n">
        <v>301</v>
      </c>
      <c r="KS27" s="37" t="n">
        <v>302</v>
      </c>
      <c r="KT27" s="37" t="n">
        <v>303</v>
      </c>
      <c r="KU27" s="37" t="n">
        <v>304</v>
      </c>
      <c r="KV27" s="37" t="n">
        <v>305</v>
      </c>
      <c r="KW27" s="37" t="n">
        <v>306</v>
      </c>
      <c r="KX27" s="37" t="n">
        <v>307</v>
      </c>
      <c r="KY27" s="37" t="n">
        <v>308</v>
      </c>
      <c r="KZ27" s="37" t="n">
        <v>309</v>
      </c>
      <c r="LA27" s="37" t="n">
        <v>310</v>
      </c>
      <c r="LB27" s="37" t="n">
        <v>311</v>
      </c>
      <c r="LC27" s="37" t="n">
        <v>312</v>
      </c>
      <c r="LD27" s="37" t="n">
        <v>313</v>
      </c>
      <c r="LE27" s="37" t="n">
        <v>314</v>
      </c>
      <c r="LF27" s="37" t="n">
        <v>315</v>
      </c>
      <c r="LG27" s="37" t="n">
        <v>316</v>
      </c>
      <c r="LH27" s="37" t="n">
        <v>317</v>
      </c>
      <c r="LI27" s="37" t="n">
        <v>318</v>
      </c>
      <c r="LJ27" s="37" t="n">
        <v>319</v>
      </c>
      <c r="LK27" s="37" t="n">
        <v>320</v>
      </c>
      <c r="LL27" s="37" t="n">
        <v>321</v>
      </c>
      <c r="LM27" s="37" t="n">
        <v>322</v>
      </c>
      <c r="LN27" s="37" t="n">
        <v>323</v>
      </c>
      <c r="LO27" s="37" t="n">
        <v>324</v>
      </c>
      <c r="LP27" s="37" t="n">
        <v>325</v>
      </c>
      <c r="LQ27" s="37" t="n">
        <v>326</v>
      </c>
      <c r="LR27" s="37" t="n">
        <v>327</v>
      </c>
      <c r="LS27" s="37" t="n">
        <v>328</v>
      </c>
      <c r="LT27" s="37" t="n">
        <v>329</v>
      </c>
      <c r="LU27" s="37" t="n">
        <v>330</v>
      </c>
      <c r="LV27" s="37" t="n">
        <v>331</v>
      </c>
      <c r="LW27" s="37" t="n">
        <v>332</v>
      </c>
      <c r="LX27" s="37" t="n">
        <v>333</v>
      </c>
      <c r="LY27" s="37" t="n">
        <v>334</v>
      </c>
      <c r="LZ27" s="37" t="n">
        <v>335</v>
      </c>
      <c r="MA27" s="37" t="n">
        <v>336</v>
      </c>
      <c r="MB27" s="37" t="n">
        <v>337</v>
      </c>
      <c r="MC27" s="37" t="n">
        <v>338</v>
      </c>
      <c r="MD27" s="37" t="n">
        <v>339</v>
      </c>
      <c r="ME27" s="37" t="n">
        <v>340</v>
      </c>
      <c r="MF27" s="37" t="n">
        <v>341</v>
      </c>
      <c r="MG27" s="37" t="n">
        <v>342</v>
      </c>
      <c r="MH27" s="37" t="n">
        <v>343</v>
      </c>
      <c r="MI27" s="37" t="n">
        <v>344</v>
      </c>
      <c r="MJ27" s="37" t="n">
        <v>345</v>
      </c>
      <c r="MK27" s="37" t="n">
        <v>346</v>
      </c>
      <c r="ML27" s="37" t="n">
        <v>347</v>
      </c>
      <c r="MM27" s="37" t="n">
        <v>348</v>
      </c>
      <c r="MN27" s="37" t="n">
        <v>349</v>
      </c>
      <c r="MO27" s="37" t="n">
        <v>350</v>
      </c>
      <c r="MP27" s="37" t="n">
        <v>351</v>
      </c>
      <c r="MQ27" s="37" t="n">
        <v>352</v>
      </c>
      <c r="MR27" s="37" t="n">
        <v>353</v>
      </c>
      <c r="MS27" s="37" t="n">
        <v>354</v>
      </c>
      <c r="MT27" s="37" t="n">
        <v>355</v>
      </c>
      <c r="MU27" s="37" t="n">
        <v>356</v>
      </c>
      <c r="MV27" s="37" t="n">
        <v>357</v>
      </c>
      <c r="MW27" s="37" t="n">
        <v>358</v>
      </c>
      <c r="MX27" s="37" t="n">
        <v>359</v>
      </c>
      <c r="MY27" s="37" t="n">
        <v>360</v>
      </c>
      <c r="MZ27" s="37" t="n">
        <v>361</v>
      </c>
      <c r="NA27" s="37" t="n">
        <v>362</v>
      </c>
      <c r="NB27" s="37" t="n">
        <v>363</v>
      </c>
      <c r="NC27" s="37" t="n">
        <v>364</v>
      </c>
      <c r="ND27" s="37" t="n">
        <v>365</v>
      </c>
      <c r="NE27" s="37" t="n">
        <v>366</v>
      </c>
      <c r="NF27" s="37" t="n">
        <v>367</v>
      </c>
      <c r="NG27" s="37" t="n">
        <v>368</v>
      </c>
      <c r="NH27" s="37" t="n">
        <v>369</v>
      </c>
      <c r="NI27" s="37" t="n">
        <v>370</v>
      </c>
      <c r="NJ27" s="37" t="n">
        <v>371</v>
      </c>
      <c r="NK27" s="37" t="n">
        <v>372</v>
      </c>
    </row>
    <row r="28">
      <c r="A28" s="38" t="inlineStr">
        <is>
          <t>Month Start</t>
        </is>
      </c>
      <c r="D28" s="39">
        <f>EDATE(InceptionDate,0)</f>
        <v/>
      </c>
      <c r="E28" s="39">
        <f>EDATE(InceptionDate,1)</f>
        <v/>
      </c>
      <c r="F28" s="39">
        <f>EDATE(InceptionDate,2)</f>
        <v/>
      </c>
      <c r="G28" s="39">
        <f>EDATE(InceptionDate,3)</f>
        <v/>
      </c>
      <c r="H28" s="39">
        <f>EDATE(InceptionDate,4)</f>
        <v/>
      </c>
      <c r="I28" s="39">
        <f>EDATE(InceptionDate,5)</f>
        <v/>
      </c>
      <c r="J28" s="39">
        <f>EDATE(InceptionDate,6)</f>
        <v/>
      </c>
      <c r="K28" s="39">
        <f>EDATE(InceptionDate,7)</f>
        <v/>
      </c>
      <c r="L28" s="39">
        <f>EDATE(InceptionDate,8)</f>
        <v/>
      </c>
      <c r="M28" s="39">
        <f>EDATE(InceptionDate,9)</f>
        <v/>
      </c>
      <c r="N28" s="39">
        <f>EDATE(InceptionDate,10)</f>
        <v/>
      </c>
      <c r="O28" s="39">
        <f>EDATE(InceptionDate,11)</f>
        <v/>
      </c>
      <c r="P28" s="39">
        <f>EDATE(InceptionDate,12)</f>
        <v/>
      </c>
      <c r="Q28" s="39">
        <f>EDATE(InceptionDate,13)</f>
        <v/>
      </c>
      <c r="R28" s="39">
        <f>EDATE(InceptionDate,14)</f>
        <v/>
      </c>
      <c r="S28" s="39">
        <f>EDATE(InceptionDate,15)</f>
        <v/>
      </c>
      <c r="T28" s="39">
        <f>EDATE(InceptionDate,16)</f>
        <v/>
      </c>
      <c r="U28" s="39">
        <f>EDATE(InceptionDate,17)</f>
        <v/>
      </c>
      <c r="V28" s="39">
        <f>EDATE(InceptionDate,18)</f>
        <v/>
      </c>
      <c r="W28" s="39">
        <f>EDATE(InceptionDate,19)</f>
        <v/>
      </c>
      <c r="X28" s="39">
        <f>EDATE(InceptionDate,20)</f>
        <v/>
      </c>
      <c r="Y28" s="39">
        <f>EDATE(InceptionDate,21)</f>
        <v/>
      </c>
      <c r="Z28" s="39">
        <f>EDATE(InceptionDate,22)</f>
        <v/>
      </c>
      <c r="AA28" s="39">
        <f>EDATE(InceptionDate,23)</f>
        <v/>
      </c>
      <c r="AB28" s="39">
        <f>EDATE(InceptionDate,24)</f>
        <v/>
      </c>
      <c r="AC28" s="39">
        <f>EDATE(InceptionDate,25)</f>
        <v/>
      </c>
      <c r="AD28" s="39">
        <f>EDATE(InceptionDate,26)</f>
        <v/>
      </c>
      <c r="AE28" s="39">
        <f>EDATE(InceptionDate,27)</f>
        <v/>
      </c>
      <c r="AF28" s="39">
        <f>EDATE(InceptionDate,28)</f>
        <v/>
      </c>
      <c r="AG28" s="39">
        <f>EDATE(InceptionDate,29)</f>
        <v/>
      </c>
      <c r="AH28" s="39">
        <f>EDATE(InceptionDate,30)</f>
        <v/>
      </c>
      <c r="AI28" s="39">
        <f>EDATE(InceptionDate,31)</f>
        <v/>
      </c>
      <c r="AJ28" s="39">
        <f>EDATE(InceptionDate,32)</f>
        <v/>
      </c>
      <c r="AK28" s="39">
        <f>EDATE(InceptionDate,33)</f>
        <v/>
      </c>
      <c r="AL28" s="39">
        <f>EDATE(InceptionDate,34)</f>
        <v/>
      </c>
      <c r="AM28" s="39">
        <f>EDATE(InceptionDate,35)</f>
        <v/>
      </c>
      <c r="AN28" s="39">
        <f>EDATE(InceptionDate,36)</f>
        <v/>
      </c>
      <c r="AO28" s="39">
        <f>EDATE(InceptionDate,37)</f>
        <v/>
      </c>
      <c r="AP28" s="39">
        <f>EDATE(InceptionDate,38)</f>
        <v/>
      </c>
      <c r="AQ28" s="39">
        <f>EDATE(InceptionDate,39)</f>
        <v/>
      </c>
      <c r="AR28" s="39">
        <f>EDATE(InceptionDate,40)</f>
        <v/>
      </c>
      <c r="AS28" s="39">
        <f>EDATE(InceptionDate,41)</f>
        <v/>
      </c>
      <c r="AT28" s="39">
        <f>EDATE(InceptionDate,42)</f>
        <v/>
      </c>
      <c r="AU28" s="39">
        <f>EDATE(InceptionDate,43)</f>
        <v/>
      </c>
      <c r="AV28" s="39">
        <f>EDATE(InceptionDate,44)</f>
        <v/>
      </c>
      <c r="AW28" s="39">
        <f>EDATE(InceptionDate,45)</f>
        <v/>
      </c>
      <c r="AX28" s="39">
        <f>EDATE(InceptionDate,46)</f>
        <v/>
      </c>
      <c r="AY28" s="39">
        <f>EDATE(InceptionDate,47)</f>
        <v/>
      </c>
      <c r="AZ28" s="39">
        <f>EDATE(InceptionDate,48)</f>
        <v/>
      </c>
      <c r="BA28" s="39">
        <f>EDATE(InceptionDate,49)</f>
        <v/>
      </c>
      <c r="BB28" s="39">
        <f>EDATE(InceptionDate,50)</f>
        <v/>
      </c>
      <c r="BC28" s="39">
        <f>EDATE(InceptionDate,51)</f>
        <v/>
      </c>
      <c r="BD28" s="39">
        <f>EDATE(InceptionDate,52)</f>
        <v/>
      </c>
      <c r="BE28" s="39">
        <f>EDATE(InceptionDate,53)</f>
        <v/>
      </c>
      <c r="BF28" s="39">
        <f>EDATE(InceptionDate,54)</f>
        <v/>
      </c>
      <c r="BG28" s="39">
        <f>EDATE(InceptionDate,55)</f>
        <v/>
      </c>
      <c r="BH28" s="39">
        <f>EDATE(InceptionDate,56)</f>
        <v/>
      </c>
      <c r="BI28" s="39">
        <f>EDATE(InceptionDate,57)</f>
        <v/>
      </c>
      <c r="BJ28" s="39">
        <f>EDATE(InceptionDate,58)</f>
        <v/>
      </c>
      <c r="BK28" s="39">
        <f>EDATE(InceptionDate,59)</f>
        <v/>
      </c>
      <c r="BL28" s="39">
        <f>EDATE(InceptionDate,60)</f>
        <v/>
      </c>
      <c r="BM28" s="39">
        <f>EDATE(InceptionDate,61)</f>
        <v/>
      </c>
      <c r="BN28" s="39">
        <f>EDATE(InceptionDate,62)</f>
        <v/>
      </c>
      <c r="BO28" s="39">
        <f>EDATE(InceptionDate,63)</f>
        <v/>
      </c>
      <c r="BP28" s="39">
        <f>EDATE(InceptionDate,64)</f>
        <v/>
      </c>
      <c r="BQ28" s="39">
        <f>EDATE(InceptionDate,65)</f>
        <v/>
      </c>
      <c r="BR28" s="39">
        <f>EDATE(InceptionDate,66)</f>
        <v/>
      </c>
      <c r="BS28" s="39">
        <f>EDATE(InceptionDate,67)</f>
        <v/>
      </c>
      <c r="BT28" s="39">
        <f>EDATE(InceptionDate,68)</f>
        <v/>
      </c>
      <c r="BU28" s="39">
        <f>EDATE(InceptionDate,69)</f>
        <v/>
      </c>
      <c r="BV28" s="39">
        <f>EDATE(InceptionDate,70)</f>
        <v/>
      </c>
      <c r="BW28" s="39">
        <f>EDATE(InceptionDate,71)</f>
        <v/>
      </c>
      <c r="BX28" s="39">
        <f>EDATE(InceptionDate,72)</f>
        <v/>
      </c>
      <c r="BY28" s="39">
        <f>EDATE(InceptionDate,73)</f>
        <v/>
      </c>
      <c r="BZ28" s="39">
        <f>EDATE(InceptionDate,74)</f>
        <v/>
      </c>
      <c r="CA28" s="39">
        <f>EDATE(InceptionDate,75)</f>
        <v/>
      </c>
      <c r="CB28" s="39">
        <f>EDATE(InceptionDate,76)</f>
        <v/>
      </c>
      <c r="CC28" s="39">
        <f>EDATE(InceptionDate,77)</f>
        <v/>
      </c>
      <c r="CD28" s="39">
        <f>EDATE(InceptionDate,78)</f>
        <v/>
      </c>
      <c r="CE28" s="39">
        <f>EDATE(InceptionDate,79)</f>
        <v/>
      </c>
      <c r="CF28" s="39">
        <f>EDATE(InceptionDate,80)</f>
        <v/>
      </c>
      <c r="CG28" s="39">
        <f>EDATE(InceptionDate,81)</f>
        <v/>
      </c>
      <c r="CH28" s="39">
        <f>EDATE(InceptionDate,82)</f>
        <v/>
      </c>
      <c r="CI28" s="39">
        <f>EDATE(InceptionDate,83)</f>
        <v/>
      </c>
      <c r="CJ28" s="39">
        <f>EDATE(InceptionDate,84)</f>
        <v/>
      </c>
      <c r="CK28" s="39">
        <f>EDATE(InceptionDate,85)</f>
        <v/>
      </c>
      <c r="CL28" s="39">
        <f>EDATE(InceptionDate,86)</f>
        <v/>
      </c>
      <c r="CM28" s="39">
        <f>EDATE(InceptionDate,87)</f>
        <v/>
      </c>
      <c r="CN28" s="39">
        <f>EDATE(InceptionDate,88)</f>
        <v/>
      </c>
      <c r="CO28" s="39">
        <f>EDATE(InceptionDate,89)</f>
        <v/>
      </c>
      <c r="CP28" s="39">
        <f>EDATE(InceptionDate,90)</f>
        <v/>
      </c>
      <c r="CQ28" s="39">
        <f>EDATE(InceptionDate,91)</f>
        <v/>
      </c>
      <c r="CR28" s="39">
        <f>EDATE(InceptionDate,92)</f>
        <v/>
      </c>
      <c r="CS28" s="39">
        <f>EDATE(InceptionDate,93)</f>
        <v/>
      </c>
      <c r="CT28" s="39">
        <f>EDATE(InceptionDate,94)</f>
        <v/>
      </c>
      <c r="CU28" s="39">
        <f>EDATE(InceptionDate,95)</f>
        <v/>
      </c>
      <c r="CV28" s="39">
        <f>EDATE(InceptionDate,96)</f>
        <v/>
      </c>
      <c r="CW28" s="39">
        <f>EDATE(InceptionDate,97)</f>
        <v/>
      </c>
      <c r="CX28" s="39">
        <f>EDATE(InceptionDate,98)</f>
        <v/>
      </c>
      <c r="CY28" s="39">
        <f>EDATE(InceptionDate,99)</f>
        <v/>
      </c>
      <c r="CZ28" s="39">
        <f>EDATE(InceptionDate,100)</f>
        <v/>
      </c>
      <c r="DA28" s="39">
        <f>EDATE(InceptionDate,101)</f>
        <v/>
      </c>
      <c r="DB28" s="39">
        <f>EDATE(InceptionDate,102)</f>
        <v/>
      </c>
      <c r="DC28" s="39">
        <f>EDATE(InceptionDate,103)</f>
        <v/>
      </c>
      <c r="DD28" s="39">
        <f>EDATE(InceptionDate,104)</f>
        <v/>
      </c>
      <c r="DE28" s="39">
        <f>EDATE(InceptionDate,105)</f>
        <v/>
      </c>
      <c r="DF28" s="39">
        <f>EDATE(InceptionDate,106)</f>
        <v/>
      </c>
      <c r="DG28" s="39">
        <f>EDATE(InceptionDate,107)</f>
        <v/>
      </c>
      <c r="DH28" s="39">
        <f>EDATE(InceptionDate,108)</f>
        <v/>
      </c>
      <c r="DI28" s="39">
        <f>EDATE(InceptionDate,109)</f>
        <v/>
      </c>
      <c r="DJ28" s="39">
        <f>EDATE(InceptionDate,110)</f>
        <v/>
      </c>
      <c r="DK28" s="39">
        <f>EDATE(InceptionDate,111)</f>
        <v/>
      </c>
      <c r="DL28" s="39">
        <f>EDATE(InceptionDate,112)</f>
        <v/>
      </c>
      <c r="DM28" s="39">
        <f>EDATE(InceptionDate,113)</f>
        <v/>
      </c>
      <c r="DN28" s="39">
        <f>EDATE(InceptionDate,114)</f>
        <v/>
      </c>
      <c r="DO28" s="39">
        <f>EDATE(InceptionDate,115)</f>
        <v/>
      </c>
      <c r="DP28" s="39">
        <f>EDATE(InceptionDate,116)</f>
        <v/>
      </c>
      <c r="DQ28" s="39">
        <f>EDATE(InceptionDate,117)</f>
        <v/>
      </c>
      <c r="DR28" s="39">
        <f>EDATE(InceptionDate,118)</f>
        <v/>
      </c>
      <c r="DS28" s="39">
        <f>EDATE(InceptionDate,119)</f>
        <v/>
      </c>
      <c r="DT28" s="39">
        <f>EDATE(InceptionDate,120)</f>
        <v/>
      </c>
      <c r="DU28" s="39">
        <f>EDATE(InceptionDate,121)</f>
        <v/>
      </c>
      <c r="DV28" s="39">
        <f>EDATE(InceptionDate,122)</f>
        <v/>
      </c>
      <c r="DW28" s="39">
        <f>EDATE(InceptionDate,123)</f>
        <v/>
      </c>
      <c r="DX28" s="39">
        <f>EDATE(InceptionDate,124)</f>
        <v/>
      </c>
      <c r="DY28" s="39">
        <f>EDATE(InceptionDate,125)</f>
        <v/>
      </c>
      <c r="DZ28" s="39">
        <f>EDATE(InceptionDate,126)</f>
        <v/>
      </c>
      <c r="EA28" s="39">
        <f>EDATE(InceptionDate,127)</f>
        <v/>
      </c>
      <c r="EB28" s="39">
        <f>EDATE(InceptionDate,128)</f>
        <v/>
      </c>
      <c r="EC28" s="39">
        <f>EDATE(InceptionDate,129)</f>
        <v/>
      </c>
      <c r="ED28" s="39">
        <f>EDATE(InceptionDate,130)</f>
        <v/>
      </c>
      <c r="EE28" s="39">
        <f>EDATE(InceptionDate,131)</f>
        <v/>
      </c>
      <c r="EF28" s="39">
        <f>EDATE(InceptionDate,132)</f>
        <v/>
      </c>
      <c r="EG28" s="39">
        <f>EDATE(InceptionDate,133)</f>
        <v/>
      </c>
      <c r="EH28" s="39">
        <f>EDATE(InceptionDate,134)</f>
        <v/>
      </c>
      <c r="EI28" s="39">
        <f>EDATE(InceptionDate,135)</f>
        <v/>
      </c>
      <c r="EJ28" s="39">
        <f>EDATE(InceptionDate,136)</f>
        <v/>
      </c>
      <c r="EK28" s="39">
        <f>EDATE(InceptionDate,137)</f>
        <v/>
      </c>
      <c r="EL28" s="39">
        <f>EDATE(InceptionDate,138)</f>
        <v/>
      </c>
      <c r="EM28" s="39">
        <f>EDATE(InceptionDate,139)</f>
        <v/>
      </c>
      <c r="EN28" s="39">
        <f>EDATE(InceptionDate,140)</f>
        <v/>
      </c>
      <c r="EO28" s="39">
        <f>EDATE(InceptionDate,141)</f>
        <v/>
      </c>
      <c r="EP28" s="39">
        <f>EDATE(InceptionDate,142)</f>
        <v/>
      </c>
      <c r="EQ28" s="39">
        <f>EDATE(InceptionDate,143)</f>
        <v/>
      </c>
      <c r="ER28" s="39">
        <f>EDATE(InceptionDate,144)</f>
        <v/>
      </c>
      <c r="ES28" s="39">
        <f>EDATE(InceptionDate,145)</f>
        <v/>
      </c>
      <c r="ET28" s="39">
        <f>EDATE(InceptionDate,146)</f>
        <v/>
      </c>
      <c r="EU28" s="39">
        <f>EDATE(InceptionDate,147)</f>
        <v/>
      </c>
      <c r="EV28" s="39">
        <f>EDATE(InceptionDate,148)</f>
        <v/>
      </c>
      <c r="EW28" s="39">
        <f>EDATE(InceptionDate,149)</f>
        <v/>
      </c>
      <c r="EX28" s="39">
        <f>EDATE(InceptionDate,150)</f>
        <v/>
      </c>
      <c r="EY28" s="39">
        <f>EDATE(InceptionDate,151)</f>
        <v/>
      </c>
      <c r="EZ28" s="39">
        <f>EDATE(InceptionDate,152)</f>
        <v/>
      </c>
      <c r="FA28" s="39">
        <f>EDATE(InceptionDate,153)</f>
        <v/>
      </c>
      <c r="FB28" s="39">
        <f>EDATE(InceptionDate,154)</f>
        <v/>
      </c>
      <c r="FC28" s="39">
        <f>EDATE(InceptionDate,155)</f>
        <v/>
      </c>
      <c r="FD28" s="39">
        <f>EDATE(InceptionDate,156)</f>
        <v/>
      </c>
      <c r="FE28" s="39">
        <f>EDATE(InceptionDate,157)</f>
        <v/>
      </c>
      <c r="FF28" s="39">
        <f>EDATE(InceptionDate,158)</f>
        <v/>
      </c>
      <c r="FG28" s="39">
        <f>EDATE(InceptionDate,159)</f>
        <v/>
      </c>
      <c r="FH28" s="39">
        <f>EDATE(InceptionDate,160)</f>
        <v/>
      </c>
      <c r="FI28" s="39">
        <f>EDATE(InceptionDate,161)</f>
        <v/>
      </c>
      <c r="FJ28" s="39">
        <f>EDATE(InceptionDate,162)</f>
        <v/>
      </c>
      <c r="FK28" s="39">
        <f>EDATE(InceptionDate,163)</f>
        <v/>
      </c>
      <c r="FL28" s="39">
        <f>EDATE(InceptionDate,164)</f>
        <v/>
      </c>
      <c r="FM28" s="39">
        <f>EDATE(InceptionDate,165)</f>
        <v/>
      </c>
      <c r="FN28" s="39">
        <f>EDATE(InceptionDate,166)</f>
        <v/>
      </c>
      <c r="FO28" s="39">
        <f>EDATE(InceptionDate,167)</f>
        <v/>
      </c>
      <c r="FP28" s="39">
        <f>EDATE(InceptionDate,168)</f>
        <v/>
      </c>
      <c r="FQ28" s="39">
        <f>EDATE(InceptionDate,169)</f>
        <v/>
      </c>
      <c r="FR28" s="39">
        <f>EDATE(InceptionDate,170)</f>
        <v/>
      </c>
      <c r="FS28" s="39">
        <f>EDATE(InceptionDate,171)</f>
        <v/>
      </c>
      <c r="FT28" s="39">
        <f>EDATE(InceptionDate,172)</f>
        <v/>
      </c>
      <c r="FU28" s="39">
        <f>EDATE(InceptionDate,173)</f>
        <v/>
      </c>
      <c r="FV28" s="39">
        <f>EDATE(InceptionDate,174)</f>
        <v/>
      </c>
      <c r="FW28" s="39">
        <f>EDATE(InceptionDate,175)</f>
        <v/>
      </c>
      <c r="FX28" s="39">
        <f>EDATE(InceptionDate,176)</f>
        <v/>
      </c>
      <c r="FY28" s="39">
        <f>EDATE(InceptionDate,177)</f>
        <v/>
      </c>
      <c r="FZ28" s="39">
        <f>EDATE(InceptionDate,178)</f>
        <v/>
      </c>
      <c r="GA28" s="39">
        <f>EDATE(InceptionDate,179)</f>
        <v/>
      </c>
      <c r="GB28" s="39">
        <f>EDATE(InceptionDate,180)</f>
        <v/>
      </c>
      <c r="GC28" s="39">
        <f>EDATE(InceptionDate,181)</f>
        <v/>
      </c>
      <c r="GD28" s="39">
        <f>EDATE(InceptionDate,182)</f>
        <v/>
      </c>
      <c r="GE28" s="39">
        <f>EDATE(InceptionDate,183)</f>
        <v/>
      </c>
      <c r="GF28" s="39">
        <f>EDATE(InceptionDate,184)</f>
        <v/>
      </c>
      <c r="GG28" s="39">
        <f>EDATE(InceptionDate,185)</f>
        <v/>
      </c>
      <c r="GH28" s="39">
        <f>EDATE(InceptionDate,186)</f>
        <v/>
      </c>
      <c r="GI28" s="39">
        <f>EDATE(InceptionDate,187)</f>
        <v/>
      </c>
      <c r="GJ28" s="39">
        <f>EDATE(InceptionDate,188)</f>
        <v/>
      </c>
      <c r="GK28" s="39">
        <f>EDATE(InceptionDate,189)</f>
        <v/>
      </c>
      <c r="GL28" s="39">
        <f>EDATE(InceptionDate,190)</f>
        <v/>
      </c>
      <c r="GM28" s="39">
        <f>EDATE(InceptionDate,191)</f>
        <v/>
      </c>
      <c r="GN28" s="39">
        <f>EDATE(InceptionDate,192)</f>
        <v/>
      </c>
      <c r="GO28" s="39">
        <f>EDATE(InceptionDate,193)</f>
        <v/>
      </c>
      <c r="GP28" s="39">
        <f>EDATE(InceptionDate,194)</f>
        <v/>
      </c>
      <c r="GQ28" s="39">
        <f>EDATE(InceptionDate,195)</f>
        <v/>
      </c>
      <c r="GR28" s="39">
        <f>EDATE(InceptionDate,196)</f>
        <v/>
      </c>
      <c r="GS28" s="39">
        <f>EDATE(InceptionDate,197)</f>
        <v/>
      </c>
      <c r="GT28" s="39">
        <f>EDATE(InceptionDate,198)</f>
        <v/>
      </c>
      <c r="GU28" s="39">
        <f>EDATE(InceptionDate,199)</f>
        <v/>
      </c>
      <c r="GV28" s="39">
        <f>EDATE(InceptionDate,200)</f>
        <v/>
      </c>
      <c r="GW28" s="39">
        <f>EDATE(InceptionDate,201)</f>
        <v/>
      </c>
      <c r="GX28" s="39">
        <f>EDATE(InceptionDate,202)</f>
        <v/>
      </c>
      <c r="GY28" s="39">
        <f>EDATE(InceptionDate,203)</f>
        <v/>
      </c>
      <c r="GZ28" s="39">
        <f>EDATE(InceptionDate,204)</f>
        <v/>
      </c>
      <c r="HA28" s="39">
        <f>EDATE(InceptionDate,205)</f>
        <v/>
      </c>
      <c r="HB28" s="39">
        <f>EDATE(InceptionDate,206)</f>
        <v/>
      </c>
      <c r="HC28" s="39">
        <f>EDATE(InceptionDate,207)</f>
        <v/>
      </c>
      <c r="HD28" s="39">
        <f>EDATE(InceptionDate,208)</f>
        <v/>
      </c>
      <c r="HE28" s="39">
        <f>EDATE(InceptionDate,209)</f>
        <v/>
      </c>
      <c r="HF28" s="39">
        <f>EDATE(InceptionDate,210)</f>
        <v/>
      </c>
      <c r="HG28" s="39">
        <f>EDATE(InceptionDate,211)</f>
        <v/>
      </c>
      <c r="HH28" s="39">
        <f>EDATE(InceptionDate,212)</f>
        <v/>
      </c>
      <c r="HI28" s="39">
        <f>EDATE(InceptionDate,213)</f>
        <v/>
      </c>
      <c r="HJ28" s="39">
        <f>EDATE(InceptionDate,214)</f>
        <v/>
      </c>
      <c r="HK28" s="39">
        <f>EDATE(InceptionDate,215)</f>
        <v/>
      </c>
      <c r="HL28" s="39">
        <f>EDATE(InceptionDate,216)</f>
        <v/>
      </c>
      <c r="HM28" s="39">
        <f>EDATE(InceptionDate,217)</f>
        <v/>
      </c>
      <c r="HN28" s="39">
        <f>EDATE(InceptionDate,218)</f>
        <v/>
      </c>
      <c r="HO28" s="39">
        <f>EDATE(InceptionDate,219)</f>
        <v/>
      </c>
      <c r="HP28" s="39">
        <f>EDATE(InceptionDate,220)</f>
        <v/>
      </c>
      <c r="HQ28" s="39">
        <f>EDATE(InceptionDate,221)</f>
        <v/>
      </c>
      <c r="HR28" s="39">
        <f>EDATE(InceptionDate,222)</f>
        <v/>
      </c>
      <c r="HS28" s="39">
        <f>EDATE(InceptionDate,223)</f>
        <v/>
      </c>
      <c r="HT28" s="39">
        <f>EDATE(InceptionDate,224)</f>
        <v/>
      </c>
      <c r="HU28" s="39">
        <f>EDATE(InceptionDate,225)</f>
        <v/>
      </c>
      <c r="HV28" s="39">
        <f>EDATE(InceptionDate,226)</f>
        <v/>
      </c>
      <c r="HW28" s="39">
        <f>EDATE(InceptionDate,227)</f>
        <v/>
      </c>
      <c r="HX28" s="39">
        <f>EDATE(InceptionDate,228)</f>
        <v/>
      </c>
      <c r="HY28" s="39">
        <f>EDATE(InceptionDate,229)</f>
        <v/>
      </c>
      <c r="HZ28" s="39">
        <f>EDATE(InceptionDate,230)</f>
        <v/>
      </c>
      <c r="IA28" s="39">
        <f>EDATE(InceptionDate,231)</f>
        <v/>
      </c>
      <c r="IB28" s="39">
        <f>EDATE(InceptionDate,232)</f>
        <v/>
      </c>
      <c r="IC28" s="39">
        <f>EDATE(InceptionDate,233)</f>
        <v/>
      </c>
      <c r="ID28" s="39">
        <f>EDATE(InceptionDate,234)</f>
        <v/>
      </c>
      <c r="IE28" s="39">
        <f>EDATE(InceptionDate,235)</f>
        <v/>
      </c>
      <c r="IF28" s="39">
        <f>EDATE(InceptionDate,236)</f>
        <v/>
      </c>
      <c r="IG28" s="39">
        <f>EDATE(InceptionDate,237)</f>
        <v/>
      </c>
      <c r="IH28" s="39">
        <f>EDATE(InceptionDate,238)</f>
        <v/>
      </c>
      <c r="II28" s="39">
        <f>EDATE(InceptionDate,239)</f>
        <v/>
      </c>
      <c r="IJ28" s="39">
        <f>EDATE(InceptionDate,240)</f>
        <v/>
      </c>
      <c r="IK28" s="39">
        <f>EDATE(InceptionDate,241)</f>
        <v/>
      </c>
      <c r="IL28" s="39">
        <f>EDATE(InceptionDate,242)</f>
        <v/>
      </c>
      <c r="IM28" s="39">
        <f>EDATE(InceptionDate,243)</f>
        <v/>
      </c>
      <c r="IN28" s="39">
        <f>EDATE(InceptionDate,244)</f>
        <v/>
      </c>
      <c r="IO28" s="39">
        <f>EDATE(InceptionDate,245)</f>
        <v/>
      </c>
      <c r="IP28" s="39">
        <f>EDATE(InceptionDate,246)</f>
        <v/>
      </c>
      <c r="IQ28" s="39">
        <f>EDATE(InceptionDate,247)</f>
        <v/>
      </c>
      <c r="IR28" s="39">
        <f>EDATE(InceptionDate,248)</f>
        <v/>
      </c>
      <c r="IS28" s="39">
        <f>EDATE(InceptionDate,249)</f>
        <v/>
      </c>
      <c r="IT28" s="39">
        <f>EDATE(InceptionDate,250)</f>
        <v/>
      </c>
      <c r="IU28" s="39">
        <f>EDATE(InceptionDate,251)</f>
        <v/>
      </c>
      <c r="IV28" s="39">
        <f>EDATE(InceptionDate,252)</f>
        <v/>
      </c>
      <c r="IW28" s="39">
        <f>EDATE(InceptionDate,253)</f>
        <v/>
      </c>
      <c r="IX28" s="39">
        <f>EDATE(InceptionDate,254)</f>
        <v/>
      </c>
      <c r="IY28" s="39">
        <f>EDATE(InceptionDate,255)</f>
        <v/>
      </c>
      <c r="IZ28" s="39">
        <f>EDATE(InceptionDate,256)</f>
        <v/>
      </c>
      <c r="JA28" s="39">
        <f>EDATE(InceptionDate,257)</f>
        <v/>
      </c>
      <c r="JB28" s="39">
        <f>EDATE(InceptionDate,258)</f>
        <v/>
      </c>
      <c r="JC28" s="39">
        <f>EDATE(InceptionDate,259)</f>
        <v/>
      </c>
      <c r="JD28" s="39">
        <f>EDATE(InceptionDate,260)</f>
        <v/>
      </c>
      <c r="JE28" s="39">
        <f>EDATE(InceptionDate,261)</f>
        <v/>
      </c>
      <c r="JF28" s="39">
        <f>EDATE(InceptionDate,262)</f>
        <v/>
      </c>
      <c r="JG28" s="39">
        <f>EDATE(InceptionDate,263)</f>
        <v/>
      </c>
      <c r="JH28" s="39">
        <f>EDATE(InceptionDate,264)</f>
        <v/>
      </c>
      <c r="JI28" s="39">
        <f>EDATE(InceptionDate,265)</f>
        <v/>
      </c>
      <c r="JJ28" s="39">
        <f>EDATE(InceptionDate,266)</f>
        <v/>
      </c>
      <c r="JK28" s="39">
        <f>EDATE(InceptionDate,267)</f>
        <v/>
      </c>
      <c r="JL28" s="39">
        <f>EDATE(InceptionDate,268)</f>
        <v/>
      </c>
      <c r="JM28" s="39">
        <f>EDATE(InceptionDate,269)</f>
        <v/>
      </c>
      <c r="JN28" s="39">
        <f>EDATE(InceptionDate,270)</f>
        <v/>
      </c>
      <c r="JO28" s="39">
        <f>EDATE(InceptionDate,271)</f>
        <v/>
      </c>
      <c r="JP28" s="39">
        <f>EDATE(InceptionDate,272)</f>
        <v/>
      </c>
      <c r="JQ28" s="39">
        <f>EDATE(InceptionDate,273)</f>
        <v/>
      </c>
      <c r="JR28" s="39">
        <f>EDATE(InceptionDate,274)</f>
        <v/>
      </c>
      <c r="JS28" s="39">
        <f>EDATE(InceptionDate,275)</f>
        <v/>
      </c>
      <c r="JT28" s="39">
        <f>EDATE(InceptionDate,276)</f>
        <v/>
      </c>
      <c r="JU28" s="39">
        <f>EDATE(InceptionDate,277)</f>
        <v/>
      </c>
      <c r="JV28" s="39">
        <f>EDATE(InceptionDate,278)</f>
        <v/>
      </c>
      <c r="JW28" s="39">
        <f>EDATE(InceptionDate,279)</f>
        <v/>
      </c>
      <c r="JX28" s="39">
        <f>EDATE(InceptionDate,280)</f>
        <v/>
      </c>
      <c r="JY28" s="39">
        <f>EDATE(InceptionDate,281)</f>
        <v/>
      </c>
      <c r="JZ28" s="39">
        <f>EDATE(InceptionDate,282)</f>
        <v/>
      </c>
      <c r="KA28" s="39">
        <f>EDATE(InceptionDate,283)</f>
        <v/>
      </c>
      <c r="KB28" s="39">
        <f>EDATE(InceptionDate,284)</f>
        <v/>
      </c>
      <c r="KC28" s="39">
        <f>EDATE(InceptionDate,285)</f>
        <v/>
      </c>
      <c r="KD28" s="39">
        <f>EDATE(InceptionDate,286)</f>
        <v/>
      </c>
      <c r="KE28" s="39">
        <f>EDATE(InceptionDate,287)</f>
        <v/>
      </c>
      <c r="KF28" s="39">
        <f>EDATE(InceptionDate,288)</f>
        <v/>
      </c>
      <c r="KG28" s="39">
        <f>EDATE(InceptionDate,289)</f>
        <v/>
      </c>
      <c r="KH28" s="39">
        <f>EDATE(InceptionDate,290)</f>
        <v/>
      </c>
      <c r="KI28" s="39">
        <f>EDATE(InceptionDate,291)</f>
        <v/>
      </c>
      <c r="KJ28" s="39">
        <f>EDATE(InceptionDate,292)</f>
        <v/>
      </c>
      <c r="KK28" s="39">
        <f>EDATE(InceptionDate,293)</f>
        <v/>
      </c>
      <c r="KL28" s="39">
        <f>EDATE(InceptionDate,294)</f>
        <v/>
      </c>
      <c r="KM28" s="39">
        <f>EDATE(InceptionDate,295)</f>
        <v/>
      </c>
      <c r="KN28" s="39">
        <f>EDATE(InceptionDate,296)</f>
        <v/>
      </c>
      <c r="KO28" s="39">
        <f>EDATE(InceptionDate,297)</f>
        <v/>
      </c>
      <c r="KP28" s="39">
        <f>EDATE(InceptionDate,298)</f>
        <v/>
      </c>
      <c r="KQ28" s="39">
        <f>EDATE(InceptionDate,299)</f>
        <v/>
      </c>
      <c r="KR28" s="39">
        <f>EDATE(InceptionDate,300)</f>
        <v/>
      </c>
      <c r="KS28" s="39">
        <f>EDATE(InceptionDate,301)</f>
        <v/>
      </c>
      <c r="KT28" s="39">
        <f>EDATE(InceptionDate,302)</f>
        <v/>
      </c>
      <c r="KU28" s="39">
        <f>EDATE(InceptionDate,303)</f>
        <v/>
      </c>
      <c r="KV28" s="39">
        <f>EDATE(InceptionDate,304)</f>
        <v/>
      </c>
      <c r="KW28" s="39">
        <f>EDATE(InceptionDate,305)</f>
        <v/>
      </c>
      <c r="KX28" s="39">
        <f>EDATE(InceptionDate,306)</f>
        <v/>
      </c>
      <c r="KY28" s="39">
        <f>EDATE(InceptionDate,307)</f>
        <v/>
      </c>
      <c r="KZ28" s="39">
        <f>EDATE(InceptionDate,308)</f>
        <v/>
      </c>
      <c r="LA28" s="39">
        <f>EDATE(InceptionDate,309)</f>
        <v/>
      </c>
      <c r="LB28" s="39">
        <f>EDATE(InceptionDate,310)</f>
        <v/>
      </c>
      <c r="LC28" s="39">
        <f>EDATE(InceptionDate,311)</f>
        <v/>
      </c>
      <c r="LD28" s="39">
        <f>EDATE(InceptionDate,312)</f>
        <v/>
      </c>
      <c r="LE28" s="39">
        <f>EDATE(InceptionDate,313)</f>
        <v/>
      </c>
      <c r="LF28" s="39">
        <f>EDATE(InceptionDate,314)</f>
        <v/>
      </c>
      <c r="LG28" s="39">
        <f>EDATE(InceptionDate,315)</f>
        <v/>
      </c>
      <c r="LH28" s="39">
        <f>EDATE(InceptionDate,316)</f>
        <v/>
      </c>
      <c r="LI28" s="39">
        <f>EDATE(InceptionDate,317)</f>
        <v/>
      </c>
      <c r="LJ28" s="39">
        <f>EDATE(InceptionDate,318)</f>
        <v/>
      </c>
      <c r="LK28" s="39">
        <f>EDATE(InceptionDate,319)</f>
        <v/>
      </c>
      <c r="LL28" s="39">
        <f>EDATE(InceptionDate,320)</f>
        <v/>
      </c>
      <c r="LM28" s="39">
        <f>EDATE(InceptionDate,321)</f>
        <v/>
      </c>
      <c r="LN28" s="39">
        <f>EDATE(InceptionDate,322)</f>
        <v/>
      </c>
      <c r="LO28" s="39">
        <f>EDATE(InceptionDate,323)</f>
        <v/>
      </c>
      <c r="LP28" s="39">
        <f>EDATE(InceptionDate,324)</f>
        <v/>
      </c>
      <c r="LQ28" s="39">
        <f>EDATE(InceptionDate,325)</f>
        <v/>
      </c>
      <c r="LR28" s="39">
        <f>EDATE(InceptionDate,326)</f>
        <v/>
      </c>
      <c r="LS28" s="39">
        <f>EDATE(InceptionDate,327)</f>
        <v/>
      </c>
      <c r="LT28" s="39">
        <f>EDATE(InceptionDate,328)</f>
        <v/>
      </c>
      <c r="LU28" s="39">
        <f>EDATE(InceptionDate,329)</f>
        <v/>
      </c>
      <c r="LV28" s="39">
        <f>EDATE(InceptionDate,330)</f>
        <v/>
      </c>
      <c r="LW28" s="39">
        <f>EDATE(InceptionDate,331)</f>
        <v/>
      </c>
      <c r="LX28" s="39">
        <f>EDATE(InceptionDate,332)</f>
        <v/>
      </c>
      <c r="LY28" s="39">
        <f>EDATE(InceptionDate,333)</f>
        <v/>
      </c>
      <c r="LZ28" s="39">
        <f>EDATE(InceptionDate,334)</f>
        <v/>
      </c>
      <c r="MA28" s="39">
        <f>EDATE(InceptionDate,335)</f>
        <v/>
      </c>
      <c r="MB28" s="39">
        <f>EDATE(InceptionDate,336)</f>
        <v/>
      </c>
      <c r="MC28" s="39">
        <f>EDATE(InceptionDate,337)</f>
        <v/>
      </c>
      <c r="MD28" s="39">
        <f>EDATE(InceptionDate,338)</f>
        <v/>
      </c>
      <c r="ME28" s="39">
        <f>EDATE(InceptionDate,339)</f>
        <v/>
      </c>
      <c r="MF28" s="39">
        <f>EDATE(InceptionDate,340)</f>
        <v/>
      </c>
      <c r="MG28" s="39">
        <f>EDATE(InceptionDate,341)</f>
        <v/>
      </c>
      <c r="MH28" s="39">
        <f>EDATE(InceptionDate,342)</f>
        <v/>
      </c>
      <c r="MI28" s="39">
        <f>EDATE(InceptionDate,343)</f>
        <v/>
      </c>
      <c r="MJ28" s="39">
        <f>EDATE(InceptionDate,344)</f>
        <v/>
      </c>
      <c r="MK28" s="39">
        <f>EDATE(InceptionDate,345)</f>
        <v/>
      </c>
      <c r="ML28" s="39">
        <f>EDATE(InceptionDate,346)</f>
        <v/>
      </c>
      <c r="MM28" s="39">
        <f>EDATE(InceptionDate,347)</f>
        <v/>
      </c>
      <c r="MN28" s="39">
        <f>EDATE(InceptionDate,348)</f>
        <v/>
      </c>
      <c r="MO28" s="39">
        <f>EDATE(InceptionDate,349)</f>
        <v/>
      </c>
      <c r="MP28" s="39">
        <f>EDATE(InceptionDate,350)</f>
        <v/>
      </c>
      <c r="MQ28" s="39">
        <f>EDATE(InceptionDate,351)</f>
        <v/>
      </c>
      <c r="MR28" s="39">
        <f>EDATE(InceptionDate,352)</f>
        <v/>
      </c>
      <c r="MS28" s="39">
        <f>EDATE(InceptionDate,353)</f>
        <v/>
      </c>
      <c r="MT28" s="39">
        <f>EDATE(InceptionDate,354)</f>
        <v/>
      </c>
      <c r="MU28" s="39">
        <f>EDATE(InceptionDate,355)</f>
        <v/>
      </c>
      <c r="MV28" s="39">
        <f>EDATE(InceptionDate,356)</f>
        <v/>
      </c>
      <c r="MW28" s="39">
        <f>EDATE(InceptionDate,357)</f>
        <v/>
      </c>
      <c r="MX28" s="39">
        <f>EDATE(InceptionDate,358)</f>
        <v/>
      </c>
      <c r="MY28" s="39">
        <f>EDATE(InceptionDate,359)</f>
        <v/>
      </c>
      <c r="MZ28" s="39">
        <f>EDATE(InceptionDate,360)</f>
        <v/>
      </c>
      <c r="NA28" s="39">
        <f>EDATE(InceptionDate,361)</f>
        <v/>
      </c>
      <c r="NB28" s="39">
        <f>EDATE(InceptionDate,362)</f>
        <v/>
      </c>
      <c r="NC28" s="39">
        <f>EDATE(InceptionDate,363)</f>
        <v/>
      </c>
      <c r="ND28" s="39">
        <f>EDATE(InceptionDate,364)</f>
        <v/>
      </c>
      <c r="NE28" s="39">
        <f>EDATE(InceptionDate,365)</f>
        <v/>
      </c>
      <c r="NF28" s="39">
        <f>EDATE(InceptionDate,366)</f>
        <v/>
      </c>
      <c r="NG28" s="39">
        <f>EDATE(InceptionDate,367)</f>
        <v/>
      </c>
      <c r="NH28" s="39">
        <f>EDATE(InceptionDate,368)</f>
        <v/>
      </c>
      <c r="NI28" s="39">
        <f>EDATE(InceptionDate,369)</f>
        <v/>
      </c>
      <c r="NJ28" s="39">
        <f>EDATE(InceptionDate,370)</f>
        <v/>
      </c>
      <c r="NK28" s="39">
        <f>EDATE(InceptionDate,371)</f>
        <v/>
      </c>
    </row>
    <row r="29">
      <c r="A29" s="5" t="inlineStr">
        <is>
          <t>Flag: Open Escrow</t>
        </is>
      </c>
      <c r="C29" s="40" t="n"/>
      <c r="D29" s="17">
        <f>IF(AND(1&gt;=$B$4,1&lt;=$D$4),1,0)</f>
        <v/>
      </c>
      <c r="E29" s="17">
        <f>IF(AND(2&gt;=$B$4,2&lt;=$D$4),1,0)</f>
        <v/>
      </c>
      <c r="F29" s="17">
        <f>IF(AND(3&gt;=$B$4,3&lt;=$D$4),1,0)</f>
        <v/>
      </c>
      <c r="G29" s="17">
        <f>IF(AND(4&gt;=$B$4,4&lt;=$D$4),1,0)</f>
        <v/>
      </c>
      <c r="H29" s="17">
        <f>IF(AND(5&gt;=$B$4,5&lt;=$D$4),1,0)</f>
        <v/>
      </c>
      <c r="I29" s="17">
        <f>IF(AND(6&gt;=$B$4,6&lt;=$D$4),1,0)</f>
        <v/>
      </c>
      <c r="J29" s="17">
        <f>IF(AND(7&gt;=$B$4,7&lt;=$D$4),1,0)</f>
        <v/>
      </c>
      <c r="K29" s="17">
        <f>IF(AND(8&gt;=$B$4,8&lt;=$D$4),1,0)</f>
        <v/>
      </c>
      <c r="L29" s="17">
        <f>IF(AND(9&gt;=$B$4,9&lt;=$D$4),1,0)</f>
        <v/>
      </c>
      <c r="M29" s="17">
        <f>IF(AND(10&gt;=$B$4,10&lt;=$D$4),1,0)</f>
        <v/>
      </c>
      <c r="N29" s="17">
        <f>IF(AND(11&gt;=$B$4,11&lt;=$D$4),1,0)</f>
        <v/>
      </c>
      <c r="O29" s="17">
        <f>IF(AND(12&gt;=$B$4,12&lt;=$D$4),1,0)</f>
        <v/>
      </c>
      <c r="P29" s="17">
        <f>IF(AND(13&gt;=$B$4,13&lt;=$D$4),1,0)</f>
        <v/>
      </c>
      <c r="Q29" s="17">
        <f>IF(AND(14&gt;=$B$4,14&lt;=$D$4),1,0)</f>
        <v/>
      </c>
      <c r="R29" s="17">
        <f>IF(AND(15&gt;=$B$4,15&lt;=$D$4),1,0)</f>
        <v/>
      </c>
      <c r="S29" s="17">
        <f>IF(AND(16&gt;=$B$4,16&lt;=$D$4),1,0)</f>
        <v/>
      </c>
      <c r="T29" s="17">
        <f>IF(AND(17&gt;=$B$4,17&lt;=$D$4),1,0)</f>
        <v/>
      </c>
      <c r="U29" s="17">
        <f>IF(AND(18&gt;=$B$4,18&lt;=$D$4),1,0)</f>
        <v/>
      </c>
      <c r="V29" s="17">
        <f>IF(AND(19&gt;=$B$4,19&lt;=$D$4),1,0)</f>
        <v/>
      </c>
      <c r="W29" s="17">
        <f>IF(AND(20&gt;=$B$4,20&lt;=$D$4),1,0)</f>
        <v/>
      </c>
      <c r="X29" s="17">
        <f>IF(AND(21&gt;=$B$4,21&lt;=$D$4),1,0)</f>
        <v/>
      </c>
      <c r="Y29" s="17">
        <f>IF(AND(22&gt;=$B$4,22&lt;=$D$4),1,0)</f>
        <v/>
      </c>
      <c r="Z29" s="17">
        <f>IF(AND(23&gt;=$B$4,23&lt;=$D$4),1,0)</f>
        <v/>
      </c>
      <c r="AA29" s="17">
        <f>IF(AND(24&gt;=$B$4,24&lt;=$D$4),1,0)</f>
        <v/>
      </c>
      <c r="AB29" s="17">
        <f>IF(AND(25&gt;=$B$4,25&lt;=$D$4),1,0)</f>
        <v/>
      </c>
      <c r="AC29" s="17">
        <f>IF(AND(26&gt;=$B$4,26&lt;=$D$4),1,0)</f>
        <v/>
      </c>
      <c r="AD29" s="17">
        <f>IF(AND(27&gt;=$B$4,27&lt;=$D$4),1,0)</f>
        <v/>
      </c>
      <c r="AE29" s="17">
        <f>IF(AND(28&gt;=$B$4,28&lt;=$D$4),1,0)</f>
        <v/>
      </c>
      <c r="AF29" s="17">
        <f>IF(AND(29&gt;=$B$4,29&lt;=$D$4),1,0)</f>
        <v/>
      </c>
      <c r="AG29" s="17">
        <f>IF(AND(30&gt;=$B$4,30&lt;=$D$4),1,0)</f>
        <v/>
      </c>
      <c r="AH29" s="17">
        <f>IF(AND(31&gt;=$B$4,31&lt;=$D$4),1,0)</f>
        <v/>
      </c>
      <c r="AI29" s="17">
        <f>IF(AND(32&gt;=$B$4,32&lt;=$D$4),1,0)</f>
        <v/>
      </c>
      <c r="AJ29" s="17">
        <f>IF(AND(33&gt;=$B$4,33&lt;=$D$4),1,0)</f>
        <v/>
      </c>
      <c r="AK29" s="17">
        <f>IF(AND(34&gt;=$B$4,34&lt;=$D$4),1,0)</f>
        <v/>
      </c>
      <c r="AL29" s="17">
        <f>IF(AND(35&gt;=$B$4,35&lt;=$D$4),1,0)</f>
        <v/>
      </c>
      <c r="AM29" s="17">
        <f>IF(AND(36&gt;=$B$4,36&lt;=$D$4),1,0)</f>
        <v/>
      </c>
      <c r="AN29" s="17">
        <f>IF(AND(37&gt;=$B$4,37&lt;=$D$4),1,0)</f>
        <v/>
      </c>
      <c r="AO29" s="17">
        <f>IF(AND(38&gt;=$B$4,38&lt;=$D$4),1,0)</f>
        <v/>
      </c>
      <c r="AP29" s="17">
        <f>IF(AND(39&gt;=$B$4,39&lt;=$D$4),1,0)</f>
        <v/>
      </c>
      <c r="AQ29" s="17">
        <f>IF(AND(40&gt;=$B$4,40&lt;=$D$4),1,0)</f>
        <v/>
      </c>
      <c r="AR29" s="17">
        <f>IF(AND(41&gt;=$B$4,41&lt;=$D$4),1,0)</f>
        <v/>
      </c>
      <c r="AS29" s="17">
        <f>IF(AND(42&gt;=$B$4,42&lt;=$D$4),1,0)</f>
        <v/>
      </c>
      <c r="AT29" s="17">
        <f>IF(AND(43&gt;=$B$4,43&lt;=$D$4),1,0)</f>
        <v/>
      </c>
      <c r="AU29" s="17">
        <f>IF(AND(44&gt;=$B$4,44&lt;=$D$4),1,0)</f>
        <v/>
      </c>
      <c r="AV29" s="17">
        <f>IF(AND(45&gt;=$B$4,45&lt;=$D$4),1,0)</f>
        <v/>
      </c>
      <c r="AW29" s="17">
        <f>IF(AND(46&gt;=$B$4,46&lt;=$D$4),1,0)</f>
        <v/>
      </c>
      <c r="AX29" s="17">
        <f>IF(AND(47&gt;=$B$4,47&lt;=$D$4),1,0)</f>
        <v/>
      </c>
      <c r="AY29" s="17">
        <f>IF(AND(48&gt;=$B$4,48&lt;=$D$4),1,0)</f>
        <v/>
      </c>
      <c r="AZ29" s="17">
        <f>IF(AND(49&gt;=$B$4,49&lt;=$D$4),1,0)</f>
        <v/>
      </c>
      <c r="BA29" s="17">
        <f>IF(AND(50&gt;=$B$4,50&lt;=$D$4),1,0)</f>
        <v/>
      </c>
      <c r="BB29" s="17">
        <f>IF(AND(51&gt;=$B$4,51&lt;=$D$4),1,0)</f>
        <v/>
      </c>
      <c r="BC29" s="17">
        <f>IF(AND(52&gt;=$B$4,52&lt;=$D$4),1,0)</f>
        <v/>
      </c>
      <c r="BD29" s="17">
        <f>IF(AND(53&gt;=$B$4,53&lt;=$D$4),1,0)</f>
        <v/>
      </c>
      <c r="BE29" s="17">
        <f>IF(AND(54&gt;=$B$4,54&lt;=$D$4),1,0)</f>
        <v/>
      </c>
      <c r="BF29" s="17">
        <f>IF(AND(55&gt;=$B$4,55&lt;=$D$4),1,0)</f>
        <v/>
      </c>
      <c r="BG29" s="17">
        <f>IF(AND(56&gt;=$B$4,56&lt;=$D$4),1,0)</f>
        <v/>
      </c>
      <c r="BH29" s="17">
        <f>IF(AND(57&gt;=$B$4,57&lt;=$D$4),1,0)</f>
        <v/>
      </c>
      <c r="BI29" s="17">
        <f>IF(AND(58&gt;=$B$4,58&lt;=$D$4),1,0)</f>
        <v/>
      </c>
      <c r="BJ29" s="17">
        <f>IF(AND(59&gt;=$B$4,59&lt;=$D$4),1,0)</f>
        <v/>
      </c>
      <c r="BK29" s="17">
        <f>IF(AND(60&gt;=$B$4,60&lt;=$D$4),1,0)</f>
        <v/>
      </c>
      <c r="BL29" s="17">
        <f>IF(AND(61&gt;=$B$4,61&lt;=$D$4),1,0)</f>
        <v/>
      </c>
      <c r="BM29" s="17">
        <f>IF(AND(62&gt;=$B$4,62&lt;=$D$4),1,0)</f>
        <v/>
      </c>
      <c r="BN29" s="17">
        <f>IF(AND(63&gt;=$B$4,63&lt;=$D$4),1,0)</f>
        <v/>
      </c>
      <c r="BO29" s="17">
        <f>IF(AND(64&gt;=$B$4,64&lt;=$D$4),1,0)</f>
        <v/>
      </c>
      <c r="BP29" s="17">
        <f>IF(AND(65&gt;=$B$4,65&lt;=$D$4),1,0)</f>
        <v/>
      </c>
      <c r="BQ29" s="17">
        <f>IF(AND(66&gt;=$B$4,66&lt;=$D$4),1,0)</f>
        <v/>
      </c>
      <c r="BR29" s="17">
        <f>IF(AND(67&gt;=$B$4,67&lt;=$D$4),1,0)</f>
        <v/>
      </c>
      <c r="BS29" s="17">
        <f>IF(AND(68&gt;=$B$4,68&lt;=$D$4),1,0)</f>
        <v/>
      </c>
      <c r="BT29" s="17">
        <f>IF(AND(69&gt;=$B$4,69&lt;=$D$4),1,0)</f>
        <v/>
      </c>
      <c r="BU29" s="17">
        <f>IF(AND(70&gt;=$B$4,70&lt;=$D$4),1,0)</f>
        <v/>
      </c>
      <c r="BV29" s="17">
        <f>IF(AND(71&gt;=$B$4,71&lt;=$D$4),1,0)</f>
        <v/>
      </c>
      <c r="BW29" s="17">
        <f>IF(AND(72&gt;=$B$4,72&lt;=$D$4),1,0)</f>
        <v/>
      </c>
      <c r="BX29" s="17">
        <f>IF(AND(73&gt;=$B$4,73&lt;=$D$4),1,0)</f>
        <v/>
      </c>
      <c r="BY29" s="17">
        <f>IF(AND(74&gt;=$B$4,74&lt;=$D$4),1,0)</f>
        <v/>
      </c>
      <c r="BZ29" s="17">
        <f>IF(AND(75&gt;=$B$4,75&lt;=$D$4),1,0)</f>
        <v/>
      </c>
      <c r="CA29" s="17">
        <f>IF(AND(76&gt;=$B$4,76&lt;=$D$4),1,0)</f>
        <v/>
      </c>
      <c r="CB29" s="17">
        <f>IF(AND(77&gt;=$B$4,77&lt;=$D$4),1,0)</f>
        <v/>
      </c>
      <c r="CC29" s="17">
        <f>IF(AND(78&gt;=$B$4,78&lt;=$D$4),1,0)</f>
        <v/>
      </c>
      <c r="CD29" s="17">
        <f>IF(AND(79&gt;=$B$4,79&lt;=$D$4),1,0)</f>
        <v/>
      </c>
      <c r="CE29" s="17">
        <f>IF(AND(80&gt;=$B$4,80&lt;=$D$4),1,0)</f>
        <v/>
      </c>
      <c r="CF29" s="17">
        <f>IF(AND(81&gt;=$B$4,81&lt;=$D$4),1,0)</f>
        <v/>
      </c>
      <c r="CG29" s="17">
        <f>IF(AND(82&gt;=$B$4,82&lt;=$D$4),1,0)</f>
        <v/>
      </c>
      <c r="CH29" s="17">
        <f>IF(AND(83&gt;=$B$4,83&lt;=$D$4),1,0)</f>
        <v/>
      </c>
      <c r="CI29" s="17">
        <f>IF(AND(84&gt;=$B$4,84&lt;=$D$4),1,0)</f>
        <v/>
      </c>
      <c r="CJ29" s="17">
        <f>IF(AND(85&gt;=$B$4,85&lt;=$D$4),1,0)</f>
        <v/>
      </c>
      <c r="CK29" s="17">
        <f>IF(AND(86&gt;=$B$4,86&lt;=$D$4),1,0)</f>
        <v/>
      </c>
      <c r="CL29" s="17">
        <f>IF(AND(87&gt;=$B$4,87&lt;=$D$4),1,0)</f>
        <v/>
      </c>
      <c r="CM29" s="17">
        <f>IF(AND(88&gt;=$B$4,88&lt;=$D$4),1,0)</f>
        <v/>
      </c>
      <c r="CN29" s="17">
        <f>IF(AND(89&gt;=$B$4,89&lt;=$D$4),1,0)</f>
        <v/>
      </c>
      <c r="CO29" s="17">
        <f>IF(AND(90&gt;=$B$4,90&lt;=$D$4),1,0)</f>
        <v/>
      </c>
      <c r="CP29" s="17">
        <f>IF(AND(91&gt;=$B$4,91&lt;=$D$4),1,0)</f>
        <v/>
      </c>
      <c r="CQ29" s="17">
        <f>IF(AND(92&gt;=$B$4,92&lt;=$D$4),1,0)</f>
        <v/>
      </c>
      <c r="CR29" s="17">
        <f>IF(AND(93&gt;=$B$4,93&lt;=$D$4),1,0)</f>
        <v/>
      </c>
      <c r="CS29" s="17">
        <f>IF(AND(94&gt;=$B$4,94&lt;=$D$4),1,0)</f>
        <v/>
      </c>
      <c r="CT29" s="17">
        <f>IF(AND(95&gt;=$B$4,95&lt;=$D$4),1,0)</f>
        <v/>
      </c>
      <c r="CU29" s="17">
        <f>IF(AND(96&gt;=$B$4,96&lt;=$D$4),1,0)</f>
        <v/>
      </c>
      <c r="CV29" s="17">
        <f>IF(AND(97&gt;=$B$4,97&lt;=$D$4),1,0)</f>
        <v/>
      </c>
      <c r="CW29" s="17">
        <f>IF(AND(98&gt;=$B$4,98&lt;=$D$4),1,0)</f>
        <v/>
      </c>
      <c r="CX29" s="17">
        <f>IF(AND(99&gt;=$B$4,99&lt;=$D$4),1,0)</f>
        <v/>
      </c>
      <c r="CY29" s="17">
        <f>IF(AND(100&gt;=$B$4,100&lt;=$D$4),1,0)</f>
        <v/>
      </c>
      <c r="CZ29" s="17">
        <f>IF(AND(101&gt;=$B$4,101&lt;=$D$4),1,0)</f>
        <v/>
      </c>
      <c r="DA29" s="17">
        <f>IF(AND(102&gt;=$B$4,102&lt;=$D$4),1,0)</f>
        <v/>
      </c>
      <c r="DB29" s="17">
        <f>IF(AND(103&gt;=$B$4,103&lt;=$D$4),1,0)</f>
        <v/>
      </c>
      <c r="DC29" s="17">
        <f>IF(AND(104&gt;=$B$4,104&lt;=$D$4),1,0)</f>
        <v/>
      </c>
      <c r="DD29" s="17">
        <f>IF(AND(105&gt;=$B$4,105&lt;=$D$4),1,0)</f>
        <v/>
      </c>
      <c r="DE29" s="17">
        <f>IF(AND(106&gt;=$B$4,106&lt;=$D$4),1,0)</f>
        <v/>
      </c>
      <c r="DF29" s="17">
        <f>IF(AND(107&gt;=$B$4,107&lt;=$D$4),1,0)</f>
        <v/>
      </c>
      <c r="DG29" s="17">
        <f>IF(AND(108&gt;=$B$4,108&lt;=$D$4),1,0)</f>
        <v/>
      </c>
      <c r="DH29" s="17">
        <f>IF(AND(109&gt;=$B$4,109&lt;=$D$4),1,0)</f>
        <v/>
      </c>
      <c r="DI29" s="17">
        <f>IF(AND(110&gt;=$B$4,110&lt;=$D$4),1,0)</f>
        <v/>
      </c>
      <c r="DJ29" s="17">
        <f>IF(AND(111&gt;=$B$4,111&lt;=$D$4),1,0)</f>
        <v/>
      </c>
      <c r="DK29" s="17">
        <f>IF(AND(112&gt;=$B$4,112&lt;=$D$4),1,0)</f>
        <v/>
      </c>
      <c r="DL29" s="17">
        <f>IF(AND(113&gt;=$B$4,113&lt;=$D$4),1,0)</f>
        <v/>
      </c>
      <c r="DM29" s="17">
        <f>IF(AND(114&gt;=$B$4,114&lt;=$D$4),1,0)</f>
        <v/>
      </c>
      <c r="DN29" s="17">
        <f>IF(AND(115&gt;=$B$4,115&lt;=$D$4),1,0)</f>
        <v/>
      </c>
      <c r="DO29" s="17">
        <f>IF(AND(116&gt;=$B$4,116&lt;=$D$4),1,0)</f>
        <v/>
      </c>
      <c r="DP29" s="17">
        <f>IF(AND(117&gt;=$B$4,117&lt;=$D$4),1,0)</f>
        <v/>
      </c>
      <c r="DQ29" s="17">
        <f>IF(AND(118&gt;=$B$4,118&lt;=$D$4),1,0)</f>
        <v/>
      </c>
      <c r="DR29" s="17">
        <f>IF(AND(119&gt;=$B$4,119&lt;=$D$4),1,0)</f>
        <v/>
      </c>
      <c r="DS29" s="17">
        <f>IF(AND(120&gt;=$B$4,120&lt;=$D$4),1,0)</f>
        <v/>
      </c>
      <c r="DT29" s="17">
        <f>IF(AND(121&gt;=$B$4,121&lt;=$D$4),1,0)</f>
        <v/>
      </c>
      <c r="DU29" s="17">
        <f>IF(AND(122&gt;=$B$4,122&lt;=$D$4),1,0)</f>
        <v/>
      </c>
      <c r="DV29" s="17">
        <f>IF(AND(123&gt;=$B$4,123&lt;=$D$4),1,0)</f>
        <v/>
      </c>
      <c r="DW29" s="17">
        <f>IF(AND(124&gt;=$B$4,124&lt;=$D$4),1,0)</f>
        <v/>
      </c>
      <c r="DX29" s="17">
        <f>IF(AND(125&gt;=$B$4,125&lt;=$D$4),1,0)</f>
        <v/>
      </c>
      <c r="DY29" s="17">
        <f>IF(AND(126&gt;=$B$4,126&lt;=$D$4),1,0)</f>
        <v/>
      </c>
      <c r="DZ29" s="17">
        <f>IF(AND(127&gt;=$B$4,127&lt;=$D$4),1,0)</f>
        <v/>
      </c>
      <c r="EA29" s="17">
        <f>IF(AND(128&gt;=$B$4,128&lt;=$D$4),1,0)</f>
        <v/>
      </c>
      <c r="EB29" s="17">
        <f>IF(AND(129&gt;=$B$4,129&lt;=$D$4),1,0)</f>
        <v/>
      </c>
      <c r="EC29" s="17">
        <f>IF(AND(130&gt;=$B$4,130&lt;=$D$4),1,0)</f>
        <v/>
      </c>
      <c r="ED29" s="17">
        <f>IF(AND(131&gt;=$B$4,131&lt;=$D$4),1,0)</f>
        <v/>
      </c>
      <c r="EE29" s="17">
        <f>IF(AND(132&gt;=$B$4,132&lt;=$D$4),1,0)</f>
        <v/>
      </c>
      <c r="EF29" s="17">
        <f>IF(AND(133&gt;=$B$4,133&lt;=$D$4),1,0)</f>
        <v/>
      </c>
      <c r="EG29" s="17">
        <f>IF(AND(134&gt;=$B$4,134&lt;=$D$4),1,0)</f>
        <v/>
      </c>
      <c r="EH29" s="17">
        <f>IF(AND(135&gt;=$B$4,135&lt;=$D$4),1,0)</f>
        <v/>
      </c>
      <c r="EI29" s="17">
        <f>IF(AND(136&gt;=$B$4,136&lt;=$D$4),1,0)</f>
        <v/>
      </c>
      <c r="EJ29" s="17">
        <f>IF(AND(137&gt;=$B$4,137&lt;=$D$4),1,0)</f>
        <v/>
      </c>
      <c r="EK29" s="17">
        <f>IF(AND(138&gt;=$B$4,138&lt;=$D$4),1,0)</f>
        <v/>
      </c>
      <c r="EL29" s="17">
        <f>IF(AND(139&gt;=$B$4,139&lt;=$D$4),1,0)</f>
        <v/>
      </c>
      <c r="EM29" s="17">
        <f>IF(AND(140&gt;=$B$4,140&lt;=$D$4),1,0)</f>
        <v/>
      </c>
      <c r="EN29" s="17">
        <f>IF(AND(141&gt;=$B$4,141&lt;=$D$4),1,0)</f>
        <v/>
      </c>
      <c r="EO29" s="17">
        <f>IF(AND(142&gt;=$B$4,142&lt;=$D$4),1,0)</f>
        <v/>
      </c>
      <c r="EP29" s="17">
        <f>IF(AND(143&gt;=$B$4,143&lt;=$D$4),1,0)</f>
        <v/>
      </c>
      <c r="EQ29" s="17">
        <f>IF(AND(144&gt;=$B$4,144&lt;=$D$4),1,0)</f>
        <v/>
      </c>
      <c r="ER29" s="17">
        <f>IF(AND(145&gt;=$B$4,145&lt;=$D$4),1,0)</f>
        <v/>
      </c>
      <c r="ES29" s="17">
        <f>IF(AND(146&gt;=$B$4,146&lt;=$D$4),1,0)</f>
        <v/>
      </c>
      <c r="ET29" s="17">
        <f>IF(AND(147&gt;=$B$4,147&lt;=$D$4),1,0)</f>
        <v/>
      </c>
      <c r="EU29" s="17">
        <f>IF(AND(148&gt;=$B$4,148&lt;=$D$4),1,0)</f>
        <v/>
      </c>
      <c r="EV29" s="17">
        <f>IF(AND(149&gt;=$B$4,149&lt;=$D$4),1,0)</f>
        <v/>
      </c>
      <c r="EW29" s="17">
        <f>IF(AND(150&gt;=$B$4,150&lt;=$D$4),1,0)</f>
        <v/>
      </c>
      <c r="EX29" s="17">
        <f>IF(AND(151&gt;=$B$4,151&lt;=$D$4),1,0)</f>
        <v/>
      </c>
      <c r="EY29" s="17">
        <f>IF(AND(152&gt;=$B$4,152&lt;=$D$4),1,0)</f>
        <v/>
      </c>
      <c r="EZ29" s="17">
        <f>IF(AND(153&gt;=$B$4,153&lt;=$D$4),1,0)</f>
        <v/>
      </c>
      <c r="FA29" s="17">
        <f>IF(AND(154&gt;=$B$4,154&lt;=$D$4),1,0)</f>
        <v/>
      </c>
      <c r="FB29" s="17">
        <f>IF(AND(155&gt;=$B$4,155&lt;=$D$4),1,0)</f>
        <v/>
      </c>
      <c r="FC29" s="17">
        <f>IF(AND(156&gt;=$B$4,156&lt;=$D$4),1,0)</f>
        <v/>
      </c>
      <c r="FD29" s="17">
        <f>IF(AND(157&gt;=$B$4,157&lt;=$D$4),1,0)</f>
        <v/>
      </c>
      <c r="FE29" s="17">
        <f>IF(AND(158&gt;=$B$4,158&lt;=$D$4),1,0)</f>
        <v/>
      </c>
      <c r="FF29" s="17">
        <f>IF(AND(159&gt;=$B$4,159&lt;=$D$4),1,0)</f>
        <v/>
      </c>
      <c r="FG29" s="17">
        <f>IF(AND(160&gt;=$B$4,160&lt;=$D$4),1,0)</f>
        <v/>
      </c>
      <c r="FH29" s="17">
        <f>IF(AND(161&gt;=$B$4,161&lt;=$D$4),1,0)</f>
        <v/>
      </c>
      <c r="FI29" s="17">
        <f>IF(AND(162&gt;=$B$4,162&lt;=$D$4),1,0)</f>
        <v/>
      </c>
      <c r="FJ29" s="17">
        <f>IF(AND(163&gt;=$B$4,163&lt;=$D$4),1,0)</f>
        <v/>
      </c>
      <c r="FK29" s="17">
        <f>IF(AND(164&gt;=$B$4,164&lt;=$D$4),1,0)</f>
        <v/>
      </c>
      <c r="FL29" s="17">
        <f>IF(AND(165&gt;=$B$4,165&lt;=$D$4),1,0)</f>
        <v/>
      </c>
      <c r="FM29" s="17">
        <f>IF(AND(166&gt;=$B$4,166&lt;=$D$4),1,0)</f>
        <v/>
      </c>
      <c r="FN29" s="17">
        <f>IF(AND(167&gt;=$B$4,167&lt;=$D$4),1,0)</f>
        <v/>
      </c>
      <c r="FO29" s="17">
        <f>IF(AND(168&gt;=$B$4,168&lt;=$D$4),1,0)</f>
        <v/>
      </c>
      <c r="FP29" s="17">
        <f>IF(AND(169&gt;=$B$4,169&lt;=$D$4),1,0)</f>
        <v/>
      </c>
      <c r="FQ29" s="17">
        <f>IF(AND(170&gt;=$B$4,170&lt;=$D$4),1,0)</f>
        <v/>
      </c>
      <c r="FR29" s="17">
        <f>IF(AND(171&gt;=$B$4,171&lt;=$D$4),1,0)</f>
        <v/>
      </c>
      <c r="FS29" s="17">
        <f>IF(AND(172&gt;=$B$4,172&lt;=$D$4),1,0)</f>
        <v/>
      </c>
      <c r="FT29" s="17">
        <f>IF(AND(173&gt;=$B$4,173&lt;=$D$4),1,0)</f>
        <v/>
      </c>
      <c r="FU29" s="17">
        <f>IF(AND(174&gt;=$B$4,174&lt;=$D$4),1,0)</f>
        <v/>
      </c>
      <c r="FV29" s="17">
        <f>IF(AND(175&gt;=$B$4,175&lt;=$D$4),1,0)</f>
        <v/>
      </c>
      <c r="FW29" s="17">
        <f>IF(AND(176&gt;=$B$4,176&lt;=$D$4),1,0)</f>
        <v/>
      </c>
      <c r="FX29" s="17">
        <f>IF(AND(177&gt;=$B$4,177&lt;=$D$4),1,0)</f>
        <v/>
      </c>
      <c r="FY29" s="17">
        <f>IF(AND(178&gt;=$B$4,178&lt;=$D$4),1,0)</f>
        <v/>
      </c>
      <c r="FZ29" s="17">
        <f>IF(AND(179&gt;=$B$4,179&lt;=$D$4),1,0)</f>
        <v/>
      </c>
      <c r="GA29" s="17">
        <f>IF(AND(180&gt;=$B$4,180&lt;=$D$4),1,0)</f>
        <v/>
      </c>
      <c r="GB29" s="17">
        <f>IF(AND(181&gt;=$B$4,181&lt;=$D$4),1,0)</f>
        <v/>
      </c>
      <c r="GC29" s="17">
        <f>IF(AND(182&gt;=$B$4,182&lt;=$D$4),1,0)</f>
        <v/>
      </c>
      <c r="GD29" s="17">
        <f>IF(AND(183&gt;=$B$4,183&lt;=$D$4),1,0)</f>
        <v/>
      </c>
      <c r="GE29" s="17">
        <f>IF(AND(184&gt;=$B$4,184&lt;=$D$4),1,0)</f>
        <v/>
      </c>
      <c r="GF29" s="17">
        <f>IF(AND(185&gt;=$B$4,185&lt;=$D$4),1,0)</f>
        <v/>
      </c>
      <c r="GG29" s="17">
        <f>IF(AND(186&gt;=$B$4,186&lt;=$D$4),1,0)</f>
        <v/>
      </c>
      <c r="GH29" s="17">
        <f>IF(AND(187&gt;=$B$4,187&lt;=$D$4),1,0)</f>
        <v/>
      </c>
      <c r="GI29" s="17">
        <f>IF(AND(188&gt;=$B$4,188&lt;=$D$4),1,0)</f>
        <v/>
      </c>
      <c r="GJ29" s="17">
        <f>IF(AND(189&gt;=$B$4,189&lt;=$D$4),1,0)</f>
        <v/>
      </c>
      <c r="GK29" s="17">
        <f>IF(AND(190&gt;=$B$4,190&lt;=$D$4),1,0)</f>
        <v/>
      </c>
      <c r="GL29" s="17">
        <f>IF(AND(191&gt;=$B$4,191&lt;=$D$4),1,0)</f>
        <v/>
      </c>
      <c r="GM29" s="17">
        <f>IF(AND(192&gt;=$B$4,192&lt;=$D$4),1,0)</f>
        <v/>
      </c>
      <c r="GN29" s="17">
        <f>IF(AND(193&gt;=$B$4,193&lt;=$D$4),1,0)</f>
        <v/>
      </c>
      <c r="GO29" s="17">
        <f>IF(AND(194&gt;=$B$4,194&lt;=$D$4),1,0)</f>
        <v/>
      </c>
      <c r="GP29" s="17">
        <f>IF(AND(195&gt;=$B$4,195&lt;=$D$4),1,0)</f>
        <v/>
      </c>
      <c r="GQ29" s="17">
        <f>IF(AND(196&gt;=$B$4,196&lt;=$D$4),1,0)</f>
        <v/>
      </c>
      <c r="GR29" s="17">
        <f>IF(AND(197&gt;=$B$4,197&lt;=$D$4),1,0)</f>
        <v/>
      </c>
      <c r="GS29" s="17">
        <f>IF(AND(198&gt;=$B$4,198&lt;=$D$4),1,0)</f>
        <v/>
      </c>
      <c r="GT29" s="17">
        <f>IF(AND(199&gt;=$B$4,199&lt;=$D$4),1,0)</f>
        <v/>
      </c>
      <c r="GU29" s="17">
        <f>IF(AND(200&gt;=$B$4,200&lt;=$D$4),1,0)</f>
        <v/>
      </c>
      <c r="GV29" s="17">
        <f>IF(AND(201&gt;=$B$4,201&lt;=$D$4),1,0)</f>
        <v/>
      </c>
      <c r="GW29" s="17">
        <f>IF(AND(202&gt;=$B$4,202&lt;=$D$4),1,0)</f>
        <v/>
      </c>
      <c r="GX29" s="17">
        <f>IF(AND(203&gt;=$B$4,203&lt;=$D$4),1,0)</f>
        <v/>
      </c>
      <c r="GY29" s="17">
        <f>IF(AND(204&gt;=$B$4,204&lt;=$D$4),1,0)</f>
        <v/>
      </c>
      <c r="GZ29" s="17">
        <f>IF(AND(205&gt;=$B$4,205&lt;=$D$4),1,0)</f>
        <v/>
      </c>
      <c r="HA29" s="17">
        <f>IF(AND(206&gt;=$B$4,206&lt;=$D$4),1,0)</f>
        <v/>
      </c>
      <c r="HB29" s="17">
        <f>IF(AND(207&gt;=$B$4,207&lt;=$D$4),1,0)</f>
        <v/>
      </c>
      <c r="HC29" s="17">
        <f>IF(AND(208&gt;=$B$4,208&lt;=$D$4),1,0)</f>
        <v/>
      </c>
      <c r="HD29" s="17">
        <f>IF(AND(209&gt;=$B$4,209&lt;=$D$4),1,0)</f>
        <v/>
      </c>
      <c r="HE29" s="17">
        <f>IF(AND(210&gt;=$B$4,210&lt;=$D$4),1,0)</f>
        <v/>
      </c>
      <c r="HF29" s="17">
        <f>IF(AND(211&gt;=$B$4,211&lt;=$D$4),1,0)</f>
        <v/>
      </c>
      <c r="HG29" s="17">
        <f>IF(AND(212&gt;=$B$4,212&lt;=$D$4),1,0)</f>
        <v/>
      </c>
      <c r="HH29" s="17">
        <f>IF(AND(213&gt;=$B$4,213&lt;=$D$4),1,0)</f>
        <v/>
      </c>
      <c r="HI29" s="17">
        <f>IF(AND(214&gt;=$B$4,214&lt;=$D$4),1,0)</f>
        <v/>
      </c>
      <c r="HJ29" s="17">
        <f>IF(AND(215&gt;=$B$4,215&lt;=$D$4),1,0)</f>
        <v/>
      </c>
      <c r="HK29" s="17">
        <f>IF(AND(216&gt;=$B$4,216&lt;=$D$4),1,0)</f>
        <v/>
      </c>
      <c r="HL29" s="17">
        <f>IF(AND(217&gt;=$B$4,217&lt;=$D$4),1,0)</f>
        <v/>
      </c>
      <c r="HM29" s="17">
        <f>IF(AND(218&gt;=$B$4,218&lt;=$D$4),1,0)</f>
        <v/>
      </c>
      <c r="HN29" s="17">
        <f>IF(AND(219&gt;=$B$4,219&lt;=$D$4),1,0)</f>
        <v/>
      </c>
      <c r="HO29" s="17">
        <f>IF(AND(220&gt;=$B$4,220&lt;=$D$4),1,0)</f>
        <v/>
      </c>
      <c r="HP29" s="17">
        <f>IF(AND(221&gt;=$B$4,221&lt;=$D$4),1,0)</f>
        <v/>
      </c>
      <c r="HQ29" s="17">
        <f>IF(AND(222&gt;=$B$4,222&lt;=$D$4),1,0)</f>
        <v/>
      </c>
      <c r="HR29" s="17">
        <f>IF(AND(223&gt;=$B$4,223&lt;=$D$4),1,0)</f>
        <v/>
      </c>
      <c r="HS29" s="17">
        <f>IF(AND(224&gt;=$B$4,224&lt;=$D$4),1,0)</f>
        <v/>
      </c>
      <c r="HT29" s="17">
        <f>IF(AND(225&gt;=$B$4,225&lt;=$D$4),1,0)</f>
        <v/>
      </c>
      <c r="HU29" s="17">
        <f>IF(AND(226&gt;=$B$4,226&lt;=$D$4),1,0)</f>
        <v/>
      </c>
      <c r="HV29" s="17">
        <f>IF(AND(227&gt;=$B$4,227&lt;=$D$4),1,0)</f>
        <v/>
      </c>
      <c r="HW29" s="17">
        <f>IF(AND(228&gt;=$B$4,228&lt;=$D$4),1,0)</f>
        <v/>
      </c>
      <c r="HX29" s="17">
        <f>IF(AND(229&gt;=$B$4,229&lt;=$D$4),1,0)</f>
        <v/>
      </c>
      <c r="HY29" s="17">
        <f>IF(AND(230&gt;=$B$4,230&lt;=$D$4),1,0)</f>
        <v/>
      </c>
      <c r="HZ29" s="17">
        <f>IF(AND(231&gt;=$B$4,231&lt;=$D$4),1,0)</f>
        <v/>
      </c>
      <c r="IA29" s="17">
        <f>IF(AND(232&gt;=$B$4,232&lt;=$D$4),1,0)</f>
        <v/>
      </c>
      <c r="IB29" s="17">
        <f>IF(AND(233&gt;=$B$4,233&lt;=$D$4),1,0)</f>
        <v/>
      </c>
      <c r="IC29" s="17">
        <f>IF(AND(234&gt;=$B$4,234&lt;=$D$4),1,0)</f>
        <v/>
      </c>
      <c r="ID29" s="17">
        <f>IF(AND(235&gt;=$B$4,235&lt;=$D$4),1,0)</f>
        <v/>
      </c>
      <c r="IE29" s="17">
        <f>IF(AND(236&gt;=$B$4,236&lt;=$D$4),1,0)</f>
        <v/>
      </c>
      <c r="IF29" s="17">
        <f>IF(AND(237&gt;=$B$4,237&lt;=$D$4),1,0)</f>
        <v/>
      </c>
      <c r="IG29" s="17">
        <f>IF(AND(238&gt;=$B$4,238&lt;=$D$4),1,0)</f>
        <v/>
      </c>
      <c r="IH29" s="17">
        <f>IF(AND(239&gt;=$B$4,239&lt;=$D$4),1,0)</f>
        <v/>
      </c>
      <c r="II29" s="17">
        <f>IF(AND(240&gt;=$B$4,240&lt;=$D$4),1,0)</f>
        <v/>
      </c>
      <c r="IJ29" s="17">
        <f>IF(AND(241&gt;=$B$4,241&lt;=$D$4),1,0)</f>
        <v/>
      </c>
      <c r="IK29" s="17">
        <f>IF(AND(242&gt;=$B$4,242&lt;=$D$4),1,0)</f>
        <v/>
      </c>
      <c r="IL29" s="17">
        <f>IF(AND(243&gt;=$B$4,243&lt;=$D$4),1,0)</f>
        <v/>
      </c>
      <c r="IM29" s="17">
        <f>IF(AND(244&gt;=$B$4,244&lt;=$D$4),1,0)</f>
        <v/>
      </c>
      <c r="IN29" s="17">
        <f>IF(AND(245&gt;=$B$4,245&lt;=$D$4),1,0)</f>
        <v/>
      </c>
      <c r="IO29" s="17">
        <f>IF(AND(246&gt;=$B$4,246&lt;=$D$4),1,0)</f>
        <v/>
      </c>
      <c r="IP29" s="17">
        <f>IF(AND(247&gt;=$B$4,247&lt;=$D$4),1,0)</f>
        <v/>
      </c>
      <c r="IQ29" s="17">
        <f>IF(AND(248&gt;=$B$4,248&lt;=$D$4),1,0)</f>
        <v/>
      </c>
      <c r="IR29" s="17">
        <f>IF(AND(249&gt;=$B$4,249&lt;=$D$4),1,0)</f>
        <v/>
      </c>
      <c r="IS29" s="17">
        <f>IF(AND(250&gt;=$B$4,250&lt;=$D$4),1,0)</f>
        <v/>
      </c>
      <c r="IT29" s="17">
        <f>IF(AND(251&gt;=$B$4,251&lt;=$D$4),1,0)</f>
        <v/>
      </c>
      <c r="IU29" s="17">
        <f>IF(AND(252&gt;=$B$4,252&lt;=$D$4),1,0)</f>
        <v/>
      </c>
      <c r="IV29" s="17">
        <f>IF(AND(253&gt;=$B$4,253&lt;=$D$4),1,0)</f>
        <v/>
      </c>
      <c r="IW29" s="17">
        <f>IF(AND(254&gt;=$B$4,254&lt;=$D$4),1,0)</f>
        <v/>
      </c>
      <c r="IX29" s="17">
        <f>IF(AND(255&gt;=$B$4,255&lt;=$D$4),1,0)</f>
        <v/>
      </c>
      <c r="IY29" s="17">
        <f>IF(AND(256&gt;=$B$4,256&lt;=$D$4),1,0)</f>
        <v/>
      </c>
      <c r="IZ29" s="17">
        <f>IF(AND(257&gt;=$B$4,257&lt;=$D$4),1,0)</f>
        <v/>
      </c>
      <c r="JA29" s="17">
        <f>IF(AND(258&gt;=$B$4,258&lt;=$D$4),1,0)</f>
        <v/>
      </c>
      <c r="JB29" s="17">
        <f>IF(AND(259&gt;=$B$4,259&lt;=$D$4),1,0)</f>
        <v/>
      </c>
      <c r="JC29" s="17">
        <f>IF(AND(260&gt;=$B$4,260&lt;=$D$4),1,0)</f>
        <v/>
      </c>
      <c r="JD29" s="17">
        <f>IF(AND(261&gt;=$B$4,261&lt;=$D$4),1,0)</f>
        <v/>
      </c>
      <c r="JE29" s="17">
        <f>IF(AND(262&gt;=$B$4,262&lt;=$D$4),1,0)</f>
        <v/>
      </c>
      <c r="JF29" s="17">
        <f>IF(AND(263&gt;=$B$4,263&lt;=$D$4),1,0)</f>
        <v/>
      </c>
      <c r="JG29" s="17">
        <f>IF(AND(264&gt;=$B$4,264&lt;=$D$4),1,0)</f>
        <v/>
      </c>
      <c r="JH29" s="17">
        <f>IF(AND(265&gt;=$B$4,265&lt;=$D$4),1,0)</f>
        <v/>
      </c>
      <c r="JI29" s="17">
        <f>IF(AND(266&gt;=$B$4,266&lt;=$D$4),1,0)</f>
        <v/>
      </c>
      <c r="JJ29" s="17">
        <f>IF(AND(267&gt;=$B$4,267&lt;=$D$4),1,0)</f>
        <v/>
      </c>
      <c r="JK29" s="17">
        <f>IF(AND(268&gt;=$B$4,268&lt;=$D$4),1,0)</f>
        <v/>
      </c>
      <c r="JL29" s="17">
        <f>IF(AND(269&gt;=$B$4,269&lt;=$D$4),1,0)</f>
        <v/>
      </c>
      <c r="JM29" s="17">
        <f>IF(AND(270&gt;=$B$4,270&lt;=$D$4),1,0)</f>
        <v/>
      </c>
      <c r="JN29" s="17">
        <f>IF(AND(271&gt;=$B$4,271&lt;=$D$4),1,0)</f>
        <v/>
      </c>
      <c r="JO29" s="17">
        <f>IF(AND(272&gt;=$B$4,272&lt;=$D$4),1,0)</f>
        <v/>
      </c>
      <c r="JP29" s="17">
        <f>IF(AND(273&gt;=$B$4,273&lt;=$D$4),1,0)</f>
        <v/>
      </c>
      <c r="JQ29" s="17">
        <f>IF(AND(274&gt;=$B$4,274&lt;=$D$4),1,0)</f>
        <v/>
      </c>
      <c r="JR29" s="17">
        <f>IF(AND(275&gt;=$B$4,275&lt;=$D$4),1,0)</f>
        <v/>
      </c>
      <c r="JS29" s="17">
        <f>IF(AND(276&gt;=$B$4,276&lt;=$D$4),1,0)</f>
        <v/>
      </c>
      <c r="JT29" s="17">
        <f>IF(AND(277&gt;=$B$4,277&lt;=$D$4),1,0)</f>
        <v/>
      </c>
      <c r="JU29" s="17">
        <f>IF(AND(278&gt;=$B$4,278&lt;=$D$4),1,0)</f>
        <v/>
      </c>
      <c r="JV29" s="17">
        <f>IF(AND(279&gt;=$B$4,279&lt;=$D$4),1,0)</f>
        <v/>
      </c>
      <c r="JW29" s="17">
        <f>IF(AND(280&gt;=$B$4,280&lt;=$D$4),1,0)</f>
        <v/>
      </c>
      <c r="JX29" s="17">
        <f>IF(AND(281&gt;=$B$4,281&lt;=$D$4),1,0)</f>
        <v/>
      </c>
      <c r="JY29" s="17">
        <f>IF(AND(282&gt;=$B$4,282&lt;=$D$4),1,0)</f>
        <v/>
      </c>
      <c r="JZ29" s="17">
        <f>IF(AND(283&gt;=$B$4,283&lt;=$D$4),1,0)</f>
        <v/>
      </c>
      <c r="KA29" s="17">
        <f>IF(AND(284&gt;=$B$4,284&lt;=$D$4),1,0)</f>
        <v/>
      </c>
      <c r="KB29" s="17">
        <f>IF(AND(285&gt;=$B$4,285&lt;=$D$4),1,0)</f>
        <v/>
      </c>
      <c r="KC29" s="17">
        <f>IF(AND(286&gt;=$B$4,286&lt;=$D$4),1,0)</f>
        <v/>
      </c>
      <c r="KD29" s="17">
        <f>IF(AND(287&gt;=$B$4,287&lt;=$D$4),1,0)</f>
        <v/>
      </c>
      <c r="KE29" s="17">
        <f>IF(AND(288&gt;=$B$4,288&lt;=$D$4),1,0)</f>
        <v/>
      </c>
      <c r="KF29" s="17">
        <f>IF(AND(289&gt;=$B$4,289&lt;=$D$4),1,0)</f>
        <v/>
      </c>
      <c r="KG29" s="17">
        <f>IF(AND(290&gt;=$B$4,290&lt;=$D$4),1,0)</f>
        <v/>
      </c>
      <c r="KH29" s="17">
        <f>IF(AND(291&gt;=$B$4,291&lt;=$D$4),1,0)</f>
        <v/>
      </c>
      <c r="KI29" s="17">
        <f>IF(AND(292&gt;=$B$4,292&lt;=$D$4),1,0)</f>
        <v/>
      </c>
      <c r="KJ29" s="17">
        <f>IF(AND(293&gt;=$B$4,293&lt;=$D$4),1,0)</f>
        <v/>
      </c>
      <c r="KK29" s="17">
        <f>IF(AND(294&gt;=$B$4,294&lt;=$D$4),1,0)</f>
        <v/>
      </c>
      <c r="KL29" s="17">
        <f>IF(AND(295&gt;=$B$4,295&lt;=$D$4),1,0)</f>
        <v/>
      </c>
      <c r="KM29" s="17">
        <f>IF(AND(296&gt;=$B$4,296&lt;=$D$4),1,0)</f>
        <v/>
      </c>
      <c r="KN29" s="17">
        <f>IF(AND(297&gt;=$B$4,297&lt;=$D$4),1,0)</f>
        <v/>
      </c>
      <c r="KO29" s="17">
        <f>IF(AND(298&gt;=$B$4,298&lt;=$D$4),1,0)</f>
        <v/>
      </c>
      <c r="KP29" s="17">
        <f>IF(AND(299&gt;=$B$4,299&lt;=$D$4),1,0)</f>
        <v/>
      </c>
      <c r="KQ29" s="17">
        <f>IF(AND(300&gt;=$B$4,300&lt;=$D$4),1,0)</f>
        <v/>
      </c>
      <c r="KR29" s="17">
        <f>IF(AND(301&gt;=$B$4,301&lt;=$D$4),1,0)</f>
        <v/>
      </c>
      <c r="KS29" s="17">
        <f>IF(AND(302&gt;=$B$4,302&lt;=$D$4),1,0)</f>
        <v/>
      </c>
      <c r="KT29" s="17">
        <f>IF(AND(303&gt;=$B$4,303&lt;=$D$4),1,0)</f>
        <v/>
      </c>
      <c r="KU29" s="17">
        <f>IF(AND(304&gt;=$B$4,304&lt;=$D$4),1,0)</f>
        <v/>
      </c>
      <c r="KV29" s="17">
        <f>IF(AND(305&gt;=$B$4,305&lt;=$D$4),1,0)</f>
        <v/>
      </c>
      <c r="KW29" s="17">
        <f>IF(AND(306&gt;=$B$4,306&lt;=$D$4),1,0)</f>
        <v/>
      </c>
      <c r="KX29" s="17">
        <f>IF(AND(307&gt;=$B$4,307&lt;=$D$4),1,0)</f>
        <v/>
      </c>
      <c r="KY29" s="17">
        <f>IF(AND(308&gt;=$B$4,308&lt;=$D$4),1,0)</f>
        <v/>
      </c>
      <c r="KZ29" s="17">
        <f>IF(AND(309&gt;=$B$4,309&lt;=$D$4),1,0)</f>
        <v/>
      </c>
      <c r="LA29" s="17">
        <f>IF(AND(310&gt;=$B$4,310&lt;=$D$4),1,0)</f>
        <v/>
      </c>
      <c r="LB29" s="17">
        <f>IF(AND(311&gt;=$B$4,311&lt;=$D$4),1,0)</f>
        <v/>
      </c>
      <c r="LC29" s="17">
        <f>IF(AND(312&gt;=$B$4,312&lt;=$D$4),1,0)</f>
        <v/>
      </c>
      <c r="LD29" s="17">
        <f>IF(AND(313&gt;=$B$4,313&lt;=$D$4),1,0)</f>
        <v/>
      </c>
      <c r="LE29" s="17">
        <f>IF(AND(314&gt;=$B$4,314&lt;=$D$4),1,0)</f>
        <v/>
      </c>
      <c r="LF29" s="17">
        <f>IF(AND(315&gt;=$B$4,315&lt;=$D$4),1,0)</f>
        <v/>
      </c>
      <c r="LG29" s="17">
        <f>IF(AND(316&gt;=$B$4,316&lt;=$D$4),1,0)</f>
        <v/>
      </c>
      <c r="LH29" s="17">
        <f>IF(AND(317&gt;=$B$4,317&lt;=$D$4),1,0)</f>
        <v/>
      </c>
      <c r="LI29" s="17">
        <f>IF(AND(318&gt;=$B$4,318&lt;=$D$4),1,0)</f>
        <v/>
      </c>
      <c r="LJ29" s="17">
        <f>IF(AND(319&gt;=$B$4,319&lt;=$D$4),1,0)</f>
        <v/>
      </c>
      <c r="LK29" s="17">
        <f>IF(AND(320&gt;=$B$4,320&lt;=$D$4),1,0)</f>
        <v/>
      </c>
      <c r="LL29" s="17">
        <f>IF(AND(321&gt;=$B$4,321&lt;=$D$4),1,0)</f>
        <v/>
      </c>
      <c r="LM29" s="17">
        <f>IF(AND(322&gt;=$B$4,322&lt;=$D$4),1,0)</f>
        <v/>
      </c>
      <c r="LN29" s="17">
        <f>IF(AND(323&gt;=$B$4,323&lt;=$D$4),1,0)</f>
        <v/>
      </c>
      <c r="LO29" s="17">
        <f>IF(AND(324&gt;=$B$4,324&lt;=$D$4),1,0)</f>
        <v/>
      </c>
      <c r="LP29" s="17">
        <f>IF(AND(325&gt;=$B$4,325&lt;=$D$4),1,0)</f>
        <v/>
      </c>
      <c r="LQ29" s="17">
        <f>IF(AND(326&gt;=$B$4,326&lt;=$D$4),1,0)</f>
        <v/>
      </c>
      <c r="LR29" s="17">
        <f>IF(AND(327&gt;=$B$4,327&lt;=$D$4),1,0)</f>
        <v/>
      </c>
      <c r="LS29" s="17">
        <f>IF(AND(328&gt;=$B$4,328&lt;=$D$4),1,0)</f>
        <v/>
      </c>
      <c r="LT29" s="17">
        <f>IF(AND(329&gt;=$B$4,329&lt;=$D$4),1,0)</f>
        <v/>
      </c>
      <c r="LU29" s="17">
        <f>IF(AND(330&gt;=$B$4,330&lt;=$D$4),1,0)</f>
        <v/>
      </c>
      <c r="LV29" s="17">
        <f>IF(AND(331&gt;=$B$4,331&lt;=$D$4),1,0)</f>
        <v/>
      </c>
      <c r="LW29" s="17">
        <f>IF(AND(332&gt;=$B$4,332&lt;=$D$4),1,0)</f>
        <v/>
      </c>
      <c r="LX29" s="17">
        <f>IF(AND(333&gt;=$B$4,333&lt;=$D$4),1,0)</f>
        <v/>
      </c>
      <c r="LY29" s="17">
        <f>IF(AND(334&gt;=$B$4,334&lt;=$D$4),1,0)</f>
        <v/>
      </c>
      <c r="LZ29" s="17">
        <f>IF(AND(335&gt;=$B$4,335&lt;=$D$4),1,0)</f>
        <v/>
      </c>
      <c r="MA29" s="17">
        <f>IF(AND(336&gt;=$B$4,336&lt;=$D$4),1,0)</f>
        <v/>
      </c>
      <c r="MB29" s="17">
        <f>IF(AND(337&gt;=$B$4,337&lt;=$D$4),1,0)</f>
        <v/>
      </c>
      <c r="MC29" s="17">
        <f>IF(AND(338&gt;=$B$4,338&lt;=$D$4),1,0)</f>
        <v/>
      </c>
      <c r="MD29" s="17">
        <f>IF(AND(339&gt;=$B$4,339&lt;=$D$4),1,0)</f>
        <v/>
      </c>
      <c r="ME29" s="17">
        <f>IF(AND(340&gt;=$B$4,340&lt;=$D$4),1,0)</f>
        <v/>
      </c>
      <c r="MF29" s="17">
        <f>IF(AND(341&gt;=$B$4,341&lt;=$D$4),1,0)</f>
        <v/>
      </c>
      <c r="MG29" s="17">
        <f>IF(AND(342&gt;=$B$4,342&lt;=$D$4),1,0)</f>
        <v/>
      </c>
      <c r="MH29" s="17">
        <f>IF(AND(343&gt;=$B$4,343&lt;=$D$4),1,0)</f>
        <v/>
      </c>
      <c r="MI29" s="17">
        <f>IF(AND(344&gt;=$B$4,344&lt;=$D$4),1,0)</f>
        <v/>
      </c>
      <c r="MJ29" s="17">
        <f>IF(AND(345&gt;=$B$4,345&lt;=$D$4),1,0)</f>
        <v/>
      </c>
      <c r="MK29" s="17">
        <f>IF(AND(346&gt;=$B$4,346&lt;=$D$4),1,0)</f>
        <v/>
      </c>
      <c r="ML29" s="17">
        <f>IF(AND(347&gt;=$B$4,347&lt;=$D$4),1,0)</f>
        <v/>
      </c>
      <c r="MM29" s="17">
        <f>IF(AND(348&gt;=$B$4,348&lt;=$D$4),1,0)</f>
        <v/>
      </c>
      <c r="MN29" s="17">
        <f>IF(AND(349&gt;=$B$4,349&lt;=$D$4),1,0)</f>
        <v/>
      </c>
      <c r="MO29" s="17">
        <f>IF(AND(350&gt;=$B$4,350&lt;=$D$4),1,0)</f>
        <v/>
      </c>
      <c r="MP29" s="17">
        <f>IF(AND(351&gt;=$B$4,351&lt;=$D$4),1,0)</f>
        <v/>
      </c>
      <c r="MQ29" s="17">
        <f>IF(AND(352&gt;=$B$4,352&lt;=$D$4),1,0)</f>
        <v/>
      </c>
      <c r="MR29" s="17">
        <f>IF(AND(353&gt;=$B$4,353&lt;=$D$4),1,0)</f>
        <v/>
      </c>
      <c r="MS29" s="17">
        <f>IF(AND(354&gt;=$B$4,354&lt;=$D$4),1,0)</f>
        <v/>
      </c>
      <c r="MT29" s="17">
        <f>IF(AND(355&gt;=$B$4,355&lt;=$D$4),1,0)</f>
        <v/>
      </c>
      <c r="MU29" s="17">
        <f>IF(AND(356&gt;=$B$4,356&lt;=$D$4),1,0)</f>
        <v/>
      </c>
      <c r="MV29" s="17">
        <f>IF(AND(357&gt;=$B$4,357&lt;=$D$4),1,0)</f>
        <v/>
      </c>
      <c r="MW29" s="17">
        <f>IF(AND(358&gt;=$B$4,358&lt;=$D$4),1,0)</f>
        <v/>
      </c>
      <c r="MX29" s="17">
        <f>IF(AND(359&gt;=$B$4,359&lt;=$D$4),1,0)</f>
        <v/>
      </c>
      <c r="MY29" s="17">
        <f>IF(AND(360&gt;=$B$4,360&lt;=$D$4),1,0)</f>
        <v/>
      </c>
      <c r="MZ29" s="17">
        <f>IF(AND(361&gt;=$B$4,361&lt;=$D$4),1,0)</f>
        <v/>
      </c>
      <c r="NA29" s="17">
        <f>IF(AND(362&gt;=$B$4,362&lt;=$D$4),1,0)</f>
        <v/>
      </c>
      <c r="NB29" s="17">
        <f>IF(AND(363&gt;=$B$4,363&lt;=$D$4),1,0)</f>
        <v/>
      </c>
      <c r="NC29" s="17">
        <f>IF(AND(364&gt;=$B$4,364&lt;=$D$4),1,0)</f>
        <v/>
      </c>
      <c r="ND29" s="17">
        <f>IF(AND(365&gt;=$B$4,365&lt;=$D$4),1,0)</f>
        <v/>
      </c>
      <c r="NE29" s="17">
        <f>IF(AND(366&gt;=$B$4,366&lt;=$D$4),1,0)</f>
        <v/>
      </c>
      <c r="NF29" s="17">
        <f>IF(AND(367&gt;=$B$4,367&lt;=$D$4),1,0)</f>
        <v/>
      </c>
      <c r="NG29" s="17">
        <f>IF(AND(368&gt;=$B$4,368&lt;=$D$4),1,0)</f>
        <v/>
      </c>
      <c r="NH29" s="17">
        <f>IF(AND(369&gt;=$B$4,369&lt;=$D$4),1,0)</f>
        <v/>
      </c>
      <c r="NI29" s="17">
        <f>IF(AND(370&gt;=$B$4,370&lt;=$D$4),1,0)</f>
        <v/>
      </c>
      <c r="NJ29" s="17">
        <f>IF(AND(371&gt;=$B$4,371&lt;=$D$4),1,0)</f>
        <v/>
      </c>
      <c r="NK29" s="17">
        <f>IF(AND(372&gt;=$B$4,372&lt;=$D$4),1,0)</f>
        <v/>
      </c>
    </row>
    <row r="30">
      <c r="A30" s="5" t="inlineStr">
        <is>
          <t>Flag: Due Diligence</t>
        </is>
      </c>
      <c r="C30" s="40" t="n"/>
      <c r="D30" s="17">
        <f>IF(AND(1&gt;=$B$5,1&lt;=$D$5),1,0)</f>
        <v/>
      </c>
      <c r="E30" s="17">
        <f>IF(AND(2&gt;=$B$5,2&lt;=$D$5),1,0)</f>
        <v/>
      </c>
      <c r="F30" s="17">
        <f>IF(AND(3&gt;=$B$5,3&lt;=$D$5),1,0)</f>
        <v/>
      </c>
      <c r="G30" s="17">
        <f>IF(AND(4&gt;=$B$5,4&lt;=$D$5),1,0)</f>
        <v/>
      </c>
      <c r="H30" s="17">
        <f>IF(AND(5&gt;=$B$5,5&lt;=$D$5),1,0)</f>
        <v/>
      </c>
      <c r="I30" s="17">
        <f>IF(AND(6&gt;=$B$5,6&lt;=$D$5),1,0)</f>
        <v/>
      </c>
      <c r="J30" s="17">
        <f>IF(AND(7&gt;=$B$5,7&lt;=$D$5),1,0)</f>
        <v/>
      </c>
      <c r="K30" s="17">
        <f>IF(AND(8&gt;=$B$5,8&lt;=$D$5),1,0)</f>
        <v/>
      </c>
      <c r="L30" s="17">
        <f>IF(AND(9&gt;=$B$5,9&lt;=$D$5),1,0)</f>
        <v/>
      </c>
      <c r="M30" s="17">
        <f>IF(AND(10&gt;=$B$5,10&lt;=$D$5),1,0)</f>
        <v/>
      </c>
      <c r="N30" s="17">
        <f>IF(AND(11&gt;=$B$5,11&lt;=$D$5),1,0)</f>
        <v/>
      </c>
      <c r="O30" s="17">
        <f>IF(AND(12&gt;=$B$5,12&lt;=$D$5),1,0)</f>
        <v/>
      </c>
      <c r="P30" s="17">
        <f>IF(AND(13&gt;=$B$5,13&lt;=$D$5),1,0)</f>
        <v/>
      </c>
      <c r="Q30" s="17">
        <f>IF(AND(14&gt;=$B$5,14&lt;=$D$5),1,0)</f>
        <v/>
      </c>
      <c r="R30" s="17">
        <f>IF(AND(15&gt;=$B$5,15&lt;=$D$5),1,0)</f>
        <v/>
      </c>
      <c r="S30" s="17">
        <f>IF(AND(16&gt;=$B$5,16&lt;=$D$5),1,0)</f>
        <v/>
      </c>
      <c r="T30" s="17">
        <f>IF(AND(17&gt;=$B$5,17&lt;=$D$5),1,0)</f>
        <v/>
      </c>
      <c r="U30" s="17">
        <f>IF(AND(18&gt;=$B$5,18&lt;=$D$5),1,0)</f>
        <v/>
      </c>
      <c r="V30" s="17">
        <f>IF(AND(19&gt;=$B$5,19&lt;=$D$5),1,0)</f>
        <v/>
      </c>
      <c r="W30" s="17">
        <f>IF(AND(20&gt;=$B$5,20&lt;=$D$5),1,0)</f>
        <v/>
      </c>
      <c r="X30" s="17">
        <f>IF(AND(21&gt;=$B$5,21&lt;=$D$5),1,0)</f>
        <v/>
      </c>
      <c r="Y30" s="17">
        <f>IF(AND(22&gt;=$B$5,22&lt;=$D$5),1,0)</f>
        <v/>
      </c>
      <c r="Z30" s="17">
        <f>IF(AND(23&gt;=$B$5,23&lt;=$D$5),1,0)</f>
        <v/>
      </c>
      <c r="AA30" s="17">
        <f>IF(AND(24&gt;=$B$5,24&lt;=$D$5),1,0)</f>
        <v/>
      </c>
      <c r="AB30" s="17">
        <f>IF(AND(25&gt;=$B$5,25&lt;=$D$5),1,0)</f>
        <v/>
      </c>
      <c r="AC30" s="17">
        <f>IF(AND(26&gt;=$B$5,26&lt;=$D$5),1,0)</f>
        <v/>
      </c>
      <c r="AD30" s="17">
        <f>IF(AND(27&gt;=$B$5,27&lt;=$D$5),1,0)</f>
        <v/>
      </c>
      <c r="AE30" s="17">
        <f>IF(AND(28&gt;=$B$5,28&lt;=$D$5),1,0)</f>
        <v/>
      </c>
      <c r="AF30" s="17">
        <f>IF(AND(29&gt;=$B$5,29&lt;=$D$5),1,0)</f>
        <v/>
      </c>
      <c r="AG30" s="17">
        <f>IF(AND(30&gt;=$B$5,30&lt;=$D$5),1,0)</f>
        <v/>
      </c>
      <c r="AH30" s="17">
        <f>IF(AND(31&gt;=$B$5,31&lt;=$D$5),1,0)</f>
        <v/>
      </c>
      <c r="AI30" s="17">
        <f>IF(AND(32&gt;=$B$5,32&lt;=$D$5),1,0)</f>
        <v/>
      </c>
      <c r="AJ30" s="17">
        <f>IF(AND(33&gt;=$B$5,33&lt;=$D$5),1,0)</f>
        <v/>
      </c>
      <c r="AK30" s="17">
        <f>IF(AND(34&gt;=$B$5,34&lt;=$D$5),1,0)</f>
        <v/>
      </c>
      <c r="AL30" s="17">
        <f>IF(AND(35&gt;=$B$5,35&lt;=$D$5),1,0)</f>
        <v/>
      </c>
      <c r="AM30" s="17">
        <f>IF(AND(36&gt;=$B$5,36&lt;=$D$5),1,0)</f>
        <v/>
      </c>
      <c r="AN30" s="17">
        <f>IF(AND(37&gt;=$B$5,37&lt;=$D$5),1,0)</f>
        <v/>
      </c>
      <c r="AO30" s="17">
        <f>IF(AND(38&gt;=$B$5,38&lt;=$D$5),1,0)</f>
        <v/>
      </c>
      <c r="AP30" s="17">
        <f>IF(AND(39&gt;=$B$5,39&lt;=$D$5),1,0)</f>
        <v/>
      </c>
      <c r="AQ30" s="17">
        <f>IF(AND(40&gt;=$B$5,40&lt;=$D$5),1,0)</f>
        <v/>
      </c>
      <c r="AR30" s="17">
        <f>IF(AND(41&gt;=$B$5,41&lt;=$D$5),1,0)</f>
        <v/>
      </c>
      <c r="AS30" s="17">
        <f>IF(AND(42&gt;=$B$5,42&lt;=$D$5),1,0)</f>
        <v/>
      </c>
      <c r="AT30" s="17">
        <f>IF(AND(43&gt;=$B$5,43&lt;=$D$5),1,0)</f>
        <v/>
      </c>
      <c r="AU30" s="17">
        <f>IF(AND(44&gt;=$B$5,44&lt;=$D$5),1,0)</f>
        <v/>
      </c>
      <c r="AV30" s="17">
        <f>IF(AND(45&gt;=$B$5,45&lt;=$D$5),1,0)</f>
        <v/>
      </c>
      <c r="AW30" s="17">
        <f>IF(AND(46&gt;=$B$5,46&lt;=$D$5),1,0)</f>
        <v/>
      </c>
      <c r="AX30" s="17">
        <f>IF(AND(47&gt;=$B$5,47&lt;=$D$5),1,0)</f>
        <v/>
      </c>
      <c r="AY30" s="17">
        <f>IF(AND(48&gt;=$B$5,48&lt;=$D$5),1,0)</f>
        <v/>
      </c>
      <c r="AZ30" s="17">
        <f>IF(AND(49&gt;=$B$5,49&lt;=$D$5),1,0)</f>
        <v/>
      </c>
      <c r="BA30" s="17">
        <f>IF(AND(50&gt;=$B$5,50&lt;=$D$5),1,0)</f>
        <v/>
      </c>
      <c r="BB30" s="17">
        <f>IF(AND(51&gt;=$B$5,51&lt;=$D$5),1,0)</f>
        <v/>
      </c>
      <c r="BC30" s="17">
        <f>IF(AND(52&gt;=$B$5,52&lt;=$D$5),1,0)</f>
        <v/>
      </c>
      <c r="BD30" s="17">
        <f>IF(AND(53&gt;=$B$5,53&lt;=$D$5),1,0)</f>
        <v/>
      </c>
      <c r="BE30" s="17">
        <f>IF(AND(54&gt;=$B$5,54&lt;=$D$5),1,0)</f>
        <v/>
      </c>
      <c r="BF30" s="17">
        <f>IF(AND(55&gt;=$B$5,55&lt;=$D$5),1,0)</f>
        <v/>
      </c>
      <c r="BG30" s="17">
        <f>IF(AND(56&gt;=$B$5,56&lt;=$D$5),1,0)</f>
        <v/>
      </c>
      <c r="BH30" s="17">
        <f>IF(AND(57&gt;=$B$5,57&lt;=$D$5),1,0)</f>
        <v/>
      </c>
      <c r="BI30" s="17">
        <f>IF(AND(58&gt;=$B$5,58&lt;=$D$5),1,0)</f>
        <v/>
      </c>
      <c r="BJ30" s="17">
        <f>IF(AND(59&gt;=$B$5,59&lt;=$D$5),1,0)</f>
        <v/>
      </c>
      <c r="BK30" s="17">
        <f>IF(AND(60&gt;=$B$5,60&lt;=$D$5),1,0)</f>
        <v/>
      </c>
      <c r="BL30" s="17">
        <f>IF(AND(61&gt;=$B$5,61&lt;=$D$5),1,0)</f>
        <v/>
      </c>
      <c r="BM30" s="17">
        <f>IF(AND(62&gt;=$B$5,62&lt;=$D$5),1,0)</f>
        <v/>
      </c>
      <c r="BN30" s="17">
        <f>IF(AND(63&gt;=$B$5,63&lt;=$D$5),1,0)</f>
        <v/>
      </c>
      <c r="BO30" s="17">
        <f>IF(AND(64&gt;=$B$5,64&lt;=$D$5),1,0)</f>
        <v/>
      </c>
      <c r="BP30" s="17">
        <f>IF(AND(65&gt;=$B$5,65&lt;=$D$5),1,0)</f>
        <v/>
      </c>
      <c r="BQ30" s="17">
        <f>IF(AND(66&gt;=$B$5,66&lt;=$D$5),1,0)</f>
        <v/>
      </c>
      <c r="BR30" s="17">
        <f>IF(AND(67&gt;=$B$5,67&lt;=$D$5),1,0)</f>
        <v/>
      </c>
      <c r="BS30" s="17">
        <f>IF(AND(68&gt;=$B$5,68&lt;=$D$5),1,0)</f>
        <v/>
      </c>
      <c r="BT30" s="17">
        <f>IF(AND(69&gt;=$B$5,69&lt;=$D$5),1,0)</f>
        <v/>
      </c>
      <c r="BU30" s="17">
        <f>IF(AND(70&gt;=$B$5,70&lt;=$D$5),1,0)</f>
        <v/>
      </c>
      <c r="BV30" s="17">
        <f>IF(AND(71&gt;=$B$5,71&lt;=$D$5),1,0)</f>
        <v/>
      </c>
      <c r="BW30" s="17">
        <f>IF(AND(72&gt;=$B$5,72&lt;=$D$5),1,0)</f>
        <v/>
      </c>
      <c r="BX30" s="17">
        <f>IF(AND(73&gt;=$B$5,73&lt;=$D$5),1,0)</f>
        <v/>
      </c>
      <c r="BY30" s="17">
        <f>IF(AND(74&gt;=$B$5,74&lt;=$D$5),1,0)</f>
        <v/>
      </c>
      <c r="BZ30" s="17">
        <f>IF(AND(75&gt;=$B$5,75&lt;=$D$5),1,0)</f>
        <v/>
      </c>
      <c r="CA30" s="17">
        <f>IF(AND(76&gt;=$B$5,76&lt;=$D$5),1,0)</f>
        <v/>
      </c>
      <c r="CB30" s="17">
        <f>IF(AND(77&gt;=$B$5,77&lt;=$D$5),1,0)</f>
        <v/>
      </c>
      <c r="CC30" s="17">
        <f>IF(AND(78&gt;=$B$5,78&lt;=$D$5),1,0)</f>
        <v/>
      </c>
      <c r="CD30" s="17">
        <f>IF(AND(79&gt;=$B$5,79&lt;=$D$5),1,0)</f>
        <v/>
      </c>
      <c r="CE30" s="17">
        <f>IF(AND(80&gt;=$B$5,80&lt;=$D$5),1,0)</f>
        <v/>
      </c>
      <c r="CF30" s="17">
        <f>IF(AND(81&gt;=$B$5,81&lt;=$D$5),1,0)</f>
        <v/>
      </c>
      <c r="CG30" s="17">
        <f>IF(AND(82&gt;=$B$5,82&lt;=$D$5),1,0)</f>
        <v/>
      </c>
      <c r="CH30" s="17">
        <f>IF(AND(83&gt;=$B$5,83&lt;=$D$5),1,0)</f>
        <v/>
      </c>
      <c r="CI30" s="17">
        <f>IF(AND(84&gt;=$B$5,84&lt;=$D$5),1,0)</f>
        <v/>
      </c>
      <c r="CJ30" s="17">
        <f>IF(AND(85&gt;=$B$5,85&lt;=$D$5),1,0)</f>
        <v/>
      </c>
      <c r="CK30" s="17">
        <f>IF(AND(86&gt;=$B$5,86&lt;=$D$5),1,0)</f>
        <v/>
      </c>
      <c r="CL30" s="17">
        <f>IF(AND(87&gt;=$B$5,87&lt;=$D$5),1,0)</f>
        <v/>
      </c>
      <c r="CM30" s="17">
        <f>IF(AND(88&gt;=$B$5,88&lt;=$D$5),1,0)</f>
        <v/>
      </c>
      <c r="CN30" s="17">
        <f>IF(AND(89&gt;=$B$5,89&lt;=$D$5),1,0)</f>
        <v/>
      </c>
      <c r="CO30" s="17">
        <f>IF(AND(90&gt;=$B$5,90&lt;=$D$5),1,0)</f>
        <v/>
      </c>
      <c r="CP30" s="17">
        <f>IF(AND(91&gt;=$B$5,91&lt;=$D$5),1,0)</f>
        <v/>
      </c>
      <c r="CQ30" s="17">
        <f>IF(AND(92&gt;=$B$5,92&lt;=$D$5),1,0)</f>
        <v/>
      </c>
      <c r="CR30" s="17">
        <f>IF(AND(93&gt;=$B$5,93&lt;=$D$5),1,0)</f>
        <v/>
      </c>
      <c r="CS30" s="17">
        <f>IF(AND(94&gt;=$B$5,94&lt;=$D$5),1,0)</f>
        <v/>
      </c>
      <c r="CT30" s="17">
        <f>IF(AND(95&gt;=$B$5,95&lt;=$D$5),1,0)</f>
        <v/>
      </c>
      <c r="CU30" s="17">
        <f>IF(AND(96&gt;=$B$5,96&lt;=$D$5),1,0)</f>
        <v/>
      </c>
      <c r="CV30" s="17">
        <f>IF(AND(97&gt;=$B$5,97&lt;=$D$5),1,0)</f>
        <v/>
      </c>
      <c r="CW30" s="17">
        <f>IF(AND(98&gt;=$B$5,98&lt;=$D$5),1,0)</f>
        <v/>
      </c>
      <c r="CX30" s="17">
        <f>IF(AND(99&gt;=$B$5,99&lt;=$D$5),1,0)</f>
        <v/>
      </c>
      <c r="CY30" s="17">
        <f>IF(AND(100&gt;=$B$5,100&lt;=$D$5),1,0)</f>
        <v/>
      </c>
      <c r="CZ30" s="17">
        <f>IF(AND(101&gt;=$B$5,101&lt;=$D$5),1,0)</f>
        <v/>
      </c>
      <c r="DA30" s="17">
        <f>IF(AND(102&gt;=$B$5,102&lt;=$D$5),1,0)</f>
        <v/>
      </c>
      <c r="DB30" s="17">
        <f>IF(AND(103&gt;=$B$5,103&lt;=$D$5),1,0)</f>
        <v/>
      </c>
      <c r="DC30" s="17">
        <f>IF(AND(104&gt;=$B$5,104&lt;=$D$5),1,0)</f>
        <v/>
      </c>
      <c r="DD30" s="17">
        <f>IF(AND(105&gt;=$B$5,105&lt;=$D$5),1,0)</f>
        <v/>
      </c>
      <c r="DE30" s="17">
        <f>IF(AND(106&gt;=$B$5,106&lt;=$D$5),1,0)</f>
        <v/>
      </c>
      <c r="DF30" s="17">
        <f>IF(AND(107&gt;=$B$5,107&lt;=$D$5),1,0)</f>
        <v/>
      </c>
      <c r="DG30" s="17">
        <f>IF(AND(108&gt;=$B$5,108&lt;=$D$5),1,0)</f>
        <v/>
      </c>
      <c r="DH30" s="17">
        <f>IF(AND(109&gt;=$B$5,109&lt;=$D$5),1,0)</f>
        <v/>
      </c>
      <c r="DI30" s="17">
        <f>IF(AND(110&gt;=$B$5,110&lt;=$D$5),1,0)</f>
        <v/>
      </c>
      <c r="DJ30" s="17">
        <f>IF(AND(111&gt;=$B$5,111&lt;=$D$5),1,0)</f>
        <v/>
      </c>
      <c r="DK30" s="17">
        <f>IF(AND(112&gt;=$B$5,112&lt;=$D$5),1,0)</f>
        <v/>
      </c>
      <c r="DL30" s="17">
        <f>IF(AND(113&gt;=$B$5,113&lt;=$D$5),1,0)</f>
        <v/>
      </c>
      <c r="DM30" s="17">
        <f>IF(AND(114&gt;=$B$5,114&lt;=$D$5),1,0)</f>
        <v/>
      </c>
      <c r="DN30" s="17">
        <f>IF(AND(115&gt;=$B$5,115&lt;=$D$5),1,0)</f>
        <v/>
      </c>
      <c r="DO30" s="17">
        <f>IF(AND(116&gt;=$B$5,116&lt;=$D$5),1,0)</f>
        <v/>
      </c>
      <c r="DP30" s="17">
        <f>IF(AND(117&gt;=$B$5,117&lt;=$D$5),1,0)</f>
        <v/>
      </c>
      <c r="DQ30" s="17">
        <f>IF(AND(118&gt;=$B$5,118&lt;=$D$5),1,0)</f>
        <v/>
      </c>
      <c r="DR30" s="17">
        <f>IF(AND(119&gt;=$B$5,119&lt;=$D$5),1,0)</f>
        <v/>
      </c>
      <c r="DS30" s="17">
        <f>IF(AND(120&gt;=$B$5,120&lt;=$D$5),1,0)</f>
        <v/>
      </c>
      <c r="DT30" s="17">
        <f>IF(AND(121&gt;=$B$5,121&lt;=$D$5),1,0)</f>
        <v/>
      </c>
      <c r="DU30" s="17">
        <f>IF(AND(122&gt;=$B$5,122&lt;=$D$5),1,0)</f>
        <v/>
      </c>
      <c r="DV30" s="17">
        <f>IF(AND(123&gt;=$B$5,123&lt;=$D$5),1,0)</f>
        <v/>
      </c>
      <c r="DW30" s="17">
        <f>IF(AND(124&gt;=$B$5,124&lt;=$D$5),1,0)</f>
        <v/>
      </c>
      <c r="DX30" s="17">
        <f>IF(AND(125&gt;=$B$5,125&lt;=$D$5),1,0)</f>
        <v/>
      </c>
      <c r="DY30" s="17">
        <f>IF(AND(126&gt;=$B$5,126&lt;=$D$5),1,0)</f>
        <v/>
      </c>
      <c r="DZ30" s="17">
        <f>IF(AND(127&gt;=$B$5,127&lt;=$D$5),1,0)</f>
        <v/>
      </c>
      <c r="EA30" s="17">
        <f>IF(AND(128&gt;=$B$5,128&lt;=$D$5),1,0)</f>
        <v/>
      </c>
      <c r="EB30" s="17">
        <f>IF(AND(129&gt;=$B$5,129&lt;=$D$5),1,0)</f>
        <v/>
      </c>
      <c r="EC30" s="17">
        <f>IF(AND(130&gt;=$B$5,130&lt;=$D$5),1,0)</f>
        <v/>
      </c>
      <c r="ED30" s="17">
        <f>IF(AND(131&gt;=$B$5,131&lt;=$D$5),1,0)</f>
        <v/>
      </c>
      <c r="EE30" s="17">
        <f>IF(AND(132&gt;=$B$5,132&lt;=$D$5),1,0)</f>
        <v/>
      </c>
      <c r="EF30" s="17">
        <f>IF(AND(133&gt;=$B$5,133&lt;=$D$5),1,0)</f>
        <v/>
      </c>
      <c r="EG30" s="17">
        <f>IF(AND(134&gt;=$B$5,134&lt;=$D$5),1,0)</f>
        <v/>
      </c>
      <c r="EH30" s="17">
        <f>IF(AND(135&gt;=$B$5,135&lt;=$D$5),1,0)</f>
        <v/>
      </c>
      <c r="EI30" s="17">
        <f>IF(AND(136&gt;=$B$5,136&lt;=$D$5),1,0)</f>
        <v/>
      </c>
      <c r="EJ30" s="17">
        <f>IF(AND(137&gt;=$B$5,137&lt;=$D$5),1,0)</f>
        <v/>
      </c>
      <c r="EK30" s="17">
        <f>IF(AND(138&gt;=$B$5,138&lt;=$D$5),1,0)</f>
        <v/>
      </c>
      <c r="EL30" s="17">
        <f>IF(AND(139&gt;=$B$5,139&lt;=$D$5),1,0)</f>
        <v/>
      </c>
      <c r="EM30" s="17">
        <f>IF(AND(140&gt;=$B$5,140&lt;=$D$5),1,0)</f>
        <v/>
      </c>
      <c r="EN30" s="17">
        <f>IF(AND(141&gt;=$B$5,141&lt;=$D$5),1,0)</f>
        <v/>
      </c>
      <c r="EO30" s="17">
        <f>IF(AND(142&gt;=$B$5,142&lt;=$D$5),1,0)</f>
        <v/>
      </c>
      <c r="EP30" s="17">
        <f>IF(AND(143&gt;=$B$5,143&lt;=$D$5),1,0)</f>
        <v/>
      </c>
      <c r="EQ30" s="17">
        <f>IF(AND(144&gt;=$B$5,144&lt;=$D$5),1,0)</f>
        <v/>
      </c>
      <c r="ER30" s="17">
        <f>IF(AND(145&gt;=$B$5,145&lt;=$D$5),1,0)</f>
        <v/>
      </c>
      <c r="ES30" s="17">
        <f>IF(AND(146&gt;=$B$5,146&lt;=$D$5),1,0)</f>
        <v/>
      </c>
      <c r="ET30" s="17">
        <f>IF(AND(147&gt;=$B$5,147&lt;=$D$5),1,0)</f>
        <v/>
      </c>
      <c r="EU30" s="17">
        <f>IF(AND(148&gt;=$B$5,148&lt;=$D$5),1,0)</f>
        <v/>
      </c>
      <c r="EV30" s="17">
        <f>IF(AND(149&gt;=$B$5,149&lt;=$D$5),1,0)</f>
        <v/>
      </c>
      <c r="EW30" s="17">
        <f>IF(AND(150&gt;=$B$5,150&lt;=$D$5),1,0)</f>
        <v/>
      </c>
      <c r="EX30" s="17">
        <f>IF(AND(151&gt;=$B$5,151&lt;=$D$5),1,0)</f>
        <v/>
      </c>
      <c r="EY30" s="17">
        <f>IF(AND(152&gt;=$B$5,152&lt;=$D$5),1,0)</f>
        <v/>
      </c>
      <c r="EZ30" s="17">
        <f>IF(AND(153&gt;=$B$5,153&lt;=$D$5),1,0)</f>
        <v/>
      </c>
      <c r="FA30" s="17">
        <f>IF(AND(154&gt;=$B$5,154&lt;=$D$5),1,0)</f>
        <v/>
      </c>
      <c r="FB30" s="17">
        <f>IF(AND(155&gt;=$B$5,155&lt;=$D$5),1,0)</f>
        <v/>
      </c>
      <c r="FC30" s="17">
        <f>IF(AND(156&gt;=$B$5,156&lt;=$D$5),1,0)</f>
        <v/>
      </c>
      <c r="FD30" s="17">
        <f>IF(AND(157&gt;=$B$5,157&lt;=$D$5),1,0)</f>
        <v/>
      </c>
      <c r="FE30" s="17">
        <f>IF(AND(158&gt;=$B$5,158&lt;=$D$5),1,0)</f>
        <v/>
      </c>
      <c r="FF30" s="17">
        <f>IF(AND(159&gt;=$B$5,159&lt;=$D$5),1,0)</f>
        <v/>
      </c>
      <c r="FG30" s="17">
        <f>IF(AND(160&gt;=$B$5,160&lt;=$D$5),1,0)</f>
        <v/>
      </c>
      <c r="FH30" s="17">
        <f>IF(AND(161&gt;=$B$5,161&lt;=$D$5),1,0)</f>
        <v/>
      </c>
      <c r="FI30" s="17">
        <f>IF(AND(162&gt;=$B$5,162&lt;=$D$5),1,0)</f>
        <v/>
      </c>
      <c r="FJ30" s="17">
        <f>IF(AND(163&gt;=$B$5,163&lt;=$D$5),1,0)</f>
        <v/>
      </c>
      <c r="FK30" s="17">
        <f>IF(AND(164&gt;=$B$5,164&lt;=$D$5),1,0)</f>
        <v/>
      </c>
      <c r="FL30" s="17">
        <f>IF(AND(165&gt;=$B$5,165&lt;=$D$5),1,0)</f>
        <v/>
      </c>
      <c r="FM30" s="17">
        <f>IF(AND(166&gt;=$B$5,166&lt;=$D$5),1,0)</f>
        <v/>
      </c>
      <c r="FN30" s="17">
        <f>IF(AND(167&gt;=$B$5,167&lt;=$D$5),1,0)</f>
        <v/>
      </c>
      <c r="FO30" s="17">
        <f>IF(AND(168&gt;=$B$5,168&lt;=$D$5),1,0)</f>
        <v/>
      </c>
      <c r="FP30" s="17">
        <f>IF(AND(169&gt;=$B$5,169&lt;=$D$5),1,0)</f>
        <v/>
      </c>
      <c r="FQ30" s="17">
        <f>IF(AND(170&gt;=$B$5,170&lt;=$D$5),1,0)</f>
        <v/>
      </c>
      <c r="FR30" s="17">
        <f>IF(AND(171&gt;=$B$5,171&lt;=$D$5),1,0)</f>
        <v/>
      </c>
      <c r="FS30" s="17">
        <f>IF(AND(172&gt;=$B$5,172&lt;=$D$5),1,0)</f>
        <v/>
      </c>
      <c r="FT30" s="17">
        <f>IF(AND(173&gt;=$B$5,173&lt;=$D$5),1,0)</f>
        <v/>
      </c>
      <c r="FU30" s="17">
        <f>IF(AND(174&gt;=$B$5,174&lt;=$D$5),1,0)</f>
        <v/>
      </c>
      <c r="FV30" s="17">
        <f>IF(AND(175&gt;=$B$5,175&lt;=$D$5),1,0)</f>
        <v/>
      </c>
      <c r="FW30" s="17">
        <f>IF(AND(176&gt;=$B$5,176&lt;=$D$5),1,0)</f>
        <v/>
      </c>
      <c r="FX30" s="17">
        <f>IF(AND(177&gt;=$B$5,177&lt;=$D$5),1,0)</f>
        <v/>
      </c>
      <c r="FY30" s="17">
        <f>IF(AND(178&gt;=$B$5,178&lt;=$D$5),1,0)</f>
        <v/>
      </c>
      <c r="FZ30" s="17">
        <f>IF(AND(179&gt;=$B$5,179&lt;=$D$5),1,0)</f>
        <v/>
      </c>
      <c r="GA30" s="17">
        <f>IF(AND(180&gt;=$B$5,180&lt;=$D$5),1,0)</f>
        <v/>
      </c>
      <c r="GB30" s="17">
        <f>IF(AND(181&gt;=$B$5,181&lt;=$D$5),1,0)</f>
        <v/>
      </c>
      <c r="GC30" s="17">
        <f>IF(AND(182&gt;=$B$5,182&lt;=$D$5),1,0)</f>
        <v/>
      </c>
      <c r="GD30" s="17">
        <f>IF(AND(183&gt;=$B$5,183&lt;=$D$5),1,0)</f>
        <v/>
      </c>
      <c r="GE30" s="17">
        <f>IF(AND(184&gt;=$B$5,184&lt;=$D$5),1,0)</f>
        <v/>
      </c>
      <c r="GF30" s="17">
        <f>IF(AND(185&gt;=$B$5,185&lt;=$D$5),1,0)</f>
        <v/>
      </c>
      <c r="GG30" s="17">
        <f>IF(AND(186&gt;=$B$5,186&lt;=$D$5),1,0)</f>
        <v/>
      </c>
      <c r="GH30" s="17">
        <f>IF(AND(187&gt;=$B$5,187&lt;=$D$5),1,0)</f>
        <v/>
      </c>
      <c r="GI30" s="17">
        <f>IF(AND(188&gt;=$B$5,188&lt;=$D$5),1,0)</f>
        <v/>
      </c>
      <c r="GJ30" s="17">
        <f>IF(AND(189&gt;=$B$5,189&lt;=$D$5),1,0)</f>
        <v/>
      </c>
      <c r="GK30" s="17">
        <f>IF(AND(190&gt;=$B$5,190&lt;=$D$5),1,0)</f>
        <v/>
      </c>
      <c r="GL30" s="17">
        <f>IF(AND(191&gt;=$B$5,191&lt;=$D$5),1,0)</f>
        <v/>
      </c>
      <c r="GM30" s="17">
        <f>IF(AND(192&gt;=$B$5,192&lt;=$D$5),1,0)</f>
        <v/>
      </c>
      <c r="GN30" s="17">
        <f>IF(AND(193&gt;=$B$5,193&lt;=$D$5),1,0)</f>
        <v/>
      </c>
      <c r="GO30" s="17">
        <f>IF(AND(194&gt;=$B$5,194&lt;=$D$5),1,0)</f>
        <v/>
      </c>
      <c r="GP30" s="17">
        <f>IF(AND(195&gt;=$B$5,195&lt;=$D$5),1,0)</f>
        <v/>
      </c>
      <c r="GQ30" s="17">
        <f>IF(AND(196&gt;=$B$5,196&lt;=$D$5),1,0)</f>
        <v/>
      </c>
      <c r="GR30" s="17">
        <f>IF(AND(197&gt;=$B$5,197&lt;=$D$5),1,0)</f>
        <v/>
      </c>
      <c r="GS30" s="17">
        <f>IF(AND(198&gt;=$B$5,198&lt;=$D$5),1,0)</f>
        <v/>
      </c>
      <c r="GT30" s="17">
        <f>IF(AND(199&gt;=$B$5,199&lt;=$D$5),1,0)</f>
        <v/>
      </c>
      <c r="GU30" s="17">
        <f>IF(AND(200&gt;=$B$5,200&lt;=$D$5),1,0)</f>
        <v/>
      </c>
      <c r="GV30" s="17">
        <f>IF(AND(201&gt;=$B$5,201&lt;=$D$5),1,0)</f>
        <v/>
      </c>
      <c r="GW30" s="17">
        <f>IF(AND(202&gt;=$B$5,202&lt;=$D$5),1,0)</f>
        <v/>
      </c>
      <c r="GX30" s="17">
        <f>IF(AND(203&gt;=$B$5,203&lt;=$D$5),1,0)</f>
        <v/>
      </c>
      <c r="GY30" s="17">
        <f>IF(AND(204&gt;=$B$5,204&lt;=$D$5),1,0)</f>
        <v/>
      </c>
      <c r="GZ30" s="17">
        <f>IF(AND(205&gt;=$B$5,205&lt;=$D$5),1,0)</f>
        <v/>
      </c>
      <c r="HA30" s="17">
        <f>IF(AND(206&gt;=$B$5,206&lt;=$D$5),1,0)</f>
        <v/>
      </c>
      <c r="HB30" s="17">
        <f>IF(AND(207&gt;=$B$5,207&lt;=$D$5),1,0)</f>
        <v/>
      </c>
      <c r="HC30" s="17">
        <f>IF(AND(208&gt;=$B$5,208&lt;=$D$5),1,0)</f>
        <v/>
      </c>
      <c r="HD30" s="17">
        <f>IF(AND(209&gt;=$B$5,209&lt;=$D$5),1,0)</f>
        <v/>
      </c>
      <c r="HE30" s="17">
        <f>IF(AND(210&gt;=$B$5,210&lt;=$D$5),1,0)</f>
        <v/>
      </c>
      <c r="HF30" s="17">
        <f>IF(AND(211&gt;=$B$5,211&lt;=$D$5),1,0)</f>
        <v/>
      </c>
      <c r="HG30" s="17">
        <f>IF(AND(212&gt;=$B$5,212&lt;=$D$5),1,0)</f>
        <v/>
      </c>
      <c r="HH30" s="17">
        <f>IF(AND(213&gt;=$B$5,213&lt;=$D$5),1,0)</f>
        <v/>
      </c>
      <c r="HI30" s="17">
        <f>IF(AND(214&gt;=$B$5,214&lt;=$D$5),1,0)</f>
        <v/>
      </c>
      <c r="HJ30" s="17">
        <f>IF(AND(215&gt;=$B$5,215&lt;=$D$5),1,0)</f>
        <v/>
      </c>
      <c r="HK30" s="17">
        <f>IF(AND(216&gt;=$B$5,216&lt;=$D$5),1,0)</f>
        <v/>
      </c>
      <c r="HL30" s="17">
        <f>IF(AND(217&gt;=$B$5,217&lt;=$D$5),1,0)</f>
        <v/>
      </c>
      <c r="HM30" s="17">
        <f>IF(AND(218&gt;=$B$5,218&lt;=$D$5),1,0)</f>
        <v/>
      </c>
      <c r="HN30" s="17">
        <f>IF(AND(219&gt;=$B$5,219&lt;=$D$5),1,0)</f>
        <v/>
      </c>
      <c r="HO30" s="17">
        <f>IF(AND(220&gt;=$B$5,220&lt;=$D$5),1,0)</f>
        <v/>
      </c>
      <c r="HP30" s="17">
        <f>IF(AND(221&gt;=$B$5,221&lt;=$D$5),1,0)</f>
        <v/>
      </c>
      <c r="HQ30" s="17">
        <f>IF(AND(222&gt;=$B$5,222&lt;=$D$5),1,0)</f>
        <v/>
      </c>
      <c r="HR30" s="17">
        <f>IF(AND(223&gt;=$B$5,223&lt;=$D$5),1,0)</f>
        <v/>
      </c>
      <c r="HS30" s="17">
        <f>IF(AND(224&gt;=$B$5,224&lt;=$D$5),1,0)</f>
        <v/>
      </c>
      <c r="HT30" s="17">
        <f>IF(AND(225&gt;=$B$5,225&lt;=$D$5),1,0)</f>
        <v/>
      </c>
      <c r="HU30" s="17">
        <f>IF(AND(226&gt;=$B$5,226&lt;=$D$5),1,0)</f>
        <v/>
      </c>
      <c r="HV30" s="17">
        <f>IF(AND(227&gt;=$B$5,227&lt;=$D$5),1,0)</f>
        <v/>
      </c>
      <c r="HW30" s="17">
        <f>IF(AND(228&gt;=$B$5,228&lt;=$D$5),1,0)</f>
        <v/>
      </c>
      <c r="HX30" s="17">
        <f>IF(AND(229&gt;=$B$5,229&lt;=$D$5),1,0)</f>
        <v/>
      </c>
      <c r="HY30" s="17">
        <f>IF(AND(230&gt;=$B$5,230&lt;=$D$5),1,0)</f>
        <v/>
      </c>
      <c r="HZ30" s="17">
        <f>IF(AND(231&gt;=$B$5,231&lt;=$D$5),1,0)</f>
        <v/>
      </c>
      <c r="IA30" s="17">
        <f>IF(AND(232&gt;=$B$5,232&lt;=$D$5),1,0)</f>
        <v/>
      </c>
      <c r="IB30" s="17">
        <f>IF(AND(233&gt;=$B$5,233&lt;=$D$5),1,0)</f>
        <v/>
      </c>
      <c r="IC30" s="17">
        <f>IF(AND(234&gt;=$B$5,234&lt;=$D$5),1,0)</f>
        <v/>
      </c>
      <c r="ID30" s="17">
        <f>IF(AND(235&gt;=$B$5,235&lt;=$D$5),1,0)</f>
        <v/>
      </c>
      <c r="IE30" s="17">
        <f>IF(AND(236&gt;=$B$5,236&lt;=$D$5),1,0)</f>
        <v/>
      </c>
      <c r="IF30" s="17">
        <f>IF(AND(237&gt;=$B$5,237&lt;=$D$5),1,0)</f>
        <v/>
      </c>
      <c r="IG30" s="17">
        <f>IF(AND(238&gt;=$B$5,238&lt;=$D$5),1,0)</f>
        <v/>
      </c>
      <c r="IH30" s="17">
        <f>IF(AND(239&gt;=$B$5,239&lt;=$D$5),1,0)</f>
        <v/>
      </c>
      <c r="II30" s="17">
        <f>IF(AND(240&gt;=$B$5,240&lt;=$D$5),1,0)</f>
        <v/>
      </c>
      <c r="IJ30" s="17">
        <f>IF(AND(241&gt;=$B$5,241&lt;=$D$5),1,0)</f>
        <v/>
      </c>
      <c r="IK30" s="17">
        <f>IF(AND(242&gt;=$B$5,242&lt;=$D$5),1,0)</f>
        <v/>
      </c>
      <c r="IL30" s="17">
        <f>IF(AND(243&gt;=$B$5,243&lt;=$D$5),1,0)</f>
        <v/>
      </c>
      <c r="IM30" s="17">
        <f>IF(AND(244&gt;=$B$5,244&lt;=$D$5),1,0)</f>
        <v/>
      </c>
      <c r="IN30" s="17">
        <f>IF(AND(245&gt;=$B$5,245&lt;=$D$5),1,0)</f>
        <v/>
      </c>
      <c r="IO30" s="17">
        <f>IF(AND(246&gt;=$B$5,246&lt;=$D$5),1,0)</f>
        <v/>
      </c>
      <c r="IP30" s="17">
        <f>IF(AND(247&gt;=$B$5,247&lt;=$D$5),1,0)</f>
        <v/>
      </c>
      <c r="IQ30" s="17">
        <f>IF(AND(248&gt;=$B$5,248&lt;=$D$5),1,0)</f>
        <v/>
      </c>
      <c r="IR30" s="17">
        <f>IF(AND(249&gt;=$B$5,249&lt;=$D$5),1,0)</f>
        <v/>
      </c>
      <c r="IS30" s="17">
        <f>IF(AND(250&gt;=$B$5,250&lt;=$D$5),1,0)</f>
        <v/>
      </c>
      <c r="IT30" s="17">
        <f>IF(AND(251&gt;=$B$5,251&lt;=$D$5),1,0)</f>
        <v/>
      </c>
      <c r="IU30" s="17">
        <f>IF(AND(252&gt;=$B$5,252&lt;=$D$5),1,0)</f>
        <v/>
      </c>
      <c r="IV30" s="17">
        <f>IF(AND(253&gt;=$B$5,253&lt;=$D$5),1,0)</f>
        <v/>
      </c>
      <c r="IW30" s="17">
        <f>IF(AND(254&gt;=$B$5,254&lt;=$D$5),1,0)</f>
        <v/>
      </c>
      <c r="IX30" s="17">
        <f>IF(AND(255&gt;=$B$5,255&lt;=$D$5),1,0)</f>
        <v/>
      </c>
      <c r="IY30" s="17">
        <f>IF(AND(256&gt;=$B$5,256&lt;=$D$5),1,0)</f>
        <v/>
      </c>
      <c r="IZ30" s="17">
        <f>IF(AND(257&gt;=$B$5,257&lt;=$D$5),1,0)</f>
        <v/>
      </c>
      <c r="JA30" s="17">
        <f>IF(AND(258&gt;=$B$5,258&lt;=$D$5),1,0)</f>
        <v/>
      </c>
      <c r="JB30" s="17">
        <f>IF(AND(259&gt;=$B$5,259&lt;=$D$5),1,0)</f>
        <v/>
      </c>
      <c r="JC30" s="17">
        <f>IF(AND(260&gt;=$B$5,260&lt;=$D$5),1,0)</f>
        <v/>
      </c>
      <c r="JD30" s="17">
        <f>IF(AND(261&gt;=$B$5,261&lt;=$D$5),1,0)</f>
        <v/>
      </c>
      <c r="JE30" s="17">
        <f>IF(AND(262&gt;=$B$5,262&lt;=$D$5),1,0)</f>
        <v/>
      </c>
      <c r="JF30" s="17">
        <f>IF(AND(263&gt;=$B$5,263&lt;=$D$5),1,0)</f>
        <v/>
      </c>
      <c r="JG30" s="17">
        <f>IF(AND(264&gt;=$B$5,264&lt;=$D$5),1,0)</f>
        <v/>
      </c>
      <c r="JH30" s="17">
        <f>IF(AND(265&gt;=$B$5,265&lt;=$D$5),1,0)</f>
        <v/>
      </c>
      <c r="JI30" s="17">
        <f>IF(AND(266&gt;=$B$5,266&lt;=$D$5),1,0)</f>
        <v/>
      </c>
      <c r="JJ30" s="17">
        <f>IF(AND(267&gt;=$B$5,267&lt;=$D$5),1,0)</f>
        <v/>
      </c>
      <c r="JK30" s="17">
        <f>IF(AND(268&gt;=$B$5,268&lt;=$D$5),1,0)</f>
        <v/>
      </c>
      <c r="JL30" s="17">
        <f>IF(AND(269&gt;=$B$5,269&lt;=$D$5),1,0)</f>
        <v/>
      </c>
      <c r="JM30" s="17">
        <f>IF(AND(270&gt;=$B$5,270&lt;=$D$5),1,0)</f>
        <v/>
      </c>
      <c r="JN30" s="17">
        <f>IF(AND(271&gt;=$B$5,271&lt;=$D$5),1,0)</f>
        <v/>
      </c>
      <c r="JO30" s="17">
        <f>IF(AND(272&gt;=$B$5,272&lt;=$D$5),1,0)</f>
        <v/>
      </c>
      <c r="JP30" s="17">
        <f>IF(AND(273&gt;=$B$5,273&lt;=$D$5),1,0)</f>
        <v/>
      </c>
      <c r="JQ30" s="17">
        <f>IF(AND(274&gt;=$B$5,274&lt;=$D$5),1,0)</f>
        <v/>
      </c>
      <c r="JR30" s="17">
        <f>IF(AND(275&gt;=$B$5,275&lt;=$D$5),1,0)</f>
        <v/>
      </c>
      <c r="JS30" s="17">
        <f>IF(AND(276&gt;=$B$5,276&lt;=$D$5),1,0)</f>
        <v/>
      </c>
      <c r="JT30" s="17">
        <f>IF(AND(277&gt;=$B$5,277&lt;=$D$5),1,0)</f>
        <v/>
      </c>
      <c r="JU30" s="17">
        <f>IF(AND(278&gt;=$B$5,278&lt;=$D$5),1,0)</f>
        <v/>
      </c>
      <c r="JV30" s="17">
        <f>IF(AND(279&gt;=$B$5,279&lt;=$D$5),1,0)</f>
        <v/>
      </c>
      <c r="JW30" s="17">
        <f>IF(AND(280&gt;=$B$5,280&lt;=$D$5),1,0)</f>
        <v/>
      </c>
      <c r="JX30" s="17">
        <f>IF(AND(281&gt;=$B$5,281&lt;=$D$5),1,0)</f>
        <v/>
      </c>
      <c r="JY30" s="17">
        <f>IF(AND(282&gt;=$B$5,282&lt;=$D$5),1,0)</f>
        <v/>
      </c>
      <c r="JZ30" s="17">
        <f>IF(AND(283&gt;=$B$5,283&lt;=$D$5),1,0)</f>
        <v/>
      </c>
      <c r="KA30" s="17">
        <f>IF(AND(284&gt;=$B$5,284&lt;=$D$5),1,0)</f>
        <v/>
      </c>
      <c r="KB30" s="17">
        <f>IF(AND(285&gt;=$B$5,285&lt;=$D$5),1,0)</f>
        <v/>
      </c>
      <c r="KC30" s="17">
        <f>IF(AND(286&gt;=$B$5,286&lt;=$D$5),1,0)</f>
        <v/>
      </c>
      <c r="KD30" s="17">
        <f>IF(AND(287&gt;=$B$5,287&lt;=$D$5),1,0)</f>
        <v/>
      </c>
      <c r="KE30" s="17">
        <f>IF(AND(288&gt;=$B$5,288&lt;=$D$5),1,0)</f>
        <v/>
      </c>
      <c r="KF30" s="17">
        <f>IF(AND(289&gt;=$B$5,289&lt;=$D$5),1,0)</f>
        <v/>
      </c>
      <c r="KG30" s="17">
        <f>IF(AND(290&gt;=$B$5,290&lt;=$D$5),1,0)</f>
        <v/>
      </c>
      <c r="KH30" s="17">
        <f>IF(AND(291&gt;=$B$5,291&lt;=$D$5),1,0)</f>
        <v/>
      </c>
      <c r="KI30" s="17">
        <f>IF(AND(292&gt;=$B$5,292&lt;=$D$5),1,0)</f>
        <v/>
      </c>
      <c r="KJ30" s="17">
        <f>IF(AND(293&gt;=$B$5,293&lt;=$D$5),1,0)</f>
        <v/>
      </c>
      <c r="KK30" s="17">
        <f>IF(AND(294&gt;=$B$5,294&lt;=$D$5),1,0)</f>
        <v/>
      </c>
      <c r="KL30" s="17">
        <f>IF(AND(295&gt;=$B$5,295&lt;=$D$5),1,0)</f>
        <v/>
      </c>
      <c r="KM30" s="17">
        <f>IF(AND(296&gt;=$B$5,296&lt;=$D$5),1,0)</f>
        <v/>
      </c>
      <c r="KN30" s="17">
        <f>IF(AND(297&gt;=$B$5,297&lt;=$D$5),1,0)</f>
        <v/>
      </c>
      <c r="KO30" s="17">
        <f>IF(AND(298&gt;=$B$5,298&lt;=$D$5),1,0)</f>
        <v/>
      </c>
      <c r="KP30" s="17">
        <f>IF(AND(299&gt;=$B$5,299&lt;=$D$5),1,0)</f>
        <v/>
      </c>
      <c r="KQ30" s="17">
        <f>IF(AND(300&gt;=$B$5,300&lt;=$D$5),1,0)</f>
        <v/>
      </c>
      <c r="KR30" s="17">
        <f>IF(AND(301&gt;=$B$5,301&lt;=$D$5),1,0)</f>
        <v/>
      </c>
      <c r="KS30" s="17">
        <f>IF(AND(302&gt;=$B$5,302&lt;=$D$5),1,0)</f>
        <v/>
      </c>
      <c r="KT30" s="17">
        <f>IF(AND(303&gt;=$B$5,303&lt;=$D$5),1,0)</f>
        <v/>
      </c>
      <c r="KU30" s="17">
        <f>IF(AND(304&gt;=$B$5,304&lt;=$D$5),1,0)</f>
        <v/>
      </c>
      <c r="KV30" s="17">
        <f>IF(AND(305&gt;=$B$5,305&lt;=$D$5),1,0)</f>
        <v/>
      </c>
      <c r="KW30" s="17">
        <f>IF(AND(306&gt;=$B$5,306&lt;=$D$5),1,0)</f>
        <v/>
      </c>
      <c r="KX30" s="17">
        <f>IF(AND(307&gt;=$B$5,307&lt;=$D$5),1,0)</f>
        <v/>
      </c>
      <c r="KY30" s="17">
        <f>IF(AND(308&gt;=$B$5,308&lt;=$D$5),1,0)</f>
        <v/>
      </c>
      <c r="KZ30" s="17">
        <f>IF(AND(309&gt;=$B$5,309&lt;=$D$5),1,0)</f>
        <v/>
      </c>
      <c r="LA30" s="17">
        <f>IF(AND(310&gt;=$B$5,310&lt;=$D$5),1,0)</f>
        <v/>
      </c>
      <c r="LB30" s="17">
        <f>IF(AND(311&gt;=$B$5,311&lt;=$D$5),1,0)</f>
        <v/>
      </c>
      <c r="LC30" s="17">
        <f>IF(AND(312&gt;=$B$5,312&lt;=$D$5),1,0)</f>
        <v/>
      </c>
      <c r="LD30" s="17">
        <f>IF(AND(313&gt;=$B$5,313&lt;=$D$5),1,0)</f>
        <v/>
      </c>
      <c r="LE30" s="17">
        <f>IF(AND(314&gt;=$B$5,314&lt;=$D$5),1,0)</f>
        <v/>
      </c>
      <c r="LF30" s="17">
        <f>IF(AND(315&gt;=$B$5,315&lt;=$D$5),1,0)</f>
        <v/>
      </c>
      <c r="LG30" s="17">
        <f>IF(AND(316&gt;=$B$5,316&lt;=$D$5),1,0)</f>
        <v/>
      </c>
      <c r="LH30" s="17">
        <f>IF(AND(317&gt;=$B$5,317&lt;=$D$5),1,0)</f>
        <v/>
      </c>
      <c r="LI30" s="17">
        <f>IF(AND(318&gt;=$B$5,318&lt;=$D$5),1,0)</f>
        <v/>
      </c>
      <c r="LJ30" s="17">
        <f>IF(AND(319&gt;=$B$5,319&lt;=$D$5),1,0)</f>
        <v/>
      </c>
      <c r="LK30" s="17">
        <f>IF(AND(320&gt;=$B$5,320&lt;=$D$5),1,0)</f>
        <v/>
      </c>
      <c r="LL30" s="17">
        <f>IF(AND(321&gt;=$B$5,321&lt;=$D$5),1,0)</f>
        <v/>
      </c>
      <c r="LM30" s="17">
        <f>IF(AND(322&gt;=$B$5,322&lt;=$D$5),1,0)</f>
        <v/>
      </c>
      <c r="LN30" s="17">
        <f>IF(AND(323&gt;=$B$5,323&lt;=$D$5),1,0)</f>
        <v/>
      </c>
      <c r="LO30" s="17">
        <f>IF(AND(324&gt;=$B$5,324&lt;=$D$5),1,0)</f>
        <v/>
      </c>
      <c r="LP30" s="17">
        <f>IF(AND(325&gt;=$B$5,325&lt;=$D$5),1,0)</f>
        <v/>
      </c>
      <c r="LQ30" s="17">
        <f>IF(AND(326&gt;=$B$5,326&lt;=$D$5),1,0)</f>
        <v/>
      </c>
      <c r="LR30" s="17">
        <f>IF(AND(327&gt;=$B$5,327&lt;=$D$5),1,0)</f>
        <v/>
      </c>
      <c r="LS30" s="17">
        <f>IF(AND(328&gt;=$B$5,328&lt;=$D$5),1,0)</f>
        <v/>
      </c>
      <c r="LT30" s="17">
        <f>IF(AND(329&gt;=$B$5,329&lt;=$D$5),1,0)</f>
        <v/>
      </c>
      <c r="LU30" s="17">
        <f>IF(AND(330&gt;=$B$5,330&lt;=$D$5),1,0)</f>
        <v/>
      </c>
      <c r="LV30" s="17">
        <f>IF(AND(331&gt;=$B$5,331&lt;=$D$5),1,0)</f>
        <v/>
      </c>
      <c r="LW30" s="17">
        <f>IF(AND(332&gt;=$B$5,332&lt;=$D$5),1,0)</f>
        <v/>
      </c>
      <c r="LX30" s="17">
        <f>IF(AND(333&gt;=$B$5,333&lt;=$D$5),1,0)</f>
        <v/>
      </c>
      <c r="LY30" s="17">
        <f>IF(AND(334&gt;=$B$5,334&lt;=$D$5),1,0)</f>
        <v/>
      </c>
      <c r="LZ30" s="17">
        <f>IF(AND(335&gt;=$B$5,335&lt;=$D$5),1,0)</f>
        <v/>
      </c>
      <c r="MA30" s="17">
        <f>IF(AND(336&gt;=$B$5,336&lt;=$D$5),1,0)</f>
        <v/>
      </c>
      <c r="MB30" s="17">
        <f>IF(AND(337&gt;=$B$5,337&lt;=$D$5),1,0)</f>
        <v/>
      </c>
      <c r="MC30" s="17">
        <f>IF(AND(338&gt;=$B$5,338&lt;=$D$5),1,0)</f>
        <v/>
      </c>
      <c r="MD30" s="17">
        <f>IF(AND(339&gt;=$B$5,339&lt;=$D$5),1,0)</f>
        <v/>
      </c>
      <c r="ME30" s="17">
        <f>IF(AND(340&gt;=$B$5,340&lt;=$D$5),1,0)</f>
        <v/>
      </c>
      <c r="MF30" s="17">
        <f>IF(AND(341&gt;=$B$5,341&lt;=$D$5),1,0)</f>
        <v/>
      </c>
      <c r="MG30" s="17">
        <f>IF(AND(342&gt;=$B$5,342&lt;=$D$5),1,0)</f>
        <v/>
      </c>
      <c r="MH30" s="17">
        <f>IF(AND(343&gt;=$B$5,343&lt;=$D$5),1,0)</f>
        <v/>
      </c>
      <c r="MI30" s="17">
        <f>IF(AND(344&gt;=$B$5,344&lt;=$D$5),1,0)</f>
        <v/>
      </c>
      <c r="MJ30" s="17">
        <f>IF(AND(345&gt;=$B$5,345&lt;=$D$5),1,0)</f>
        <v/>
      </c>
      <c r="MK30" s="17">
        <f>IF(AND(346&gt;=$B$5,346&lt;=$D$5),1,0)</f>
        <v/>
      </c>
      <c r="ML30" s="17">
        <f>IF(AND(347&gt;=$B$5,347&lt;=$D$5),1,0)</f>
        <v/>
      </c>
      <c r="MM30" s="17">
        <f>IF(AND(348&gt;=$B$5,348&lt;=$D$5),1,0)</f>
        <v/>
      </c>
      <c r="MN30" s="17">
        <f>IF(AND(349&gt;=$B$5,349&lt;=$D$5),1,0)</f>
        <v/>
      </c>
      <c r="MO30" s="17">
        <f>IF(AND(350&gt;=$B$5,350&lt;=$D$5),1,0)</f>
        <v/>
      </c>
      <c r="MP30" s="17">
        <f>IF(AND(351&gt;=$B$5,351&lt;=$D$5),1,0)</f>
        <v/>
      </c>
      <c r="MQ30" s="17">
        <f>IF(AND(352&gt;=$B$5,352&lt;=$D$5),1,0)</f>
        <v/>
      </c>
      <c r="MR30" s="17">
        <f>IF(AND(353&gt;=$B$5,353&lt;=$D$5),1,0)</f>
        <v/>
      </c>
      <c r="MS30" s="17">
        <f>IF(AND(354&gt;=$B$5,354&lt;=$D$5),1,0)</f>
        <v/>
      </c>
      <c r="MT30" s="17">
        <f>IF(AND(355&gt;=$B$5,355&lt;=$D$5),1,0)</f>
        <v/>
      </c>
      <c r="MU30" s="17">
        <f>IF(AND(356&gt;=$B$5,356&lt;=$D$5),1,0)</f>
        <v/>
      </c>
      <c r="MV30" s="17">
        <f>IF(AND(357&gt;=$B$5,357&lt;=$D$5),1,0)</f>
        <v/>
      </c>
      <c r="MW30" s="17">
        <f>IF(AND(358&gt;=$B$5,358&lt;=$D$5),1,0)</f>
        <v/>
      </c>
      <c r="MX30" s="17">
        <f>IF(AND(359&gt;=$B$5,359&lt;=$D$5),1,0)</f>
        <v/>
      </c>
      <c r="MY30" s="17">
        <f>IF(AND(360&gt;=$B$5,360&lt;=$D$5),1,0)</f>
        <v/>
      </c>
      <c r="MZ30" s="17">
        <f>IF(AND(361&gt;=$B$5,361&lt;=$D$5),1,0)</f>
        <v/>
      </c>
      <c r="NA30" s="17">
        <f>IF(AND(362&gt;=$B$5,362&lt;=$D$5),1,0)</f>
        <v/>
      </c>
      <c r="NB30" s="17">
        <f>IF(AND(363&gt;=$B$5,363&lt;=$D$5),1,0)</f>
        <v/>
      </c>
      <c r="NC30" s="17">
        <f>IF(AND(364&gt;=$B$5,364&lt;=$D$5),1,0)</f>
        <v/>
      </c>
      <c r="ND30" s="17">
        <f>IF(AND(365&gt;=$B$5,365&lt;=$D$5),1,0)</f>
        <v/>
      </c>
      <c r="NE30" s="17">
        <f>IF(AND(366&gt;=$B$5,366&lt;=$D$5),1,0)</f>
        <v/>
      </c>
      <c r="NF30" s="17">
        <f>IF(AND(367&gt;=$B$5,367&lt;=$D$5),1,0)</f>
        <v/>
      </c>
      <c r="NG30" s="17">
        <f>IF(AND(368&gt;=$B$5,368&lt;=$D$5),1,0)</f>
        <v/>
      </c>
      <c r="NH30" s="17">
        <f>IF(AND(369&gt;=$B$5,369&lt;=$D$5),1,0)</f>
        <v/>
      </c>
      <c r="NI30" s="17">
        <f>IF(AND(370&gt;=$B$5,370&lt;=$D$5),1,0)</f>
        <v/>
      </c>
      <c r="NJ30" s="17">
        <f>IF(AND(371&gt;=$B$5,371&lt;=$D$5),1,0)</f>
        <v/>
      </c>
      <c r="NK30" s="17">
        <f>IF(AND(372&gt;=$B$5,372&lt;=$D$5),1,0)</f>
        <v/>
      </c>
    </row>
    <row r="31">
      <c r="A31" s="5" t="inlineStr">
        <is>
          <t>Flag: Entitlement</t>
        </is>
      </c>
      <c r="C31" s="40" t="n"/>
      <c r="D31" s="17">
        <f>IF(AND(1&gt;=$B$6,1&lt;=$D$6),1,0)</f>
        <v/>
      </c>
      <c r="E31" s="17">
        <f>IF(AND(2&gt;=$B$6,2&lt;=$D$6),1,0)</f>
        <v/>
      </c>
      <c r="F31" s="17">
        <f>IF(AND(3&gt;=$B$6,3&lt;=$D$6),1,0)</f>
        <v/>
      </c>
      <c r="G31" s="17">
        <f>IF(AND(4&gt;=$B$6,4&lt;=$D$6),1,0)</f>
        <v/>
      </c>
      <c r="H31" s="17">
        <f>IF(AND(5&gt;=$B$6,5&lt;=$D$6),1,0)</f>
        <v/>
      </c>
      <c r="I31" s="17">
        <f>IF(AND(6&gt;=$B$6,6&lt;=$D$6),1,0)</f>
        <v/>
      </c>
      <c r="J31" s="17">
        <f>IF(AND(7&gt;=$B$6,7&lt;=$D$6),1,0)</f>
        <v/>
      </c>
      <c r="K31" s="17">
        <f>IF(AND(8&gt;=$B$6,8&lt;=$D$6),1,0)</f>
        <v/>
      </c>
      <c r="L31" s="17">
        <f>IF(AND(9&gt;=$B$6,9&lt;=$D$6),1,0)</f>
        <v/>
      </c>
      <c r="M31" s="17">
        <f>IF(AND(10&gt;=$B$6,10&lt;=$D$6),1,0)</f>
        <v/>
      </c>
      <c r="N31" s="17">
        <f>IF(AND(11&gt;=$B$6,11&lt;=$D$6),1,0)</f>
        <v/>
      </c>
      <c r="O31" s="17">
        <f>IF(AND(12&gt;=$B$6,12&lt;=$D$6),1,0)</f>
        <v/>
      </c>
      <c r="P31" s="17">
        <f>IF(AND(13&gt;=$B$6,13&lt;=$D$6),1,0)</f>
        <v/>
      </c>
      <c r="Q31" s="17">
        <f>IF(AND(14&gt;=$B$6,14&lt;=$D$6),1,0)</f>
        <v/>
      </c>
      <c r="R31" s="17">
        <f>IF(AND(15&gt;=$B$6,15&lt;=$D$6),1,0)</f>
        <v/>
      </c>
      <c r="S31" s="17">
        <f>IF(AND(16&gt;=$B$6,16&lt;=$D$6),1,0)</f>
        <v/>
      </c>
      <c r="T31" s="17">
        <f>IF(AND(17&gt;=$B$6,17&lt;=$D$6),1,0)</f>
        <v/>
      </c>
      <c r="U31" s="17">
        <f>IF(AND(18&gt;=$B$6,18&lt;=$D$6),1,0)</f>
        <v/>
      </c>
      <c r="V31" s="17">
        <f>IF(AND(19&gt;=$B$6,19&lt;=$D$6),1,0)</f>
        <v/>
      </c>
      <c r="W31" s="17">
        <f>IF(AND(20&gt;=$B$6,20&lt;=$D$6),1,0)</f>
        <v/>
      </c>
      <c r="X31" s="17">
        <f>IF(AND(21&gt;=$B$6,21&lt;=$D$6),1,0)</f>
        <v/>
      </c>
      <c r="Y31" s="17">
        <f>IF(AND(22&gt;=$B$6,22&lt;=$D$6),1,0)</f>
        <v/>
      </c>
      <c r="Z31" s="17">
        <f>IF(AND(23&gt;=$B$6,23&lt;=$D$6),1,0)</f>
        <v/>
      </c>
      <c r="AA31" s="17">
        <f>IF(AND(24&gt;=$B$6,24&lt;=$D$6),1,0)</f>
        <v/>
      </c>
      <c r="AB31" s="17">
        <f>IF(AND(25&gt;=$B$6,25&lt;=$D$6),1,0)</f>
        <v/>
      </c>
      <c r="AC31" s="17">
        <f>IF(AND(26&gt;=$B$6,26&lt;=$D$6),1,0)</f>
        <v/>
      </c>
      <c r="AD31" s="17">
        <f>IF(AND(27&gt;=$B$6,27&lt;=$D$6),1,0)</f>
        <v/>
      </c>
      <c r="AE31" s="17">
        <f>IF(AND(28&gt;=$B$6,28&lt;=$D$6),1,0)</f>
        <v/>
      </c>
      <c r="AF31" s="17">
        <f>IF(AND(29&gt;=$B$6,29&lt;=$D$6),1,0)</f>
        <v/>
      </c>
      <c r="AG31" s="17">
        <f>IF(AND(30&gt;=$B$6,30&lt;=$D$6),1,0)</f>
        <v/>
      </c>
      <c r="AH31" s="17">
        <f>IF(AND(31&gt;=$B$6,31&lt;=$D$6),1,0)</f>
        <v/>
      </c>
      <c r="AI31" s="17">
        <f>IF(AND(32&gt;=$B$6,32&lt;=$D$6),1,0)</f>
        <v/>
      </c>
      <c r="AJ31" s="17">
        <f>IF(AND(33&gt;=$B$6,33&lt;=$D$6),1,0)</f>
        <v/>
      </c>
      <c r="AK31" s="17">
        <f>IF(AND(34&gt;=$B$6,34&lt;=$D$6),1,0)</f>
        <v/>
      </c>
      <c r="AL31" s="17">
        <f>IF(AND(35&gt;=$B$6,35&lt;=$D$6),1,0)</f>
        <v/>
      </c>
      <c r="AM31" s="17">
        <f>IF(AND(36&gt;=$B$6,36&lt;=$D$6),1,0)</f>
        <v/>
      </c>
      <c r="AN31" s="17">
        <f>IF(AND(37&gt;=$B$6,37&lt;=$D$6),1,0)</f>
        <v/>
      </c>
      <c r="AO31" s="17">
        <f>IF(AND(38&gt;=$B$6,38&lt;=$D$6),1,0)</f>
        <v/>
      </c>
      <c r="AP31" s="17">
        <f>IF(AND(39&gt;=$B$6,39&lt;=$D$6),1,0)</f>
        <v/>
      </c>
      <c r="AQ31" s="17">
        <f>IF(AND(40&gt;=$B$6,40&lt;=$D$6),1,0)</f>
        <v/>
      </c>
      <c r="AR31" s="17">
        <f>IF(AND(41&gt;=$B$6,41&lt;=$D$6),1,0)</f>
        <v/>
      </c>
      <c r="AS31" s="17">
        <f>IF(AND(42&gt;=$B$6,42&lt;=$D$6),1,0)</f>
        <v/>
      </c>
      <c r="AT31" s="17">
        <f>IF(AND(43&gt;=$B$6,43&lt;=$D$6),1,0)</f>
        <v/>
      </c>
      <c r="AU31" s="17">
        <f>IF(AND(44&gt;=$B$6,44&lt;=$D$6),1,0)</f>
        <v/>
      </c>
      <c r="AV31" s="17">
        <f>IF(AND(45&gt;=$B$6,45&lt;=$D$6),1,0)</f>
        <v/>
      </c>
      <c r="AW31" s="17">
        <f>IF(AND(46&gt;=$B$6,46&lt;=$D$6),1,0)</f>
        <v/>
      </c>
      <c r="AX31" s="17">
        <f>IF(AND(47&gt;=$B$6,47&lt;=$D$6),1,0)</f>
        <v/>
      </c>
      <c r="AY31" s="17">
        <f>IF(AND(48&gt;=$B$6,48&lt;=$D$6),1,0)</f>
        <v/>
      </c>
      <c r="AZ31" s="17">
        <f>IF(AND(49&gt;=$B$6,49&lt;=$D$6),1,0)</f>
        <v/>
      </c>
      <c r="BA31" s="17">
        <f>IF(AND(50&gt;=$B$6,50&lt;=$D$6),1,0)</f>
        <v/>
      </c>
      <c r="BB31" s="17">
        <f>IF(AND(51&gt;=$B$6,51&lt;=$D$6),1,0)</f>
        <v/>
      </c>
      <c r="BC31" s="17">
        <f>IF(AND(52&gt;=$B$6,52&lt;=$D$6),1,0)</f>
        <v/>
      </c>
      <c r="BD31" s="17">
        <f>IF(AND(53&gt;=$B$6,53&lt;=$D$6),1,0)</f>
        <v/>
      </c>
      <c r="BE31" s="17">
        <f>IF(AND(54&gt;=$B$6,54&lt;=$D$6),1,0)</f>
        <v/>
      </c>
      <c r="BF31" s="17">
        <f>IF(AND(55&gt;=$B$6,55&lt;=$D$6),1,0)</f>
        <v/>
      </c>
      <c r="BG31" s="17">
        <f>IF(AND(56&gt;=$B$6,56&lt;=$D$6),1,0)</f>
        <v/>
      </c>
      <c r="BH31" s="17">
        <f>IF(AND(57&gt;=$B$6,57&lt;=$D$6),1,0)</f>
        <v/>
      </c>
      <c r="BI31" s="17">
        <f>IF(AND(58&gt;=$B$6,58&lt;=$D$6),1,0)</f>
        <v/>
      </c>
      <c r="BJ31" s="17">
        <f>IF(AND(59&gt;=$B$6,59&lt;=$D$6),1,0)</f>
        <v/>
      </c>
      <c r="BK31" s="17">
        <f>IF(AND(60&gt;=$B$6,60&lt;=$D$6),1,0)</f>
        <v/>
      </c>
      <c r="BL31" s="17">
        <f>IF(AND(61&gt;=$B$6,61&lt;=$D$6),1,0)</f>
        <v/>
      </c>
      <c r="BM31" s="17">
        <f>IF(AND(62&gt;=$B$6,62&lt;=$D$6),1,0)</f>
        <v/>
      </c>
      <c r="BN31" s="17">
        <f>IF(AND(63&gt;=$B$6,63&lt;=$D$6),1,0)</f>
        <v/>
      </c>
      <c r="BO31" s="17">
        <f>IF(AND(64&gt;=$B$6,64&lt;=$D$6),1,0)</f>
        <v/>
      </c>
      <c r="BP31" s="17">
        <f>IF(AND(65&gt;=$B$6,65&lt;=$D$6),1,0)</f>
        <v/>
      </c>
      <c r="BQ31" s="17">
        <f>IF(AND(66&gt;=$B$6,66&lt;=$D$6),1,0)</f>
        <v/>
      </c>
      <c r="BR31" s="17">
        <f>IF(AND(67&gt;=$B$6,67&lt;=$D$6),1,0)</f>
        <v/>
      </c>
      <c r="BS31" s="17">
        <f>IF(AND(68&gt;=$B$6,68&lt;=$D$6),1,0)</f>
        <v/>
      </c>
      <c r="BT31" s="17">
        <f>IF(AND(69&gt;=$B$6,69&lt;=$D$6),1,0)</f>
        <v/>
      </c>
      <c r="BU31" s="17">
        <f>IF(AND(70&gt;=$B$6,70&lt;=$D$6),1,0)</f>
        <v/>
      </c>
      <c r="BV31" s="17">
        <f>IF(AND(71&gt;=$B$6,71&lt;=$D$6),1,0)</f>
        <v/>
      </c>
      <c r="BW31" s="17">
        <f>IF(AND(72&gt;=$B$6,72&lt;=$D$6),1,0)</f>
        <v/>
      </c>
      <c r="BX31" s="17">
        <f>IF(AND(73&gt;=$B$6,73&lt;=$D$6),1,0)</f>
        <v/>
      </c>
      <c r="BY31" s="17">
        <f>IF(AND(74&gt;=$B$6,74&lt;=$D$6),1,0)</f>
        <v/>
      </c>
      <c r="BZ31" s="17">
        <f>IF(AND(75&gt;=$B$6,75&lt;=$D$6),1,0)</f>
        <v/>
      </c>
      <c r="CA31" s="17">
        <f>IF(AND(76&gt;=$B$6,76&lt;=$D$6),1,0)</f>
        <v/>
      </c>
      <c r="CB31" s="17">
        <f>IF(AND(77&gt;=$B$6,77&lt;=$D$6),1,0)</f>
        <v/>
      </c>
      <c r="CC31" s="17">
        <f>IF(AND(78&gt;=$B$6,78&lt;=$D$6),1,0)</f>
        <v/>
      </c>
      <c r="CD31" s="17">
        <f>IF(AND(79&gt;=$B$6,79&lt;=$D$6),1,0)</f>
        <v/>
      </c>
      <c r="CE31" s="17">
        <f>IF(AND(80&gt;=$B$6,80&lt;=$D$6),1,0)</f>
        <v/>
      </c>
      <c r="CF31" s="17">
        <f>IF(AND(81&gt;=$B$6,81&lt;=$D$6),1,0)</f>
        <v/>
      </c>
      <c r="CG31" s="17">
        <f>IF(AND(82&gt;=$B$6,82&lt;=$D$6),1,0)</f>
        <v/>
      </c>
      <c r="CH31" s="17">
        <f>IF(AND(83&gt;=$B$6,83&lt;=$D$6),1,0)</f>
        <v/>
      </c>
      <c r="CI31" s="17">
        <f>IF(AND(84&gt;=$B$6,84&lt;=$D$6),1,0)</f>
        <v/>
      </c>
      <c r="CJ31" s="17">
        <f>IF(AND(85&gt;=$B$6,85&lt;=$D$6),1,0)</f>
        <v/>
      </c>
      <c r="CK31" s="17">
        <f>IF(AND(86&gt;=$B$6,86&lt;=$D$6),1,0)</f>
        <v/>
      </c>
      <c r="CL31" s="17">
        <f>IF(AND(87&gt;=$B$6,87&lt;=$D$6),1,0)</f>
        <v/>
      </c>
      <c r="CM31" s="17">
        <f>IF(AND(88&gt;=$B$6,88&lt;=$D$6),1,0)</f>
        <v/>
      </c>
      <c r="CN31" s="17">
        <f>IF(AND(89&gt;=$B$6,89&lt;=$D$6),1,0)</f>
        <v/>
      </c>
      <c r="CO31" s="17">
        <f>IF(AND(90&gt;=$B$6,90&lt;=$D$6),1,0)</f>
        <v/>
      </c>
      <c r="CP31" s="17">
        <f>IF(AND(91&gt;=$B$6,91&lt;=$D$6),1,0)</f>
        <v/>
      </c>
      <c r="CQ31" s="17">
        <f>IF(AND(92&gt;=$B$6,92&lt;=$D$6),1,0)</f>
        <v/>
      </c>
      <c r="CR31" s="17">
        <f>IF(AND(93&gt;=$B$6,93&lt;=$D$6),1,0)</f>
        <v/>
      </c>
      <c r="CS31" s="17">
        <f>IF(AND(94&gt;=$B$6,94&lt;=$D$6),1,0)</f>
        <v/>
      </c>
      <c r="CT31" s="17">
        <f>IF(AND(95&gt;=$B$6,95&lt;=$D$6),1,0)</f>
        <v/>
      </c>
      <c r="CU31" s="17">
        <f>IF(AND(96&gt;=$B$6,96&lt;=$D$6),1,0)</f>
        <v/>
      </c>
      <c r="CV31" s="17">
        <f>IF(AND(97&gt;=$B$6,97&lt;=$D$6),1,0)</f>
        <v/>
      </c>
      <c r="CW31" s="17">
        <f>IF(AND(98&gt;=$B$6,98&lt;=$D$6),1,0)</f>
        <v/>
      </c>
      <c r="CX31" s="17">
        <f>IF(AND(99&gt;=$B$6,99&lt;=$D$6),1,0)</f>
        <v/>
      </c>
      <c r="CY31" s="17">
        <f>IF(AND(100&gt;=$B$6,100&lt;=$D$6),1,0)</f>
        <v/>
      </c>
      <c r="CZ31" s="17">
        <f>IF(AND(101&gt;=$B$6,101&lt;=$D$6),1,0)</f>
        <v/>
      </c>
      <c r="DA31" s="17">
        <f>IF(AND(102&gt;=$B$6,102&lt;=$D$6),1,0)</f>
        <v/>
      </c>
      <c r="DB31" s="17">
        <f>IF(AND(103&gt;=$B$6,103&lt;=$D$6),1,0)</f>
        <v/>
      </c>
      <c r="DC31" s="17">
        <f>IF(AND(104&gt;=$B$6,104&lt;=$D$6),1,0)</f>
        <v/>
      </c>
      <c r="DD31" s="17">
        <f>IF(AND(105&gt;=$B$6,105&lt;=$D$6),1,0)</f>
        <v/>
      </c>
      <c r="DE31" s="17">
        <f>IF(AND(106&gt;=$B$6,106&lt;=$D$6),1,0)</f>
        <v/>
      </c>
      <c r="DF31" s="17">
        <f>IF(AND(107&gt;=$B$6,107&lt;=$D$6),1,0)</f>
        <v/>
      </c>
      <c r="DG31" s="17">
        <f>IF(AND(108&gt;=$B$6,108&lt;=$D$6),1,0)</f>
        <v/>
      </c>
      <c r="DH31" s="17">
        <f>IF(AND(109&gt;=$B$6,109&lt;=$D$6),1,0)</f>
        <v/>
      </c>
      <c r="DI31" s="17">
        <f>IF(AND(110&gt;=$B$6,110&lt;=$D$6),1,0)</f>
        <v/>
      </c>
      <c r="DJ31" s="17">
        <f>IF(AND(111&gt;=$B$6,111&lt;=$D$6),1,0)</f>
        <v/>
      </c>
      <c r="DK31" s="17">
        <f>IF(AND(112&gt;=$B$6,112&lt;=$D$6),1,0)</f>
        <v/>
      </c>
      <c r="DL31" s="17">
        <f>IF(AND(113&gt;=$B$6,113&lt;=$D$6),1,0)</f>
        <v/>
      </c>
      <c r="DM31" s="17">
        <f>IF(AND(114&gt;=$B$6,114&lt;=$D$6),1,0)</f>
        <v/>
      </c>
      <c r="DN31" s="17">
        <f>IF(AND(115&gt;=$B$6,115&lt;=$D$6),1,0)</f>
        <v/>
      </c>
      <c r="DO31" s="17">
        <f>IF(AND(116&gt;=$B$6,116&lt;=$D$6),1,0)</f>
        <v/>
      </c>
      <c r="DP31" s="17">
        <f>IF(AND(117&gt;=$B$6,117&lt;=$D$6),1,0)</f>
        <v/>
      </c>
      <c r="DQ31" s="17">
        <f>IF(AND(118&gt;=$B$6,118&lt;=$D$6),1,0)</f>
        <v/>
      </c>
      <c r="DR31" s="17">
        <f>IF(AND(119&gt;=$B$6,119&lt;=$D$6),1,0)</f>
        <v/>
      </c>
      <c r="DS31" s="17">
        <f>IF(AND(120&gt;=$B$6,120&lt;=$D$6),1,0)</f>
        <v/>
      </c>
      <c r="DT31" s="17">
        <f>IF(AND(121&gt;=$B$6,121&lt;=$D$6),1,0)</f>
        <v/>
      </c>
      <c r="DU31" s="17">
        <f>IF(AND(122&gt;=$B$6,122&lt;=$D$6),1,0)</f>
        <v/>
      </c>
      <c r="DV31" s="17">
        <f>IF(AND(123&gt;=$B$6,123&lt;=$D$6),1,0)</f>
        <v/>
      </c>
      <c r="DW31" s="17">
        <f>IF(AND(124&gt;=$B$6,124&lt;=$D$6),1,0)</f>
        <v/>
      </c>
      <c r="DX31" s="17">
        <f>IF(AND(125&gt;=$B$6,125&lt;=$D$6),1,0)</f>
        <v/>
      </c>
      <c r="DY31" s="17">
        <f>IF(AND(126&gt;=$B$6,126&lt;=$D$6),1,0)</f>
        <v/>
      </c>
      <c r="DZ31" s="17">
        <f>IF(AND(127&gt;=$B$6,127&lt;=$D$6),1,0)</f>
        <v/>
      </c>
      <c r="EA31" s="17">
        <f>IF(AND(128&gt;=$B$6,128&lt;=$D$6),1,0)</f>
        <v/>
      </c>
      <c r="EB31" s="17">
        <f>IF(AND(129&gt;=$B$6,129&lt;=$D$6),1,0)</f>
        <v/>
      </c>
      <c r="EC31" s="17">
        <f>IF(AND(130&gt;=$B$6,130&lt;=$D$6),1,0)</f>
        <v/>
      </c>
      <c r="ED31" s="17">
        <f>IF(AND(131&gt;=$B$6,131&lt;=$D$6),1,0)</f>
        <v/>
      </c>
      <c r="EE31" s="17">
        <f>IF(AND(132&gt;=$B$6,132&lt;=$D$6),1,0)</f>
        <v/>
      </c>
      <c r="EF31" s="17">
        <f>IF(AND(133&gt;=$B$6,133&lt;=$D$6),1,0)</f>
        <v/>
      </c>
      <c r="EG31" s="17">
        <f>IF(AND(134&gt;=$B$6,134&lt;=$D$6),1,0)</f>
        <v/>
      </c>
      <c r="EH31" s="17">
        <f>IF(AND(135&gt;=$B$6,135&lt;=$D$6),1,0)</f>
        <v/>
      </c>
      <c r="EI31" s="17">
        <f>IF(AND(136&gt;=$B$6,136&lt;=$D$6),1,0)</f>
        <v/>
      </c>
      <c r="EJ31" s="17">
        <f>IF(AND(137&gt;=$B$6,137&lt;=$D$6),1,0)</f>
        <v/>
      </c>
      <c r="EK31" s="17">
        <f>IF(AND(138&gt;=$B$6,138&lt;=$D$6),1,0)</f>
        <v/>
      </c>
      <c r="EL31" s="17">
        <f>IF(AND(139&gt;=$B$6,139&lt;=$D$6),1,0)</f>
        <v/>
      </c>
      <c r="EM31" s="17">
        <f>IF(AND(140&gt;=$B$6,140&lt;=$D$6),1,0)</f>
        <v/>
      </c>
      <c r="EN31" s="17">
        <f>IF(AND(141&gt;=$B$6,141&lt;=$D$6),1,0)</f>
        <v/>
      </c>
      <c r="EO31" s="17">
        <f>IF(AND(142&gt;=$B$6,142&lt;=$D$6),1,0)</f>
        <v/>
      </c>
      <c r="EP31" s="17">
        <f>IF(AND(143&gt;=$B$6,143&lt;=$D$6),1,0)</f>
        <v/>
      </c>
      <c r="EQ31" s="17">
        <f>IF(AND(144&gt;=$B$6,144&lt;=$D$6),1,0)</f>
        <v/>
      </c>
      <c r="ER31" s="17">
        <f>IF(AND(145&gt;=$B$6,145&lt;=$D$6),1,0)</f>
        <v/>
      </c>
      <c r="ES31" s="17">
        <f>IF(AND(146&gt;=$B$6,146&lt;=$D$6),1,0)</f>
        <v/>
      </c>
      <c r="ET31" s="17">
        <f>IF(AND(147&gt;=$B$6,147&lt;=$D$6),1,0)</f>
        <v/>
      </c>
      <c r="EU31" s="17">
        <f>IF(AND(148&gt;=$B$6,148&lt;=$D$6),1,0)</f>
        <v/>
      </c>
      <c r="EV31" s="17">
        <f>IF(AND(149&gt;=$B$6,149&lt;=$D$6),1,0)</f>
        <v/>
      </c>
      <c r="EW31" s="17">
        <f>IF(AND(150&gt;=$B$6,150&lt;=$D$6),1,0)</f>
        <v/>
      </c>
      <c r="EX31" s="17">
        <f>IF(AND(151&gt;=$B$6,151&lt;=$D$6),1,0)</f>
        <v/>
      </c>
      <c r="EY31" s="17">
        <f>IF(AND(152&gt;=$B$6,152&lt;=$D$6),1,0)</f>
        <v/>
      </c>
      <c r="EZ31" s="17">
        <f>IF(AND(153&gt;=$B$6,153&lt;=$D$6),1,0)</f>
        <v/>
      </c>
      <c r="FA31" s="17">
        <f>IF(AND(154&gt;=$B$6,154&lt;=$D$6),1,0)</f>
        <v/>
      </c>
      <c r="FB31" s="17">
        <f>IF(AND(155&gt;=$B$6,155&lt;=$D$6),1,0)</f>
        <v/>
      </c>
      <c r="FC31" s="17">
        <f>IF(AND(156&gt;=$B$6,156&lt;=$D$6),1,0)</f>
        <v/>
      </c>
      <c r="FD31" s="17">
        <f>IF(AND(157&gt;=$B$6,157&lt;=$D$6),1,0)</f>
        <v/>
      </c>
      <c r="FE31" s="17">
        <f>IF(AND(158&gt;=$B$6,158&lt;=$D$6),1,0)</f>
        <v/>
      </c>
      <c r="FF31" s="17">
        <f>IF(AND(159&gt;=$B$6,159&lt;=$D$6),1,0)</f>
        <v/>
      </c>
      <c r="FG31" s="17">
        <f>IF(AND(160&gt;=$B$6,160&lt;=$D$6),1,0)</f>
        <v/>
      </c>
      <c r="FH31" s="17">
        <f>IF(AND(161&gt;=$B$6,161&lt;=$D$6),1,0)</f>
        <v/>
      </c>
      <c r="FI31" s="17">
        <f>IF(AND(162&gt;=$B$6,162&lt;=$D$6),1,0)</f>
        <v/>
      </c>
      <c r="FJ31" s="17">
        <f>IF(AND(163&gt;=$B$6,163&lt;=$D$6),1,0)</f>
        <v/>
      </c>
      <c r="FK31" s="17">
        <f>IF(AND(164&gt;=$B$6,164&lt;=$D$6),1,0)</f>
        <v/>
      </c>
      <c r="FL31" s="17">
        <f>IF(AND(165&gt;=$B$6,165&lt;=$D$6),1,0)</f>
        <v/>
      </c>
      <c r="FM31" s="17">
        <f>IF(AND(166&gt;=$B$6,166&lt;=$D$6),1,0)</f>
        <v/>
      </c>
      <c r="FN31" s="17">
        <f>IF(AND(167&gt;=$B$6,167&lt;=$D$6),1,0)</f>
        <v/>
      </c>
      <c r="FO31" s="17">
        <f>IF(AND(168&gt;=$B$6,168&lt;=$D$6),1,0)</f>
        <v/>
      </c>
      <c r="FP31" s="17">
        <f>IF(AND(169&gt;=$B$6,169&lt;=$D$6),1,0)</f>
        <v/>
      </c>
      <c r="FQ31" s="17">
        <f>IF(AND(170&gt;=$B$6,170&lt;=$D$6),1,0)</f>
        <v/>
      </c>
      <c r="FR31" s="17">
        <f>IF(AND(171&gt;=$B$6,171&lt;=$D$6),1,0)</f>
        <v/>
      </c>
      <c r="FS31" s="17">
        <f>IF(AND(172&gt;=$B$6,172&lt;=$D$6),1,0)</f>
        <v/>
      </c>
      <c r="FT31" s="17">
        <f>IF(AND(173&gt;=$B$6,173&lt;=$D$6),1,0)</f>
        <v/>
      </c>
      <c r="FU31" s="17">
        <f>IF(AND(174&gt;=$B$6,174&lt;=$D$6),1,0)</f>
        <v/>
      </c>
      <c r="FV31" s="17">
        <f>IF(AND(175&gt;=$B$6,175&lt;=$D$6),1,0)</f>
        <v/>
      </c>
      <c r="FW31" s="17">
        <f>IF(AND(176&gt;=$B$6,176&lt;=$D$6),1,0)</f>
        <v/>
      </c>
      <c r="FX31" s="17">
        <f>IF(AND(177&gt;=$B$6,177&lt;=$D$6),1,0)</f>
        <v/>
      </c>
      <c r="FY31" s="17">
        <f>IF(AND(178&gt;=$B$6,178&lt;=$D$6),1,0)</f>
        <v/>
      </c>
      <c r="FZ31" s="17">
        <f>IF(AND(179&gt;=$B$6,179&lt;=$D$6),1,0)</f>
        <v/>
      </c>
      <c r="GA31" s="17">
        <f>IF(AND(180&gt;=$B$6,180&lt;=$D$6),1,0)</f>
        <v/>
      </c>
      <c r="GB31" s="17">
        <f>IF(AND(181&gt;=$B$6,181&lt;=$D$6),1,0)</f>
        <v/>
      </c>
      <c r="GC31" s="17">
        <f>IF(AND(182&gt;=$B$6,182&lt;=$D$6),1,0)</f>
        <v/>
      </c>
      <c r="GD31" s="17">
        <f>IF(AND(183&gt;=$B$6,183&lt;=$D$6),1,0)</f>
        <v/>
      </c>
      <c r="GE31" s="17">
        <f>IF(AND(184&gt;=$B$6,184&lt;=$D$6),1,0)</f>
        <v/>
      </c>
      <c r="GF31" s="17">
        <f>IF(AND(185&gt;=$B$6,185&lt;=$D$6),1,0)</f>
        <v/>
      </c>
      <c r="GG31" s="17">
        <f>IF(AND(186&gt;=$B$6,186&lt;=$D$6),1,0)</f>
        <v/>
      </c>
      <c r="GH31" s="17">
        <f>IF(AND(187&gt;=$B$6,187&lt;=$D$6),1,0)</f>
        <v/>
      </c>
      <c r="GI31" s="17">
        <f>IF(AND(188&gt;=$B$6,188&lt;=$D$6),1,0)</f>
        <v/>
      </c>
      <c r="GJ31" s="17">
        <f>IF(AND(189&gt;=$B$6,189&lt;=$D$6),1,0)</f>
        <v/>
      </c>
      <c r="GK31" s="17">
        <f>IF(AND(190&gt;=$B$6,190&lt;=$D$6),1,0)</f>
        <v/>
      </c>
      <c r="GL31" s="17">
        <f>IF(AND(191&gt;=$B$6,191&lt;=$D$6),1,0)</f>
        <v/>
      </c>
      <c r="GM31" s="17">
        <f>IF(AND(192&gt;=$B$6,192&lt;=$D$6),1,0)</f>
        <v/>
      </c>
      <c r="GN31" s="17">
        <f>IF(AND(193&gt;=$B$6,193&lt;=$D$6),1,0)</f>
        <v/>
      </c>
      <c r="GO31" s="17">
        <f>IF(AND(194&gt;=$B$6,194&lt;=$D$6),1,0)</f>
        <v/>
      </c>
      <c r="GP31" s="17">
        <f>IF(AND(195&gt;=$B$6,195&lt;=$D$6),1,0)</f>
        <v/>
      </c>
      <c r="GQ31" s="17">
        <f>IF(AND(196&gt;=$B$6,196&lt;=$D$6),1,0)</f>
        <v/>
      </c>
      <c r="GR31" s="17">
        <f>IF(AND(197&gt;=$B$6,197&lt;=$D$6),1,0)</f>
        <v/>
      </c>
      <c r="GS31" s="17">
        <f>IF(AND(198&gt;=$B$6,198&lt;=$D$6),1,0)</f>
        <v/>
      </c>
      <c r="GT31" s="17">
        <f>IF(AND(199&gt;=$B$6,199&lt;=$D$6),1,0)</f>
        <v/>
      </c>
      <c r="GU31" s="17">
        <f>IF(AND(200&gt;=$B$6,200&lt;=$D$6),1,0)</f>
        <v/>
      </c>
      <c r="GV31" s="17">
        <f>IF(AND(201&gt;=$B$6,201&lt;=$D$6),1,0)</f>
        <v/>
      </c>
      <c r="GW31" s="17">
        <f>IF(AND(202&gt;=$B$6,202&lt;=$D$6),1,0)</f>
        <v/>
      </c>
      <c r="GX31" s="17">
        <f>IF(AND(203&gt;=$B$6,203&lt;=$D$6),1,0)</f>
        <v/>
      </c>
      <c r="GY31" s="17">
        <f>IF(AND(204&gt;=$B$6,204&lt;=$D$6),1,0)</f>
        <v/>
      </c>
      <c r="GZ31" s="17">
        <f>IF(AND(205&gt;=$B$6,205&lt;=$D$6),1,0)</f>
        <v/>
      </c>
      <c r="HA31" s="17">
        <f>IF(AND(206&gt;=$B$6,206&lt;=$D$6),1,0)</f>
        <v/>
      </c>
      <c r="HB31" s="17">
        <f>IF(AND(207&gt;=$B$6,207&lt;=$D$6),1,0)</f>
        <v/>
      </c>
      <c r="HC31" s="17">
        <f>IF(AND(208&gt;=$B$6,208&lt;=$D$6),1,0)</f>
        <v/>
      </c>
      <c r="HD31" s="17">
        <f>IF(AND(209&gt;=$B$6,209&lt;=$D$6),1,0)</f>
        <v/>
      </c>
      <c r="HE31" s="17">
        <f>IF(AND(210&gt;=$B$6,210&lt;=$D$6),1,0)</f>
        <v/>
      </c>
      <c r="HF31" s="17">
        <f>IF(AND(211&gt;=$B$6,211&lt;=$D$6),1,0)</f>
        <v/>
      </c>
      <c r="HG31" s="17">
        <f>IF(AND(212&gt;=$B$6,212&lt;=$D$6),1,0)</f>
        <v/>
      </c>
      <c r="HH31" s="17">
        <f>IF(AND(213&gt;=$B$6,213&lt;=$D$6),1,0)</f>
        <v/>
      </c>
      <c r="HI31" s="17">
        <f>IF(AND(214&gt;=$B$6,214&lt;=$D$6),1,0)</f>
        <v/>
      </c>
      <c r="HJ31" s="17">
        <f>IF(AND(215&gt;=$B$6,215&lt;=$D$6),1,0)</f>
        <v/>
      </c>
      <c r="HK31" s="17">
        <f>IF(AND(216&gt;=$B$6,216&lt;=$D$6),1,0)</f>
        <v/>
      </c>
      <c r="HL31" s="17">
        <f>IF(AND(217&gt;=$B$6,217&lt;=$D$6),1,0)</f>
        <v/>
      </c>
      <c r="HM31" s="17">
        <f>IF(AND(218&gt;=$B$6,218&lt;=$D$6),1,0)</f>
        <v/>
      </c>
      <c r="HN31" s="17">
        <f>IF(AND(219&gt;=$B$6,219&lt;=$D$6),1,0)</f>
        <v/>
      </c>
      <c r="HO31" s="17">
        <f>IF(AND(220&gt;=$B$6,220&lt;=$D$6),1,0)</f>
        <v/>
      </c>
      <c r="HP31" s="17">
        <f>IF(AND(221&gt;=$B$6,221&lt;=$D$6),1,0)</f>
        <v/>
      </c>
      <c r="HQ31" s="17">
        <f>IF(AND(222&gt;=$B$6,222&lt;=$D$6),1,0)</f>
        <v/>
      </c>
      <c r="HR31" s="17">
        <f>IF(AND(223&gt;=$B$6,223&lt;=$D$6),1,0)</f>
        <v/>
      </c>
      <c r="HS31" s="17">
        <f>IF(AND(224&gt;=$B$6,224&lt;=$D$6),1,0)</f>
        <v/>
      </c>
      <c r="HT31" s="17">
        <f>IF(AND(225&gt;=$B$6,225&lt;=$D$6),1,0)</f>
        <v/>
      </c>
      <c r="HU31" s="17">
        <f>IF(AND(226&gt;=$B$6,226&lt;=$D$6),1,0)</f>
        <v/>
      </c>
      <c r="HV31" s="17">
        <f>IF(AND(227&gt;=$B$6,227&lt;=$D$6),1,0)</f>
        <v/>
      </c>
      <c r="HW31" s="17">
        <f>IF(AND(228&gt;=$B$6,228&lt;=$D$6),1,0)</f>
        <v/>
      </c>
      <c r="HX31" s="17">
        <f>IF(AND(229&gt;=$B$6,229&lt;=$D$6),1,0)</f>
        <v/>
      </c>
      <c r="HY31" s="17">
        <f>IF(AND(230&gt;=$B$6,230&lt;=$D$6),1,0)</f>
        <v/>
      </c>
      <c r="HZ31" s="17">
        <f>IF(AND(231&gt;=$B$6,231&lt;=$D$6),1,0)</f>
        <v/>
      </c>
      <c r="IA31" s="17">
        <f>IF(AND(232&gt;=$B$6,232&lt;=$D$6),1,0)</f>
        <v/>
      </c>
      <c r="IB31" s="17">
        <f>IF(AND(233&gt;=$B$6,233&lt;=$D$6),1,0)</f>
        <v/>
      </c>
      <c r="IC31" s="17">
        <f>IF(AND(234&gt;=$B$6,234&lt;=$D$6),1,0)</f>
        <v/>
      </c>
      <c r="ID31" s="17">
        <f>IF(AND(235&gt;=$B$6,235&lt;=$D$6),1,0)</f>
        <v/>
      </c>
      <c r="IE31" s="17">
        <f>IF(AND(236&gt;=$B$6,236&lt;=$D$6),1,0)</f>
        <v/>
      </c>
      <c r="IF31" s="17">
        <f>IF(AND(237&gt;=$B$6,237&lt;=$D$6),1,0)</f>
        <v/>
      </c>
      <c r="IG31" s="17">
        <f>IF(AND(238&gt;=$B$6,238&lt;=$D$6),1,0)</f>
        <v/>
      </c>
      <c r="IH31" s="17">
        <f>IF(AND(239&gt;=$B$6,239&lt;=$D$6),1,0)</f>
        <v/>
      </c>
      <c r="II31" s="17">
        <f>IF(AND(240&gt;=$B$6,240&lt;=$D$6),1,0)</f>
        <v/>
      </c>
      <c r="IJ31" s="17">
        <f>IF(AND(241&gt;=$B$6,241&lt;=$D$6),1,0)</f>
        <v/>
      </c>
      <c r="IK31" s="17">
        <f>IF(AND(242&gt;=$B$6,242&lt;=$D$6),1,0)</f>
        <v/>
      </c>
      <c r="IL31" s="17">
        <f>IF(AND(243&gt;=$B$6,243&lt;=$D$6),1,0)</f>
        <v/>
      </c>
      <c r="IM31" s="17">
        <f>IF(AND(244&gt;=$B$6,244&lt;=$D$6),1,0)</f>
        <v/>
      </c>
      <c r="IN31" s="17">
        <f>IF(AND(245&gt;=$B$6,245&lt;=$D$6),1,0)</f>
        <v/>
      </c>
      <c r="IO31" s="17">
        <f>IF(AND(246&gt;=$B$6,246&lt;=$D$6),1,0)</f>
        <v/>
      </c>
      <c r="IP31" s="17">
        <f>IF(AND(247&gt;=$B$6,247&lt;=$D$6),1,0)</f>
        <v/>
      </c>
      <c r="IQ31" s="17">
        <f>IF(AND(248&gt;=$B$6,248&lt;=$D$6),1,0)</f>
        <v/>
      </c>
      <c r="IR31" s="17">
        <f>IF(AND(249&gt;=$B$6,249&lt;=$D$6),1,0)</f>
        <v/>
      </c>
      <c r="IS31" s="17">
        <f>IF(AND(250&gt;=$B$6,250&lt;=$D$6),1,0)</f>
        <v/>
      </c>
      <c r="IT31" s="17">
        <f>IF(AND(251&gt;=$B$6,251&lt;=$D$6),1,0)</f>
        <v/>
      </c>
      <c r="IU31" s="17">
        <f>IF(AND(252&gt;=$B$6,252&lt;=$D$6),1,0)</f>
        <v/>
      </c>
      <c r="IV31" s="17">
        <f>IF(AND(253&gt;=$B$6,253&lt;=$D$6),1,0)</f>
        <v/>
      </c>
      <c r="IW31" s="17">
        <f>IF(AND(254&gt;=$B$6,254&lt;=$D$6),1,0)</f>
        <v/>
      </c>
      <c r="IX31" s="17">
        <f>IF(AND(255&gt;=$B$6,255&lt;=$D$6),1,0)</f>
        <v/>
      </c>
      <c r="IY31" s="17">
        <f>IF(AND(256&gt;=$B$6,256&lt;=$D$6),1,0)</f>
        <v/>
      </c>
      <c r="IZ31" s="17">
        <f>IF(AND(257&gt;=$B$6,257&lt;=$D$6),1,0)</f>
        <v/>
      </c>
      <c r="JA31" s="17">
        <f>IF(AND(258&gt;=$B$6,258&lt;=$D$6),1,0)</f>
        <v/>
      </c>
      <c r="JB31" s="17">
        <f>IF(AND(259&gt;=$B$6,259&lt;=$D$6),1,0)</f>
        <v/>
      </c>
      <c r="JC31" s="17">
        <f>IF(AND(260&gt;=$B$6,260&lt;=$D$6),1,0)</f>
        <v/>
      </c>
      <c r="JD31" s="17">
        <f>IF(AND(261&gt;=$B$6,261&lt;=$D$6),1,0)</f>
        <v/>
      </c>
      <c r="JE31" s="17">
        <f>IF(AND(262&gt;=$B$6,262&lt;=$D$6),1,0)</f>
        <v/>
      </c>
      <c r="JF31" s="17">
        <f>IF(AND(263&gt;=$B$6,263&lt;=$D$6),1,0)</f>
        <v/>
      </c>
      <c r="JG31" s="17">
        <f>IF(AND(264&gt;=$B$6,264&lt;=$D$6),1,0)</f>
        <v/>
      </c>
      <c r="JH31" s="17">
        <f>IF(AND(265&gt;=$B$6,265&lt;=$D$6),1,0)</f>
        <v/>
      </c>
      <c r="JI31" s="17">
        <f>IF(AND(266&gt;=$B$6,266&lt;=$D$6),1,0)</f>
        <v/>
      </c>
      <c r="JJ31" s="17">
        <f>IF(AND(267&gt;=$B$6,267&lt;=$D$6),1,0)</f>
        <v/>
      </c>
      <c r="JK31" s="17">
        <f>IF(AND(268&gt;=$B$6,268&lt;=$D$6),1,0)</f>
        <v/>
      </c>
      <c r="JL31" s="17">
        <f>IF(AND(269&gt;=$B$6,269&lt;=$D$6),1,0)</f>
        <v/>
      </c>
      <c r="JM31" s="17">
        <f>IF(AND(270&gt;=$B$6,270&lt;=$D$6),1,0)</f>
        <v/>
      </c>
      <c r="JN31" s="17">
        <f>IF(AND(271&gt;=$B$6,271&lt;=$D$6),1,0)</f>
        <v/>
      </c>
      <c r="JO31" s="17">
        <f>IF(AND(272&gt;=$B$6,272&lt;=$D$6),1,0)</f>
        <v/>
      </c>
      <c r="JP31" s="17">
        <f>IF(AND(273&gt;=$B$6,273&lt;=$D$6),1,0)</f>
        <v/>
      </c>
      <c r="JQ31" s="17">
        <f>IF(AND(274&gt;=$B$6,274&lt;=$D$6),1,0)</f>
        <v/>
      </c>
      <c r="JR31" s="17">
        <f>IF(AND(275&gt;=$B$6,275&lt;=$D$6),1,0)</f>
        <v/>
      </c>
      <c r="JS31" s="17">
        <f>IF(AND(276&gt;=$B$6,276&lt;=$D$6),1,0)</f>
        <v/>
      </c>
      <c r="JT31" s="17">
        <f>IF(AND(277&gt;=$B$6,277&lt;=$D$6),1,0)</f>
        <v/>
      </c>
      <c r="JU31" s="17">
        <f>IF(AND(278&gt;=$B$6,278&lt;=$D$6),1,0)</f>
        <v/>
      </c>
      <c r="JV31" s="17">
        <f>IF(AND(279&gt;=$B$6,279&lt;=$D$6),1,0)</f>
        <v/>
      </c>
      <c r="JW31" s="17">
        <f>IF(AND(280&gt;=$B$6,280&lt;=$D$6),1,0)</f>
        <v/>
      </c>
      <c r="JX31" s="17">
        <f>IF(AND(281&gt;=$B$6,281&lt;=$D$6),1,0)</f>
        <v/>
      </c>
      <c r="JY31" s="17">
        <f>IF(AND(282&gt;=$B$6,282&lt;=$D$6),1,0)</f>
        <v/>
      </c>
      <c r="JZ31" s="17">
        <f>IF(AND(283&gt;=$B$6,283&lt;=$D$6),1,0)</f>
        <v/>
      </c>
      <c r="KA31" s="17">
        <f>IF(AND(284&gt;=$B$6,284&lt;=$D$6),1,0)</f>
        <v/>
      </c>
      <c r="KB31" s="17">
        <f>IF(AND(285&gt;=$B$6,285&lt;=$D$6),1,0)</f>
        <v/>
      </c>
      <c r="KC31" s="17">
        <f>IF(AND(286&gt;=$B$6,286&lt;=$D$6),1,0)</f>
        <v/>
      </c>
      <c r="KD31" s="17">
        <f>IF(AND(287&gt;=$B$6,287&lt;=$D$6),1,0)</f>
        <v/>
      </c>
      <c r="KE31" s="17">
        <f>IF(AND(288&gt;=$B$6,288&lt;=$D$6),1,0)</f>
        <v/>
      </c>
      <c r="KF31" s="17">
        <f>IF(AND(289&gt;=$B$6,289&lt;=$D$6),1,0)</f>
        <v/>
      </c>
      <c r="KG31" s="17">
        <f>IF(AND(290&gt;=$B$6,290&lt;=$D$6),1,0)</f>
        <v/>
      </c>
      <c r="KH31" s="17">
        <f>IF(AND(291&gt;=$B$6,291&lt;=$D$6),1,0)</f>
        <v/>
      </c>
      <c r="KI31" s="17">
        <f>IF(AND(292&gt;=$B$6,292&lt;=$D$6),1,0)</f>
        <v/>
      </c>
      <c r="KJ31" s="17">
        <f>IF(AND(293&gt;=$B$6,293&lt;=$D$6),1,0)</f>
        <v/>
      </c>
      <c r="KK31" s="17">
        <f>IF(AND(294&gt;=$B$6,294&lt;=$D$6),1,0)</f>
        <v/>
      </c>
      <c r="KL31" s="17">
        <f>IF(AND(295&gt;=$B$6,295&lt;=$D$6),1,0)</f>
        <v/>
      </c>
      <c r="KM31" s="17">
        <f>IF(AND(296&gt;=$B$6,296&lt;=$D$6),1,0)</f>
        <v/>
      </c>
      <c r="KN31" s="17">
        <f>IF(AND(297&gt;=$B$6,297&lt;=$D$6),1,0)</f>
        <v/>
      </c>
      <c r="KO31" s="17">
        <f>IF(AND(298&gt;=$B$6,298&lt;=$D$6),1,0)</f>
        <v/>
      </c>
      <c r="KP31" s="17">
        <f>IF(AND(299&gt;=$B$6,299&lt;=$D$6),1,0)</f>
        <v/>
      </c>
      <c r="KQ31" s="17">
        <f>IF(AND(300&gt;=$B$6,300&lt;=$D$6),1,0)</f>
        <v/>
      </c>
      <c r="KR31" s="17">
        <f>IF(AND(301&gt;=$B$6,301&lt;=$D$6),1,0)</f>
        <v/>
      </c>
      <c r="KS31" s="17">
        <f>IF(AND(302&gt;=$B$6,302&lt;=$D$6),1,0)</f>
        <v/>
      </c>
      <c r="KT31" s="17">
        <f>IF(AND(303&gt;=$B$6,303&lt;=$D$6),1,0)</f>
        <v/>
      </c>
      <c r="KU31" s="17">
        <f>IF(AND(304&gt;=$B$6,304&lt;=$D$6),1,0)</f>
        <v/>
      </c>
      <c r="KV31" s="17">
        <f>IF(AND(305&gt;=$B$6,305&lt;=$D$6),1,0)</f>
        <v/>
      </c>
      <c r="KW31" s="17">
        <f>IF(AND(306&gt;=$B$6,306&lt;=$D$6),1,0)</f>
        <v/>
      </c>
      <c r="KX31" s="17">
        <f>IF(AND(307&gt;=$B$6,307&lt;=$D$6),1,0)</f>
        <v/>
      </c>
      <c r="KY31" s="17">
        <f>IF(AND(308&gt;=$B$6,308&lt;=$D$6),1,0)</f>
        <v/>
      </c>
      <c r="KZ31" s="17">
        <f>IF(AND(309&gt;=$B$6,309&lt;=$D$6),1,0)</f>
        <v/>
      </c>
      <c r="LA31" s="17">
        <f>IF(AND(310&gt;=$B$6,310&lt;=$D$6),1,0)</f>
        <v/>
      </c>
      <c r="LB31" s="17">
        <f>IF(AND(311&gt;=$B$6,311&lt;=$D$6),1,0)</f>
        <v/>
      </c>
      <c r="LC31" s="17">
        <f>IF(AND(312&gt;=$B$6,312&lt;=$D$6),1,0)</f>
        <v/>
      </c>
      <c r="LD31" s="17">
        <f>IF(AND(313&gt;=$B$6,313&lt;=$D$6),1,0)</f>
        <v/>
      </c>
      <c r="LE31" s="17">
        <f>IF(AND(314&gt;=$B$6,314&lt;=$D$6),1,0)</f>
        <v/>
      </c>
      <c r="LF31" s="17">
        <f>IF(AND(315&gt;=$B$6,315&lt;=$D$6),1,0)</f>
        <v/>
      </c>
      <c r="LG31" s="17">
        <f>IF(AND(316&gt;=$B$6,316&lt;=$D$6),1,0)</f>
        <v/>
      </c>
      <c r="LH31" s="17">
        <f>IF(AND(317&gt;=$B$6,317&lt;=$D$6),1,0)</f>
        <v/>
      </c>
      <c r="LI31" s="17">
        <f>IF(AND(318&gt;=$B$6,318&lt;=$D$6),1,0)</f>
        <v/>
      </c>
      <c r="LJ31" s="17">
        <f>IF(AND(319&gt;=$B$6,319&lt;=$D$6),1,0)</f>
        <v/>
      </c>
      <c r="LK31" s="17">
        <f>IF(AND(320&gt;=$B$6,320&lt;=$D$6),1,0)</f>
        <v/>
      </c>
      <c r="LL31" s="17">
        <f>IF(AND(321&gt;=$B$6,321&lt;=$D$6),1,0)</f>
        <v/>
      </c>
      <c r="LM31" s="17">
        <f>IF(AND(322&gt;=$B$6,322&lt;=$D$6),1,0)</f>
        <v/>
      </c>
      <c r="LN31" s="17">
        <f>IF(AND(323&gt;=$B$6,323&lt;=$D$6),1,0)</f>
        <v/>
      </c>
      <c r="LO31" s="17">
        <f>IF(AND(324&gt;=$B$6,324&lt;=$D$6),1,0)</f>
        <v/>
      </c>
      <c r="LP31" s="17">
        <f>IF(AND(325&gt;=$B$6,325&lt;=$D$6),1,0)</f>
        <v/>
      </c>
      <c r="LQ31" s="17">
        <f>IF(AND(326&gt;=$B$6,326&lt;=$D$6),1,0)</f>
        <v/>
      </c>
      <c r="LR31" s="17">
        <f>IF(AND(327&gt;=$B$6,327&lt;=$D$6),1,0)</f>
        <v/>
      </c>
      <c r="LS31" s="17">
        <f>IF(AND(328&gt;=$B$6,328&lt;=$D$6),1,0)</f>
        <v/>
      </c>
      <c r="LT31" s="17">
        <f>IF(AND(329&gt;=$B$6,329&lt;=$D$6),1,0)</f>
        <v/>
      </c>
      <c r="LU31" s="17">
        <f>IF(AND(330&gt;=$B$6,330&lt;=$D$6),1,0)</f>
        <v/>
      </c>
      <c r="LV31" s="17">
        <f>IF(AND(331&gt;=$B$6,331&lt;=$D$6),1,0)</f>
        <v/>
      </c>
      <c r="LW31" s="17">
        <f>IF(AND(332&gt;=$B$6,332&lt;=$D$6),1,0)</f>
        <v/>
      </c>
      <c r="LX31" s="17">
        <f>IF(AND(333&gt;=$B$6,333&lt;=$D$6),1,0)</f>
        <v/>
      </c>
      <c r="LY31" s="17">
        <f>IF(AND(334&gt;=$B$6,334&lt;=$D$6),1,0)</f>
        <v/>
      </c>
      <c r="LZ31" s="17">
        <f>IF(AND(335&gt;=$B$6,335&lt;=$D$6),1,0)</f>
        <v/>
      </c>
      <c r="MA31" s="17">
        <f>IF(AND(336&gt;=$B$6,336&lt;=$D$6),1,0)</f>
        <v/>
      </c>
      <c r="MB31" s="17">
        <f>IF(AND(337&gt;=$B$6,337&lt;=$D$6),1,0)</f>
        <v/>
      </c>
      <c r="MC31" s="17">
        <f>IF(AND(338&gt;=$B$6,338&lt;=$D$6),1,0)</f>
        <v/>
      </c>
      <c r="MD31" s="17">
        <f>IF(AND(339&gt;=$B$6,339&lt;=$D$6),1,0)</f>
        <v/>
      </c>
      <c r="ME31" s="17">
        <f>IF(AND(340&gt;=$B$6,340&lt;=$D$6),1,0)</f>
        <v/>
      </c>
      <c r="MF31" s="17">
        <f>IF(AND(341&gt;=$B$6,341&lt;=$D$6),1,0)</f>
        <v/>
      </c>
      <c r="MG31" s="17">
        <f>IF(AND(342&gt;=$B$6,342&lt;=$D$6),1,0)</f>
        <v/>
      </c>
      <c r="MH31" s="17">
        <f>IF(AND(343&gt;=$B$6,343&lt;=$D$6),1,0)</f>
        <v/>
      </c>
      <c r="MI31" s="17">
        <f>IF(AND(344&gt;=$B$6,344&lt;=$D$6),1,0)</f>
        <v/>
      </c>
      <c r="MJ31" s="17">
        <f>IF(AND(345&gt;=$B$6,345&lt;=$D$6),1,0)</f>
        <v/>
      </c>
      <c r="MK31" s="17">
        <f>IF(AND(346&gt;=$B$6,346&lt;=$D$6),1,0)</f>
        <v/>
      </c>
      <c r="ML31" s="17">
        <f>IF(AND(347&gt;=$B$6,347&lt;=$D$6),1,0)</f>
        <v/>
      </c>
      <c r="MM31" s="17">
        <f>IF(AND(348&gt;=$B$6,348&lt;=$D$6),1,0)</f>
        <v/>
      </c>
      <c r="MN31" s="17">
        <f>IF(AND(349&gt;=$B$6,349&lt;=$D$6),1,0)</f>
        <v/>
      </c>
      <c r="MO31" s="17">
        <f>IF(AND(350&gt;=$B$6,350&lt;=$D$6),1,0)</f>
        <v/>
      </c>
      <c r="MP31" s="17">
        <f>IF(AND(351&gt;=$B$6,351&lt;=$D$6),1,0)</f>
        <v/>
      </c>
      <c r="MQ31" s="17">
        <f>IF(AND(352&gt;=$B$6,352&lt;=$D$6),1,0)</f>
        <v/>
      </c>
      <c r="MR31" s="17">
        <f>IF(AND(353&gt;=$B$6,353&lt;=$D$6),1,0)</f>
        <v/>
      </c>
      <c r="MS31" s="17">
        <f>IF(AND(354&gt;=$B$6,354&lt;=$D$6),1,0)</f>
        <v/>
      </c>
      <c r="MT31" s="17">
        <f>IF(AND(355&gt;=$B$6,355&lt;=$D$6),1,0)</f>
        <v/>
      </c>
      <c r="MU31" s="17">
        <f>IF(AND(356&gt;=$B$6,356&lt;=$D$6),1,0)</f>
        <v/>
      </c>
      <c r="MV31" s="17">
        <f>IF(AND(357&gt;=$B$6,357&lt;=$D$6),1,0)</f>
        <v/>
      </c>
      <c r="MW31" s="17">
        <f>IF(AND(358&gt;=$B$6,358&lt;=$D$6),1,0)</f>
        <v/>
      </c>
      <c r="MX31" s="17">
        <f>IF(AND(359&gt;=$B$6,359&lt;=$D$6),1,0)</f>
        <v/>
      </c>
      <c r="MY31" s="17">
        <f>IF(AND(360&gt;=$B$6,360&lt;=$D$6),1,0)</f>
        <v/>
      </c>
      <c r="MZ31" s="17">
        <f>IF(AND(361&gt;=$B$6,361&lt;=$D$6),1,0)</f>
        <v/>
      </c>
      <c r="NA31" s="17">
        <f>IF(AND(362&gt;=$B$6,362&lt;=$D$6),1,0)</f>
        <v/>
      </c>
      <c r="NB31" s="17">
        <f>IF(AND(363&gt;=$B$6,363&lt;=$D$6),1,0)</f>
        <v/>
      </c>
      <c r="NC31" s="17">
        <f>IF(AND(364&gt;=$B$6,364&lt;=$D$6),1,0)</f>
        <v/>
      </c>
      <c r="ND31" s="17">
        <f>IF(AND(365&gt;=$B$6,365&lt;=$D$6),1,0)</f>
        <v/>
      </c>
      <c r="NE31" s="17">
        <f>IF(AND(366&gt;=$B$6,366&lt;=$D$6),1,0)</f>
        <v/>
      </c>
      <c r="NF31" s="17">
        <f>IF(AND(367&gt;=$B$6,367&lt;=$D$6),1,0)</f>
        <v/>
      </c>
      <c r="NG31" s="17">
        <f>IF(AND(368&gt;=$B$6,368&lt;=$D$6),1,0)</f>
        <v/>
      </c>
      <c r="NH31" s="17">
        <f>IF(AND(369&gt;=$B$6,369&lt;=$D$6),1,0)</f>
        <v/>
      </c>
      <c r="NI31" s="17">
        <f>IF(AND(370&gt;=$B$6,370&lt;=$D$6),1,0)</f>
        <v/>
      </c>
      <c r="NJ31" s="17">
        <f>IF(AND(371&gt;=$B$6,371&lt;=$D$6),1,0)</f>
        <v/>
      </c>
      <c r="NK31" s="17">
        <f>IF(AND(372&gt;=$B$6,372&lt;=$D$6),1,0)</f>
        <v/>
      </c>
    </row>
    <row r="32">
      <c r="A32" s="5" t="inlineStr">
        <is>
          <t>Flag: Pre-Construction</t>
        </is>
      </c>
      <c r="C32" s="40" t="n"/>
      <c r="D32" s="17">
        <f>IF(AND(1&gt;=$B$7,1&lt;=$D$7),1,0)</f>
        <v/>
      </c>
      <c r="E32" s="17">
        <f>IF(AND(2&gt;=$B$7,2&lt;=$D$7),1,0)</f>
        <v/>
      </c>
      <c r="F32" s="17">
        <f>IF(AND(3&gt;=$B$7,3&lt;=$D$7),1,0)</f>
        <v/>
      </c>
      <c r="G32" s="17">
        <f>IF(AND(4&gt;=$B$7,4&lt;=$D$7),1,0)</f>
        <v/>
      </c>
      <c r="H32" s="17">
        <f>IF(AND(5&gt;=$B$7,5&lt;=$D$7),1,0)</f>
        <v/>
      </c>
      <c r="I32" s="17">
        <f>IF(AND(6&gt;=$B$7,6&lt;=$D$7),1,0)</f>
        <v/>
      </c>
      <c r="J32" s="17">
        <f>IF(AND(7&gt;=$B$7,7&lt;=$D$7),1,0)</f>
        <v/>
      </c>
      <c r="K32" s="17">
        <f>IF(AND(8&gt;=$B$7,8&lt;=$D$7),1,0)</f>
        <v/>
      </c>
      <c r="L32" s="17">
        <f>IF(AND(9&gt;=$B$7,9&lt;=$D$7),1,0)</f>
        <v/>
      </c>
      <c r="M32" s="17">
        <f>IF(AND(10&gt;=$B$7,10&lt;=$D$7),1,0)</f>
        <v/>
      </c>
      <c r="N32" s="17">
        <f>IF(AND(11&gt;=$B$7,11&lt;=$D$7),1,0)</f>
        <v/>
      </c>
      <c r="O32" s="17">
        <f>IF(AND(12&gt;=$B$7,12&lt;=$D$7),1,0)</f>
        <v/>
      </c>
      <c r="P32" s="17">
        <f>IF(AND(13&gt;=$B$7,13&lt;=$D$7),1,0)</f>
        <v/>
      </c>
      <c r="Q32" s="17">
        <f>IF(AND(14&gt;=$B$7,14&lt;=$D$7),1,0)</f>
        <v/>
      </c>
      <c r="R32" s="17">
        <f>IF(AND(15&gt;=$B$7,15&lt;=$D$7),1,0)</f>
        <v/>
      </c>
      <c r="S32" s="17">
        <f>IF(AND(16&gt;=$B$7,16&lt;=$D$7),1,0)</f>
        <v/>
      </c>
      <c r="T32" s="17">
        <f>IF(AND(17&gt;=$B$7,17&lt;=$D$7),1,0)</f>
        <v/>
      </c>
      <c r="U32" s="17">
        <f>IF(AND(18&gt;=$B$7,18&lt;=$D$7),1,0)</f>
        <v/>
      </c>
      <c r="V32" s="17">
        <f>IF(AND(19&gt;=$B$7,19&lt;=$D$7),1,0)</f>
        <v/>
      </c>
      <c r="W32" s="17">
        <f>IF(AND(20&gt;=$B$7,20&lt;=$D$7),1,0)</f>
        <v/>
      </c>
      <c r="X32" s="17">
        <f>IF(AND(21&gt;=$B$7,21&lt;=$D$7),1,0)</f>
        <v/>
      </c>
      <c r="Y32" s="17">
        <f>IF(AND(22&gt;=$B$7,22&lt;=$D$7),1,0)</f>
        <v/>
      </c>
      <c r="Z32" s="17">
        <f>IF(AND(23&gt;=$B$7,23&lt;=$D$7),1,0)</f>
        <v/>
      </c>
      <c r="AA32" s="17">
        <f>IF(AND(24&gt;=$B$7,24&lt;=$D$7),1,0)</f>
        <v/>
      </c>
      <c r="AB32" s="17">
        <f>IF(AND(25&gt;=$B$7,25&lt;=$D$7),1,0)</f>
        <v/>
      </c>
      <c r="AC32" s="17">
        <f>IF(AND(26&gt;=$B$7,26&lt;=$D$7),1,0)</f>
        <v/>
      </c>
      <c r="AD32" s="17">
        <f>IF(AND(27&gt;=$B$7,27&lt;=$D$7),1,0)</f>
        <v/>
      </c>
      <c r="AE32" s="17">
        <f>IF(AND(28&gt;=$B$7,28&lt;=$D$7),1,0)</f>
        <v/>
      </c>
      <c r="AF32" s="17">
        <f>IF(AND(29&gt;=$B$7,29&lt;=$D$7),1,0)</f>
        <v/>
      </c>
      <c r="AG32" s="17">
        <f>IF(AND(30&gt;=$B$7,30&lt;=$D$7),1,0)</f>
        <v/>
      </c>
      <c r="AH32" s="17">
        <f>IF(AND(31&gt;=$B$7,31&lt;=$D$7),1,0)</f>
        <v/>
      </c>
      <c r="AI32" s="17">
        <f>IF(AND(32&gt;=$B$7,32&lt;=$D$7),1,0)</f>
        <v/>
      </c>
      <c r="AJ32" s="17">
        <f>IF(AND(33&gt;=$B$7,33&lt;=$D$7),1,0)</f>
        <v/>
      </c>
      <c r="AK32" s="17">
        <f>IF(AND(34&gt;=$B$7,34&lt;=$D$7),1,0)</f>
        <v/>
      </c>
      <c r="AL32" s="17">
        <f>IF(AND(35&gt;=$B$7,35&lt;=$D$7),1,0)</f>
        <v/>
      </c>
      <c r="AM32" s="17">
        <f>IF(AND(36&gt;=$B$7,36&lt;=$D$7),1,0)</f>
        <v/>
      </c>
      <c r="AN32" s="17">
        <f>IF(AND(37&gt;=$B$7,37&lt;=$D$7),1,0)</f>
        <v/>
      </c>
      <c r="AO32" s="17">
        <f>IF(AND(38&gt;=$B$7,38&lt;=$D$7),1,0)</f>
        <v/>
      </c>
      <c r="AP32" s="17">
        <f>IF(AND(39&gt;=$B$7,39&lt;=$D$7),1,0)</f>
        <v/>
      </c>
      <c r="AQ32" s="17">
        <f>IF(AND(40&gt;=$B$7,40&lt;=$D$7),1,0)</f>
        <v/>
      </c>
      <c r="AR32" s="17">
        <f>IF(AND(41&gt;=$B$7,41&lt;=$D$7),1,0)</f>
        <v/>
      </c>
      <c r="AS32" s="17">
        <f>IF(AND(42&gt;=$B$7,42&lt;=$D$7),1,0)</f>
        <v/>
      </c>
      <c r="AT32" s="17">
        <f>IF(AND(43&gt;=$B$7,43&lt;=$D$7),1,0)</f>
        <v/>
      </c>
      <c r="AU32" s="17">
        <f>IF(AND(44&gt;=$B$7,44&lt;=$D$7),1,0)</f>
        <v/>
      </c>
      <c r="AV32" s="17">
        <f>IF(AND(45&gt;=$B$7,45&lt;=$D$7),1,0)</f>
        <v/>
      </c>
      <c r="AW32" s="17">
        <f>IF(AND(46&gt;=$B$7,46&lt;=$D$7),1,0)</f>
        <v/>
      </c>
      <c r="AX32" s="17">
        <f>IF(AND(47&gt;=$B$7,47&lt;=$D$7),1,0)</f>
        <v/>
      </c>
      <c r="AY32" s="17">
        <f>IF(AND(48&gt;=$B$7,48&lt;=$D$7),1,0)</f>
        <v/>
      </c>
      <c r="AZ32" s="17">
        <f>IF(AND(49&gt;=$B$7,49&lt;=$D$7),1,0)</f>
        <v/>
      </c>
      <c r="BA32" s="17">
        <f>IF(AND(50&gt;=$B$7,50&lt;=$D$7),1,0)</f>
        <v/>
      </c>
      <c r="BB32" s="17">
        <f>IF(AND(51&gt;=$B$7,51&lt;=$D$7),1,0)</f>
        <v/>
      </c>
      <c r="BC32" s="17">
        <f>IF(AND(52&gt;=$B$7,52&lt;=$D$7),1,0)</f>
        <v/>
      </c>
      <c r="BD32" s="17">
        <f>IF(AND(53&gt;=$B$7,53&lt;=$D$7),1,0)</f>
        <v/>
      </c>
      <c r="BE32" s="17">
        <f>IF(AND(54&gt;=$B$7,54&lt;=$D$7),1,0)</f>
        <v/>
      </c>
      <c r="BF32" s="17">
        <f>IF(AND(55&gt;=$B$7,55&lt;=$D$7),1,0)</f>
        <v/>
      </c>
      <c r="BG32" s="17">
        <f>IF(AND(56&gt;=$B$7,56&lt;=$D$7),1,0)</f>
        <v/>
      </c>
      <c r="BH32" s="17">
        <f>IF(AND(57&gt;=$B$7,57&lt;=$D$7),1,0)</f>
        <v/>
      </c>
      <c r="BI32" s="17">
        <f>IF(AND(58&gt;=$B$7,58&lt;=$D$7),1,0)</f>
        <v/>
      </c>
      <c r="BJ32" s="17">
        <f>IF(AND(59&gt;=$B$7,59&lt;=$D$7),1,0)</f>
        <v/>
      </c>
      <c r="BK32" s="17">
        <f>IF(AND(60&gt;=$B$7,60&lt;=$D$7),1,0)</f>
        <v/>
      </c>
      <c r="BL32" s="17">
        <f>IF(AND(61&gt;=$B$7,61&lt;=$D$7),1,0)</f>
        <v/>
      </c>
      <c r="BM32" s="17">
        <f>IF(AND(62&gt;=$B$7,62&lt;=$D$7),1,0)</f>
        <v/>
      </c>
      <c r="BN32" s="17">
        <f>IF(AND(63&gt;=$B$7,63&lt;=$D$7),1,0)</f>
        <v/>
      </c>
      <c r="BO32" s="17">
        <f>IF(AND(64&gt;=$B$7,64&lt;=$D$7),1,0)</f>
        <v/>
      </c>
      <c r="BP32" s="17">
        <f>IF(AND(65&gt;=$B$7,65&lt;=$D$7),1,0)</f>
        <v/>
      </c>
      <c r="BQ32" s="17">
        <f>IF(AND(66&gt;=$B$7,66&lt;=$D$7),1,0)</f>
        <v/>
      </c>
      <c r="BR32" s="17">
        <f>IF(AND(67&gt;=$B$7,67&lt;=$D$7),1,0)</f>
        <v/>
      </c>
      <c r="BS32" s="17">
        <f>IF(AND(68&gt;=$B$7,68&lt;=$D$7),1,0)</f>
        <v/>
      </c>
      <c r="BT32" s="17">
        <f>IF(AND(69&gt;=$B$7,69&lt;=$D$7),1,0)</f>
        <v/>
      </c>
      <c r="BU32" s="17">
        <f>IF(AND(70&gt;=$B$7,70&lt;=$D$7),1,0)</f>
        <v/>
      </c>
      <c r="BV32" s="17">
        <f>IF(AND(71&gt;=$B$7,71&lt;=$D$7),1,0)</f>
        <v/>
      </c>
      <c r="BW32" s="17">
        <f>IF(AND(72&gt;=$B$7,72&lt;=$D$7),1,0)</f>
        <v/>
      </c>
      <c r="BX32" s="17">
        <f>IF(AND(73&gt;=$B$7,73&lt;=$D$7),1,0)</f>
        <v/>
      </c>
      <c r="BY32" s="17">
        <f>IF(AND(74&gt;=$B$7,74&lt;=$D$7),1,0)</f>
        <v/>
      </c>
      <c r="BZ32" s="17">
        <f>IF(AND(75&gt;=$B$7,75&lt;=$D$7),1,0)</f>
        <v/>
      </c>
      <c r="CA32" s="17">
        <f>IF(AND(76&gt;=$B$7,76&lt;=$D$7),1,0)</f>
        <v/>
      </c>
      <c r="CB32" s="17">
        <f>IF(AND(77&gt;=$B$7,77&lt;=$D$7),1,0)</f>
        <v/>
      </c>
      <c r="CC32" s="17">
        <f>IF(AND(78&gt;=$B$7,78&lt;=$D$7),1,0)</f>
        <v/>
      </c>
      <c r="CD32" s="17">
        <f>IF(AND(79&gt;=$B$7,79&lt;=$D$7),1,0)</f>
        <v/>
      </c>
      <c r="CE32" s="17">
        <f>IF(AND(80&gt;=$B$7,80&lt;=$D$7),1,0)</f>
        <v/>
      </c>
      <c r="CF32" s="17">
        <f>IF(AND(81&gt;=$B$7,81&lt;=$D$7),1,0)</f>
        <v/>
      </c>
      <c r="CG32" s="17">
        <f>IF(AND(82&gt;=$B$7,82&lt;=$D$7),1,0)</f>
        <v/>
      </c>
      <c r="CH32" s="17">
        <f>IF(AND(83&gt;=$B$7,83&lt;=$D$7),1,0)</f>
        <v/>
      </c>
      <c r="CI32" s="17">
        <f>IF(AND(84&gt;=$B$7,84&lt;=$D$7),1,0)</f>
        <v/>
      </c>
      <c r="CJ32" s="17">
        <f>IF(AND(85&gt;=$B$7,85&lt;=$D$7),1,0)</f>
        <v/>
      </c>
      <c r="CK32" s="17">
        <f>IF(AND(86&gt;=$B$7,86&lt;=$D$7),1,0)</f>
        <v/>
      </c>
      <c r="CL32" s="17">
        <f>IF(AND(87&gt;=$B$7,87&lt;=$D$7),1,0)</f>
        <v/>
      </c>
      <c r="CM32" s="17">
        <f>IF(AND(88&gt;=$B$7,88&lt;=$D$7),1,0)</f>
        <v/>
      </c>
      <c r="CN32" s="17">
        <f>IF(AND(89&gt;=$B$7,89&lt;=$D$7),1,0)</f>
        <v/>
      </c>
      <c r="CO32" s="17">
        <f>IF(AND(90&gt;=$B$7,90&lt;=$D$7),1,0)</f>
        <v/>
      </c>
      <c r="CP32" s="17">
        <f>IF(AND(91&gt;=$B$7,91&lt;=$D$7),1,0)</f>
        <v/>
      </c>
      <c r="CQ32" s="17">
        <f>IF(AND(92&gt;=$B$7,92&lt;=$D$7),1,0)</f>
        <v/>
      </c>
      <c r="CR32" s="17">
        <f>IF(AND(93&gt;=$B$7,93&lt;=$D$7),1,0)</f>
        <v/>
      </c>
      <c r="CS32" s="17">
        <f>IF(AND(94&gt;=$B$7,94&lt;=$D$7),1,0)</f>
        <v/>
      </c>
      <c r="CT32" s="17">
        <f>IF(AND(95&gt;=$B$7,95&lt;=$D$7),1,0)</f>
        <v/>
      </c>
      <c r="CU32" s="17">
        <f>IF(AND(96&gt;=$B$7,96&lt;=$D$7),1,0)</f>
        <v/>
      </c>
      <c r="CV32" s="17">
        <f>IF(AND(97&gt;=$B$7,97&lt;=$D$7),1,0)</f>
        <v/>
      </c>
      <c r="CW32" s="17">
        <f>IF(AND(98&gt;=$B$7,98&lt;=$D$7),1,0)</f>
        <v/>
      </c>
      <c r="CX32" s="17">
        <f>IF(AND(99&gt;=$B$7,99&lt;=$D$7),1,0)</f>
        <v/>
      </c>
      <c r="CY32" s="17">
        <f>IF(AND(100&gt;=$B$7,100&lt;=$D$7),1,0)</f>
        <v/>
      </c>
      <c r="CZ32" s="17">
        <f>IF(AND(101&gt;=$B$7,101&lt;=$D$7),1,0)</f>
        <v/>
      </c>
      <c r="DA32" s="17">
        <f>IF(AND(102&gt;=$B$7,102&lt;=$D$7),1,0)</f>
        <v/>
      </c>
      <c r="DB32" s="17">
        <f>IF(AND(103&gt;=$B$7,103&lt;=$D$7),1,0)</f>
        <v/>
      </c>
      <c r="DC32" s="17">
        <f>IF(AND(104&gt;=$B$7,104&lt;=$D$7),1,0)</f>
        <v/>
      </c>
      <c r="DD32" s="17">
        <f>IF(AND(105&gt;=$B$7,105&lt;=$D$7),1,0)</f>
        <v/>
      </c>
      <c r="DE32" s="17">
        <f>IF(AND(106&gt;=$B$7,106&lt;=$D$7),1,0)</f>
        <v/>
      </c>
      <c r="DF32" s="17">
        <f>IF(AND(107&gt;=$B$7,107&lt;=$D$7),1,0)</f>
        <v/>
      </c>
      <c r="DG32" s="17">
        <f>IF(AND(108&gt;=$B$7,108&lt;=$D$7),1,0)</f>
        <v/>
      </c>
      <c r="DH32" s="17">
        <f>IF(AND(109&gt;=$B$7,109&lt;=$D$7),1,0)</f>
        <v/>
      </c>
      <c r="DI32" s="17">
        <f>IF(AND(110&gt;=$B$7,110&lt;=$D$7),1,0)</f>
        <v/>
      </c>
      <c r="DJ32" s="17">
        <f>IF(AND(111&gt;=$B$7,111&lt;=$D$7),1,0)</f>
        <v/>
      </c>
      <c r="DK32" s="17">
        <f>IF(AND(112&gt;=$B$7,112&lt;=$D$7),1,0)</f>
        <v/>
      </c>
      <c r="DL32" s="17">
        <f>IF(AND(113&gt;=$B$7,113&lt;=$D$7),1,0)</f>
        <v/>
      </c>
      <c r="DM32" s="17">
        <f>IF(AND(114&gt;=$B$7,114&lt;=$D$7),1,0)</f>
        <v/>
      </c>
      <c r="DN32" s="17">
        <f>IF(AND(115&gt;=$B$7,115&lt;=$D$7),1,0)</f>
        <v/>
      </c>
      <c r="DO32" s="17">
        <f>IF(AND(116&gt;=$B$7,116&lt;=$D$7),1,0)</f>
        <v/>
      </c>
      <c r="DP32" s="17">
        <f>IF(AND(117&gt;=$B$7,117&lt;=$D$7),1,0)</f>
        <v/>
      </c>
      <c r="DQ32" s="17">
        <f>IF(AND(118&gt;=$B$7,118&lt;=$D$7),1,0)</f>
        <v/>
      </c>
      <c r="DR32" s="17">
        <f>IF(AND(119&gt;=$B$7,119&lt;=$D$7),1,0)</f>
        <v/>
      </c>
      <c r="DS32" s="17">
        <f>IF(AND(120&gt;=$B$7,120&lt;=$D$7),1,0)</f>
        <v/>
      </c>
      <c r="DT32" s="17">
        <f>IF(AND(121&gt;=$B$7,121&lt;=$D$7),1,0)</f>
        <v/>
      </c>
      <c r="DU32" s="17">
        <f>IF(AND(122&gt;=$B$7,122&lt;=$D$7),1,0)</f>
        <v/>
      </c>
      <c r="DV32" s="17">
        <f>IF(AND(123&gt;=$B$7,123&lt;=$D$7),1,0)</f>
        <v/>
      </c>
      <c r="DW32" s="17">
        <f>IF(AND(124&gt;=$B$7,124&lt;=$D$7),1,0)</f>
        <v/>
      </c>
      <c r="DX32" s="17">
        <f>IF(AND(125&gt;=$B$7,125&lt;=$D$7),1,0)</f>
        <v/>
      </c>
      <c r="DY32" s="17">
        <f>IF(AND(126&gt;=$B$7,126&lt;=$D$7),1,0)</f>
        <v/>
      </c>
      <c r="DZ32" s="17">
        <f>IF(AND(127&gt;=$B$7,127&lt;=$D$7),1,0)</f>
        <v/>
      </c>
      <c r="EA32" s="17">
        <f>IF(AND(128&gt;=$B$7,128&lt;=$D$7),1,0)</f>
        <v/>
      </c>
      <c r="EB32" s="17">
        <f>IF(AND(129&gt;=$B$7,129&lt;=$D$7),1,0)</f>
        <v/>
      </c>
      <c r="EC32" s="17">
        <f>IF(AND(130&gt;=$B$7,130&lt;=$D$7),1,0)</f>
        <v/>
      </c>
      <c r="ED32" s="17">
        <f>IF(AND(131&gt;=$B$7,131&lt;=$D$7),1,0)</f>
        <v/>
      </c>
      <c r="EE32" s="17">
        <f>IF(AND(132&gt;=$B$7,132&lt;=$D$7),1,0)</f>
        <v/>
      </c>
      <c r="EF32" s="17">
        <f>IF(AND(133&gt;=$B$7,133&lt;=$D$7),1,0)</f>
        <v/>
      </c>
      <c r="EG32" s="17">
        <f>IF(AND(134&gt;=$B$7,134&lt;=$D$7),1,0)</f>
        <v/>
      </c>
      <c r="EH32" s="17">
        <f>IF(AND(135&gt;=$B$7,135&lt;=$D$7),1,0)</f>
        <v/>
      </c>
      <c r="EI32" s="17">
        <f>IF(AND(136&gt;=$B$7,136&lt;=$D$7),1,0)</f>
        <v/>
      </c>
      <c r="EJ32" s="17">
        <f>IF(AND(137&gt;=$B$7,137&lt;=$D$7),1,0)</f>
        <v/>
      </c>
      <c r="EK32" s="17">
        <f>IF(AND(138&gt;=$B$7,138&lt;=$D$7),1,0)</f>
        <v/>
      </c>
      <c r="EL32" s="17">
        <f>IF(AND(139&gt;=$B$7,139&lt;=$D$7),1,0)</f>
        <v/>
      </c>
      <c r="EM32" s="17">
        <f>IF(AND(140&gt;=$B$7,140&lt;=$D$7),1,0)</f>
        <v/>
      </c>
      <c r="EN32" s="17">
        <f>IF(AND(141&gt;=$B$7,141&lt;=$D$7),1,0)</f>
        <v/>
      </c>
      <c r="EO32" s="17">
        <f>IF(AND(142&gt;=$B$7,142&lt;=$D$7),1,0)</f>
        <v/>
      </c>
      <c r="EP32" s="17">
        <f>IF(AND(143&gt;=$B$7,143&lt;=$D$7),1,0)</f>
        <v/>
      </c>
      <c r="EQ32" s="17">
        <f>IF(AND(144&gt;=$B$7,144&lt;=$D$7),1,0)</f>
        <v/>
      </c>
      <c r="ER32" s="17">
        <f>IF(AND(145&gt;=$B$7,145&lt;=$D$7),1,0)</f>
        <v/>
      </c>
      <c r="ES32" s="17">
        <f>IF(AND(146&gt;=$B$7,146&lt;=$D$7),1,0)</f>
        <v/>
      </c>
      <c r="ET32" s="17">
        <f>IF(AND(147&gt;=$B$7,147&lt;=$D$7),1,0)</f>
        <v/>
      </c>
      <c r="EU32" s="17">
        <f>IF(AND(148&gt;=$B$7,148&lt;=$D$7),1,0)</f>
        <v/>
      </c>
      <c r="EV32" s="17">
        <f>IF(AND(149&gt;=$B$7,149&lt;=$D$7),1,0)</f>
        <v/>
      </c>
      <c r="EW32" s="17">
        <f>IF(AND(150&gt;=$B$7,150&lt;=$D$7),1,0)</f>
        <v/>
      </c>
      <c r="EX32" s="17">
        <f>IF(AND(151&gt;=$B$7,151&lt;=$D$7),1,0)</f>
        <v/>
      </c>
      <c r="EY32" s="17">
        <f>IF(AND(152&gt;=$B$7,152&lt;=$D$7),1,0)</f>
        <v/>
      </c>
      <c r="EZ32" s="17">
        <f>IF(AND(153&gt;=$B$7,153&lt;=$D$7),1,0)</f>
        <v/>
      </c>
      <c r="FA32" s="17">
        <f>IF(AND(154&gt;=$B$7,154&lt;=$D$7),1,0)</f>
        <v/>
      </c>
      <c r="FB32" s="17">
        <f>IF(AND(155&gt;=$B$7,155&lt;=$D$7),1,0)</f>
        <v/>
      </c>
      <c r="FC32" s="17">
        <f>IF(AND(156&gt;=$B$7,156&lt;=$D$7),1,0)</f>
        <v/>
      </c>
      <c r="FD32" s="17">
        <f>IF(AND(157&gt;=$B$7,157&lt;=$D$7),1,0)</f>
        <v/>
      </c>
      <c r="FE32" s="17">
        <f>IF(AND(158&gt;=$B$7,158&lt;=$D$7),1,0)</f>
        <v/>
      </c>
      <c r="FF32" s="17">
        <f>IF(AND(159&gt;=$B$7,159&lt;=$D$7),1,0)</f>
        <v/>
      </c>
      <c r="FG32" s="17">
        <f>IF(AND(160&gt;=$B$7,160&lt;=$D$7),1,0)</f>
        <v/>
      </c>
      <c r="FH32" s="17">
        <f>IF(AND(161&gt;=$B$7,161&lt;=$D$7),1,0)</f>
        <v/>
      </c>
      <c r="FI32" s="17">
        <f>IF(AND(162&gt;=$B$7,162&lt;=$D$7),1,0)</f>
        <v/>
      </c>
      <c r="FJ32" s="17">
        <f>IF(AND(163&gt;=$B$7,163&lt;=$D$7),1,0)</f>
        <v/>
      </c>
      <c r="FK32" s="17">
        <f>IF(AND(164&gt;=$B$7,164&lt;=$D$7),1,0)</f>
        <v/>
      </c>
      <c r="FL32" s="17">
        <f>IF(AND(165&gt;=$B$7,165&lt;=$D$7),1,0)</f>
        <v/>
      </c>
      <c r="FM32" s="17">
        <f>IF(AND(166&gt;=$B$7,166&lt;=$D$7),1,0)</f>
        <v/>
      </c>
      <c r="FN32" s="17">
        <f>IF(AND(167&gt;=$B$7,167&lt;=$D$7),1,0)</f>
        <v/>
      </c>
      <c r="FO32" s="17">
        <f>IF(AND(168&gt;=$B$7,168&lt;=$D$7),1,0)</f>
        <v/>
      </c>
      <c r="FP32" s="17">
        <f>IF(AND(169&gt;=$B$7,169&lt;=$D$7),1,0)</f>
        <v/>
      </c>
      <c r="FQ32" s="17">
        <f>IF(AND(170&gt;=$B$7,170&lt;=$D$7),1,0)</f>
        <v/>
      </c>
      <c r="FR32" s="17">
        <f>IF(AND(171&gt;=$B$7,171&lt;=$D$7),1,0)</f>
        <v/>
      </c>
      <c r="FS32" s="17">
        <f>IF(AND(172&gt;=$B$7,172&lt;=$D$7),1,0)</f>
        <v/>
      </c>
      <c r="FT32" s="17">
        <f>IF(AND(173&gt;=$B$7,173&lt;=$D$7),1,0)</f>
        <v/>
      </c>
      <c r="FU32" s="17">
        <f>IF(AND(174&gt;=$B$7,174&lt;=$D$7),1,0)</f>
        <v/>
      </c>
      <c r="FV32" s="17">
        <f>IF(AND(175&gt;=$B$7,175&lt;=$D$7),1,0)</f>
        <v/>
      </c>
      <c r="FW32" s="17">
        <f>IF(AND(176&gt;=$B$7,176&lt;=$D$7),1,0)</f>
        <v/>
      </c>
      <c r="FX32" s="17">
        <f>IF(AND(177&gt;=$B$7,177&lt;=$D$7),1,0)</f>
        <v/>
      </c>
      <c r="FY32" s="17">
        <f>IF(AND(178&gt;=$B$7,178&lt;=$D$7),1,0)</f>
        <v/>
      </c>
      <c r="FZ32" s="17">
        <f>IF(AND(179&gt;=$B$7,179&lt;=$D$7),1,0)</f>
        <v/>
      </c>
      <c r="GA32" s="17">
        <f>IF(AND(180&gt;=$B$7,180&lt;=$D$7),1,0)</f>
        <v/>
      </c>
      <c r="GB32" s="17">
        <f>IF(AND(181&gt;=$B$7,181&lt;=$D$7),1,0)</f>
        <v/>
      </c>
      <c r="GC32" s="17">
        <f>IF(AND(182&gt;=$B$7,182&lt;=$D$7),1,0)</f>
        <v/>
      </c>
      <c r="GD32" s="17">
        <f>IF(AND(183&gt;=$B$7,183&lt;=$D$7),1,0)</f>
        <v/>
      </c>
      <c r="GE32" s="17">
        <f>IF(AND(184&gt;=$B$7,184&lt;=$D$7),1,0)</f>
        <v/>
      </c>
      <c r="GF32" s="17">
        <f>IF(AND(185&gt;=$B$7,185&lt;=$D$7),1,0)</f>
        <v/>
      </c>
      <c r="GG32" s="17">
        <f>IF(AND(186&gt;=$B$7,186&lt;=$D$7),1,0)</f>
        <v/>
      </c>
      <c r="GH32" s="17">
        <f>IF(AND(187&gt;=$B$7,187&lt;=$D$7),1,0)</f>
        <v/>
      </c>
      <c r="GI32" s="17">
        <f>IF(AND(188&gt;=$B$7,188&lt;=$D$7),1,0)</f>
        <v/>
      </c>
      <c r="GJ32" s="17">
        <f>IF(AND(189&gt;=$B$7,189&lt;=$D$7),1,0)</f>
        <v/>
      </c>
      <c r="GK32" s="17">
        <f>IF(AND(190&gt;=$B$7,190&lt;=$D$7),1,0)</f>
        <v/>
      </c>
      <c r="GL32" s="17">
        <f>IF(AND(191&gt;=$B$7,191&lt;=$D$7),1,0)</f>
        <v/>
      </c>
      <c r="GM32" s="17">
        <f>IF(AND(192&gt;=$B$7,192&lt;=$D$7),1,0)</f>
        <v/>
      </c>
      <c r="GN32" s="17">
        <f>IF(AND(193&gt;=$B$7,193&lt;=$D$7),1,0)</f>
        <v/>
      </c>
      <c r="GO32" s="17">
        <f>IF(AND(194&gt;=$B$7,194&lt;=$D$7),1,0)</f>
        <v/>
      </c>
      <c r="GP32" s="17">
        <f>IF(AND(195&gt;=$B$7,195&lt;=$D$7),1,0)</f>
        <v/>
      </c>
      <c r="GQ32" s="17">
        <f>IF(AND(196&gt;=$B$7,196&lt;=$D$7),1,0)</f>
        <v/>
      </c>
      <c r="GR32" s="17">
        <f>IF(AND(197&gt;=$B$7,197&lt;=$D$7),1,0)</f>
        <v/>
      </c>
      <c r="GS32" s="17">
        <f>IF(AND(198&gt;=$B$7,198&lt;=$D$7),1,0)</f>
        <v/>
      </c>
      <c r="GT32" s="17">
        <f>IF(AND(199&gt;=$B$7,199&lt;=$D$7),1,0)</f>
        <v/>
      </c>
      <c r="GU32" s="17">
        <f>IF(AND(200&gt;=$B$7,200&lt;=$D$7),1,0)</f>
        <v/>
      </c>
      <c r="GV32" s="17">
        <f>IF(AND(201&gt;=$B$7,201&lt;=$D$7),1,0)</f>
        <v/>
      </c>
      <c r="GW32" s="17">
        <f>IF(AND(202&gt;=$B$7,202&lt;=$D$7),1,0)</f>
        <v/>
      </c>
      <c r="GX32" s="17">
        <f>IF(AND(203&gt;=$B$7,203&lt;=$D$7),1,0)</f>
        <v/>
      </c>
      <c r="GY32" s="17">
        <f>IF(AND(204&gt;=$B$7,204&lt;=$D$7),1,0)</f>
        <v/>
      </c>
      <c r="GZ32" s="17">
        <f>IF(AND(205&gt;=$B$7,205&lt;=$D$7),1,0)</f>
        <v/>
      </c>
      <c r="HA32" s="17">
        <f>IF(AND(206&gt;=$B$7,206&lt;=$D$7),1,0)</f>
        <v/>
      </c>
      <c r="HB32" s="17">
        <f>IF(AND(207&gt;=$B$7,207&lt;=$D$7),1,0)</f>
        <v/>
      </c>
      <c r="HC32" s="17">
        <f>IF(AND(208&gt;=$B$7,208&lt;=$D$7),1,0)</f>
        <v/>
      </c>
      <c r="HD32" s="17">
        <f>IF(AND(209&gt;=$B$7,209&lt;=$D$7),1,0)</f>
        <v/>
      </c>
      <c r="HE32" s="17">
        <f>IF(AND(210&gt;=$B$7,210&lt;=$D$7),1,0)</f>
        <v/>
      </c>
      <c r="HF32" s="17">
        <f>IF(AND(211&gt;=$B$7,211&lt;=$D$7),1,0)</f>
        <v/>
      </c>
      <c r="HG32" s="17">
        <f>IF(AND(212&gt;=$B$7,212&lt;=$D$7),1,0)</f>
        <v/>
      </c>
      <c r="HH32" s="17">
        <f>IF(AND(213&gt;=$B$7,213&lt;=$D$7),1,0)</f>
        <v/>
      </c>
      <c r="HI32" s="17">
        <f>IF(AND(214&gt;=$B$7,214&lt;=$D$7),1,0)</f>
        <v/>
      </c>
      <c r="HJ32" s="17">
        <f>IF(AND(215&gt;=$B$7,215&lt;=$D$7),1,0)</f>
        <v/>
      </c>
      <c r="HK32" s="17">
        <f>IF(AND(216&gt;=$B$7,216&lt;=$D$7),1,0)</f>
        <v/>
      </c>
      <c r="HL32" s="17">
        <f>IF(AND(217&gt;=$B$7,217&lt;=$D$7),1,0)</f>
        <v/>
      </c>
      <c r="HM32" s="17">
        <f>IF(AND(218&gt;=$B$7,218&lt;=$D$7),1,0)</f>
        <v/>
      </c>
      <c r="HN32" s="17">
        <f>IF(AND(219&gt;=$B$7,219&lt;=$D$7),1,0)</f>
        <v/>
      </c>
      <c r="HO32" s="17">
        <f>IF(AND(220&gt;=$B$7,220&lt;=$D$7),1,0)</f>
        <v/>
      </c>
      <c r="HP32" s="17">
        <f>IF(AND(221&gt;=$B$7,221&lt;=$D$7),1,0)</f>
        <v/>
      </c>
      <c r="HQ32" s="17">
        <f>IF(AND(222&gt;=$B$7,222&lt;=$D$7),1,0)</f>
        <v/>
      </c>
      <c r="HR32" s="17">
        <f>IF(AND(223&gt;=$B$7,223&lt;=$D$7),1,0)</f>
        <v/>
      </c>
      <c r="HS32" s="17">
        <f>IF(AND(224&gt;=$B$7,224&lt;=$D$7),1,0)</f>
        <v/>
      </c>
      <c r="HT32" s="17">
        <f>IF(AND(225&gt;=$B$7,225&lt;=$D$7),1,0)</f>
        <v/>
      </c>
      <c r="HU32" s="17">
        <f>IF(AND(226&gt;=$B$7,226&lt;=$D$7),1,0)</f>
        <v/>
      </c>
      <c r="HV32" s="17">
        <f>IF(AND(227&gt;=$B$7,227&lt;=$D$7),1,0)</f>
        <v/>
      </c>
      <c r="HW32" s="17">
        <f>IF(AND(228&gt;=$B$7,228&lt;=$D$7),1,0)</f>
        <v/>
      </c>
      <c r="HX32" s="17">
        <f>IF(AND(229&gt;=$B$7,229&lt;=$D$7),1,0)</f>
        <v/>
      </c>
      <c r="HY32" s="17">
        <f>IF(AND(230&gt;=$B$7,230&lt;=$D$7),1,0)</f>
        <v/>
      </c>
      <c r="HZ32" s="17">
        <f>IF(AND(231&gt;=$B$7,231&lt;=$D$7),1,0)</f>
        <v/>
      </c>
      <c r="IA32" s="17">
        <f>IF(AND(232&gt;=$B$7,232&lt;=$D$7),1,0)</f>
        <v/>
      </c>
      <c r="IB32" s="17">
        <f>IF(AND(233&gt;=$B$7,233&lt;=$D$7),1,0)</f>
        <v/>
      </c>
      <c r="IC32" s="17">
        <f>IF(AND(234&gt;=$B$7,234&lt;=$D$7),1,0)</f>
        <v/>
      </c>
      <c r="ID32" s="17">
        <f>IF(AND(235&gt;=$B$7,235&lt;=$D$7),1,0)</f>
        <v/>
      </c>
      <c r="IE32" s="17">
        <f>IF(AND(236&gt;=$B$7,236&lt;=$D$7),1,0)</f>
        <v/>
      </c>
      <c r="IF32" s="17">
        <f>IF(AND(237&gt;=$B$7,237&lt;=$D$7),1,0)</f>
        <v/>
      </c>
      <c r="IG32" s="17">
        <f>IF(AND(238&gt;=$B$7,238&lt;=$D$7),1,0)</f>
        <v/>
      </c>
      <c r="IH32" s="17">
        <f>IF(AND(239&gt;=$B$7,239&lt;=$D$7),1,0)</f>
        <v/>
      </c>
      <c r="II32" s="17">
        <f>IF(AND(240&gt;=$B$7,240&lt;=$D$7),1,0)</f>
        <v/>
      </c>
      <c r="IJ32" s="17">
        <f>IF(AND(241&gt;=$B$7,241&lt;=$D$7),1,0)</f>
        <v/>
      </c>
      <c r="IK32" s="17">
        <f>IF(AND(242&gt;=$B$7,242&lt;=$D$7),1,0)</f>
        <v/>
      </c>
      <c r="IL32" s="17">
        <f>IF(AND(243&gt;=$B$7,243&lt;=$D$7),1,0)</f>
        <v/>
      </c>
      <c r="IM32" s="17">
        <f>IF(AND(244&gt;=$B$7,244&lt;=$D$7),1,0)</f>
        <v/>
      </c>
      <c r="IN32" s="17">
        <f>IF(AND(245&gt;=$B$7,245&lt;=$D$7),1,0)</f>
        <v/>
      </c>
      <c r="IO32" s="17">
        <f>IF(AND(246&gt;=$B$7,246&lt;=$D$7),1,0)</f>
        <v/>
      </c>
      <c r="IP32" s="17">
        <f>IF(AND(247&gt;=$B$7,247&lt;=$D$7),1,0)</f>
        <v/>
      </c>
      <c r="IQ32" s="17">
        <f>IF(AND(248&gt;=$B$7,248&lt;=$D$7),1,0)</f>
        <v/>
      </c>
      <c r="IR32" s="17">
        <f>IF(AND(249&gt;=$B$7,249&lt;=$D$7),1,0)</f>
        <v/>
      </c>
      <c r="IS32" s="17">
        <f>IF(AND(250&gt;=$B$7,250&lt;=$D$7),1,0)</f>
        <v/>
      </c>
      <c r="IT32" s="17">
        <f>IF(AND(251&gt;=$B$7,251&lt;=$D$7),1,0)</f>
        <v/>
      </c>
      <c r="IU32" s="17">
        <f>IF(AND(252&gt;=$B$7,252&lt;=$D$7),1,0)</f>
        <v/>
      </c>
      <c r="IV32" s="17">
        <f>IF(AND(253&gt;=$B$7,253&lt;=$D$7),1,0)</f>
        <v/>
      </c>
      <c r="IW32" s="17">
        <f>IF(AND(254&gt;=$B$7,254&lt;=$D$7),1,0)</f>
        <v/>
      </c>
      <c r="IX32" s="17">
        <f>IF(AND(255&gt;=$B$7,255&lt;=$D$7),1,0)</f>
        <v/>
      </c>
      <c r="IY32" s="17">
        <f>IF(AND(256&gt;=$B$7,256&lt;=$D$7),1,0)</f>
        <v/>
      </c>
      <c r="IZ32" s="17">
        <f>IF(AND(257&gt;=$B$7,257&lt;=$D$7),1,0)</f>
        <v/>
      </c>
      <c r="JA32" s="17">
        <f>IF(AND(258&gt;=$B$7,258&lt;=$D$7),1,0)</f>
        <v/>
      </c>
      <c r="JB32" s="17">
        <f>IF(AND(259&gt;=$B$7,259&lt;=$D$7),1,0)</f>
        <v/>
      </c>
      <c r="JC32" s="17">
        <f>IF(AND(260&gt;=$B$7,260&lt;=$D$7),1,0)</f>
        <v/>
      </c>
      <c r="JD32" s="17">
        <f>IF(AND(261&gt;=$B$7,261&lt;=$D$7),1,0)</f>
        <v/>
      </c>
      <c r="JE32" s="17">
        <f>IF(AND(262&gt;=$B$7,262&lt;=$D$7),1,0)</f>
        <v/>
      </c>
      <c r="JF32" s="17">
        <f>IF(AND(263&gt;=$B$7,263&lt;=$D$7),1,0)</f>
        <v/>
      </c>
      <c r="JG32" s="17">
        <f>IF(AND(264&gt;=$B$7,264&lt;=$D$7),1,0)</f>
        <v/>
      </c>
      <c r="JH32" s="17">
        <f>IF(AND(265&gt;=$B$7,265&lt;=$D$7),1,0)</f>
        <v/>
      </c>
      <c r="JI32" s="17">
        <f>IF(AND(266&gt;=$B$7,266&lt;=$D$7),1,0)</f>
        <v/>
      </c>
      <c r="JJ32" s="17">
        <f>IF(AND(267&gt;=$B$7,267&lt;=$D$7),1,0)</f>
        <v/>
      </c>
      <c r="JK32" s="17">
        <f>IF(AND(268&gt;=$B$7,268&lt;=$D$7),1,0)</f>
        <v/>
      </c>
      <c r="JL32" s="17">
        <f>IF(AND(269&gt;=$B$7,269&lt;=$D$7),1,0)</f>
        <v/>
      </c>
      <c r="JM32" s="17">
        <f>IF(AND(270&gt;=$B$7,270&lt;=$D$7),1,0)</f>
        <v/>
      </c>
      <c r="JN32" s="17">
        <f>IF(AND(271&gt;=$B$7,271&lt;=$D$7),1,0)</f>
        <v/>
      </c>
      <c r="JO32" s="17">
        <f>IF(AND(272&gt;=$B$7,272&lt;=$D$7),1,0)</f>
        <v/>
      </c>
      <c r="JP32" s="17">
        <f>IF(AND(273&gt;=$B$7,273&lt;=$D$7),1,0)</f>
        <v/>
      </c>
      <c r="JQ32" s="17">
        <f>IF(AND(274&gt;=$B$7,274&lt;=$D$7),1,0)</f>
        <v/>
      </c>
      <c r="JR32" s="17">
        <f>IF(AND(275&gt;=$B$7,275&lt;=$D$7),1,0)</f>
        <v/>
      </c>
      <c r="JS32" s="17">
        <f>IF(AND(276&gt;=$B$7,276&lt;=$D$7),1,0)</f>
        <v/>
      </c>
      <c r="JT32" s="17">
        <f>IF(AND(277&gt;=$B$7,277&lt;=$D$7),1,0)</f>
        <v/>
      </c>
      <c r="JU32" s="17">
        <f>IF(AND(278&gt;=$B$7,278&lt;=$D$7),1,0)</f>
        <v/>
      </c>
      <c r="JV32" s="17">
        <f>IF(AND(279&gt;=$B$7,279&lt;=$D$7),1,0)</f>
        <v/>
      </c>
      <c r="JW32" s="17">
        <f>IF(AND(280&gt;=$B$7,280&lt;=$D$7),1,0)</f>
        <v/>
      </c>
      <c r="JX32" s="17">
        <f>IF(AND(281&gt;=$B$7,281&lt;=$D$7),1,0)</f>
        <v/>
      </c>
      <c r="JY32" s="17">
        <f>IF(AND(282&gt;=$B$7,282&lt;=$D$7),1,0)</f>
        <v/>
      </c>
      <c r="JZ32" s="17">
        <f>IF(AND(283&gt;=$B$7,283&lt;=$D$7),1,0)</f>
        <v/>
      </c>
      <c r="KA32" s="17">
        <f>IF(AND(284&gt;=$B$7,284&lt;=$D$7),1,0)</f>
        <v/>
      </c>
      <c r="KB32" s="17">
        <f>IF(AND(285&gt;=$B$7,285&lt;=$D$7),1,0)</f>
        <v/>
      </c>
      <c r="KC32" s="17">
        <f>IF(AND(286&gt;=$B$7,286&lt;=$D$7),1,0)</f>
        <v/>
      </c>
      <c r="KD32" s="17">
        <f>IF(AND(287&gt;=$B$7,287&lt;=$D$7),1,0)</f>
        <v/>
      </c>
      <c r="KE32" s="17">
        <f>IF(AND(288&gt;=$B$7,288&lt;=$D$7),1,0)</f>
        <v/>
      </c>
      <c r="KF32" s="17">
        <f>IF(AND(289&gt;=$B$7,289&lt;=$D$7),1,0)</f>
        <v/>
      </c>
      <c r="KG32" s="17">
        <f>IF(AND(290&gt;=$B$7,290&lt;=$D$7),1,0)</f>
        <v/>
      </c>
      <c r="KH32" s="17">
        <f>IF(AND(291&gt;=$B$7,291&lt;=$D$7),1,0)</f>
        <v/>
      </c>
      <c r="KI32" s="17">
        <f>IF(AND(292&gt;=$B$7,292&lt;=$D$7),1,0)</f>
        <v/>
      </c>
      <c r="KJ32" s="17">
        <f>IF(AND(293&gt;=$B$7,293&lt;=$D$7),1,0)</f>
        <v/>
      </c>
      <c r="KK32" s="17">
        <f>IF(AND(294&gt;=$B$7,294&lt;=$D$7),1,0)</f>
        <v/>
      </c>
      <c r="KL32" s="17">
        <f>IF(AND(295&gt;=$B$7,295&lt;=$D$7),1,0)</f>
        <v/>
      </c>
      <c r="KM32" s="17">
        <f>IF(AND(296&gt;=$B$7,296&lt;=$D$7),1,0)</f>
        <v/>
      </c>
      <c r="KN32" s="17">
        <f>IF(AND(297&gt;=$B$7,297&lt;=$D$7),1,0)</f>
        <v/>
      </c>
      <c r="KO32" s="17">
        <f>IF(AND(298&gt;=$B$7,298&lt;=$D$7),1,0)</f>
        <v/>
      </c>
      <c r="KP32" s="17">
        <f>IF(AND(299&gt;=$B$7,299&lt;=$D$7),1,0)</f>
        <v/>
      </c>
      <c r="KQ32" s="17">
        <f>IF(AND(300&gt;=$B$7,300&lt;=$D$7),1,0)</f>
        <v/>
      </c>
      <c r="KR32" s="17">
        <f>IF(AND(301&gt;=$B$7,301&lt;=$D$7),1,0)</f>
        <v/>
      </c>
      <c r="KS32" s="17">
        <f>IF(AND(302&gt;=$B$7,302&lt;=$D$7),1,0)</f>
        <v/>
      </c>
      <c r="KT32" s="17">
        <f>IF(AND(303&gt;=$B$7,303&lt;=$D$7),1,0)</f>
        <v/>
      </c>
      <c r="KU32" s="17">
        <f>IF(AND(304&gt;=$B$7,304&lt;=$D$7),1,0)</f>
        <v/>
      </c>
      <c r="KV32" s="17">
        <f>IF(AND(305&gt;=$B$7,305&lt;=$D$7),1,0)</f>
        <v/>
      </c>
      <c r="KW32" s="17">
        <f>IF(AND(306&gt;=$B$7,306&lt;=$D$7),1,0)</f>
        <v/>
      </c>
      <c r="KX32" s="17">
        <f>IF(AND(307&gt;=$B$7,307&lt;=$D$7),1,0)</f>
        <v/>
      </c>
      <c r="KY32" s="17">
        <f>IF(AND(308&gt;=$B$7,308&lt;=$D$7),1,0)</f>
        <v/>
      </c>
      <c r="KZ32" s="17">
        <f>IF(AND(309&gt;=$B$7,309&lt;=$D$7),1,0)</f>
        <v/>
      </c>
      <c r="LA32" s="17">
        <f>IF(AND(310&gt;=$B$7,310&lt;=$D$7),1,0)</f>
        <v/>
      </c>
      <c r="LB32" s="17">
        <f>IF(AND(311&gt;=$B$7,311&lt;=$D$7),1,0)</f>
        <v/>
      </c>
      <c r="LC32" s="17">
        <f>IF(AND(312&gt;=$B$7,312&lt;=$D$7),1,0)</f>
        <v/>
      </c>
      <c r="LD32" s="17">
        <f>IF(AND(313&gt;=$B$7,313&lt;=$D$7),1,0)</f>
        <v/>
      </c>
      <c r="LE32" s="17">
        <f>IF(AND(314&gt;=$B$7,314&lt;=$D$7),1,0)</f>
        <v/>
      </c>
      <c r="LF32" s="17">
        <f>IF(AND(315&gt;=$B$7,315&lt;=$D$7),1,0)</f>
        <v/>
      </c>
      <c r="LG32" s="17">
        <f>IF(AND(316&gt;=$B$7,316&lt;=$D$7),1,0)</f>
        <v/>
      </c>
      <c r="LH32" s="17">
        <f>IF(AND(317&gt;=$B$7,317&lt;=$D$7),1,0)</f>
        <v/>
      </c>
      <c r="LI32" s="17">
        <f>IF(AND(318&gt;=$B$7,318&lt;=$D$7),1,0)</f>
        <v/>
      </c>
      <c r="LJ32" s="17">
        <f>IF(AND(319&gt;=$B$7,319&lt;=$D$7),1,0)</f>
        <v/>
      </c>
      <c r="LK32" s="17">
        <f>IF(AND(320&gt;=$B$7,320&lt;=$D$7),1,0)</f>
        <v/>
      </c>
      <c r="LL32" s="17">
        <f>IF(AND(321&gt;=$B$7,321&lt;=$D$7),1,0)</f>
        <v/>
      </c>
      <c r="LM32" s="17">
        <f>IF(AND(322&gt;=$B$7,322&lt;=$D$7),1,0)</f>
        <v/>
      </c>
      <c r="LN32" s="17">
        <f>IF(AND(323&gt;=$B$7,323&lt;=$D$7),1,0)</f>
        <v/>
      </c>
      <c r="LO32" s="17">
        <f>IF(AND(324&gt;=$B$7,324&lt;=$D$7),1,0)</f>
        <v/>
      </c>
      <c r="LP32" s="17">
        <f>IF(AND(325&gt;=$B$7,325&lt;=$D$7),1,0)</f>
        <v/>
      </c>
      <c r="LQ32" s="17">
        <f>IF(AND(326&gt;=$B$7,326&lt;=$D$7),1,0)</f>
        <v/>
      </c>
      <c r="LR32" s="17">
        <f>IF(AND(327&gt;=$B$7,327&lt;=$D$7),1,0)</f>
        <v/>
      </c>
      <c r="LS32" s="17">
        <f>IF(AND(328&gt;=$B$7,328&lt;=$D$7),1,0)</f>
        <v/>
      </c>
      <c r="LT32" s="17">
        <f>IF(AND(329&gt;=$B$7,329&lt;=$D$7),1,0)</f>
        <v/>
      </c>
      <c r="LU32" s="17">
        <f>IF(AND(330&gt;=$B$7,330&lt;=$D$7),1,0)</f>
        <v/>
      </c>
      <c r="LV32" s="17">
        <f>IF(AND(331&gt;=$B$7,331&lt;=$D$7),1,0)</f>
        <v/>
      </c>
      <c r="LW32" s="17">
        <f>IF(AND(332&gt;=$B$7,332&lt;=$D$7),1,0)</f>
        <v/>
      </c>
      <c r="LX32" s="17">
        <f>IF(AND(333&gt;=$B$7,333&lt;=$D$7),1,0)</f>
        <v/>
      </c>
      <c r="LY32" s="17">
        <f>IF(AND(334&gt;=$B$7,334&lt;=$D$7),1,0)</f>
        <v/>
      </c>
      <c r="LZ32" s="17">
        <f>IF(AND(335&gt;=$B$7,335&lt;=$D$7),1,0)</f>
        <v/>
      </c>
      <c r="MA32" s="17">
        <f>IF(AND(336&gt;=$B$7,336&lt;=$D$7),1,0)</f>
        <v/>
      </c>
      <c r="MB32" s="17">
        <f>IF(AND(337&gt;=$B$7,337&lt;=$D$7),1,0)</f>
        <v/>
      </c>
      <c r="MC32" s="17">
        <f>IF(AND(338&gt;=$B$7,338&lt;=$D$7),1,0)</f>
        <v/>
      </c>
      <c r="MD32" s="17">
        <f>IF(AND(339&gt;=$B$7,339&lt;=$D$7),1,0)</f>
        <v/>
      </c>
      <c r="ME32" s="17">
        <f>IF(AND(340&gt;=$B$7,340&lt;=$D$7),1,0)</f>
        <v/>
      </c>
      <c r="MF32" s="17">
        <f>IF(AND(341&gt;=$B$7,341&lt;=$D$7),1,0)</f>
        <v/>
      </c>
      <c r="MG32" s="17">
        <f>IF(AND(342&gt;=$B$7,342&lt;=$D$7),1,0)</f>
        <v/>
      </c>
      <c r="MH32" s="17">
        <f>IF(AND(343&gt;=$B$7,343&lt;=$D$7),1,0)</f>
        <v/>
      </c>
      <c r="MI32" s="17">
        <f>IF(AND(344&gt;=$B$7,344&lt;=$D$7),1,0)</f>
        <v/>
      </c>
      <c r="MJ32" s="17">
        <f>IF(AND(345&gt;=$B$7,345&lt;=$D$7),1,0)</f>
        <v/>
      </c>
      <c r="MK32" s="17">
        <f>IF(AND(346&gt;=$B$7,346&lt;=$D$7),1,0)</f>
        <v/>
      </c>
      <c r="ML32" s="17">
        <f>IF(AND(347&gt;=$B$7,347&lt;=$D$7),1,0)</f>
        <v/>
      </c>
      <c r="MM32" s="17">
        <f>IF(AND(348&gt;=$B$7,348&lt;=$D$7),1,0)</f>
        <v/>
      </c>
      <c r="MN32" s="17">
        <f>IF(AND(349&gt;=$B$7,349&lt;=$D$7),1,0)</f>
        <v/>
      </c>
      <c r="MO32" s="17">
        <f>IF(AND(350&gt;=$B$7,350&lt;=$D$7),1,0)</f>
        <v/>
      </c>
      <c r="MP32" s="17">
        <f>IF(AND(351&gt;=$B$7,351&lt;=$D$7),1,0)</f>
        <v/>
      </c>
      <c r="MQ32" s="17">
        <f>IF(AND(352&gt;=$B$7,352&lt;=$D$7),1,0)</f>
        <v/>
      </c>
      <c r="MR32" s="17">
        <f>IF(AND(353&gt;=$B$7,353&lt;=$D$7),1,0)</f>
        <v/>
      </c>
      <c r="MS32" s="17">
        <f>IF(AND(354&gt;=$B$7,354&lt;=$D$7),1,0)</f>
        <v/>
      </c>
      <c r="MT32" s="17">
        <f>IF(AND(355&gt;=$B$7,355&lt;=$D$7),1,0)</f>
        <v/>
      </c>
      <c r="MU32" s="17">
        <f>IF(AND(356&gt;=$B$7,356&lt;=$D$7),1,0)</f>
        <v/>
      </c>
      <c r="MV32" s="17">
        <f>IF(AND(357&gt;=$B$7,357&lt;=$D$7),1,0)</f>
        <v/>
      </c>
      <c r="MW32" s="17">
        <f>IF(AND(358&gt;=$B$7,358&lt;=$D$7),1,0)</f>
        <v/>
      </c>
      <c r="MX32" s="17">
        <f>IF(AND(359&gt;=$B$7,359&lt;=$D$7),1,0)</f>
        <v/>
      </c>
      <c r="MY32" s="17">
        <f>IF(AND(360&gt;=$B$7,360&lt;=$D$7),1,0)</f>
        <v/>
      </c>
      <c r="MZ32" s="17">
        <f>IF(AND(361&gt;=$B$7,361&lt;=$D$7),1,0)</f>
        <v/>
      </c>
      <c r="NA32" s="17">
        <f>IF(AND(362&gt;=$B$7,362&lt;=$D$7),1,0)</f>
        <v/>
      </c>
      <c r="NB32" s="17">
        <f>IF(AND(363&gt;=$B$7,363&lt;=$D$7),1,0)</f>
        <v/>
      </c>
      <c r="NC32" s="17">
        <f>IF(AND(364&gt;=$B$7,364&lt;=$D$7),1,0)</f>
        <v/>
      </c>
      <c r="ND32" s="17">
        <f>IF(AND(365&gt;=$B$7,365&lt;=$D$7),1,0)</f>
        <v/>
      </c>
      <c r="NE32" s="17">
        <f>IF(AND(366&gt;=$B$7,366&lt;=$D$7),1,0)</f>
        <v/>
      </c>
      <c r="NF32" s="17">
        <f>IF(AND(367&gt;=$B$7,367&lt;=$D$7),1,0)</f>
        <v/>
      </c>
      <c r="NG32" s="17">
        <f>IF(AND(368&gt;=$B$7,368&lt;=$D$7),1,0)</f>
        <v/>
      </c>
      <c r="NH32" s="17">
        <f>IF(AND(369&gt;=$B$7,369&lt;=$D$7),1,0)</f>
        <v/>
      </c>
      <c r="NI32" s="17">
        <f>IF(AND(370&gt;=$B$7,370&lt;=$D$7),1,0)</f>
        <v/>
      </c>
      <c r="NJ32" s="17">
        <f>IF(AND(371&gt;=$B$7,371&lt;=$D$7),1,0)</f>
        <v/>
      </c>
      <c r="NK32" s="17">
        <f>IF(AND(372&gt;=$B$7,372&lt;=$D$7),1,0)</f>
        <v/>
      </c>
    </row>
    <row r="33">
      <c r="A33" s="5" t="inlineStr">
        <is>
          <t>Flag: Initial Closing</t>
        </is>
      </c>
      <c r="C33" s="40" t="n"/>
      <c r="D33" s="17">
        <f>IF(AND(1&gt;=$B$8,1&lt;=$D$8),1,0)</f>
        <v/>
      </c>
      <c r="E33" s="17">
        <f>IF(AND(2&gt;=$B$8,2&lt;=$D$8),1,0)</f>
        <v/>
      </c>
      <c r="F33" s="17">
        <f>IF(AND(3&gt;=$B$8,3&lt;=$D$8),1,0)</f>
        <v/>
      </c>
      <c r="G33" s="17">
        <f>IF(AND(4&gt;=$B$8,4&lt;=$D$8),1,0)</f>
        <v/>
      </c>
      <c r="H33" s="17">
        <f>IF(AND(5&gt;=$B$8,5&lt;=$D$8),1,0)</f>
        <v/>
      </c>
      <c r="I33" s="17">
        <f>IF(AND(6&gt;=$B$8,6&lt;=$D$8),1,0)</f>
        <v/>
      </c>
      <c r="J33" s="17">
        <f>IF(AND(7&gt;=$B$8,7&lt;=$D$8),1,0)</f>
        <v/>
      </c>
      <c r="K33" s="17">
        <f>IF(AND(8&gt;=$B$8,8&lt;=$D$8),1,0)</f>
        <v/>
      </c>
      <c r="L33" s="17">
        <f>IF(AND(9&gt;=$B$8,9&lt;=$D$8),1,0)</f>
        <v/>
      </c>
      <c r="M33" s="17">
        <f>IF(AND(10&gt;=$B$8,10&lt;=$D$8),1,0)</f>
        <v/>
      </c>
      <c r="N33" s="17">
        <f>IF(AND(11&gt;=$B$8,11&lt;=$D$8),1,0)</f>
        <v/>
      </c>
      <c r="O33" s="17">
        <f>IF(AND(12&gt;=$B$8,12&lt;=$D$8),1,0)</f>
        <v/>
      </c>
      <c r="P33" s="17">
        <f>IF(AND(13&gt;=$B$8,13&lt;=$D$8),1,0)</f>
        <v/>
      </c>
      <c r="Q33" s="17">
        <f>IF(AND(14&gt;=$B$8,14&lt;=$D$8),1,0)</f>
        <v/>
      </c>
      <c r="R33" s="17">
        <f>IF(AND(15&gt;=$B$8,15&lt;=$D$8),1,0)</f>
        <v/>
      </c>
      <c r="S33" s="17">
        <f>IF(AND(16&gt;=$B$8,16&lt;=$D$8),1,0)</f>
        <v/>
      </c>
      <c r="T33" s="17">
        <f>IF(AND(17&gt;=$B$8,17&lt;=$D$8),1,0)</f>
        <v/>
      </c>
      <c r="U33" s="17">
        <f>IF(AND(18&gt;=$B$8,18&lt;=$D$8),1,0)</f>
        <v/>
      </c>
      <c r="V33" s="17">
        <f>IF(AND(19&gt;=$B$8,19&lt;=$D$8),1,0)</f>
        <v/>
      </c>
      <c r="W33" s="17">
        <f>IF(AND(20&gt;=$B$8,20&lt;=$D$8),1,0)</f>
        <v/>
      </c>
      <c r="X33" s="17">
        <f>IF(AND(21&gt;=$B$8,21&lt;=$D$8),1,0)</f>
        <v/>
      </c>
      <c r="Y33" s="17">
        <f>IF(AND(22&gt;=$B$8,22&lt;=$D$8),1,0)</f>
        <v/>
      </c>
      <c r="Z33" s="17">
        <f>IF(AND(23&gt;=$B$8,23&lt;=$D$8),1,0)</f>
        <v/>
      </c>
      <c r="AA33" s="17">
        <f>IF(AND(24&gt;=$B$8,24&lt;=$D$8),1,0)</f>
        <v/>
      </c>
      <c r="AB33" s="17">
        <f>IF(AND(25&gt;=$B$8,25&lt;=$D$8),1,0)</f>
        <v/>
      </c>
      <c r="AC33" s="17">
        <f>IF(AND(26&gt;=$B$8,26&lt;=$D$8),1,0)</f>
        <v/>
      </c>
      <c r="AD33" s="17">
        <f>IF(AND(27&gt;=$B$8,27&lt;=$D$8),1,0)</f>
        <v/>
      </c>
      <c r="AE33" s="17">
        <f>IF(AND(28&gt;=$B$8,28&lt;=$D$8),1,0)</f>
        <v/>
      </c>
      <c r="AF33" s="17">
        <f>IF(AND(29&gt;=$B$8,29&lt;=$D$8),1,0)</f>
        <v/>
      </c>
      <c r="AG33" s="17">
        <f>IF(AND(30&gt;=$B$8,30&lt;=$D$8),1,0)</f>
        <v/>
      </c>
      <c r="AH33" s="17">
        <f>IF(AND(31&gt;=$B$8,31&lt;=$D$8),1,0)</f>
        <v/>
      </c>
      <c r="AI33" s="17">
        <f>IF(AND(32&gt;=$B$8,32&lt;=$D$8),1,0)</f>
        <v/>
      </c>
      <c r="AJ33" s="17">
        <f>IF(AND(33&gt;=$B$8,33&lt;=$D$8),1,0)</f>
        <v/>
      </c>
      <c r="AK33" s="17">
        <f>IF(AND(34&gt;=$B$8,34&lt;=$D$8),1,0)</f>
        <v/>
      </c>
      <c r="AL33" s="17">
        <f>IF(AND(35&gt;=$B$8,35&lt;=$D$8),1,0)</f>
        <v/>
      </c>
      <c r="AM33" s="17">
        <f>IF(AND(36&gt;=$B$8,36&lt;=$D$8),1,0)</f>
        <v/>
      </c>
      <c r="AN33" s="17">
        <f>IF(AND(37&gt;=$B$8,37&lt;=$D$8),1,0)</f>
        <v/>
      </c>
      <c r="AO33" s="17">
        <f>IF(AND(38&gt;=$B$8,38&lt;=$D$8),1,0)</f>
        <v/>
      </c>
      <c r="AP33" s="17">
        <f>IF(AND(39&gt;=$B$8,39&lt;=$D$8),1,0)</f>
        <v/>
      </c>
      <c r="AQ33" s="17">
        <f>IF(AND(40&gt;=$B$8,40&lt;=$D$8),1,0)</f>
        <v/>
      </c>
      <c r="AR33" s="17">
        <f>IF(AND(41&gt;=$B$8,41&lt;=$D$8),1,0)</f>
        <v/>
      </c>
      <c r="AS33" s="17">
        <f>IF(AND(42&gt;=$B$8,42&lt;=$D$8),1,0)</f>
        <v/>
      </c>
      <c r="AT33" s="17">
        <f>IF(AND(43&gt;=$B$8,43&lt;=$D$8),1,0)</f>
        <v/>
      </c>
      <c r="AU33" s="17">
        <f>IF(AND(44&gt;=$B$8,44&lt;=$D$8),1,0)</f>
        <v/>
      </c>
      <c r="AV33" s="17">
        <f>IF(AND(45&gt;=$B$8,45&lt;=$D$8),1,0)</f>
        <v/>
      </c>
      <c r="AW33" s="17">
        <f>IF(AND(46&gt;=$B$8,46&lt;=$D$8),1,0)</f>
        <v/>
      </c>
      <c r="AX33" s="17">
        <f>IF(AND(47&gt;=$B$8,47&lt;=$D$8),1,0)</f>
        <v/>
      </c>
      <c r="AY33" s="17">
        <f>IF(AND(48&gt;=$B$8,48&lt;=$D$8),1,0)</f>
        <v/>
      </c>
      <c r="AZ33" s="17">
        <f>IF(AND(49&gt;=$B$8,49&lt;=$D$8),1,0)</f>
        <v/>
      </c>
      <c r="BA33" s="17">
        <f>IF(AND(50&gt;=$B$8,50&lt;=$D$8),1,0)</f>
        <v/>
      </c>
      <c r="BB33" s="17">
        <f>IF(AND(51&gt;=$B$8,51&lt;=$D$8),1,0)</f>
        <v/>
      </c>
      <c r="BC33" s="17">
        <f>IF(AND(52&gt;=$B$8,52&lt;=$D$8),1,0)</f>
        <v/>
      </c>
      <c r="BD33" s="17">
        <f>IF(AND(53&gt;=$B$8,53&lt;=$D$8),1,0)</f>
        <v/>
      </c>
      <c r="BE33" s="17">
        <f>IF(AND(54&gt;=$B$8,54&lt;=$D$8),1,0)</f>
        <v/>
      </c>
      <c r="BF33" s="17">
        <f>IF(AND(55&gt;=$B$8,55&lt;=$D$8),1,0)</f>
        <v/>
      </c>
      <c r="BG33" s="17">
        <f>IF(AND(56&gt;=$B$8,56&lt;=$D$8),1,0)</f>
        <v/>
      </c>
      <c r="BH33" s="17">
        <f>IF(AND(57&gt;=$B$8,57&lt;=$D$8),1,0)</f>
        <v/>
      </c>
      <c r="BI33" s="17">
        <f>IF(AND(58&gt;=$B$8,58&lt;=$D$8),1,0)</f>
        <v/>
      </c>
      <c r="BJ33" s="17">
        <f>IF(AND(59&gt;=$B$8,59&lt;=$D$8),1,0)</f>
        <v/>
      </c>
      <c r="BK33" s="17">
        <f>IF(AND(60&gt;=$B$8,60&lt;=$D$8),1,0)</f>
        <v/>
      </c>
      <c r="BL33" s="17">
        <f>IF(AND(61&gt;=$B$8,61&lt;=$D$8),1,0)</f>
        <v/>
      </c>
      <c r="BM33" s="17">
        <f>IF(AND(62&gt;=$B$8,62&lt;=$D$8),1,0)</f>
        <v/>
      </c>
      <c r="BN33" s="17">
        <f>IF(AND(63&gt;=$B$8,63&lt;=$D$8),1,0)</f>
        <v/>
      </c>
      <c r="BO33" s="17">
        <f>IF(AND(64&gt;=$B$8,64&lt;=$D$8),1,0)</f>
        <v/>
      </c>
      <c r="BP33" s="17">
        <f>IF(AND(65&gt;=$B$8,65&lt;=$D$8),1,0)</f>
        <v/>
      </c>
      <c r="BQ33" s="17">
        <f>IF(AND(66&gt;=$B$8,66&lt;=$D$8),1,0)</f>
        <v/>
      </c>
      <c r="BR33" s="17">
        <f>IF(AND(67&gt;=$B$8,67&lt;=$D$8),1,0)</f>
        <v/>
      </c>
      <c r="BS33" s="17">
        <f>IF(AND(68&gt;=$B$8,68&lt;=$D$8),1,0)</f>
        <v/>
      </c>
      <c r="BT33" s="17">
        <f>IF(AND(69&gt;=$B$8,69&lt;=$D$8),1,0)</f>
        <v/>
      </c>
      <c r="BU33" s="17">
        <f>IF(AND(70&gt;=$B$8,70&lt;=$D$8),1,0)</f>
        <v/>
      </c>
      <c r="BV33" s="17">
        <f>IF(AND(71&gt;=$B$8,71&lt;=$D$8),1,0)</f>
        <v/>
      </c>
      <c r="BW33" s="17">
        <f>IF(AND(72&gt;=$B$8,72&lt;=$D$8),1,0)</f>
        <v/>
      </c>
      <c r="BX33" s="17">
        <f>IF(AND(73&gt;=$B$8,73&lt;=$D$8),1,0)</f>
        <v/>
      </c>
      <c r="BY33" s="17">
        <f>IF(AND(74&gt;=$B$8,74&lt;=$D$8),1,0)</f>
        <v/>
      </c>
      <c r="BZ33" s="17">
        <f>IF(AND(75&gt;=$B$8,75&lt;=$D$8),1,0)</f>
        <v/>
      </c>
      <c r="CA33" s="17">
        <f>IF(AND(76&gt;=$B$8,76&lt;=$D$8),1,0)</f>
        <v/>
      </c>
      <c r="CB33" s="17">
        <f>IF(AND(77&gt;=$B$8,77&lt;=$D$8),1,0)</f>
        <v/>
      </c>
      <c r="CC33" s="17">
        <f>IF(AND(78&gt;=$B$8,78&lt;=$D$8),1,0)</f>
        <v/>
      </c>
      <c r="CD33" s="17">
        <f>IF(AND(79&gt;=$B$8,79&lt;=$D$8),1,0)</f>
        <v/>
      </c>
      <c r="CE33" s="17">
        <f>IF(AND(80&gt;=$B$8,80&lt;=$D$8),1,0)</f>
        <v/>
      </c>
      <c r="CF33" s="17">
        <f>IF(AND(81&gt;=$B$8,81&lt;=$D$8),1,0)</f>
        <v/>
      </c>
      <c r="CG33" s="17">
        <f>IF(AND(82&gt;=$B$8,82&lt;=$D$8),1,0)</f>
        <v/>
      </c>
      <c r="CH33" s="17">
        <f>IF(AND(83&gt;=$B$8,83&lt;=$D$8),1,0)</f>
        <v/>
      </c>
      <c r="CI33" s="17">
        <f>IF(AND(84&gt;=$B$8,84&lt;=$D$8),1,0)</f>
        <v/>
      </c>
      <c r="CJ33" s="17">
        <f>IF(AND(85&gt;=$B$8,85&lt;=$D$8),1,0)</f>
        <v/>
      </c>
      <c r="CK33" s="17">
        <f>IF(AND(86&gt;=$B$8,86&lt;=$D$8),1,0)</f>
        <v/>
      </c>
      <c r="CL33" s="17">
        <f>IF(AND(87&gt;=$B$8,87&lt;=$D$8),1,0)</f>
        <v/>
      </c>
      <c r="CM33" s="17">
        <f>IF(AND(88&gt;=$B$8,88&lt;=$D$8),1,0)</f>
        <v/>
      </c>
      <c r="CN33" s="17">
        <f>IF(AND(89&gt;=$B$8,89&lt;=$D$8),1,0)</f>
        <v/>
      </c>
      <c r="CO33" s="17">
        <f>IF(AND(90&gt;=$B$8,90&lt;=$D$8),1,0)</f>
        <v/>
      </c>
      <c r="CP33" s="17">
        <f>IF(AND(91&gt;=$B$8,91&lt;=$D$8),1,0)</f>
        <v/>
      </c>
      <c r="CQ33" s="17">
        <f>IF(AND(92&gt;=$B$8,92&lt;=$D$8),1,0)</f>
        <v/>
      </c>
      <c r="CR33" s="17">
        <f>IF(AND(93&gt;=$B$8,93&lt;=$D$8),1,0)</f>
        <v/>
      </c>
      <c r="CS33" s="17">
        <f>IF(AND(94&gt;=$B$8,94&lt;=$D$8),1,0)</f>
        <v/>
      </c>
      <c r="CT33" s="17">
        <f>IF(AND(95&gt;=$B$8,95&lt;=$D$8),1,0)</f>
        <v/>
      </c>
      <c r="CU33" s="17">
        <f>IF(AND(96&gt;=$B$8,96&lt;=$D$8),1,0)</f>
        <v/>
      </c>
      <c r="CV33" s="17">
        <f>IF(AND(97&gt;=$B$8,97&lt;=$D$8),1,0)</f>
        <v/>
      </c>
      <c r="CW33" s="17">
        <f>IF(AND(98&gt;=$B$8,98&lt;=$D$8),1,0)</f>
        <v/>
      </c>
      <c r="CX33" s="17">
        <f>IF(AND(99&gt;=$B$8,99&lt;=$D$8),1,0)</f>
        <v/>
      </c>
      <c r="CY33" s="17">
        <f>IF(AND(100&gt;=$B$8,100&lt;=$D$8),1,0)</f>
        <v/>
      </c>
      <c r="CZ33" s="17">
        <f>IF(AND(101&gt;=$B$8,101&lt;=$D$8),1,0)</f>
        <v/>
      </c>
      <c r="DA33" s="17">
        <f>IF(AND(102&gt;=$B$8,102&lt;=$D$8),1,0)</f>
        <v/>
      </c>
      <c r="DB33" s="17">
        <f>IF(AND(103&gt;=$B$8,103&lt;=$D$8),1,0)</f>
        <v/>
      </c>
      <c r="DC33" s="17">
        <f>IF(AND(104&gt;=$B$8,104&lt;=$D$8),1,0)</f>
        <v/>
      </c>
      <c r="DD33" s="17">
        <f>IF(AND(105&gt;=$B$8,105&lt;=$D$8),1,0)</f>
        <v/>
      </c>
      <c r="DE33" s="17">
        <f>IF(AND(106&gt;=$B$8,106&lt;=$D$8),1,0)</f>
        <v/>
      </c>
      <c r="DF33" s="17">
        <f>IF(AND(107&gt;=$B$8,107&lt;=$D$8),1,0)</f>
        <v/>
      </c>
      <c r="DG33" s="17">
        <f>IF(AND(108&gt;=$B$8,108&lt;=$D$8),1,0)</f>
        <v/>
      </c>
      <c r="DH33" s="17">
        <f>IF(AND(109&gt;=$B$8,109&lt;=$D$8),1,0)</f>
        <v/>
      </c>
      <c r="DI33" s="17">
        <f>IF(AND(110&gt;=$B$8,110&lt;=$D$8),1,0)</f>
        <v/>
      </c>
      <c r="DJ33" s="17">
        <f>IF(AND(111&gt;=$B$8,111&lt;=$D$8),1,0)</f>
        <v/>
      </c>
      <c r="DK33" s="17">
        <f>IF(AND(112&gt;=$B$8,112&lt;=$D$8),1,0)</f>
        <v/>
      </c>
      <c r="DL33" s="17">
        <f>IF(AND(113&gt;=$B$8,113&lt;=$D$8),1,0)</f>
        <v/>
      </c>
      <c r="DM33" s="17">
        <f>IF(AND(114&gt;=$B$8,114&lt;=$D$8),1,0)</f>
        <v/>
      </c>
      <c r="DN33" s="17">
        <f>IF(AND(115&gt;=$B$8,115&lt;=$D$8),1,0)</f>
        <v/>
      </c>
      <c r="DO33" s="17">
        <f>IF(AND(116&gt;=$B$8,116&lt;=$D$8),1,0)</f>
        <v/>
      </c>
      <c r="DP33" s="17">
        <f>IF(AND(117&gt;=$B$8,117&lt;=$D$8),1,0)</f>
        <v/>
      </c>
      <c r="DQ33" s="17">
        <f>IF(AND(118&gt;=$B$8,118&lt;=$D$8),1,0)</f>
        <v/>
      </c>
      <c r="DR33" s="17">
        <f>IF(AND(119&gt;=$B$8,119&lt;=$D$8),1,0)</f>
        <v/>
      </c>
      <c r="DS33" s="17">
        <f>IF(AND(120&gt;=$B$8,120&lt;=$D$8),1,0)</f>
        <v/>
      </c>
      <c r="DT33" s="17">
        <f>IF(AND(121&gt;=$B$8,121&lt;=$D$8),1,0)</f>
        <v/>
      </c>
      <c r="DU33" s="17">
        <f>IF(AND(122&gt;=$B$8,122&lt;=$D$8),1,0)</f>
        <v/>
      </c>
      <c r="DV33" s="17">
        <f>IF(AND(123&gt;=$B$8,123&lt;=$D$8),1,0)</f>
        <v/>
      </c>
      <c r="DW33" s="17">
        <f>IF(AND(124&gt;=$B$8,124&lt;=$D$8),1,0)</f>
        <v/>
      </c>
      <c r="DX33" s="17">
        <f>IF(AND(125&gt;=$B$8,125&lt;=$D$8),1,0)</f>
        <v/>
      </c>
      <c r="DY33" s="17">
        <f>IF(AND(126&gt;=$B$8,126&lt;=$D$8),1,0)</f>
        <v/>
      </c>
      <c r="DZ33" s="17">
        <f>IF(AND(127&gt;=$B$8,127&lt;=$D$8),1,0)</f>
        <v/>
      </c>
      <c r="EA33" s="17">
        <f>IF(AND(128&gt;=$B$8,128&lt;=$D$8),1,0)</f>
        <v/>
      </c>
      <c r="EB33" s="17">
        <f>IF(AND(129&gt;=$B$8,129&lt;=$D$8),1,0)</f>
        <v/>
      </c>
      <c r="EC33" s="17">
        <f>IF(AND(130&gt;=$B$8,130&lt;=$D$8),1,0)</f>
        <v/>
      </c>
      <c r="ED33" s="17">
        <f>IF(AND(131&gt;=$B$8,131&lt;=$D$8),1,0)</f>
        <v/>
      </c>
      <c r="EE33" s="17">
        <f>IF(AND(132&gt;=$B$8,132&lt;=$D$8),1,0)</f>
        <v/>
      </c>
      <c r="EF33" s="17">
        <f>IF(AND(133&gt;=$B$8,133&lt;=$D$8),1,0)</f>
        <v/>
      </c>
      <c r="EG33" s="17">
        <f>IF(AND(134&gt;=$B$8,134&lt;=$D$8),1,0)</f>
        <v/>
      </c>
      <c r="EH33" s="17">
        <f>IF(AND(135&gt;=$B$8,135&lt;=$D$8),1,0)</f>
        <v/>
      </c>
      <c r="EI33" s="17">
        <f>IF(AND(136&gt;=$B$8,136&lt;=$D$8),1,0)</f>
        <v/>
      </c>
      <c r="EJ33" s="17">
        <f>IF(AND(137&gt;=$B$8,137&lt;=$D$8),1,0)</f>
        <v/>
      </c>
      <c r="EK33" s="17">
        <f>IF(AND(138&gt;=$B$8,138&lt;=$D$8),1,0)</f>
        <v/>
      </c>
      <c r="EL33" s="17">
        <f>IF(AND(139&gt;=$B$8,139&lt;=$D$8),1,0)</f>
        <v/>
      </c>
      <c r="EM33" s="17">
        <f>IF(AND(140&gt;=$B$8,140&lt;=$D$8),1,0)</f>
        <v/>
      </c>
      <c r="EN33" s="17">
        <f>IF(AND(141&gt;=$B$8,141&lt;=$D$8),1,0)</f>
        <v/>
      </c>
      <c r="EO33" s="17">
        <f>IF(AND(142&gt;=$B$8,142&lt;=$D$8),1,0)</f>
        <v/>
      </c>
      <c r="EP33" s="17">
        <f>IF(AND(143&gt;=$B$8,143&lt;=$D$8),1,0)</f>
        <v/>
      </c>
      <c r="EQ33" s="17">
        <f>IF(AND(144&gt;=$B$8,144&lt;=$D$8),1,0)</f>
        <v/>
      </c>
      <c r="ER33" s="17">
        <f>IF(AND(145&gt;=$B$8,145&lt;=$D$8),1,0)</f>
        <v/>
      </c>
      <c r="ES33" s="17">
        <f>IF(AND(146&gt;=$B$8,146&lt;=$D$8),1,0)</f>
        <v/>
      </c>
      <c r="ET33" s="17">
        <f>IF(AND(147&gt;=$B$8,147&lt;=$D$8),1,0)</f>
        <v/>
      </c>
      <c r="EU33" s="17">
        <f>IF(AND(148&gt;=$B$8,148&lt;=$D$8),1,0)</f>
        <v/>
      </c>
      <c r="EV33" s="17">
        <f>IF(AND(149&gt;=$B$8,149&lt;=$D$8),1,0)</f>
        <v/>
      </c>
      <c r="EW33" s="17">
        <f>IF(AND(150&gt;=$B$8,150&lt;=$D$8),1,0)</f>
        <v/>
      </c>
      <c r="EX33" s="17">
        <f>IF(AND(151&gt;=$B$8,151&lt;=$D$8),1,0)</f>
        <v/>
      </c>
      <c r="EY33" s="17">
        <f>IF(AND(152&gt;=$B$8,152&lt;=$D$8),1,0)</f>
        <v/>
      </c>
      <c r="EZ33" s="17">
        <f>IF(AND(153&gt;=$B$8,153&lt;=$D$8),1,0)</f>
        <v/>
      </c>
      <c r="FA33" s="17">
        <f>IF(AND(154&gt;=$B$8,154&lt;=$D$8),1,0)</f>
        <v/>
      </c>
      <c r="FB33" s="17">
        <f>IF(AND(155&gt;=$B$8,155&lt;=$D$8),1,0)</f>
        <v/>
      </c>
      <c r="FC33" s="17">
        <f>IF(AND(156&gt;=$B$8,156&lt;=$D$8),1,0)</f>
        <v/>
      </c>
      <c r="FD33" s="17">
        <f>IF(AND(157&gt;=$B$8,157&lt;=$D$8),1,0)</f>
        <v/>
      </c>
      <c r="FE33" s="17">
        <f>IF(AND(158&gt;=$B$8,158&lt;=$D$8),1,0)</f>
        <v/>
      </c>
      <c r="FF33" s="17">
        <f>IF(AND(159&gt;=$B$8,159&lt;=$D$8),1,0)</f>
        <v/>
      </c>
      <c r="FG33" s="17">
        <f>IF(AND(160&gt;=$B$8,160&lt;=$D$8),1,0)</f>
        <v/>
      </c>
      <c r="FH33" s="17">
        <f>IF(AND(161&gt;=$B$8,161&lt;=$D$8),1,0)</f>
        <v/>
      </c>
      <c r="FI33" s="17">
        <f>IF(AND(162&gt;=$B$8,162&lt;=$D$8),1,0)</f>
        <v/>
      </c>
      <c r="FJ33" s="17">
        <f>IF(AND(163&gt;=$B$8,163&lt;=$D$8),1,0)</f>
        <v/>
      </c>
      <c r="FK33" s="17">
        <f>IF(AND(164&gt;=$B$8,164&lt;=$D$8),1,0)</f>
        <v/>
      </c>
      <c r="FL33" s="17">
        <f>IF(AND(165&gt;=$B$8,165&lt;=$D$8),1,0)</f>
        <v/>
      </c>
      <c r="FM33" s="17">
        <f>IF(AND(166&gt;=$B$8,166&lt;=$D$8),1,0)</f>
        <v/>
      </c>
      <c r="FN33" s="17">
        <f>IF(AND(167&gt;=$B$8,167&lt;=$D$8),1,0)</f>
        <v/>
      </c>
      <c r="FO33" s="17">
        <f>IF(AND(168&gt;=$B$8,168&lt;=$D$8),1,0)</f>
        <v/>
      </c>
      <c r="FP33" s="17">
        <f>IF(AND(169&gt;=$B$8,169&lt;=$D$8),1,0)</f>
        <v/>
      </c>
      <c r="FQ33" s="17">
        <f>IF(AND(170&gt;=$B$8,170&lt;=$D$8),1,0)</f>
        <v/>
      </c>
      <c r="FR33" s="17">
        <f>IF(AND(171&gt;=$B$8,171&lt;=$D$8),1,0)</f>
        <v/>
      </c>
      <c r="FS33" s="17">
        <f>IF(AND(172&gt;=$B$8,172&lt;=$D$8),1,0)</f>
        <v/>
      </c>
      <c r="FT33" s="17">
        <f>IF(AND(173&gt;=$B$8,173&lt;=$D$8),1,0)</f>
        <v/>
      </c>
      <c r="FU33" s="17">
        <f>IF(AND(174&gt;=$B$8,174&lt;=$D$8),1,0)</f>
        <v/>
      </c>
      <c r="FV33" s="17">
        <f>IF(AND(175&gt;=$B$8,175&lt;=$D$8),1,0)</f>
        <v/>
      </c>
      <c r="FW33" s="17">
        <f>IF(AND(176&gt;=$B$8,176&lt;=$D$8),1,0)</f>
        <v/>
      </c>
      <c r="FX33" s="17">
        <f>IF(AND(177&gt;=$B$8,177&lt;=$D$8),1,0)</f>
        <v/>
      </c>
      <c r="FY33" s="17">
        <f>IF(AND(178&gt;=$B$8,178&lt;=$D$8),1,0)</f>
        <v/>
      </c>
      <c r="FZ33" s="17">
        <f>IF(AND(179&gt;=$B$8,179&lt;=$D$8),1,0)</f>
        <v/>
      </c>
      <c r="GA33" s="17">
        <f>IF(AND(180&gt;=$B$8,180&lt;=$D$8),1,0)</f>
        <v/>
      </c>
      <c r="GB33" s="17">
        <f>IF(AND(181&gt;=$B$8,181&lt;=$D$8),1,0)</f>
        <v/>
      </c>
      <c r="GC33" s="17">
        <f>IF(AND(182&gt;=$B$8,182&lt;=$D$8),1,0)</f>
        <v/>
      </c>
      <c r="GD33" s="17">
        <f>IF(AND(183&gt;=$B$8,183&lt;=$D$8),1,0)</f>
        <v/>
      </c>
      <c r="GE33" s="17">
        <f>IF(AND(184&gt;=$B$8,184&lt;=$D$8),1,0)</f>
        <v/>
      </c>
      <c r="GF33" s="17">
        <f>IF(AND(185&gt;=$B$8,185&lt;=$D$8),1,0)</f>
        <v/>
      </c>
      <c r="GG33" s="17">
        <f>IF(AND(186&gt;=$B$8,186&lt;=$D$8),1,0)</f>
        <v/>
      </c>
      <c r="GH33" s="17">
        <f>IF(AND(187&gt;=$B$8,187&lt;=$D$8),1,0)</f>
        <v/>
      </c>
      <c r="GI33" s="17">
        <f>IF(AND(188&gt;=$B$8,188&lt;=$D$8),1,0)</f>
        <v/>
      </c>
      <c r="GJ33" s="17">
        <f>IF(AND(189&gt;=$B$8,189&lt;=$D$8),1,0)</f>
        <v/>
      </c>
      <c r="GK33" s="17">
        <f>IF(AND(190&gt;=$B$8,190&lt;=$D$8),1,0)</f>
        <v/>
      </c>
      <c r="GL33" s="17">
        <f>IF(AND(191&gt;=$B$8,191&lt;=$D$8),1,0)</f>
        <v/>
      </c>
      <c r="GM33" s="17">
        <f>IF(AND(192&gt;=$B$8,192&lt;=$D$8),1,0)</f>
        <v/>
      </c>
      <c r="GN33" s="17">
        <f>IF(AND(193&gt;=$B$8,193&lt;=$D$8),1,0)</f>
        <v/>
      </c>
      <c r="GO33" s="17">
        <f>IF(AND(194&gt;=$B$8,194&lt;=$D$8),1,0)</f>
        <v/>
      </c>
      <c r="GP33" s="17">
        <f>IF(AND(195&gt;=$B$8,195&lt;=$D$8),1,0)</f>
        <v/>
      </c>
      <c r="GQ33" s="17">
        <f>IF(AND(196&gt;=$B$8,196&lt;=$D$8),1,0)</f>
        <v/>
      </c>
      <c r="GR33" s="17">
        <f>IF(AND(197&gt;=$B$8,197&lt;=$D$8),1,0)</f>
        <v/>
      </c>
      <c r="GS33" s="17">
        <f>IF(AND(198&gt;=$B$8,198&lt;=$D$8),1,0)</f>
        <v/>
      </c>
      <c r="GT33" s="17">
        <f>IF(AND(199&gt;=$B$8,199&lt;=$D$8),1,0)</f>
        <v/>
      </c>
      <c r="GU33" s="17">
        <f>IF(AND(200&gt;=$B$8,200&lt;=$D$8),1,0)</f>
        <v/>
      </c>
      <c r="GV33" s="17">
        <f>IF(AND(201&gt;=$B$8,201&lt;=$D$8),1,0)</f>
        <v/>
      </c>
      <c r="GW33" s="17">
        <f>IF(AND(202&gt;=$B$8,202&lt;=$D$8),1,0)</f>
        <v/>
      </c>
      <c r="GX33" s="17">
        <f>IF(AND(203&gt;=$B$8,203&lt;=$D$8),1,0)</f>
        <v/>
      </c>
      <c r="GY33" s="17">
        <f>IF(AND(204&gt;=$B$8,204&lt;=$D$8),1,0)</f>
        <v/>
      </c>
      <c r="GZ33" s="17">
        <f>IF(AND(205&gt;=$B$8,205&lt;=$D$8),1,0)</f>
        <v/>
      </c>
      <c r="HA33" s="17">
        <f>IF(AND(206&gt;=$B$8,206&lt;=$D$8),1,0)</f>
        <v/>
      </c>
      <c r="HB33" s="17">
        <f>IF(AND(207&gt;=$B$8,207&lt;=$D$8),1,0)</f>
        <v/>
      </c>
      <c r="HC33" s="17">
        <f>IF(AND(208&gt;=$B$8,208&lt;=$D$8),1,0)</f>
        <v/>
      </c>
      <c r="HD33" s="17">
        <f>IF(AND(209&gt;=$B$8,209&lt;=$D$8),1,0)</f>
        <v/>
      </c>
      <c r="HE33" s="17">
        <f>IF(AND(210&gt;=$B$8,210&lt;=$D$8),1,0)</f>
        <v/>
      </c>
      <c r="HF33" s="17">
        <f>IF(AND(211&gt;=$B$8,211&lt;=$D$8),1,0)</f>
        <v/>
      </c>
      <c r="HG33" s="17">
        <f>IF(AND(212&gt;=$B$8,212&lt;=$D$8),1,0)</f>
        <v/>
      </c>
      <c r="HH33" s="17">
        <f>IF(AND(213&gt;=$B$8,213&lt;=$D$8),1,0)</f>
        <v/>
      </c>
      <c r="HI33" s="17">
        <f>IF(AND(214&gt;=$B$8,214&lt;=$D$8),1,0)</f>
        <v/>
      </c>
      <c r="HJ33" s="17">
        <f>IF(AND(215&gt;=$B$8,215&lt;=$D$8),1,0)</f>
        <v/>
      </c>
      <c r="HK33" s="17">
        <f>IF(AND(216&gt;=$B$8,216&lt;=$D$8),1,0)</f>
        <v/>
      </c>
      <c r="HL33" s="17">
        <f>IF(AND(217&gt;=$B$8,217&lt;=$D$8),1,0)</f>
        <v/>
      </c>
      <c r="HM33" s="17">
        <f>IF(AND(218&gt;=$B$8,218&lt;=$D$8),1,0)</f>
        <v/>
      </c>
      <c r="HN33" s="17">
        <f>IF(AND(219&gt;=$B$8,219&lt;=$D$8),1,0)</f>
        <v/>
      </c>
      <c r="HO33" s="17">
        <f>IF(AND(220&gt;=$B$8,220&lt;=$D$8),1,0)</f>
        <v/>
      </c>
      <c r="HP33" s="17">
        <f>IF(AND(221&gt;=$B$8,221&lt;=$D$8),1,0)</f>
        <v/>
      </c>
      <c r="HQ33" s="17">
        <f>IF(AND(222&gt;=$B$8,222&lt;=$D$8),1,0)</f>
        <v/>
      </c>
      <c r="HR33" s="17">
        <f>IF(AND(223&gt;=$B$8,223&lt;=$D$8),1,0)</f>
        <v/>
      </c>
      <c r="HS33" s="17">
        <f>IF(AND(224&gt;=$B$8,224&lt;=$D$8),1,0)</f>
        <v/>
      </c>
      <c r="HT33" s="17">
        <f>IF(AND(225&gt;=$B$8,225&lt;=$D$8),1,0)</f>
        <v/>
      </c>
      <c r="HU33" s="17">
        <f>IF(AND(226&gt;=$B$8,226&lt;=$D$8),1,0)</f>
        <v/>
      </c>
      <c r="HV33" s="17">
        <f>IF(AND(227&gt;=$B$8,227&lt;=$D$8),1,0)</f>
        <v/>
      </c>
      <c r="HW33" s="17">
        <f>IF(AND(228&gt;=$B$8,228&lt;=$D$8),1,0)</f>
        <v/>
      </c>
      <c r="HX33" s="17">
        <f>IF(AND(229&gt;=$B$8,229&lt;=$D$8),1,0)</f>
        <v/>
      </c>
      <c r="HY33" s="17">
        <f>IF(AND(230&gt;=$B$8,230&lt;=$D$8),1,0)</f>
        <v/>
      </c>
      <c r="HZ33" s="17">
        <f>IF(AND(231&gt;=$B$8,231&lt;=$D$8),1,0)</f>
        <v/>
      </c>
      <c r="IA33" s="17">
        <f>IF(AND(232&gt;=$B$8,232&lt;=$D$8),1,0)</f>
        <v/>
      </c>
      <c r="IB33" s="17">
        <f>IF(AND(233&gt;=$B$8,233&lt;=$D$8),1,0)</f>
        <v/>
      </c>
      <c r="IC33" s="17">
        <f>IF(AND(234&gt;=$B$8,234&lt;=$D$8),1,0)</f>
        <v/>
      </c>
      <c r="ID33" s="17">
        <f>IF(AND(235&gt;=$B$8,235&lt;=$D$8),1,0)</f>
        <v/>
      </c>
      <c r="IE33" s="17">
        <f>IF(AND(236&gt;=$B$8,236&lt;=$D$8),1,0)</f>
        <v/>
      </c>
      <c r="IF33" s="17">
        <f>IF(AND(237&gt;=$B$8,237&lt;=$D$8),1,0)</f>
        <v/>
      </c>
      <c r="IG33" s="17">
        <f>IF(AND(238&gt;=$B$8,238&lt;=$D$8),1,0)</f>
        <v/>
      </c>
      <c r="IH33" s="17">
        <f>IF(AND(239&gt;=$B$8,239&lt;=$D$8),1,0)</f>
        <v/>
      </c>
      <c r="II33" s="17">
        <f>IF(AND(240&gt;=$B$8,240&lt;=$D$8),1,0)</f>
        <v/>
      </c>
      <c r="IJ33" s="17">
        <f>IF(AND(241&gt;=$B$8,241&lt;=$D$8),1,0)</f>
        <v/>
      </c>
      <c r="IK33" s="17">
        <f>IF(AND(242&gt;=$B$8,242&lt;=$D$8),1,0)</f>
        <v/>
      </c>
      <c r="IL33" s="17">
        <f>IF(AND(243&gt;=$B$8,243&lt;=$D$8),1,0)</f>
        <v/>
      </c>
      <c r="IM33" s="17">
        <f>IF(AND(244&gt;=$B$8,244&lt;=$D$8),1,0)</f>
        <v/>
      </c>
      <c r="IN33" s="17">
        <f>IF(AND(245&gt;=$B$8,245&lt;=$D$8),1,0)</f>
        <v/>
      </c>
      <c r="IO33" s="17">
        <f>IF(AND(246&gt;=$B$8,246&lt;=$D$8),1,0)</f>
        <v/>
      </c>
      <c r="IP33" s="17">
        <f>IF(AND(247&gt;=$B$8,247&lt;=$D$8),1,0)</f>
        <v/>
      </c>
      <c r="IQ33" s="17">
        <f>IF(AND(248&gt;=$B$8,248&lt;=$D$8),1,0)</f>
        <v/>
      </c>
      <c r="IR33" s="17">
        <f>IF(AND(249&gt;=$B$8,249&lt;=$D$8),1,0)</f>
        <v/>
      </c>
      <c r="IS33" s="17">
        <f>IF(AND(250&gt;=$B$8,250&lt;=$D$8),1,0)</f>
        <v/>
      </c>
      <c r="IT33" s="17">
        <f>IF(AND(251&gt;=$B$8,251&lt;=$D$8),1,0)</f>
        <v/>
      </c>
      <c r="IU33" s="17">
        <f>IF(AND(252&gt;=$B$8,252&lt;=$D$8),1,0)</f>
        <v/>
      </c>
      <c r="IV33" s="17">
        <f>IF(AND(253&gt;=$B$8,253&lt;=$D$8),1,0)</f>
        <v/>
      </c>
      <c r="IW33" s="17">
        <f>IF(AND(254&gt;=$B$8,254&lt;=$D$8),1,0)</f>
        <v/>
      </c>
      <c r="IX33" s="17">
        <f>IF(AND(255&gt;=$B$8,255&lt;=$D$8),1,0)</f>
        <v/>
      </c>
      <c r="IY33" s="17">
        <f>IF(AND(256&gt;=$B$8,256&lt;=$D$8),1,0)</f>
        <v/>
      </c>
      <c r="IZ33" s="17">
        <f>IF(AND(257&gt;=$B$8,257&lt;=$D$8),1,0)</f>
        <v/>
      </c>
      <c r="JA33" s="17">
        <f>IF(AND(258&gt;=$B$8,258&lt;=$D$8),1,0)</f>
        <v/>
      </c>
      <c r="JB33" s="17">
        <f>IF(AND(259&gt;=$B$8,259&lt;=$D$8),1,0)</f>
        <v/>
      </c>
      <c r="JC33" s="17">
        <f>IF(AND(260&gt;=$B$8,260&lt;=$D$8),1,0)</f>
        <v/>
      </c>
      <c r="JD33" s="17">
        <f>IF(AND(261&gt;=$B$8,261&lt;=$D$8),1,0)</f>
        <v/>
      </c>
      <c r="JE33" s="17">
        <f>IF(AND(262&gt;=$B$8,262&lt;=$D$8),1,0)</f>
        <v/>
      </c>
      <c r="JF33" s="17">
        <f>IF(AND(263&gt;=$B$8,263&lt;=$D$8),1,0)</f>
        <v/>
      </c>
      <c r="JG33" s="17">
        <f>IF(AND(264&gt;=$B$8,264&lt;=$D$8),1,0)</f>
        <v/>
      </c>
      <c r="JH33" s="17">
        <f>IF(AND(265&gt;=$B$8,265&lt;=$D$8),1,0)</f>
        <v/>
      </c>
      <c r="JI33" s="17">
        <f>IF(AND(266&gt;=$B$8,266&lt;=$D$8),1,0)</f>
        <v/>
      </c>
      <c r="JJ33" s="17">
        <f>IF(AND(267&gt;=$B$8,267&lt;=$D$8),1,0)</f>
        <v/>
      </c>
      <c r="JK33" s="17">
        <f>IF(AND(268&gt;=$B$8,268&lt;=$D$8),1,0)</f>
        <v/>
      </c>
      <c r="JL33" s="17">
        <f>IF(AND(269&gt;=$B$8,269&lt;=$D$8),1,0)</f>
        <v/>
      </c>
      <c r="JM33" s="17">
        <f>IF(AND(270&gt;=$B$8,270&lt;=$D$8),1,0)</f>
        <v/>
      </c>
      <c r="JN33" s="17">
        <f>IF(AND(271&gt;=$B$8,271&lt;=$D$8),1,0)</f>
        <v/>
      </c>
      <c r="JO33" s="17">
        <f>IF(AND(272&gt;=$B$8,272&lt;=$D$8),1,0)</f>
        <v/>
      </c>
      <c r="JP33" s="17">
        <f>IF(AND(273&gt;=$B$8,273&lt;=$D$8),1,0)</f>
        <v/>
      </c>
      <c r="JQ33" s="17">
        <f>IF(AND(274&gt;=$B$8,274&lt;=$D$8),1,0)</f>
        <v/>
      </c>
      <c r="JR33" s="17">
        <f>IF(AND(275&gt;=$B$8,275&lt;=$D$8),1,0)</f>
        <v/>
      </c>
      <c r="JS33" s="17">
        <f>IF(AND(276&gt;=$B$8,276&lt;=$D$8),1,0)</f>
        <v/>
      </c>
      <c r="JT33" s="17">
        <f>IF(AND(277&gt;=$B$8,277&lt;=$D$8),1,0)</f>
        <v/>
      </c>
      <c r="JU33" s="17">
        <f>IF(AND(278&gt;=$B$8,278&lt;=$D$8),1,0)</f>
        <v/>
      </c>
      <c r="JV33" s="17">
        <f>IF(AND(279&gt;=$B$8,279&lt;=$D$8),1,0)</f>
        <v/>
      </c>
      <c r="JW33" s="17">
        <f>IF(AND(280&gt;=$B$8,280&lt;=$D$8),1,0)</f>
        <v/>
      </c>
      <c r="JX33" s="17">
        <f>IF(AND(281&gt;=$B$8,281&lt;=$D$8),1,0)</f>
        <v/>
      </c>
      <c r="JY33" s="17">
        <f>IF(AND(282&gt;=$B$8,282&lt;=$D$8),1,0)</f>
        <v/>
      </c>
      <c r="JZ33" s="17">
        <f>IF(AND(283&gt;=$B$8,283&lt;=$D$8),1,0)</f>
        <v/>
      </c>
      <c r="KA33" s="17">
        <f>IF(AND(284&gt;=$B$8,284&lt;=$D$8),1,0)</f>
        <v/>
      </c>
      <c r="KB33" s="17">
        <f>IF(AND(285&gt;=$B$8,285&lt;=$D$8),1,0)</f>
        <v/>
      </c>
      <c r="KC33" s="17">
        <f>IF(AND(286&gt;=$B$8,286&lt;=$D$8),1,0)</f>
        <v/>
      </c>
      <c r="KD33" s="17">
        <f>IF(AND(287&gt;=$B$8,287&lt;=$D$8),1,0)</f>
        <v/>
      </c>
      <c r="KE33" s="17">
        <f>IF(AND(288&gt;=$B$8,288&lt;=$D$8),1,0)</f>
        <v/>
      </c>
      <c r="KF33" s="17">
        <f>IF(AND(289&gt;=$B$8,289&lt;=$D$8),1,0)</f>
        <v/>
      </c>
      <c r="KG33" s="17">
        <f>IF(AND(290&gt;=$B$8,290&lt;=$D$8),1,0)</f>
        <v/>
      </c>
      <c r="KH33" s="17">
        <f>IF(AND(291&gt;=$B$8,291&lt;=$D$8),1,0)</f>
        <v/>
      </c>
      <c r="KI33" s="17">
        <f>IF(AND(292&gt;=$B$8,292&lt;=$D$8),1,0)</f>
        <v/>
      </c>
      <c r="KJ33" s="17">
        <f>IF(AND(293&gt;=$B$8,293&lt;=$D$8),1,0)</f>
        <v/>
      </c>
      <c r="KK33" s="17">
        <f>IF(AND(294&gt;=$B$8,294&lt;=$D$8),1,0)</f>
        <v/>
      </c>
      <c r="KL33" s="17">
        <f>IF(AND(295&gt;=$B$8,295&lt;=$D$8),1,0)</f>
        <v/>
      </c>
      <c r="KM33" s="17">
        <f>IF(AND(296&gt;=$B$8,296&lt;=$D$8),1,0)</f>
        <v/>
      </c>
      <c r="KN33" s="17">
        <f>IF(AND(297&gt;=$B$8,297&lt;=$D$8),1,0)</f>
        <v/>
      </c>
      <c r="KO33" s="17">
        <f>IF(AND(298&gt;=$B$8,298&lt;=$D$8),1,0)</f>
        <v/>
      </c>
      <c r="KP33" s="17">
        <f>IF(AND(299&gt;=$B$8,299&lt;=$D$8),1,0)</f>
        <v/>
      </c>
      <c r="KQ33" s="17">
        <f>IF(AND(300&gt;=$B$8,300&lt;=$D$8),1,0)</f>
        <v/>
      </c>
      <c r="KR33" s="17">
        <f>IF(AND(301&gt;=$B$8,301&lt;=$D$8),1,0)</f>
        <v/>
      </c>
      <c r="KS33" s="17">
        <f>IF(AND(302&gt;=$B$8,302&lt;=$D$8),1,0)</f>
        <v/>
      </c>
      <c r="KT33" s="17">
        <f>IF(AND(303&gt;=$B$8,303&lt;=$D$8),1,0)</f>
        <v/>
      </c>
      <c r="KU33" s="17">
        <f>IF(AND(304&gt;=$B$8,304&lt;=$D$8),1,0)</f>
        <v/>
      </c>
      <c r="KV33" s="17">
        <f>IF(AND(305&gt;=$B$8,305&lt;=$D$8),1,0)</f>
        <v/>
      </c>
      <c r="KW33" s="17">
        <f>IF(AND(306&gt;=$B$8,306&lt;=$D$8),1,0)</f>
        <v/>
      </c>
      <c r="KX33" s="17">
        <f>IF(AND(307&gt;=$B$8,307&lt;=$D$8),1,0)</f>
        <v/>
      </c>
      <c r="KY33" s="17">
        <f>IF(AND(308&gt;=$B$8,308&lt;=$D$8),1,0)</f>
        <v/>
      </c>
      <c r="KZ33" s="17">
        <f>IF(AND(309&gt;=$B$8,309&lt;=$D$8),1,0)</f>
        <v/>
      </c>
      <c r="LA33" s="17">
        <f>IF(AND(310&gt;=$B$8,310&lt;=$D$8),1,0)</f>
        <v/>
      </c>
      <c r="LB33" s="17">
        <f>IF(AND(311&gt;=$B$8,311&lt;=$D$8),1,0)</f>
        <v/>
      </c>
      <c r="LC33" s="17">
        <f>IF(AND(312&gt;=$B$8,312&lt;=$D$8),1,0)</f>
        <v/>
      </c>
      <c r="LD33" s="17">
        <f>IF(AND(313&gt;=$B$8,313&lt;=$D$8),1,0)</f>
        <v/>
      </c>
      <c r="LE33" s="17">
        <f>IF(AND(314&gt;=$B$8,314&lt;=$D$8),1,0)</f>
        <v/>
      </c>
      <c r="LF33" s="17">
        <f>IF(AND(315&gt;=$B$8,315&lt;=$D$8),1,0)</f>
        <v/>
      </c>
      <c r="LG33" s="17">
        <f>IF(AND(316&gt;=$B$8,316&lt;=$D$8),1,0)</f>
        <v/>
      </c>
      <c r="LH33" s="17">
        <f>IF(AND(317&gt;=$B$8,317&lt;=$D$8),1,0)</f>
        <v/>
      </c>
      <c r="LI33" s="17">
        <f>IF(AND(318&gt;=$B$8,318&lt;=$D$8),1,0)</f>
        <v/>
      </c>
      <c r="LJ33" s="17">
        <f>IF(AND(319&gt;=$B$8,319&lt;=$D$8),1,0)</f>
        <v/>
      </c>
      <c r="LK33" s="17">
        <f>IF(AND(320&gt;=$B$8,320&lt;=$D$8),1,0)</f>
        <v/>
      </c>
      <c r="LL33" s="17">
        <f>IF(AND(321&gt;=$B$8,321&lt;=$D$8),1,0)</f>
        <v/>
      </c>
      <c r="LM33" s="17">
        <f>IF(AND(322&gt;=$B$8,322&lt;=$D$8),1,0)</f>
        <v/>
      </c>
      <c r="LN33" s="17">
        <f>IF(AND(323&gt;=$B$8,323&lt;=$D$8),1,0)</f>
        <v/>
      </c>
      <c r="LO33" s="17">
        <f>IF(AND(324&gt;=$B$8,324&lt;=$D$8),1,0)</f>
        <v/>
      </c>
      <c r="LP33" s="17">
        <f>IF(AND(325&gt;=$B$8,325&lt;=$D$8),1,0)</f>
        <v/>
      </c>
      <c r="LQ33" s="17">
        <f>IF(AND(326&gt;=$B$8,326&lt;=$D$8),1,0)</f>
        <v/>
      </c>
      <c r="LR33" s="17">
        <f>IF(AND(327&gt;=$B$8,327&lt;=$D$8),1,0)</f>
        <v/>
      </c>
      <c r="LS33" s="17">
        <f>IF(AND(328&gt;=$B$8,328&lt;=$D$8),1,0)</f>
        <v/>
      </c>
      <c r="LT33" s="17">
        <f>IF(AND(329&gt;=$B$8,329&lt;=$D$8),1,0)</f>
        <v/>
      </c>
      <c r="LU33" s="17">
        <f>IF(AND(330&gt;=$B$8,330&lt;=$D$8),1,0)</f>
        <v/>
      </c>
      <c r="LV33" s="17">
        <f>IF(AND(331&gt;=$B$8,331&lt;=$D$8),1,0)</f>
        <v/>
      </c>
      <c r="LW33" s="17">
        <f>IF(AND(332&gt;=$B$8,332&lt;=$D$8),1,0)</f>
        <v/>
      </c>
      <c r="LX33" s="17">
        <f>IF(AND(333&gt;=$B$8,333&lt;=$D$8),1,0)</f>
        <v/>
      </c>
      <c r="LY33" s="17">
        <f>IF(AND(334&gt;=$B$8,334&lt;=$D$8),1,0)</f>
        <v/>
      </c>
      <c r="LZ33" s="17">
        <f>IF(AND(335&gt;=$B$8,335&lt;=$D$8),1,0)</f>
        <v/>
      </c>
      <c r="MA33" s="17">
        <f>IF(AND(336&gt;=$B$8,336&lt;=$D$8),1,0)</f>
        <v/>
      </c>
      <c r="MB33" s="17">
        <f>IF(AND(337&gt;=$B$8,337&lt;=$D$8),1,0)</f>
        <v/>
      </c>
      <c r="MC33" s="17">
        <f>IF(AND(338&gt;=$B$8,338&lt;=$D$8),1,0)</f>
        <v/>
      </c>
      <c r="MD33" s="17">
        <f>IF(AND(339&gt;=$B$8,339&lt;=$D$8),1,0)</f>
        <v/>
      </c>
      <c r="ME33" s="17">
        <f>IF(AND(340&gt;=$B$8,340&lt;=$D$8),1,0)</f>
        <v/>
      </c>
      <c r="MF33" s="17">
        <f>IF(AND(341&gt;=$B$8,341&lt;=$D$8),1,0)</f>
        <v/>
      </c>
      <c r="MG33" s="17">
        <f>IF(AND(342&gt;=$B$8,342&lt;=$D$8),1,0)</f>
        <v/>
      </c>
      <c r="MH33" s="17">
        <f>IF(AND(343&gt;=$B$8,343&lt;=$D$8),1,0)</f>
        <v/>
      </c>
      <c r="MI33" s="17">
        <f>IF(AND(344&gt;=$B$8,344&lt;=$D$8),1,0)</f>
        <v/>
      </c>
      <c r="MJ33" s="17">
        <f>IF(AND(345&gt;=$B$8,345&lt;=$D$8),1,0)</f>
        <v/>
      </c>
      <c r="MK33" s="17">
        <f>IF(AND(346&gt;=$B$8,346&lt;=$D$8),1,0)</f>
        <v/>
      </c>
      <c r="ML33" s="17">
        <f>IF(AND(347&gt;=$B$8,347&lt;=$D$8),1,0)</f>
        <v/>
      </c>
      <c r="MM33" s="17">
        <f>IF(AND(348&gt;=$B$8,348&lt;=$D$8),1,0)</f>
        <v/>
      </c>
      <c r="MN33" s="17">
        <f>IF(AND(349&gt;=$B$8,349&lt;=$D$8),1,0)</f>
        <v/>
      </c>
      <c r="MO33" s="17">
        <f>IF(AND(350&gt;=$B$8,350&lt;=$D$8),1,0)</f>
        <v/>
      </c>
      <c r="MP33" s="17">
        <f>IF(AND(351&gt;=$B$8,351&lt;=$D$8),1,0)</f>
        <v/>
      </c>
      <c r="MQ33" s="17">
        <f>IF(AND(352&gt;=$B$8,352&lt;=$D$8),1,0)</f>
        <v/>
      </c>
      <c r="MR33" s="17">
        <f>IF(AND(353&gt;=$B$8,353&lt;=$D$8),1,0)</f>
        <v/>
      </c>
      <c r="MS33" s="17">
        <f>IF(AND(354&gt;=$B$8,354&lt;=$D$8),1,0)</f>
        <v/>
      </c>
      <c r="MT33" s="17">
        <f>IF(AND(355&gt;=$B$8,355&lt;=$D$8),1,0)</f>
        <v/>
      </c>
      <c r="MU33" s="17">
        <f>IF(AND(356&gt;=$B$8,356&lt;=$D$8),1,0)</f>
        <v/>
      </c>
      <c r="MV33" s="17">
        <f>IF(AND(357&gt;=$B$8,357&lt;=$D$8),1,0)</f>
        <v/>
      </c>
      <c r="MW33" s="17">
        <f>IF(AND(358&gt;=$B$8,358&lt;=$D$8),1,0)</f>
        <v/>
      </c>
      <c r="MX33" s="17">
        <f>IF(AND(359&gt;=$B$8,359&lt;=$D$8),1,0)</f>
        <v/>
      </c>
      <c r="MY33" s="17">
        <f>IF(AND(360&gt;=$B$8,360&lt;=$D$8),1,0)</f>
        <v/>
      </c>
      <c r="MZ33" s="17">
        <f>IF(AND(361&gt;=$B$8,361&lt;=$D$8),1,0)</f>
        <v/>
      </c>
      <c r="NA33" s="17">
        <f>IF(AND(362&gt;=$B$8,362&lt;=$D$8),1,0)</f>
        <v/>
      </c>
      <c r="NB33" s="17">
        <f>IF(AND(363&gt;=$B$8,363&lt;=$D$8),1,0)</f>
        <v/>
      </c>
      <c r="NC33" s="17">
        <f>IF(AND(364&gt;=$B$8,364&lt;=$D$8),1,0)</f>
        <v/>
      </c>
      <c r="ND33" s="17">
        <f>IF(AND(365&gt;=$B$8,365&lt;=$D$8),1,0)</f>
        <v/>
      </c>
      <c r="NE33" s="17">
        <f>IF(AND(366&gt;=$B$8,366&lt;=$D$8),1,0)</f>
        <v/>
      </c>
      <c r="NF33" s="17">
        <f>IF(AND(367&gt;=$B$8,367&lt;=$D$8),1,0)</f>
        <v/>
      </c>
      <c r="NG33" s="17">
        <f>IF(AND(368&gt;=$B$8,368&lt;=$D$8),1,0)</f>
        <v/>
      </c>
      <c r="NH33" s="17">
        <f>IF(AND(369&gt;=$B$8,369&lt;=$D$8),1,0)</f>
        <v/>
      </c>
      <c r="NI33" s="17">
        <f>IF(AND(370&gt;=$B$8,370&lt;=$D$8),1,0)</f>
        <v/>
      </c>
      <c r="NJ33" s="17">
        <f>IF(AND(371&gt;=$B$8,371&lt;=$D$8),1,0)</f>
        <v/>
      </c>
      <c r="NK33" s="17">
        <f>IF(AND(372&gt;=$B$8,372&lt;=$D$8),1,0)</f>
        <v/>
      </c>
    </row>
    <row r="34">
      <c r="A34" s="5" t="inlineStr">
        <is>
          <t>Flag: Construction</t>
        </is>
      </c>
      <c r="C34" s="40" t="n"/>
      <c r="D34" s="17">
        <f>IF(AND(1&gt;=$B$9,1&lt;=$D$9),1,0)</f>
        <v/>
      </c>
      <c r="E34" s="17">
        <f>IF(AND(2&gt;=$B$9,2&lt;=$D$9),1,0)</f>
        <v/>
      </c>
      <c r="F34" s="17">
        <f>IF(AND(3&gt;=$B$9,3&lt;=$D$9),1,0)</f>
        <v/>
      </c>
      <c r="G34" s="17">
        <f>IF(AND(4&gt;=$B$9,4&lt;=$D$9),1,0)</f>
        <v/>
      </c>
      <c r="H34" s="17">
        <f>IF(AND(5&gt;=$B$9,5&lt;=$D$9),1,0)</f>
        <v/>
      </c>
      <c r="I34" s="17">
        <f>IF(AND(6&gt;=$B$9,6&lt;=$D$9),1,0)</f>
        <v/>
      </c>
      <c r="J34" s="17">
        <f>IF(AND(7&gt;=$B$9,7&lt;=$D$9),1,0)</f>
        <v/>
      </c>
      <c r="K34" s="17">
        <f>IF(AND(8&gt;=$B$9,8&lt;=$D$9),1,0)</f>
        <v/>
      </c>
      <c r="L34" s="17">
        <f>IF(AND(9&gt;=$B$9,9&lt;=$D$9),1,0)</f>
        <v/>
      </c>
      <c r="M34" s="17">
        <f>IF(AND(10&gt;=$B$9,10&lt;=$D$9),1,0)</f>
        <v/>
      </c>
      <c r="N34" s="17">
        <f>IF(AND(11&gt;=$B$9,11&lt;=$D$9),1,0)</f>
        <v/>
      </c>
      <c r="O34" s="17">
        <f>IF(AND(12&gt;=$B$9,12&lt;=$D$9),1,0)</f>
        <v/>
      </c>
      <c r="P34" s="17">
        <f>IF(AND(13&gt;=$B$9,13&lt;=$D$9),1,0)</f>
        <v/>
      </c>
      <c r="Q34" s="17">
        <f>IF(AND(14&gt;=$B$9,14&lt;=$D$9),1,0)</f>
        <v/>
      </c>
      <c r="R34" s="17">
        <f>IF(AND(15&gt;=$B$9,15&lt;=$D$9),1,0)</f>
        <v/>
      </c>
      <c r="S34" s="17">
        <f>IF(AND(16&gt;=$B$9,16&lt;=$D$9),1,0)</f>
        <v/>
      </c>
      <c r="T34" s="17">
        <f>IF(AND(17&gt;=$B$9,17&lt;=$D$9),1,0)</f>
        <v/>
      </c>
      <c r="U34" s="17">
        <f>IF(AND(18&gt;=$B$9,18&lt;=$D$9),1,0)</f>
        <v/>
      </c>
      <c r="V34" s="17">
        <f>IF(AND(19&gt;=$B$9,19&lt;=$D$9),1,0)</f>
        <v/>
      </c>
      <c r="W34" s="17">
        <f>IF(AND(20&gt;=$B$9,20&lt;=$D$9),1,0)</f>
        <v/>
      </c>
      <c r="X34" s="17">
        <f>IF(AND(21&gt;=$B$9,21&lt;=$D$9),1,0)</f>
        <v/>
      </c>
      <c r="Y34" s="17">
        <f>IF(AND(22&gt;=$B$9,22&lt;=$D$9),1,0)</f>
        <v/>
      </c>
      <c r="Z34" s="17">
        <f>IF(AND(23&gt;=$B$9,23&lt;=$D$9),1,0)</f>
        <v/>
      </c>
      <c r="AA34" s="17">
        <f>IF(AND(24&gt;=$B$9,24&lt;=$D$9),1,0)</f>
        <v/>
      </c>
      <c r="AB34" s="17">
        <f>IF(AND(25&gt;=$B$9,25&lt;=$D$9),1,0)</f>
        <v/>
      </c>
      <c r="AC34" s="17">
        <f>IF(AND(26&gt;=$B$9,26&lt;=$D$9),1,0)</f>
        <v/>
      </c>
      <c r="AD34" s="17">
        <f>IF(AND(27&gt;=$B$9,27&lt;=$D$9),1,0)</f>
        <v/>
      </c>
      <c r="AE34" s="17">
        <f>IF(AND(28&gt;=$B$9,28&lt;=$D$9),1,0)</f>
        <v/>
      </c>
      <c r="AF34" s="17">
        <f>IF(AND(29&gt;=$B$9,29&lt;=$D$9),1,0)</f>
        <v/>
      </c>
      <c r="AG34" s="17">
        <f>IF(AND(30&gt;=$B$9,30&lt;=$D$9),1,0)</f>
        <v/>
      </c>
      <c r="AH34" s="17">
        <f>IF(AND(31&gt;=$B$9,31&lt;=$D$9),1,0)</f>
        <v/>
      </c>
      <c r="AI34" s="17">
        <f>IF(AND(32&gt;=$B$9,32&lt;=$D$9),1,0)</f>
        <v/>
      </c>
      <c r="AJ34" s="17">
        <f>IF(AND(33&gt;=$B$9,33&lt;=$D$9),1,0)</f>
        <v/>
      </c>
      <c r="AK34" s="17">
        <f>IF(AND(34&gt;=$B$9,34&lt;=$D$9),1,0)</f>
        <v/>
      </c>
      <c r="AL34" s="17">
        <f>IF(AND(35&gt;=$B$9,35&lt;=$D$9),1,0)</f>
        <v/>
      </c>
      <c r="AM34" s="17">
        <f>IF(AND(36&gt;=$B$9,36&lt;=$D$9),1,0)</f>
        <v/>
      </c>
      <c r="AN34" s="17">
        <f>IF(AND(37&gt;=$B$9,37&lt;=$D$9),1,0)</f>
        <v/>
      </c>
      <c r="AO34" s="17">
        <f>IF(AND(38&gt;=$B$9,38&lt;=$D$9),1,0)</f>
        <v/>
      </c>
      <c r="AP34" s="17">
        <f>IF(AND(39&gt;=$B$9,39&lt;=$D$9),1,0)</f>
        <v/>
      </c>
      <c r="AQ34" s="17">
        <f>IF(AND(40&gt;=$B$9,40&lt;=$D$9),1,0)</f>
        <v/>
      </c>
      <c r="AR34" s="17">
        <f>IF(AND(41&gt;=$B$9,41&lt;=$D$9),1,0)</f>
        <v/>
      </c>
      <c r="AS34" s="17">
        <f>IF(AND(42&gt;=$B$9,42&lt;=$D$9),1,0)</f>
        <v/>
      </c>
      <c r="AT34" s="17">
        <f>IF(AND(43&gt;=$B$9,43&lt;=$D$9),1,0)</f>
        <v/>
      </c>
      <c r="AU34" s="17">
        <f>IF(AND(44&gt;=$B$9,44&lt;=$D$9),1,0)</f>
        <v/>
      </c>
      <c r="AV34" s="17">
        <f>IF(AND(45&gt;=$B$9,45&lt;=$D$9),1,0)</f>
        <v/>
      </c>
      <c r="AW34" s="17">
        <f>IF(AND(46&gt;=$B$9,46&lt;=$D$9),1,0)</f>
        <v/>
      </c>
      <c r="AX34" s="17">
        <f>IF(AND(47&gt;=$B$9,47&lt;=$D$9),1,0)</f>
        <v/>
      </c>
      <c r="AY34" s="17">
        <f>IF(AND(48&gt;=$B$9,48&lt;=$D$9),1,0)</f>
        <v/>
      </c>
      <c r="AZ34" s="17">
        <f>IF(AND(49&gt;=$B$9,49&lt;=$D$9),1,0)</f>
        <v/>
      </c>
      <c r="BA34" s="17">
        <f>IF(AND(50&gt;=$B$9,50&lt;=$D$9),1,0)</f>
        <v/>
      </c>
      <c r="BB34" s="17">
        <f>IF(AND(51&gt;=$B$9,51&lt;=$D$9),1,0)</f>
        <v/>
      </c>
      <c r="BC34" s="17">
        <f>IF(AND(52&gt;=$B$9,52&lt;=$D$9),1,0)</f>
        <v/>
      </c>
      <c r="BD34" s="17">
        <f>IF(AND(53&gt;=$B$9,53&lt;=$D$9),1,0)</f>
        <v/>
      </c>
      <c r="BE34" s="17">
        <f>IF(AND(54&gt;=$B$9,54&lt;=$D$9),1,0)</f>
        <v/>
      </c>
      <c r="BF34" s="17">
        <f>IF(AND(55&gt;=$B$9,55&lt;=$D$9),1,0)</f>
        <v/>
      </c>
      <c r="BG34" s="17">
        <f>IF(AND(56&gt;=$B$9,56&lt;=$D$9),1,0)</f>
        <v/>
      </c>
      <c r="BH34" s="17">
        <f>IF(AND(57&gt;=$B$9,57&lt;=$D$9),1,0)</f>
        <v/>
      </c>
      <c r="BI34" s="17">
        <f>IF(AND(58&gt;=$B$9,58&lt;=$D$9),1,0)</f>
        <v/>
      </c>
      <c r="BJ34" s="17">
        <f>IF(AND(59&gt;=$B$9,59&lt;=$D$9),1,0)</f>
        <v/>
      </c>
      <c r="BK34" s="17">
        <f>IF(AND(60&gt;=$B$9,60&lt;=$D$9),1,0)</f>
        <v/>
      </c>
      <c r="BL34" s="17">
        <f>IF(AND(61&gt;=$B$9,61&lt;=$D$9),1,0)</f>
        <v/>
      </c>
      <c r="BM34" s="17">
        <f>IF(AND(62&gt;=$B$9,62&lt;=$D$9),1,0)</f>
        <v/>
      </c>
      <c r="BN34" s="17">
        <f>IF(AND(63&gt;=$B$9,63&lt;=$D$9),1,0)</f>
        <v/>
      </c>
      <c r="BO34" s="17">
        <f>IF(AND(64&gt;=$B$9,64&lt;=$D$9),1,0)</f>
        <v/>
      </c>
      <c r="BP34" s="17">
        <f>IF(AND(65&gt;=$B$9,65&lt;=$D$9),1,0)</f>
        <v/>
      </c>
      <c r="BQ34" s="17">
        <f>IF(AND(66&gt;=$B$9,66&lt;=$D$9),1,0)</f>
        <v/>
      </c>
      <c r="BR34" s="17">
        <f>IF(AND(67&gt;=$B$9,67&lt;=$D$9),1,0)</f>
        <v/>
      </c>
      <c r="BS34" s="17">
        <f>IF(AND(68&gt;=$B$9,68&lt;=$D$9),1,0)</f>
        <v/>
      </c>
      <c r="BT34" s="17">
        <f>IF(AND(69&gt;=$B$9,69&lt;=$D$9),1,0)</f>
        <v/>
      </c>
      <c r="BU34" s="17">
        <f>IF(AND(70&gt;=$B$9,70&lt;=$D$9),1,0)</f>
        <v/>
      </c>
      <c r="BV34" s="17">
        <f>IF(AND(71&gt;=$B$9,71&lt;=$D$9),1,0)</f>
        <v/>
      </c>
      <c r="BW34" s="17">
        <f>IF(AND(72&gt;=$B$9,72&lt;=$D$9),1,0)</f>
        <v/>
      </c>
      <c r="BX34" s="17">
        <f>IF(AND(73&gt;=$B$9,73&lt;=$D$9),1,0)</f>
        <v/>
      </c>
      <c r="BY34" s="17">
        <f>IF(AND(74&gt;=$B$9,74&lt;=$D$9),1,0)</f>
        <v/>
      </c>
      <c r="BZ34" s="17">
        <f>IF(AND(75&gt;=$B$9,75&lt;=$D$9),1,0)</f>
        <v/>
      </c>
      <c r="CA34" s="17">
        <f>IF(AND(76&gt;=$B$9,76&lt;=$D$9),1,0)</f>
        <v/>
      </c>
      <c r="CB34" s="17">
        <f>IF(AND(77&gt;=$B$9,77&lt;=$D$9),1,0)</f>
        <v/>
      </c>
      <c r="CC34" s="17">
        <f>IF(AND(78&gt;=$B$9,78&lt;=$D$9),1,0)</f>
        <v/>
      </c>
      <c r="CD34" s="17">
        <f>IF(AND(79&gt;=$B$9,79&lt;=$D$9),1,0)</f>
        <v/>
      </c>
      <c r="CE34" s="17">
        <f>IF(AND(80&gt;=$B$9,80&lt;=$D$9),1,0)</f>
        <v/>
      </c>
      <c r="CF34" s="17">
        <f>IF(AND(81&gt;=$B$9,81&lt;=$D$9),1,0)</f>
        <v/>
      </c>
      <c r="CG34" s="17">
        <f>IF(AND(82&gt;=$B$9,82&lt;=$D$9),1,0)</f>
        <v/>
      </c>
      <c r="CH34" s="17">
        <f>IF(AND(83&gt;=$B$9,83&lt;=$D$9),1,0)</f>
        <v/>
      </c>
      <c r="CI34" s="17">
        <f>IF(AND(84&gt;=$B$9,84&lt;=$D$9),1,0)</f>
        <v/>
      </c>
      <c r="CJ34" s="17">
        <f>IF(AND(85&gt;=$B$9,85&lt;=$D$9),1,0)</f>
        <v/>
      </c>
      <c r="CK34" s="17">
        <f>IF(AND(86&gt;=$B$9,86&lt;=$D$9),1,0)</f>
        <v/>
      </c>
      <c r="CL34" s="17">
        <f>IF(AND(87&gt;=$B$9,87&lt;=$D$9),1,0)</f>
        <v/>
      </c>
      <c r="CM34" s="17">
        <f>IF(AND(88&gt;=$B$9,88&lt;=$D$9),1,0)</f>
        <v/>
      </c>
      <c r="CN34" s="17">
        <f>IF(AND(89&gt;=$B$9,89&lt;=$D$9),1,0)</f>
        <v/>
      </c>
      <c r="CO34" s="17">
        <f>IF(AND(90&gt;=$B$9,90&lt;=$D$9),1,0)</f>
        <v/>
      </c>
      <c r="CP34" s="17">
        <f>IF(AND(91&gt;=$B$9,91&lt;=$D$9),1,0)</f>
        <v/>
      </c>
      <c r="CQ34" s="17">
        <f>IF(AND(92&gt;=$B$9,92&lt;=$D$9),1,0)</f>
        <v/>
      </c>
      <c r="CR34" s="17">
        <f>IF(AND(93&gt;=$B$9,93&lt;=$D$9),1,0)</f>
        <v/>
      </c>
      <c r="CS34" s="17">
        <f>IF(AND(94&gt;=$B$9,94&lt;=$D$9),1,0)</f>
        <v/>
      </c>
      <c r="CT34" s="17">
        <f>IF(AND(95&gt;=$B$9,95&lt;=$D$9),1,0)</f>
        <v/>
      </c>
      <c r="CU34" s="17">
        <f>IF(AND(96&gt;=$B$9,96&lt;=$D$9),1,0)</f>
        <v/>
      </c>
      <c r="CV34" s="17">
        <f>IF(AND(97&gt;=$B$9,97&lt;=$D$9),1,0)</f>
        <v/>
      </c>
      <c r="CW34" s="17">
        <f>IF(AND(98&gt;=$B$9,98&lt;=$D$9),1,0)</f>
        <v/>
      </c>
      <c r="CX34" s="17">
        <f>IF(AND(99&gt;=$B$9,99&lt;=$D$9),1,0)</f>
        <v/>
      </c>
      <c r="CY34" s="17">
        <f>IF(AND(100&gt;=$B$9,100&lt;=$D$9),1,0)</f>
        <v/>
      </c>
      <c r="CZ34" s="17">
        <f>IF(AND(101&gt;=$B$9,101&lt;=$D$9),1,0)</f>
        <v/>
      </c>
      <c r="DA34" s="17">
        <f>IF(AND(102&gt;=$B$9,102&lt;=$D$9),1,0)</f>
        <v/>
      </c>
      <c r="DB34" s="17">
        <f>IF(AND(103&gt;=$B$9,103&lt;=$D$9),1,0)</f>
        <v/>
      </c>
      <c r="DC34" s="17">
        <f>IF(AND(104&gt;=$B$9,104&lt;=$D$9),1,0)</f>
        <v/>
      </c>
      <c r="DD34" s="17">
        <f>IF(AND(105&gt;=$B$9,105&lt;=$D$9),1,0)</f>
        <v/>
      </c>
      <c r="DE34" s="17">
        <f>IF(AND(106&gt;=$B$9,106&lt;=$D$9),1,0)</f>
        <v/>
      </c>
      <c r="DF34" s="17">
        <f>IF(AND(107&gt;=$B$9,107&lt;=$D$9),1,0)</f>
        <v/>
      </c>
      <c r="DG34" s="17">
        <f>IF(AND(108&gt;=$B$9,108&lt;=$D$9),1,0)</f>
        <v/>
      </c>
      <c r="DH34" s="17">
        <f>IF(AND(109&gt;=$B$9,109&lt;=$D$9),1,0)</f>
        <v/>
      </c>
      <c r="DI34" s="17">
        <f>IF(AND(110&gt;=$B$9,110&lt;=$D$9),1,0)</f>
        <v/>
      </c>
      <c r="DJ34" s="17">
        <f>IF(AND(111&gt;=$B$9,111&lt;=$D$9),1,0)</f>
        <v/>
      </c>
      <c r="DK34" s="17">
        <f>IF(AND(112&gt;=$B$9,112&lt;=$D$9),1,0)</f>
        <v/>
      </c>
      <c r="DL34" s="17">
        <f>IF(AND(113&gt;=$B$9,113&lt;=$D$9),1,0)</f>
        <v/>
      </c>
      <c r="DM34" s="17">
        <f>IF(AND(114&gt;=$B$9,114&lt;=$D$9),1,0)</f>
        <v/>
      </c>
      <c r="DN34" s="17">
        <f>IF(AND(115&gt;=$B$9,115&lt;=$D$9),1,0)</f>
        <v/>
      </c>
      <c r="DO34" s="17">
        <f>IF(AND(116&gt;=$B$9,116&lt;=$D$9),1,0)</f>
        <v/>
      </c>
      <c r="DP34" s="17">
        <f>IF(AND(117&gt;=$B$9,117&lt;=$D$9),1,0)</f>
        <v/>
      </c>
      <c r="DQ34" s="17">
        <f>IF(AND(118&gt;=$B$9,118&lt;=$D$9),1,0)</f>
        <v/>
      </c>
      <c r="DR34" s="17">
        <f>IF(AND(119&gt;=$B$9,119&lt;=$D$9),1,0)</f>
        <v/>
      </c>
      <c r="DS34" s="17">
        <f>IF(AND(120&gt;=$B$9,120&lt;=$D$9),1,0)</f>
        <v/>
      </c>
      <c r="DT34" s="17">
        <f>IF(AND(121&gt;=$B$9,121&lt;=$D$9),1,0)</f>
        <v/>
      </c>
      <c r="DU34" s="17">
        <f>IF(AND(122&gt;=$B$9,122&lt;=$D$9),1,0)</f>
        <v/>
      </c>
      <c r="DV34" s="17">
        <f>IF(AND(123&gt;=$B$9,123&lt;=$D$9),1,0)</f>
        <v/>
      </c>
      <c r="DW34" s="17">
        <f>IF(AND(124&gt;=$B$9,124&lt;=$D$9),1,0)</f>
        <v/>
      </c>
      <c r="DX34" s="17">
        <f>IF(AND(125&gt;=$B$9,125&lt;=$D$9),1,0)</f>
        <v/>
      </c>
      <c r="DY34" s="17">
        <f>IF(AND(126&gt;=$B$9,126&lt;=$D$9),1,0)</f>
        <v/>
      </c>
      <c r="DZ34" s="17">
        <f>IF(AND(127&gt;=$B$9,127&lt;=$D$9),1,0)</f>
        <v/>
      </c>
      <c r="EA34" s="17">
        <f>IF(AND(128&gt;=$B$9,128&lt;=$D$9),1,0)</f>
        <v/>
      </c>
      <c r="EB34" s="17">
        <f>IF(AND(129&gt;=$B$9,129&lt;=$D$9),1,0)</f>
        <v/>
      </c>
      <c r="EC34" s="17">
        <f>IF(AND(130&gt;=$B$9,130&lt;=$D$9),1,0)</f>
        <v/>
      </c>
      <c r="ED34" s="17">
        <f>IF(AND(131&gt;=$B$9,131&lt;=$D$9),1,0)</f>
        <v/>
      </c>
      <c r="EE34" s="17">
        <f>IF(AND(132&gt;=$B$9,132&lt;=$D$9),1,0)</f>
        <v/>
      </c>
      <c r="EF34" s="17">
        <f>IF(AND(133&gt;=$B$9,133&lt;=$D$9),1,0)</f>
        <v/>
      </c>
      <c r="EG34" s="17">
        <f>IF(AND(134&gt;=$B$9,134&lt;=$D$9),1,0)</f>
        <v/>
      </c>
      <c r="EH34" s="17">
        <f>IF(AND(135&gt;=$B$9,135&lt;=$D$9),1,0)</f>
        <v/>
      </c>
      <c r="EI34" s="17">
        <f>IF(AND(136&gt;=$B$9,136&lt;=$D$9),1,0)</f>
        <v/>
      </c>
      <c r="EJ34" s="17">
        <f>IF(AND(137&gt;=$B$9,137&lt;=$D$9),1,0)</f>
        <v/>
      </c>
      <c r="EK34" s="17">
        <f>IF(AND(138&gt;=$B$9,138&lt;=$D$9),1,0)</f>
        <v/>
      </c>
      <c r="EL34" s="17">
        <f>IF(AND(139&gt;=$B$9,139&lt;=$D$9),1,0)</f>
        <v/>
      </c>
      <c r="EM34" s="17">
        <f>IF(AND(140&gt;=$B$9,140&lt;=$D$9),1,0)</f>
        <v/>
      </c>
      <c r="EN34" s="17">
        <f>IF(AND(141&gt;=$B$9,141&lt;=$D$9),1,0)</f>
        <v/>
      </c>
      <c r="EO34" s="17">
        <f>IF(AND(142&gt;=$B$9,142&lt;=$D$9),1,0)</f>
        <v/>
      </c>
      <c r="EP34" s="17">
        <f>IF(AND(143&gt;=$B$9,143&lt;=$D$9),1,0)</f>
        <v/>
      </c>
      <c r="EQ34" s="17">
        <f>IF(AND(144&gt;=$B$9,144&lt;=$D$9),1,0)</f>
        <v/>
      </c>
      <c r="ER34" s="17">
        <f>IF(AND(145&gt;=$B$9,145&lt;=$D$9),1,0)</f>
        <v/>
      </c>
      <c r="ES34" s="17">
        <f>IF(AND(146&gt;=$B$9,146&lt;=$D$9),1,0)</f>
        <v/>
      </c>
      <c r="ET34" s="17">
        <f>IF(AND(147&gt;=$B$9,147&lt;=$D$9),1,0)</f>
        <v/>
      </c>
      <c r="EU34" s="17">
        <f>IF(AND(148&gt;=$B$9,148&lt;=$D$9),1,0)</f>
        <v/>
      </c>
      <c r="EV34" s="17">
        <f>IF(AND(149&gt;=$B$9,149&lt;=$D$9),1,0)</f>
        <v/>
      </c>
      <c r="EW34" s="17">
        <f>IF(AND(150&gt;=$B$9,150&lt;=$D$9),1,0)</f>
        <v/>
      </c>
      <c r="EX34" s="17">
        <f>IF(AND(151&gt;=$B$9,151&lt;=$D$9),1,0)</f>
        <v/>
      </c>
      <c r="EY34" s="17">
        <f>IF(AND(152&gt;=$B$9,152&lt;=$D$9),1,0)</f>
        <v/>
      </c>
      <c r="EZ34" s="17">
        <f>IF(AND(153&gt;=$B$9,153&lt;=$D$9),1,0)</f>
        <v/>
      </c>
      <c r="FA34" s="17">
        <f>IF(AND(154&gt;=$B$9,154&lt;=$D$9),1,0)</f>
        <v/>
      </c>
      <c r="FB34" s="17">
        <f>IF(AND(155&gt;=$B$9,155&lt;=$D$9),1,0)</f>
        <v/>
      </c>
      <c r="FC34" s="17">
        <f>IF(AND(156&gt;=$B$9,156&lt;=$D$9),1,0)</f>
        <v/>
      </c>
      <c r="FD34" s="17">
        <f>IF(AND(157&gt;=$B$9,157&lt;=$D$9),1,0)</f>
        <v/>
      </c>
      <c r="FE34" s="17">
        <f>IF(AND(158&gt;=$B$9,158&lt;=$D$9),1,0)</f>
        <v/>
      </c>
      <c r="FF34" s="17">
        <f>IF(AND(159&gt;=$B$9,159&lt;=$D$9),1,0)</f>
        <v/>
      </c>
      <c r="FG34" s="17">
        <f>IF(AND(160&gt;=$B$9,160&lt;=$D$9),1,0)</f>
        <v/>
      </c>
      <c r="FH34" s="17">
        <f>IF(AND(161&gt;=$B$9,161&lt;=$D$9),1,0)</f>
        <v/>
      </c>
      <c r="FI34" s="17">
        <f>IF(AND(162&gt;=$B$9,162&lt;=$D$9),1,0)</f>
        <v/>
      </c>
      <c r="FJ34" s="17">
        <f>IF(AND(163&gt;=$B$9,163&lt;=$D$9),1,0)</f>
        <v/>
      </c>
      <c r="FK34" s="17">
        <f>IF(AND(164&gt;=$B$9,164&lt;=$D$9),1,0)</f>
        <v/>
      </c>
      <c r="FL34" s="17">
        <f>IF(AND(165&gt;=$B$9,165&lt;=$D$9),1,0)</f>
        <v/>
      </c>
      <c r="FM34" s="17">
        <f>IF(AND(166&gt;=$B$9,166&lt;=$D$9),1,0)</f>
        <v/>
      </c>
      <c r="FN34" s="17">
        <f>IF(AND(167&gt;=$B$9,167&lt;=$D$9),1,0)</f>
        <v/>
      </c>
      <c r="FO34" s="17">
        <f>IF(AND(168&gt;=$B$9,168&lt;=$D$9),1,0)</f>
        <v/>
      </c>
      <c r="FP34" s="17">
        <f>IF(AND(169&gt;=$B$9,169&lt;=$D$9),1,0)</f>
        <v/>
      </c>
      <c r="FQ34" s="17">
        <f>IF(AND(170&gt;=$B$9,170&lt;=$D$9),1,0)</f>
        <v/>
      </c>
      <c r="FR34" s="17">
        <f>IF(AND(171&gt;=$B$9,171&lt;=$D$9),1,0)</f>
        <v/>
      </c>
      <c r="FS34" s="17">
        <f>IF(AND(172&gt;=$B$9,172&lt;=$D$9),1,0)</f>
        <v/>
      </c>
      <c r="FT34" s="17">
        <f>IF(AND(173&gt;=$B$9,173&lt;=$D$9),1,0)</f>
        <v/>
      </c>
      <c r="FU34" s="17">
        <f>IF(AND(174&gt;=$B$9,174&lt;=$D$9),1,0)</f>
        <v/>
      </c>
      <c r="FV34" s="17">
        <f>IF(AND(175&gt;=$B$9,175&lt;=$D$9),1,0)</f>
        <v/>
      </c>
      <c r="FW34" s="17">
        <f>IF(AND(176&gt;=$B$9,176&lt;=$D$9),1,0)</f>
        <v/>
      </c>
      <c r="FX34" s="17">
        <f>IF(AND(177&gt;=$B$9,177&lt;=$D$9),1,0)</f>
        <v/>
      </c>
      <c r="FY34" s="17">
        <f>IF(AND(178&gt;=$B$9,178&lt;=$D$9),1,0)</f>
        <v/>
      </c>
      <c r="FZ34" s="17">
        <f>IF(AND(179&gt;=$B$9,179&lt;=$D$9),1,0)</f>
        <v/>
      </c>
      <c r="GA34" s="17">
        <f>IF(AND(180&gt;=$B$9,180&lt;=$D$9),1,0)</f>
        <v/>
      </c>
      <c r="GB34" s="17">
        <f>IF(AND(181&gt;=$B$9,181&lt;=$D$9),1,0)</f>
        <v/>
      </c>
      <c r="GC34" s="17">
        <f>IF(AND(182&gt;=$B$9,182&lt;=$D$9),1,0)</f>
        <v/>
      </c>
      <c r="GD34" s="17">
        <f>IF(AND(183&gt;=$B$9,183&lt;=$D$9),1,0)</f>
        <v/>
      </c>
      <c r="GE34" s="17">
        <f>IF(AND(184&gt;=$B$9,184&lt;=$D$9),1,0)</f>
        <v/>
      </c>
      <c r="GF34" s="17">
        <f>IF(AND(185&gt;=$B$9,185&lt;=$D$9),1,0)</f>
        <v/>
      </c>
      <c r="GG34" s="17">
        <f>IF(AND(186&gt;=$B$9,186&lt;=$D$9),1,0)</f>
        <v/>
      </c>
      <c r="GH34" s="17">
        <f>IF(AND(187&gt;=$B$9,187&lt;=$D$9),1,0)</f>
        <v/>
      </c>
      <c r="GI34" s="17">
        <f>IF(AND(188&gt;=$B$9,188&lt;=$D$9),1,0)</f>
        <v/>
      </c>
      <c r="GJ34" s="17">
        <f>IF(AND(189&gt;=$B$9,189&lt;=$D$9),1,0)</f>
        <v/>
      </c>
      <c r="GK34" s="17">
        <f>IF(AND(190&gt;=$B$9,190&lt;=$D$9),1,0)</f>
        <v/>
      </c>
      <c r="GL34" s="17">
        <f>IF(AND(191&gt;=$B$9,191&lt;=$D$9),1,0)</f>
        <v/>
      </c>
      <c r="GM34" s="17">
        <f>IF(AND(192&gt;=$B$9,192&lt;=$D$9),1,0)</f>
        <v/>
      </c>
      <c r="GN34" s="17">
        <f>IF(AND(193&gt;=$B$9,193&lt;=$D$9),1,0)</f>
        <v/>
      </c>
      <c r="GO34" s="17">
        <f>IF(AND(194&gt;=$B$9,194&lt;=$D$9),1,0)</f>
        <v/>
      </c>
      <c r="GP34" s="17">
        <f>IF(AND(195&gt;=$B$9,195&lt;=$D$9),1,0)</f>
        <v/>
      </c>
      <c r="GQ34" s="17">
        <f>IF(AND(196&gt;=$B$9,196&lt;=$D$9),1,0)</f>
        <v/>
      </c>
      <c r="GR34" s="17">
        <f>IF(AND(197&gt;=$B$9,197&lt;=$D$9),1,0)</f>
        <v/>
      </c>
      <c r="GS34" s="17">
        <f>IF(AND(198&gt;=$B$9,198&lt;=$D$9),1,0)</f>
        <v/>
      </c>
      <c r="GT34" s="17">
        <f>IF(AND(199&gt;=$B$9,199&lt;=$D$9),1,0)</f>
        <v/>
      </c>
      <c r="GU34" s="17">
        <f>IF(AND(200&gt;=$B$9,200&lt;=$D$9),1,0)</f>
        <v/>
      </c>
      <c r="GV34" s="17">
        <f>IF(AND(201&gt;=$B$9,201&lt;=$D$9),1,0)</f>
        <v/>
      </c>
      <c r="GW34" s="17">
        <f>IF(AND(202&gt;=$B$9,202&lt;=$D$9),1,0)</f>
        <v/>
      </c>
      <c r="GX34" s="17">
        <f>IF(AND(203&gt;=$B$9,203&lt;=$D$9),1,0)</f>
        <v/>
      </c>
      <c r="GY34" s="17">
        <f>IF(AND(204&gt;=$B$9,204&lt;=$D$9),1,0)</f>
        <v/>
      </c>
      <c r="GZ34" s="17">
        <f>IF(AND(205&gt;=$B$9,205&lt;=$D$9),1,0)</f>
        <v/>
      </c>
      <c r="HA34" s="17">
        <f>IF(AND(206&gt;=$B$9,206&lt;=$D$9),1,0)</f>
        <v/>
      </c>
      <c r="HB34" s="17">
        <f>IF(AND(207&gt;=$B$9,207&lt;=$D$9),1,0)</f>
        <v/>
      </c>
      <c r="HC34" s="17">
        <f>IF(AND(208&gt;=$B$9,208&lt;=$D$9),1,0)</f>
        <v/>
      </c>
      <c r="HD34" s="17">
        <f>IF(AND(209&gt;=$B$9,209&lt;=$D$9),1,0)</f>
        <v/>
      </c>
      <c r="HE34" s="17">
        <f>IF(AND(210&gt;=$B$9,210&lt;=$D$9),1,0)</f>
        <v/>
      </c>
      <c r="HF34" s="17">
        <f>IF(AND(211&gt;=$B$9,211&lt;=$D$9),1,0)</f>
        <v/>
      </c>
      <c r="HG34" s="17">
        <f>IF(AND(212&gt;=$B$9,212&lt;=$D$9),1,0)</f>
        <v/>
      </c>
      <c r="HH34" s="17">
        <f>IF(AND(213&gt;=$B$9,213&lt;=$D$9),1,0)</f>
        <v/>
      </c>
      <c r="HI34" s="17">
        <f>IF(AND(214&gt;=$B$9,214&lt;=$D$9),1,0)</f>
        <v/>
      </c>
      <c r="HJ34" s="17">
        <f>IF(AND(215&gt;=$B$9,215&lt;=$D$9),1,0)</f>
        <v/>
      </c>
      <c r="HK34" s="17">
        <f>IF(AND(216&gt;=$B$9,216&lt;=$D$9),1,0)</f>
        <v/>
      </c>
      <c r="HL34" s="17">
        <f>IF(AND(217&gt;=$B$9,217&lt;=$D$9),1,0)</f>
        <v/>
      </c>
      <c r="HM34" s="17">
        <f>IF(AND(218&gt;=$B$9,218&lt;=$D$9),1,0)</f>
        <v/>
      </c>
      <c r="HN34" s="17">
        <f>IF(AND(219&gt;=$B$9,219&lt;=$D$9),1,0)</f>
        <v/>
      </c>
      <c r="HO34" s="17">
        <f>IF(AND(220&gt;=$B$9,220&lt;=$D$9),1,0)</f>
        <v/>
      </c>
      <c r="HP34" s="17">
        <f>IF(AND(221&gt;=$B$9,221&lt;=$D$9),1,0)</f>
        <v/>
      </c>
      <c r="HQ34" s="17">
        <f>IF(AND(222&gt;=$B$9,222&lt;=$D$9),1,0)</f>
        <v/>
      </c>
      <c r="HR34" s="17">
        <f>IF(AND(223&gt;=$B$9,223&lt;=$D$9),1,0)</f>
        <v/>
      </c>
      <c r="HS34" s="17">
        <f>IF(AND(224&gt;=$B$9,224&lt;=$D$9),1,0)</f>
        <v/>
      </c>
      <c r="HT34" s="17">
        <f>IF(AND(225&gt;=$B$9,225&lt;=$D$9),1,0)</f>
        <v/>
      </c>
      <c r="HU34" s="17">
        <f>IF(AND(226&gt;=$B$9,226&lt;=$D$9),1,0)</f>
        <v/>
      </c>
      <c r="HV34" s="17">
        <f>IF(AND(227&gt;=$B$9,227&lt;=$D$9),1,0)</f>
        <v/>
      </c>
      <c r="HW34" s="17">
        <f>IF(AND(228&gt;=$B$9,228&lt;=$D$9),1,0)</f>
        <v/>
      </c>
      <c r="HX34" s="17">
        <f>IF(AND(229&gt;=$B$9,229&lt;=$D$9),1,0)</f>
        <v/>
      </c>
      <c r="HY34" s="17">
        <f>IF(AND(230&gt;=$B$9,230&lt;=$D$9),1,0)</f>
        <v/>
      </c>
      <c r="HZ34" s="17">
        <f>IF(AND(231&gt;=$B$9,231&lt;=$D$9),1,0)</f>
        <v/>
      </c>
      <c r="IA34" s="17">
        <f>IF(AND(232&gt;=$B$9,232&lt;=$D$9),1,0)</f>
        <v/>
      </c>
      <c r="IB34" s="17">
        <f>IF(AND(233&gt;=$B$9,233&lt;=$D$9),1,0)</f>
        <v/>
      </c>
      <c r="IC34" s="17">
        <f>IF(AND(234&gt;=$B$9,234&lt;=$D$9),1,0)</f>
        <v/>
      </c>
      <c r="ID34" s="17">
        <f>IF(AND(235&gt;=$B$9,235&lt;=$D$9),1,0)</f>
        <v/>
      </c>
      <c r="IE34" s="17">
        <f>IF(AND(236&gt;=$B$9,236&lt;=$D$9),1,0)</f>
        <v/>
      </c>
      <c r="IF34" s="17">
        <f>IF(AND(237&gt;=$B$9,237&lt;=$D$9),1,0)</f>
        <v/>
      </c>
      <c r="IG34" s="17">
        <f>IF(AND(238&gt;=$B$9,238&lt;=$D$9),1,0)</f>
        <v/>
      </c>
      <c r="IH34" s="17">
        <f>IF(AND(239&gt;=$B$9,239&lt;=$D$9),1,0)</f>
        <v/>
      </c>
      <c r="II34" s="17">
        <f>IF(AND(240&gt;=$B$9,240&lt;=$D$9),1,0)</f>
        <v/>
      </c>
      <c r="IJ34" s="17">
        <f>IF(AND(241&gt;=$B$9,241&lt;=$D$9),1,0)</f>
        <v/>
      </c>
      <c r="IK34" s="17">
        <f>IF(AND(242&gt;=$B$9,242&lt;=$D$9),1,0)</f>
        <v/>
      </c>
      <c r="IL34" s="17">
        <f>IF(AND(243&gt;=$B$9,243&lt;=$D$9),1,0)</f>
        <v/>
      </c>
      <c r="IM34" s="17">
        <f>IF(AND(244&gt;=$B$9,244&lt;=$D$9),1,0)</f>
        <v/>
      </c>
      <c r="IN34" s="17">
        <f>IF(AND(245&gt;=$B$9,245&lt;=$D$9),1,0)</f>
        <v/>
      </c>
      <c r="IO34" s="17">
        <f>IF(AND(246&gt;=$B$9,246&lt;=$D$9),1,0)</f>
        <v/>
      </c>
      <c r="IP34" s="17">
        <f>IF(AND(247&gt;=$B$9,247&lt;=$D$9),1,0)</f>
        <v/>
      </c>
      <c r="IQ34" s="17">
        <f>IF(AND(248&gt;=$B$9,248&lt;=$D$9),1,0)</f>
        <v/>
      </c>
      <c r="IR34" s="17">
        <f>IF(AND(249&gt;=$B$9,249&lt;=$D$9),1,0)</f>
        <v/>
      </c>
      <c r="IS34" s="17">
        <f>IF(AND(250&gt;=$B$9,250&lt;=$D$9),1,0)</f>
        <v/>
      </c>
      <c r="IT34" s="17">
        <f>IF(AND(251&gt;=$B$9,251&lt;=$D$9),1,0)</f>
        <v/>
      </c>
      <c r="IU34" s="17">
        <f>IF(AND(252&gt;=$B$9,252&lt;=$D$9),1,0)</f>
        <v/>
      </c>
      <c r="IV34" s="17">
        <f>IF(AND(253&gt;=$B$9,253&lt;=$D$9),1,0)</f>
        <v/>
      </c>
      <c r="IW34" s="17">
        <f>IF(AND(254&gt;=$B$9,254&lt;=$D$9),1,0)</f>
        <v/>
      </c>
      <c r="IX34" s="17">
        <f>IF(AND(255&gt;=$B$9,255&lt;=$D$9),1,0)</f>
        <v/>
      </c>
      <c r="IY34" s="17">
        <f>IF(AND(256&gt;=$B$9,256&lt;=$D$9),1,0)</f>
        <v/>
      </c>
      <c r="IZ34" s="17">
        <f>IF(AND(257&gt;=$B$9,257&lt;=$D$9),1,0)</f>
        <v/>
      </c>
      <c r="JA34" s="17">
        <f>IF(AND(258&gt;=$B$9,258&lt;=$D$9),1,0)</f>
        <v/>
      </c>
      <c r="JB34" s="17">
        <f>IF(AND(259&gt;=$B$9,259&lt;=$D$9),1,0)</f>
        <v/>
      </c>
      <c r="JC34" s="17">
        <f>IF(AND(260&gt;=$B$9,260&lt;=$D$9),1,0)</f>
        <v/>
      </c>
      <c r="JD34" s="17">
        <f>IF(AND(261&gt;=$B$9,261&lt;=$D$9),1,0)</f>
        <v/>
      </c>
      <c r="JE34" s="17">
        <f>IF(AND(262&gt;=$B$9,262&lt;=$D$9),1,0)</f>
        <v/>
      </c>
      <c r="JF34" s="17">
        <f>IF(AND(263&gt;=$B$9,263&lt;=$D$9),1,0)</f>
        <v/>
      </c>
      <c r="JG34" s="17">
        <f>IF(AND(264&gt;=$B$9,264&lt;=$D$9),1,0)</f>
        <v/>
      </c>
      <c r="JH34" s="17">
        <f>IF(AND(265&gt;=$B$9,265&lt;=$D$9),1,0)</f>
        <v/>
      </c>
      <c r="JI34" s="17">
        <f>IF(AND(266&gt;=$B$9,266&lt;=$D$9),1,0)</f>
        <v/>
      </c>
      <c r="JJ34" s="17">
        <f>IF(AND(267&gt;=$B$9,267&lt;=$D$9),1,0)</f>
        <v/>
      </c>
      <c r="JK34" s="17">
        <f>IF(AND(268&gt;=$B$9,268&lt;=$D$9),1,0)</f>
        <v/>
      </c>
      <c r="JL34" s="17">
        <f>IF(AND(269&gt;=$B$9,269&lt;=$D$9),1,0)</f>
        <v/>
      </c>
      <c r="JM34" s="17">
        <f>IF(AND(270&gt;=$B$9,270&lt;=$D$9),1,0)</f>
        <v/>
      </c>
      <c r="JN34" s="17">
        <f>IF(AND(271&gt;=$B$9,271&lt;=$D$9),1,0)</f>
        <v/>
      </c>
      <c r="JO34" s="17">
        <f>IF(AND(272&gt;=$B$9,272&lt;=$D$9),1,0)</f>
        <v/>
      </c>
      <c r="JP34" s="17">
        <f>IF(AND(273&gt;=$B$9,273&lt;=$D$9),1,0)</f>
        <v/>
      </c>
      <c r="JQ34" s="17">
        <f>IF(AND(274&gt;=$B$9,274&lt;=$D$9),1,0)</f>
        <v/>
      </c>
      <c r="JR34" s="17">
        <f>IF(AND(275&gt;=$B$9,275&lt;=$D$9),1,0)</f>
        <v/>
      </c>
      <c r="JS34" s="17">
        <f>IF(AND(276&gt;=$B$9,276&lt;=$D$9),1,0)</f>
        <v/>
      </c>
      <c r="JT34" s="17">
        <f>IF(AND(277&gt;=$B$9,277&lt;=$D$9),1,0)</f>
        <v/>
      </c>
      <c r="JU34" s="17">
        <f>IF(AND(278&gt;=$B$9,278&lt;=$D$9),1,0)</f>
        <v/>
      </c>
      <c r="JV34" s="17">
        <f>IF(AND(279&gt;=$B$9,279&lt;=$D$9),1,0)</f>
        <v/>
      </c>
      <c r="JW34" s="17">
        <f>IF(AND(280&gt;=$B$9,280&lt;=$D$9),1,0)</f>
        <v/>
      </c>
      <c r="JX34" s="17">
        <f>IF(AND(281&gt;=$B$9,281&lt;=$D$9),1,0)</f>
        <v/>
      </c>
      <c r="JY34" s="17">
        <f>IF(AND(282&gt;=$B$9,282&lt;=$D$9),1,0)</f>
        <v/>
      </c>
      <c r="JZ34" s="17">
        <f>IF(AND(283&gt;=$B$9,283&lt;=$D$9),1,0)</f>
        <v/>
      </c>
      <c r="KA34" s="17">
        <f>IF(AND(284&gt;=$B$9,284&lt;=$D$9),1,0)</f>
        <v/>
      </c>
      <c r="KB34" s="17">
        <f>IF(AND(285&gt;=$B$9,285&lt;=$D$9),1,0)</f>
        <v/>
      </c>
      <c r="KC34" s="17">
        <f>IF(AND(286&gt;=$B$9,286&lt;=$D$9),1,0)</f>
        <v/>
      </c>
      <c r="KD34" s="17">
        <f>IF(AND(287&gt;=$B$9,287&lt;=$D$9),1,0)</f>
        <v/>
      </c>
      <c r="KE34" s="17">
        <f>IF(AND(288&gt;=$B$9,288&lt;=$D$9),1,0)</f>
        <v/>
      </c>
      <c r="KF34" s="17">
        <f>IF(AND(289&gt;=$B$9,289&lt;=$D$9),1,0)</f>
        <v/>
      </c>
      <c r="KG34" s="17">
        <f>IF(AND(290&gt;=$B$9,290&lt;=$D$9),1,0)</f>
        <v/>
      </c>
      <c r="KH34" s="17">
        <f>IF(AND(291&gt;=$B$9,291&lt;=$D$9),1,0)</f>
        <v/>
      </c>
      <c r="KI34" s="17">
        <f>IF(AND(292&gt;=$B$9,292&lt;=$D$9),1,0)</f>
        <v/>
      </c>
      <c r="KJ34" s="17">
        <f>IF(AND(293&gt;=$B$9,293&lt;=$D$9),1,0)</f>
        <v/>
      </c>
      <c r="KK34" s="17">
        <f>IF(AND(294&gt;=$B$9,294&lt;=$D$9),1,0)</f>
        <v/>
      </c>
      <c r="KL34" s="17">
        <f>IF(AND(295&gt;=$B$9,295&lt;=$D$9),1,0)</f>
        <v/>
      </c>
      <c r="KM34" s="17">
        <f>IF(AND(296&gt;=$B$9,296&lt;=$D$9),1,0)</f>
        <v/>
      </c>
      <c r="KN34" s="17">
        <f>IF(AND(297&gt;=$B$9,297&lt;=$D$9),1,0)</f>
        <v/>
      </c>
      <c r="KO34" s="17">
        <f>IF(AND(298&gt;=$B$9,298&lt;=$D$9),1,0)</f>
        <v/>
      </c>
      <c r="KP34" s="17">
        <f>IF(AND(299&gt;=$B$9,299&lt;=$D$9),1,0)</f>
        <v/>
      </c>
      <c r="KQ34" s="17">
        <f>IF(AND(300&gt;=$B$9,300&lt;=$D$9),1,0)</f>
        <v/>
      </c>
      <c r="KR34" s="17">
        <f>IF(AND(301&gt;=$B$9,301&lt;=$D$9),1,0)</f>
        <v/>
      </c>
      <c r="KS34" s="17">
        <f>IF(AND(302&gt;=$B$9,302&lt;=$D$9),1,0)</f>
        <v/>
      </c>
      <c r="KT34" s="17">
        <f>IF(AND(303&gt;=$B$9,303&lt;=$D$9),1,0)</f>
        <v/>
      </c>
      <c r="KU34" s="17">
        <f>IF(AND(304&gt;=$B$9,304&lt;=$D$9),1,0)</f>
        <v/>
      </c>
      <c r="KV34" s="17">
        <f>IF(AND(305&gt;=$B$9,305&lt;=$D$9),1,0)</f>
        <v/>
      </c>
      <c r="KW34" s="17">
        <f>IF(AND(306&gt;=$B$9,306&lt;=$D$9),1,0)</f>
        <v/>
      </c>
      <c r="KX34" s="17">
        <f>IF(AND(307&gt;=$B$9,307&lt;=$D$9),1,0)</f>
        <v/>
      </c>
      <c r="KY34" s="17">
        <f>IF(AND(308&gt;=$B$9,308&lt;=$D$9),1,0)</f>
        <v/>
      </c>
      <c r="KZ34" s="17">
        <f>IF(AND(309&gt;=$B$9,309&lt;=$D$9),1,0)</f>
        <v/>
      </c>
      <c r="LA34" s="17">
        <f>IF(AND(310&gt;=$B$9,310&lt;=$D$9),1,0)</f>
        <v/>
      </c>
      <c r="LB34" s="17">
        <f>IF(AND(311&gt;=$B$9,311&lt;=$D$9),1,0)</f>
        <v/>
      </c>
      <c r="LC34" s="17">
        <f>IF(AND(312&gt;=$B$9,312&lt;=$D$9),1,0)</f>
        <v/>
      </c>
      <c r="LD34" s="17">
        <f>IF(AND(313&gt;=$B$9,313&lt;=$D$9),1,0)</f>
        <v/>
      </c>
      <c r="LE34" s="17">
        <f>IF(AND(314&gt;=$B$9,314&lt;=$D$9),1,0)</f>
        <v/>
      </c>
      <c r="LF34" s="17">
        <f>IF(AND(315&gt;=$B$9,315&lt;=$D$9),1,0)</f>
        <v/>
      </c>
      <c r="LG34" s="17">
        <f>IF(AND(316&gt;=$B$9,316&lt;=$D$9),1,0)</f>
        <v/>
      </c>
      <c r="LH34" s="17">
        <f>IF(AND(317&gt;=$B$9,317&lt;=$D$9),1,0)</f>
        <v/>
      </c>
      <c r="LI34" s="17">
        <f>IF(AND(318&gt;=$B$9,318&lt;=$D$9),1,0)</f>
        <v/>
      </c>
      <c r="LJ34" s="17">
        <f>IF(AND(319&gt;=$B$9,319&lt;=$D$9),1,0)</f>
        <v/>
      </c>
      <c r="LK34" s="17">
        <f>IF(AND(320&gt;=$B$9,320&lt;=$D$9),1,0)</f>
        <v/>
      </c>
      <c r="LL34" s="17">
        <f>IF(AND(321&gt;=$B$9,321&lt;=$D$9),1,0)</f>
        <v/>
      </c>
      <c r="LM34" s="17">
        <f>IF(AND(322&gt;=$B$9,322&lt;=$D$9),1,0)</f>
        <v/>
      </c>
      <c r="LN34" s="17">
        <f>IF(AND(323&gt;=$B$9,323&lt;=$D$9),1,0)</f>
        <v/>
      </c>
      <c r="LO34" s="17">
        <f>IF(AND(324&gt;=$B$9,324&lt;=$D$9),1,0)</f>
        <v/>
      </c>
      <c r="LP34" s="17">
        <f>IF(AND(325&gt;=$B$9,325&lt;=$D$9),1,0)</f>
        <v/>
      </c>
      <c r="LQ34" s="17">
        <f>IF(AND(326&gt;=$B$9,326&lt;=$D$9),1,0)</f>
        <v/>
      </c>
      <c r="LR34" s="17">
        <f>IF(AND(327&gt;=$B$9,327&lt;=$D$9),1,0)</f>
        <v/>
      </c>
      <c r="LS34" s="17">
        <f>IF(AND(328&gt;=$B$9,328&lt;=$D$9),1,0)</f>
        <v/>
      </c>
      <c r="LT34" s="17">
        <f>IF(AND(329&gt;=$B$9,329&lt;=$D$9),1,0)</f>
        <v/>
      </c>
      <c r="LU34" s="17">
        <f>IF(AND(330&gt;=$B$9,330&lt;=$D$9),1,0)</f>
        <v/>
      </c>
      <c r="LV34" s="17">
        <f>IF(AND(331&gt;=$B$9,331&lt;=$D$9),1,0)</f>
        <v/>
      </c>
      <c r="LW34" s="17">
        <f>IF(AND(332&gt;=$B$9,332&lt;=$D$9),1,0)</f>
        <v/>
      </c>
      <c r="LX34" s="17">
        <f>IF(AND(333&gt;=$B$9,333&lt;=$D$9),1,0)</f>
        <v/>
      </c>
      <c r="LY34" s="17">
        <f>IF(AND(334&gt;=$B$9,334&lt;=$D$9),1,0)</f>
        <v/>
      </c>
      <c r="LZ34" s="17">
        <f>IF(AND(335&gt;=$B$9,335&lt;=$D$9),1,0)</f>
        <v/>
      </c>
      <c r="MA34" s="17">
        <f>IF(AND(336&gt;=$B$9,336&lt;=$D$9),1,0)</f>
        <v/>
      </c>
      <c r="MB34" s="17">
        <f>IF(AND(337&gt;=$B$9,337&lt;=$D$9),1,0)</f>
        <v/>
      </c>
      <c r="MC34" s="17">
        <f>IF(AND(338&gt;=$B$9,338&lt;=$D$9),1,0)</f>
        <v/>
      </c>
      <c r="MD34" s="17">
        <f>IF(AND(339&gt;=$B$9,339&lt;=$D$9),1,0)</f>
        <v/>
      </c>
      <c r="ME34" s="17">
        <f>IF(AND(340&gt;=$B$9,340&lt;=$D$9),1,0)</f>
        <v/>
      </c>
      <c r="MF34" s="17">
        <f>IF(AND(341&gt;=$B$9,341&lt;=$D$9),1,0)</f>
        <v/>
      </c>
      <c r="MG34" s="17">
        <f>IF(AND(342&gt;=$B$9,342&lt;=$D$9),1,0)</f>
        <v/>
      </c>
      <c r="MH34" s="17">
        <f>IF(AND(343&gt;=$B$9,343&lt;=$D$9),1,0)</f>
        <v/>
      </c>
      <c r="MI34" s="17">
        <f>IF(AND(344&gt;=$B$9,344&lt;=$D$9),1,0)</f>
        <v/>
      </c>
      <c r="MJ34" s="17">
        <f>IF(AND(345&gt;=$B$9,345&lt;=$D$9),1,0)</f>
        <v/>
      </c>
      <c r="MK34" s="17">
        <f>IF(AND(346&gt;=$B$9,346&lt;=$D$9),1,0)</f>
        <v/>
      </c>
      <c r="ML34" s="17">
        <f>IF(AND(347&gt;=$B$9,347&lt;=$D$9),1,0)</f>
        <v/>
      </c>
      <c r="MM34" s="17">
        <f>IF(AND(348&gt;=$B$9,348&lt;=$D$9),1,0)</f>
        <v/>
      </c>
      <c r="MN34" s="17">
        <f>IF(AND(349&gt;=$B$9,349&lt;=$D$9),1,0)</f>
        <v/>
      </c>
      <c r="MO34" s="17">
        <f>IF(AND(350&gt;=$B$9,350&lt;=$D$9),1,0)</f>
        <v/>
      </c>
      <c r="MP34" s="17">
        <f>IF(AND(351&gt;=$B$9,351&lt;=$D$9),1,0)</f>
        <v/>
      </c>
      <c r="MQ34" s="17">
        <f>IF(AND(352&gt;=$B$9,352&lt;=$D$9),1,0)</f>
        <v/>
      </c>
      <c r="MR34" s="17">
        <f>IF(AND(353&gt;=$B$9,353&lt;=$D$9),1,0)</f>
        <v/>
      </c>
      <c r="MS34" s="17">
        <f>IF(AND(354&gt;=$B$9,354&lt;=$D$9),1,0)</f>
        <v/>
      </c>
      <c r="MT34" s="17">
        <f>IF(AND(355&gt;=$B$9,355&lt;=$D$9),1,0)</f>
        <v/>
      </c>
      <c r="MU34" s="17">
        <f>IF(AND(356&gt;=$B$9,356&lt;=$D$9),1,0)</f>
        <v/>
      </c>
      <c r="MV34" s="17">
        <f>IF(AND(357&gt;=$B$9,357&lt;=$D$9),1,0)</f>
        <v/>
      </c>
      <c r="MW34" s="17">
        <f>IF(AND(358&gt;=$B$9,358&lt;=$D$9),1,0)</f>
        <v/>
      </c>
      <c r="MX34" s="17">
        <f>IF(AND(359&gt;=$B$9,359&lt;=$D$9),1,0)</f>
        <v/>
      </c>
      <c r="MY34" s="17">
        <f>IF(AND(360&gt;=$B$9,360&lt;=$D$9),1,0)</f>
        <v/>
      </c>
      <c r="MZ34" s="17">
        <f>IF(AND(361&gt;=$B$9,361&lt;=$D$9),1,0)</f>
        <v/>
      </c>
      <c r="NA34" s="17">
        <f>IF(AND(362&gt;=$B$9,362&lt;=$D$9),1,0)</f>
        <v/>
      </c>
      <c r="NB34" s="17">
        <f>IF(AND(363&gt;=$B$9,363&lt;=$D$9),1,0)</f>
        <v/>
      </c>
      <c r="NC34" s="17">
        <f>IF(AND(364&gt;=$B$9,364&lt;=$D$9),1,0)</f>
        <v/>
      </c>
      <c r="ND34" s="17">
        <f>IF(AND(365&gt;=$B$9,365&lt;=$D$9),1,0)</f>
        <v/>
      </c>
      <c r="NE34" s="17">
        <f>IF(AND(366&gt;=$B$9,366&lt;=$D$9),1,0)</f>
        <v/>
      </c>
      <c r="NF34" s="17">
        <f>IF(AND(367&gt;=$B$9,367&lt;=$D$9),1,0)</f>
        <v/>
      </c>
      <c r="NG34" s="17">
        <f>IF(AND(368&gt;=$B$9,368&lt;=$D$9),1,0)</f>
        <v/>
      </c>
      <c r="NH34" s="17">
        <f>IF(AND(369&gt;=$B$9,369&lt;=$D$9),1,0)</f>
        <v/>
      </c>
      <c r="NI34" s="17">
        <f>IF(AND(370&gt;=$B$9,370&lt;=$D$9),1,0)</f>
        <v/>
      </c>
      <c r="NJ34" s="17">
        <f>IF(AND(371&gt;=$B$9,371&lt;=$D$9),1,0)</f>
        <v/>
      </c>
      <c r="NK34" s="17">
        <f>IF(AND(372&gt;=$B$9,372&lt;=$D$9),1,0)</f>
        <v/>
      </c>
    </row>
    <row r="35">
      <c r="A35" s="5" t="inlineStr">
        <is>
          <t>Flag: 1st Unit Delivery</t>
        </is>
      </c>
      <c r="C35" s="40" t="n"/>
      <c r="D35" s="17">
        <f>IF(AND(1&gt;=$B$10,1&lt;=$D$10),1,0)</f>
        <v/>
      </c>
      <c r="E35" s="17">
        <f>IF(AND(2&gt;=$B$10,2&lt;=$D$10),1,0)</f>
        <v/>
      </c>
      <c r="F35" s="17">
        <f>IF(AND(3&gt;=$B$10,3&lt;=$D$10),1,0)</f>
        <v/>
      </c>
      <c r="G35" s="17">
        <f>IF(AND(4&gt;=$B$10,4&lt;=$D$10),1,0)</f>
        <v/>
      </c>
      <c r="H35" s="17">
        <f>IF(AND(5&gt;=$B$10,5&lt;=$D$10),1,0)</f>
        <v/>
      </c>
      <c r="I35" s="17">
        <f>IF(AND(6&gt;=$B$10,6&lt;=$D$10),1,0)</f>
        <v/>
      </c>
      <c r="J35" s="17">
        <f>IF(AND(7&gt;=$B$10,7&lt;=$D$10),1,0)</f>
        <v/>
      </c>
      <c r="K35" s="17">
        <f>IF(AND(8&gt;=$B$10,8&lt;=$D$10),1,0)</f>
        <v/>
      </c>
      <c r="L35" s="17">
        <f>IF(AND(9&gt;=$B$10,9&lt;=$D$10),1,0)</f>
        <v/>
      </c>
      <c r="M35" s="17">
        <f>IF(AND(10&gt;=$B$10,10&lt;=$D$10),1,0)</f>
        <v/>
      </c>
      <c r="N35" s="17">
        <f>IF(AND(11&gt;=$B$10,11&lt;=$D$10),1,0)</f>
        <v/>
      </c>
      <c r="O35" s="17">
        <f>IF(AND(12&gt;=$B$10,12&lt;=$D$10),1,0)</f>
        <v/>
      </c>
      <c r="P35" s="17">
        <f>IF(AND(13&gt;=$B$10,13&lt;=$D$10),1,0)</f>
        <v/>
      </c>
      <c r="Q35" s="17">
        <f>IF(AND(14&gt;=$B$10,14&lt;=$D$10),1,0)</f>
        <v/>
      </c>
      <c r="R35" s="17">
        <f>IF(AND(15&gt;=$B$10,15&lt;=$D$10),1,0)</f>
        <v/>
      </c>
      <c r="S35" s="17">
        <f>IF(AND(16&gt;=$B$10,16&lt;=$D$10),1,0)</f>
        <v/>
      </c>
      <c r="T35" s="17">
        <f>IF(AND(17&gt;=$B$10,17&lt;=$D$10),1,0)</f>
        <v/>
      </c>
      <c r="U35" s="17">
        <f>IF(AND(18&gt;=$B$10,18&lt;=$D$10),1,0)</f>
        <v/>
      </c>
      <c r="V35" s="17">
        <f>IF(AND(19&gt;=$B$10,19&lt;=$D$10),1,0)</f>
        <v/>
      </c>
      <c r="W35" s="17">
        <f>IF(AND(20&gt;=$B$10,20&lt;=$D$10),1,0)</f>
        <v/>
      </c>
      <c r="X35" s="17">
        <f>IF(AND(21&gt;=$B$10,21&lt;=$D$10),1,0)</f>
        <v/>
      </c>
      <c r="Y35" s="17">
        <f>IF(AND(22&gt;=$B$10,22&lt;=$D$10),1,0)</f>
        <v/>
      </c>
      <c r="Z35" s="17">
        <f>IF(AND(23&gt;=$B$10,23&lt;=$D$10),1,0)</f>
        <v/>
      </c>
      <c r="AA35" s="17">
        <f>IF(AND(24&gt;=$B$10,24&lt;=$D$10),1,0)</f>
        <v/>
      </c>
      <c r="AB35" s="17">
        <f>IF(AND(25&gt;=$B$10,25&lt;=$D$10),1,0)</f>
        <v/>
      </c>
      <c r="AC35" s="17">
        <f>IF(AND(26&gt;=$B$10,26&lt;=$D$10),1,0)</f>
        <v/>
      </c>
      <c r="AD35" s="17">
        <f>IF(AND(27&gt;=$B$10,27&lt;=$D$10),1,0)</f>
        <v/>
      </c>
      <c r="AE35" s="17">
        <f>IF(AND(28&gt;=$B$10,28&lt;=$D$10),1,0)</f>
        <v/>
      </c>
      <c r="AF35" s="17">
        <f>IF(AND(29&gt;=$B$10,29&lt;=$D$10),1,0)</f>
        <v/>
      </c>
      <c r="AG35" s="17">
        <f>IF(AND(30&gt;=$B$10,30&lt;=$D$10),1,0)</f>
        <v/>
      </c>
      <c r="AH35" s="17">
        <f>IF(AND(31&gt;=$B$10,31&lt;=$D$10),1,0)</f>
        <v/>
      </c>
      <c r="AI35" s="17">
        <f>IF(AND(32&gt;=$B$10,32&lt;=$D$10),1,0)</f>
        <v/>
      </c>
      <c r="AJ35" s="17">
        <f>IF(AND(33&gt;=$B$10,33&lt;=$D$10),1,0)</f>
        <v/>
      </c>
      <c r="AK35" s="17">
        <f>IF(AND(34&gt;=$B$10,34&lt;=$D$10),1,0)</f>
        <v/>
      </c>
      <c r="AL35" s="17">
        <f>IF(AND(35&gt;=$B$10,35&lt;=$D$10),1,0)</f>
        <v/>
      </c>
      <c r="AM35" s="17">
        <f>IF(AND(36&gt;=$B$10,36&lt;=$D$10),1,0)</f>
        <v/>
      </c>
      <c r="AN35" s="17">
        <f>IF(AND(37&gt;=$B$10,37&lt;=$D$10),1,0)</f>
        <v/>
      </c>
      <c r="AO35" s="17">
        <f>IF(AND(38&gt;=$B$10,38&lt;=$D$10),1,0)</f>
        <v/>
      </c>
      <c r="AP35" s="17">
        <f>IF(AND(39&gt;=$B$10,39&lt;=$D$10),1,0)</f>
        <v/>
      </c>
      <c r="AQ35" s="17">
        <f>IF(AND(40&gt;=$B$10,40&lt;=$D$10),1,0)</f>
        <v/>
      </c>
      <c r="AR35" s="17">
        <f>IF(AND(41&gt;=$B$10,41&lt;=$D$10),1,0)</f>
        <v/>
      </c>
      <c r="AS35" s="17">
        <f>IF(AND(42&gt;=$B$10,42&lt;=$D$10),1,0)</f>
        <v/>
      </c>
      <c r="AT35" s="17">
        <f>IF(AND(43&gt;=$B$10,43&lt;=$D$10),1,0)</f>
        <v/>
      </c>
      <c r="AU35" s="17">
        <f>IF(AND(44&gt;=$B$10,44&lt;=$D$10),1,0)</f>
        <v/>
      </c>
      <c r="AV35" s="17">
        <f>IF(AND(45&gt;=$B$10,45&lt;=$D$10),1,0)</f>
        <v/>
      </c>
      <c r="AW35" s="17">
        <f>IF(AND(46&gt;=$B$10,46&lt;=$D$10),1,0)</f>
        <v/>
      </c>
      <c r="AX35" s="17">
        <f>IF(AND(47&gt;=$B$10,47&lt;=$D$10),1,0)</f>
        <v/>
      </c>
      <c r="AY35" s="17">
        <f>IF(AND(48&gt;=$B$10,48&lt;=$D$10),1,0)</f>
        <v/>
      </c>
      <c r="AZ35" s="17">
        <f>IF(AND(49&gt;=$B$10,49&lt;=$D$10),1,0)</f>
        <v/>
      </c>
      <c r="BA35" s="17">
        <f>IF(AND(50&gt;=$B$10,50&lt;=$D$10),1,0)</f>
        <v/>
      </c>
      <c r="BB35" s="17">
        <f>IF(AND(51&gt;=$B$10,51&lt;=$D$10),1,0)</f>
        <v/>
      </c>
      <c r="BC35" s="17">
        <f>IF(AND(52&gt;=$B$10,52&lt;=$D$10),1,0)</f>
        <v/>
      </c>
      <c r="BD35" s="17">
        <f>IF(AND(53&gt;=$B$10,53&lt;=$D$10),1,0)</f>
        <v/>
      </c>
      <c r="BE35" s="17">
        <f>IF(AND(54&gt;=$B$10,54&lt;=$D$10),1,0)</f>
        <v/>
      </c>
      <c r="BF35" s="17">
        <f>IF(AND(55&gt;=$B$10,55&lt;=$D$10),1,0)</f>
        <v/>
      </c>
      <c r="BG35" s="17">
        <f>IF(AND(56&gt;=$B$10,56&lt;=$D$10),1,0)</f>
        <v/>
      </c>
      <c r="BH35" s="17">
        <f>IF(AND(57&gt;=$B$10,57&lt;=$D$10),1,0)</f>
        <v/>
      </c>
      <c r="BI35" s="17">
        <f>IF(AND(58&gt;=$B$10,58&lt;=$D$10),1,0)</f>
        <v/>
      </c>
      <c r="BJ35" s="17">
        <f>IF(AND(59&gt;=$B$10,59&lt;=$D$10),1,0)</f>
        <v/>
      </c>
      <c r="BK35" s="17">
        <f>IF(AND(60&gt;=$B$10,60&lt;=$D$10),1,0)</f>
        <v/>
      </c>
      <c r="BL35" s="17">
        <f>IF(AND(61&gt;=$B$10,61&lt;=$D$10),1,0)</f>
        <v/>
      </c>
      <c r="BM35" s="17">
        <f>IF(AND(62&gt;=$B$10,62&lt;=$D$10),1,0)</f>
        <v/>
      </c>
      <c r="BN35" s="17">
        <f>IF(AND(63&gt;=$B$10,63&lt;=$D$10),1,0)</f>
        <v/>
      </c>
      <c r="BO35" s="17">
        <f>IF(AND(64&gt;=$B$10,64&lt;=$D$10),1,0)</f>
        <v/>
      </c>
      <c r="BP35" s="17">
        <f>IF(AND(65&gt;=$B$10,65&lt;=$D$10),1,0)</f>
        <v/>
      </c>
      <c r="BQ35" s="17">
        <f>IF(AND(66&gt;=$B$10,66&lt;=$D$10),1,0)</f>
        <v/>
      </c>
      <c r="BR35" s="17">
        <f>IF(AND(67&gt;=$B$10,67&lt;=$D$10),1,0)</f>
        <v/>
      </c>
      <c r="BS35" s="17">
        <f>IF(AND(68&gt;=$B$10,68&lt;=$D$10),1,0)</f>
        <v/>
      </c>
      <c r="BT35" s="17">
        <f>IF(AND(69&gt;=$B$10,69&lt;=$D$10),1,0)</f>
        <v/>
      </c>
      <c r="BU35" s="17">
        <f>IF(AND(70&gt;=$B$10,70&lt;=$D$10),1,0)</f>
        <v/>
      </c>
      <c r="BV35" s="17">
        <f>IF(AND(71&gt;=$B$10,71&lt;=$D$10),1,0)</f>
        <v/>
      </c>
      <c r="BW35" s="17">
        <f>IF(AND(72&gt;=$B$10,72&lt;=$D$10),1,0)</f>
        <v/>
      </c>
      <c r="BX35" s="17">
        <f>IF(AND(73&gt;=$B$10,73&lt;=$D$10),1,0)</f>
        <v/>
      </c>
      <c r="BY35" s="17">
        <f>IF(AND(74&gt;=$B$10,74&lt;=$D$10),1,0)</f>
        <v/>
      </c>
      <c r="BZ35" s="17">
        <f>IF(AND(75&gt;=$B$10,75&lt;=$D$10),1,0)</f>
        <v/>
      </c>
      <c r="CA35" s="17">
        <f>IF(AND(76&gt;=$B$10,76&lt;=$D$10),1,0)</f>
        <v/>
      </c>
      <c r="CB35" s="17">
        <f>IF(AND(77&gt;=$B$10,77&lt;=$D$10),1,0)</f>
        <v/>
      </c>
      <c r="CC35" s="17">
        <f>IF(AND(78&gt;=$B$10,78&lt;=$D$10),1,0)</f>
        <v/>
      </c>
      <c r="CD35" s="17">
        <f>IF(AND(79&gt;=$B$10,79&lt;=$D$10),1,0)</f>
        <v/>
      </c>
      <c r="CE35" s="17">
        <f>IF(AND(80&gt;=$B$10,80&lt;=$D$10),1,0)</f>
        <v/>
      </c>
      <c r="CF35" s="17">
        <f>IF(AND(81&gt;=$B$10,81&lt;=$D$10),1,0)</f>
        <v/>
      </c>
      <c r="CG35" s="17">
        <f>IF(AND(82&gt;=$B$10,82&lt;=$D$10),1,0)</f>
        <v/>
      </c>
      <c r="CH35" s="17">
        <f>IF(AND(83&gt;=$B$10,83&lt;=$D$10),1,0)</f>
        <v/>
      </c>
      <c r="CI35" s="17">
        <f>IF(AND(84&gt;=$B$10,84&lt;=$D$10),1,0)</f>
        <v/>
      </c>
      <c r="CJ35" s="17">
        <f>IF(AND(85&gt;=$B$10,85&lt;=$D$10),1,0)</f>
        <v/>
      </c>
      <c r="CK35" s="17">
        <f>IF(AND(86&gt;=$B$10,86&lt;=$D$10),1,0)</f>
        <v/>
      </c>
      <c r="CL35" s="17">
        <f>IF(AND(87&gt;=$B$10,87&lt;=$D$10),1,0)</f>
        <v/>
      </c>
      <c r="CM35" s="17">
        <f>IF(AND(88&gt;=$B$10,88&lt;=$D$10),1,0)</f>
        <v/>
      </c>
      <c r="CN35" s="17">
        <f>IF(AND(89&gt;=$B$10,89&lt;=$D$10),1,0)</f>
        <v/>
      </c>
      <c r="CO35" s="17">
        <f>IF(AND(90&gt;=$B$10,90&lt;=$D$10),1,0)</f>
        <v/>
      </c>
      <c r="CP35" s="17">
        <f>IF(AND(91&gt;=$B$10,91&lt;=$D$10),1,0)</f>
        <v/>
      </c>
      <c r="CQ35" s="17">
        <f>IF(AND(92&gt;=$B$10,92&lt;=$D$10),1,0)</f>
        <v/>
      </c>
      <c r="CR35" s="17">
        <f>IF(AND(93&gt;=$B$10,93&lt;=$D$10),1,0)</f>
        <v/>
      </c>
      <c r="CS35" s="17">
        <f>IF(AND(94&gt;=$B$10,94&lt;=$D$10),1,0)</f>
        <v/>
      </c>
      <c r="CT35" s="17">
        <f>IF(AND(95&gt;=$B$10,95&lt;=$D$10),1,0)</f>
        <v/>
      </c>
      <c r="CU35" s="17">
        <f>IF(AND(96&gt;=$B$10,96&lt;=$D$10),1,0)</f>
        <v/>
      </c>
      <c r="CV35" s="17">
        <f>IF(AND(97&gt;=$B$10,97&lt;=$D$10),1,0)</f>
        <v/>
      </c>
      <c r="CW35" s="17">
        <f>IF(AND(98&gt;=$B$10,98&lt;=$D$10),1,0)</f>
        <v/>
      </c>
      <c r="CX35" s="17">
        <f>IF(AND(99&gt;=$B$10,99&lt;=$D$10),1,0)</f>
        <v/>
      </c>
      <c r="CY35" s="17">
        <f>IF(AND(100&gt;=$B$10,100&lt;=$D$10),1,0)</f>
        <v/>
      </c>
      <c r="CZ35" s="17">
        <f>IF(AND(101&gt;=$B$10,101&lt;=$D$10),1,0)</f>
        <v/>
      </c>
      <c r="DA35" s="17">
        <f>IF(AND(102&gt;=$B$10,102&lt;=$D$10),1,0)</f>
        <v/>
      </c>
      <c r="DB35" s="17">
        <f>IF(AND(103&gt;=$B$10,103&lt;=$D$10),1,0)</f>
        <v/>
      </c>
      <c r="DC35" s="17">
        <f>IF(AND(104&gt;=$B$10,104&lt;=$D$10),1,0)</f>
        <v/>
      </c>
      <c r="DD35" s="17">
        <f>IF(AND(105&gt;=$B$10,105&lt;=$D$10),1,0)</f>
        <v/>
      </c>
      <c r="DE35" s="17">
        <f>IF(AND(106&gt;=$B$10,106&lt;=$D$10),1,0)</f>
        <v/>
      </c>
      <c r="DF35" s="17">
        <f>IF(AND(107&gt;=$B$10,107&lt;=$D$10),1,0)</f>
        <v/>
      </c>
      <c r="DG35" s="17">
        <f>IF(AND(108&gt;=$B$10,108&lt;=$D$10),1,0)</f>
        <v/>
      </c>
      <c r="DH35" s="17">
        <f>IF(AND(109&gt;=$B$10,109&lt;=$D$10),1,0)</f>
        <v/>
      </c>
      <c r="DI35" s="17">
        <f>IF(AND(110&gt;=$B$10,110&lt;=$D$10),1,0)</f>
        <v/>
      </c>
      <c r="DJ35" s="17">
        <f>IF(AND(111&gt;=$B$10,111&lt;=$D$10),1,0)</f>
        <v/>
      </c>
      <c r="DK35" s="17">
        <f>IF(AND(112&gt;=$B$10,112&lt;=$D$10),1,0)</f>
        <v/>
      </c>
      <c r="DL35" s="17">
        <f>IF(AND(113&gt;=$B$10,113&lt;=$D$10),1,0)</f>
        <v/>
      </c>
      <c r="DM35" s="17">
        <f>IF(AND(114&gt;=$B$10,114&lt;=$D$10),1,0)</f>
        <v/>
      </c>
      <c r="DN35" s="17">
        <f>IF(AND(115&gt;=$B$10,115&lt;=$D$10),1,0)</f>
        <v/>
      </c>
      <c r="DO35" s="17">
        <f>IF(AND(116&gt;=$B$10,116&lt;=$D$10),1,0)</f>
        <v/>
      </c>
      <c r="DP35" s="17">
        <f>IF(AND(117&gt;=$B$10,117&lt;=$D$10),1,0)</f>
        <v/>
      </c>
      <c r="DQ35" s="17">
        <f>IF(AND(118&gt;=$B$10,118&lt;=$D$10),1,0)</f>
        <v/>
      </c>
      <c r="DR35" s="17">
        <f>IF(AND(119&gt;=$B$10,119&lt;=$D$10),1,0)</f>
        <v/>
      </c>
      <c r="DS35" s="17">
        <f>IF(AND(120&gt;=$B$10,120&lt;=$D$10),1,0)</f>
        <v/>
      </c>
      <c r="DT35" s="17">
        <f>IF(AND(121&gt;=$B$10,121&lt;=$D$10),1,0)</f>
        <v/>
      </c>
      <c r="DU35" s="17">
        <f>IF(AND(122&gt;=$B$10,122&lt;=$D$10),1,0)</f>
        <v/>
      </c>
      <c r="DV35" s="17">
        <f>IF(AND(123&gt;=$B$10,123&lt;=$D$10),1,0)</f>
        <v/>
      </c>
      <c r="DW35" s="17">
        <f>IF(AND(124&gt;=$B$10,124&lt;=$D$10),1,0)</f>
        <v/>
      </c>
      <c r="DX35" s="17">
        <f>IF(AND(125&gt;=$B$10,125&lt;=$D$10),1,0)</f>
        <v/>
      </c>
      <c r="DY35" s="17">
        <f>IF(AND(126&gt;=$B$10,126&lt;=$D$10),1,0)</f>
        <v/>
      </c>
      <c r="DZ35" s="17">
        <f>IF(AND(127&gt;=$B$10,127&lt;=$D$10),1,0)</f>
        <v/>
      </c>
      <c r="EA35" s="17">
        <f>IF(AND(128&gt;=$B$10,128&lt;=$D$10),1,0)</f>
        <v/>
      </c>
      <c r="EB35" s="17">
        <f>IF(AND(129&gt;=$B$10,129&lt;=$D$10),1,0)</f>
        <v/>
      </c>
      <c r="EC35" s="17">
        <f>IF(AND(130&gt;=$B$10,130&lt;=$D$10),1,0)</f>
        <v/>
      </c>
      <c r="ED35" s="17">
        <f>IF(AND(131&gt;=$B$10,131&lt;=$D$10),1,0)</f>
        <v/>
      </c>
      <c r="EE35" s="17">
        <f>IF(AND(132&gt;=$B$10,132&lt;=$D$10),1,0)</f>
        <v/>
      </c>
      <c r="EF35" s="17">
        <f>IF(AND(133&gt;=$B$10,133&lt;=$D$10),1,0)</f>
        <v/>
      </c>
      <c r="EG35" s="17">
        <f>IF(AND(134&gt;=$B$10,134&lt;=$D$10),1,0)</f>
        <v/>
      </c>
      <c r="EH35" s="17">
        <f>IF(AND(135&gt;=$B$10,135&lt;=$D$10),1,0)</f>
        <v/>
      </c>
      <c r="EI35" s="17">
        <f>IF(AND(136&gt;=$B$10,136&lt;=$D$10),1,0)</f>
        <v/>
      </c>
      <c r="EJ35" s="17">
        <f>IF(AND(137&gt;=$B$10,137&lt;=$D$10),1,0)</f>
        <v/>
      </c>
      <c r="EK35" s="17">
        <f>IF(AND(138&gt;=$B$10,138&lt;=$D$10),1,0)</f>
        <v/>
      </c>
      <c r="EL35" s="17">
        <f>IF(AND(139&gt;=$B$10,139&lt;=$D$10),1,0)</f>
        <v/>
      </c>
      <c r="EM35" s="17">
        <f>IF(AND(140&gt;=$B$10,140&lt;=$D$10),1,0)</f>
        <v/>
      </c>
      <c r="EN35" s="17">
        <f>IF(AND(141&gt;=$B$10,141&lt;=$D$10),1,0)</f>
        <v/>
      </c>
      <c r="EO35" s="17">
        <f>IF(AND(142&gt;=$B$10,142&lt;=$D$10),1,0)</f>
        <v/>
      </c>
      <c r="EP35" s="17">
        <f>IF(AND(143&gt;=$B$10,143&lt;=$D$10),1,0)</f>
        <v/>
      </c>
      <c r="EQ35" s="17">
        <f>IF(AND(144&gt;=$B$10,144&lt;=$D$10),1,0)</f>
        <v/>
      </c>
      <c r="ER35" s="17">
        <f>IF(AND(145&gt;=$B$10,145&lt;=$D$10),1,0)</f>
        <v/>
      </c>
      <c r="ES35" s="17">
        <f>IF(AND(146&gt;=$B$10,146&lt;=$D$10),1,0)</f>
        <v/>
      </c>
      <c r="ET35" s="17">
        <f>IF(AND(147&gt;=$B$10,147&lt;=$D$10),1,0)</f>
        <v/>
      </c>
      <c r="EU35" s="17">
        <f>IF(AND(148&gt;=$B$10,148&lt;=$D$10),1,0)</f>
        <v/>
      </c>
      <c r="EV35" s="17">
        <f>IF(AND(149&gt;=$B$10,149&lt;=$D$10),1,0)</f>
        <v/>
      </c>
      <c r="EW35" s="17">
        <f>IF(AND(150&gt;=$B$10,150&lt;=$D$10),1,0)</f>
        <v/>
      </c>
      <c r="EX35" s="17">
        <f>IF(AND(151&gt;=$B$10,151&lt;=$D$10),1,0)</f>
        <v/>
      </c>
      <c r="EY35" s="17">
        <f>IF(AND(152&gt;=$B$10,152&lt;=$D$10),1,0)</f>
        <v/>
      </c>
      <c r="EZ35" s="17">
        <f>IF(AND(153&gt;=$B$10,153&lt;=$D$10),1,0)</f>
        <v/>
      </c>
      <c r="FA35" s="17">
        <f>IF(AND(154&gt;=$B$10,154&lt;=$D$10),1,0)</f>
        <v/>
      </c>
      <c r="FB35" s="17">
        <f>IF(AND(155&gt;=$B$10,155&lt;=$D$10),1,0)</f>
        <v/>
      </c>
      <c r="FC35" s="17">
        <f>IF(AND(156&gt;=$B$10,156&lt;=$D$10),1,0)</f>
        <v/>
      </c>
      <c r="FD35" s="17">
        <f>IF(AND(157&gt;=$B$10,157&lt;=$D$10),1,0)</f>
        <v/>
      </c>
      <c r="FE35" s="17">
        <f>IF(AND(158&gt;=$B$10,158&lt;=$D$10),1,0)</f>
        <v/>
      </c>
      <c r="FF35" s="17">
        <f>IF(AND(159&gt;=$B$10,159&lt;=$D$10),1,0)</f>
        <v/>
      </c>
      <c r="FG35" s="17">
        <f>IF(AND(160&gt;=$B$10,160&lt;=$D$10),1,0)</f>
        <v/>
      </c>
      <c r="FH35" s="17">
        <f>IF(AND(161&gt;=$B$10,161&lt;=$D$10),1,0)</f>
        <v/>
      </c>
      <c r="FI35" s="17">
        <f>IF(AND(162&gt;=$B$10,162&lt;=$D$10),1,0)</f>
        <v/>
      </c>
      <c r="FJ35" s="17">
        <f>IF(AND(163&gt;=$B$10,163&lt;=$D$10),1,0)</f>
        <v/>
      </c>
      <c r="FK35" s="17">
        <f>IF(AND(164&gt;=$B$10,164&lt;=$D$10),1,0)</f>
        <v/>
      </c>
      <c r="FL35" s="17">
        <f>IF(AND(165&gt;=$B$10,165&lt;=$D$10),1,0)</f>
        <v/>
      </c>
      <c r="FM35" s="17">
        <f>IF(AND(166&gt;=$B$10,166&lt;=$D$10),1,0)</f>
        <v/>
      </c>
      <c r="FN35" s="17">
        <f>IF(AND(167&gt;=$B$10,167&lt;=$D$10),1,0)</f>
        <v/>
      </c>
      <c r="FO35" s="17">
        <f>IF(AND(168&gt;=$B$10,168&lt;=$D$10),1,0)</f>
        <v/>
      </c>
      <c r="FP35" s="17">
        <f>IF(AND(169&gt;=$B$10,169&lt;=$D$10),1,0)</f>
        <v/>
      </c>
      <c r="FQ35" s="17">
        <f>IF(AND(170&gt;=$B$10,170&lt;=$D$10),1,0)</f>
        <v/>
      </c>
      <c r="FR35" s="17">
        <f>IF(AND(171&gt;=$B$10,171&lt;=$D$10),1,0)</f>
        <v/>
      </c>
      <c r="FS35" s="17">
        <f>IF(AND(172&gt;=$B$10,172&lt;=$D$10),1,0)</f>
        <v/>
      </c>
      <c r="FT35" s="17">
        <f>IF(AND(173&gt;=$B$10,173&lt;=$D$10),1,0)</f>
        <v/>
      </c>
      <c r="FU35" s="17">
        <f>IF(AND(174&gt;=$B$10,174&lt;=$D$10),1,0)</f>
        <v/>
      </c>
      <c r="FV35" s="17">
        <f>IF(AND(175&gt;=$B$10,175&lt;=$D$10),1,0)</f>
        <v/>
      </c>
      <c r="FW35" s="17">
        <f>IF(AND(176&gt;=$B$10,176&lt;=$D$10),1,0)</f>
        <v/>
      </c>
      <c r="FX35" s="17">
        <f>IF(AND(177&gt;=$B$10,177&lt;=$D$10),1,0)</f>
        <v/>
      </c>
      <c r="FY35" s="17">
        <f>IF(AND(178&gt;=$B$10,178&lt;=$D$10),1,0)</f>
        <v/>
      </c>
      <c r="FZ35" s="17">
        <f>IF(AND(179&gt;=$B$10,179&lt;=$D$10),1,0)</f>
        <v/>
      </c>
      <c r="GA35" s="17">
        <f>IF(AND(180&gt;=$B$10,180&lt;=$D$10),1,0)</f>
        <v/>
      </c>
      <c r="GB35" s="17">
        <f>IF(AND(181&gt;=$B$10,181&lt;=$D$10),1,0)</f>
        <v/>
      </c>
      <c r="GC35" s="17">
        <f>IF(AND(182&gt;=$B$10,182&lt;=$D$10),1,0)</f>
        <v/>
      </c>
      <c r="GD35" s="17">
        <f>IF(AND(183&gt;=$B$10,183&lt;=$D$10),1,0)</f>
        <v/>
      </c>
      <c r="GE35" s="17">
        <f>IF(AND(184&gt;=$B$10,184&lt;=$D$10),1,0)</f>
        <v/>
      </c>
      <c r="GF35" s="17">
        <f>IF(AND(185&gt;=$B$10,185&lt;=$D$10),1,0)</f>
        <v/>
      </c>
      <c r="GG35" s="17">
        <f>IF(AND(186&gt;=$B$10,186&lt;=$D$10),1,0)</f>
        <v/>
      </c>
      <c r="GH35" s="17">
        <f>IF(AND(187&gt;=$B$10,187&lt;=$D$10),1,0)</f>
        <v/>
      </c>
      <c r="GI35" s="17">
        <f>IF(AND(188&gt;=$B$10,188&lt;=$D$10),1,0)</f>
        <v/>
      </c>
      <c r="GJ35" s="17">
        <f>IF(AND(189&gt;=$B$10,189&lt;=$D$10),1,0)</f>
        <v/>
      </c>
      <c r="GK35" s="17">
        <f>IF(AND(190&gt;=$B$10,190&lt;=$D$10),1,0)</f>
        <v/>
      </c>
      <c r="GL35" s="17">
        <f>IF(AND(191&gt;=$B$10,191&lt;=$D$10),1,0)</f>
        <v/>
      </c>
      <c r="GM35" s="17">
        <f>IF(AND(192&gt;=$B$10,192&lt;=$D$10),1,0)</f>
        <v/>
      </c>
      <c r="GN35" s="17">
        <f>IF(AND(193&gt;=$B$10,193&lt;=$D$10),1,0)</f>
        <v/>
      </c>
      <c r="GO35" s="17">
        <f>IF(AND(194&gt;=$B$10,194&lt;=$D$10),1,0)</f>
        <v/>
      </c>
      <c r="GP35" s="17">
        <f>IF(AND(195&gt;=$B$10,195&lt;=$D$10),1,0)</f>
        <v/>
      </c>
      <c r="GQ35" s="17">
        <f>IF(AND(196&gt;=$B$10,196&lt;=$D$10),1,0)</f>
        <v/>
      </c>
      <c r="GR35" s="17">
        <f>IF(AND(197&gt;=$B$10,197&lt;=$D$10),1,0)</f>
        <v/>
      </c>
      <c r="GS35" s="17">
        <f>IF(AND(198&gt;=$B$10,198&lt;=$D$10),1,0)</f>
        <v/>
      </c>
      <c r="GT35" s="17">
        <f>IF(AND(199&gt;=$B$10,199&lt;=$D$10),1,0)</f>
        <v/>
      </c>
      <c r="GU35" s="17">
        <f>IF(AND(200&gt;=$B$10,200&lt;=$D$10),1,0)</f>
        <v/>
      </c>
      <c r="GV35" s="17">
        <f>IF(AND(201&gt;=$B$10,201&lt;=$D$10),1,0)</f>
        <v/>
      </c>
      <c r="GW35" s="17">
        <f>IF(AND(202&gt;=$B$10,202&lt;=$D$10),1,0)</f>
        <v/>
      </c>
      <c r="GX35" s="17">
        <f>IF(AND(203&gt;=$B$10,203&lt;=$D$10),1,0)</f>
        <v/>
      </c>
      <c r="GY35" s="17">
        <f>IF(AND(204&gt;=$B$10,204&lt;=$D$10),1,0)</f>
        <v/>
      </c>
      <c r="GZ35" s="17">
        <f>IF(AND(205&gt;=$B$10,205&lt;=$D$10),1,0)</f>
        <v/>
      </c>
      <c r="HA35" s="17">
        <f>IF(AND(206&gt;=$B$10,206&lt;=$D$10),1,0)</f>
        <v/>
      </c>
      <c r="HB35" s="17">
        <f>IF(AND(207&gt;=$B$10,207&lt;=$D$10),1,0)</f>
        <v/>
      </c>
      <c r="HC35" s="17">
        <f>IF(AND(208&gt;=$B$10,208&lt;=$D$10),1,0)</f>
        <v/>
      </c>
      <c r="HD35" s="17">
        <f>IF(AND(209&gt;=$B$10,209&lt;=$D$10),1,0)</f>
        <v/>
      </c>
      <c r="HE35" s="17">
        <f>IF(AND(210&gt;=$B$10,210&lt;=$D$10),1,0)</f>
        <v/>
      </c>
      <c r="HF35" s="17">
        <f>IF(AND(211&gt;=$B$10,211&lt;=$D$10),1,0)</f>
        <v/>
      </c>
      <c r="HG35" s="17">
        <f>IF(AND(212&gt;=$B$10,212&lt;=$D$10),1,0)</f>
        <v/>
      </c>
      <c r="HH35" s="17">
        <f>IF(AND(213&gt;=$B$10,213&lt;=$D$10),1,0)</f>
        <v/>
      </c>
      <c r="HI35" s="17">
        <f>IF(AND(214&gt;=$B$10,214&lt;=$D$10),1,0)</f>
        <v/>
      </c>
      <c r="HJ35" s="17">
        <f>IF(AND(215&gt;=$B$10,215&lt;=$D$10),1,0)</f>
        <v/>
      </c>
      <c r="HK35" s="17">
        <f>IF(AND(216&gt;=$B$10,216&lt;=$D$10),1,0)</f>
        <v/>
      </c>
      <c r="HL35" s="17">
        <f>IF(AND(217&gt;=$B$10,217&lt;=$D$10),1,0)</f>
        <v/>
      </c>
      <c r="HM35" s="17">
        <f>IF(AND(218&gt;=$B$10,218&lt;=$D$10),1,0)</f>
        <v/>
      </c>
      <c r="HN35" s="17">
        <f>IF(AND(219&gt;=$B$10,219&lt;=$D$10),1,0)</f>
        <v/>
      </c>
      <c r="HO35" s="17">
        <f>IF(AND(220&gt;=$B$10,220&lt;=$D$10),1,0)</f>
        <v/>
      </c>
      <c r="HP35" s="17">
        <f>IF(AND(221&gt;=$B$10,221&lt;=$D$10),1,0)</f>
        <v/>
      </c>
      <c r="HQ35" s="17">
        <f>IF(AND(222&gt;=$B$10,222&lt;=$D$10),1,0)</f>
        <v/>
      </c>
      <c r="HR35" s="17">
        <f>IF(AND(223&gt;=$B$10,223&lt;=$D$10),1,0)</f>
        <v/>
      </c>
      <c r="HS35" s="17">
        <f>IF(AND(224&gt;=$B$10,224&lt;=$D$10),1,0)</f>
        <v/>
      </c>
      <c r="HT35" s="17">
        <f>IF(AND(225&gt;=$B$10,225&lt;=$D$10),1,0)</f>
        <v/>
      </c>
      <c r="HU35" s="17">
        <f>IF(AND(226&gt;=$B$10,226&lt;=$D$10),1,0)</f>
        <v/>
      </c>
      <c r="HV35" s="17">
        <f>IF(AND(227&gt;=$B$10,227&lt;=$D$10),1,0)</f>
        <v/>
      </c>
      <c r="HW35" s="17">
        <f>IF(AND(228&gt;=$B$10,228&lt;=$D$10),1,0)</f>
        <v/>
      </c>
      <c r="HX35" s="17">
        <f>IF(AND(229&gt;=$B$10,229&lt;=$D$10),1,0)</f>
        <v/>
      </c>
      <c r="HY35" s="17">
        <f>IF(AND(230&gt;=$B$10,230&lt;=$D$10),1,0)</f>
        <v/>
      </c>
      <c r="HZ35" s="17">
        <f>IF(AND(231&gt;=$B$10,231&lt;=$D$10),1,0)</f>
        <v/>
      </c>
      <c r="IA35" s="17">
        <f>IF(AND(232&gt;=$B$10,232&lt;=$D$10),1,0)</f>
        <v/>
      </c>
      <c r="IB35" s="17">
        <f>IF(AND(233&gt;=$B$10,233&lt;=$D$10),1,0)</f>
        <v/>
      </c>
      <c r="IC35" s="17">
        <f>IF(AND(234&gt;=$B$10,234&lt;=$D$10),1,0)</f>
        <v/>
      </c>
      <c r="ID35" s="17">
        <f>IF(AND(235&gt;=$B$10,235&lt;=$D$10),1,0)</f>
        <v/>
      </c>
      <c r="IE35" s="17">
        <f>IF(AND(236&gt;=$B$10,236&lt;=$D$10),1,0)</f>
        <v/>
      </c>
      <c r="IF35" s="17">
        <f>IF(AND(237&gt;=$B$10,237&lt;=$D$10),1,0)</f>
        <v/>
      </c>
      <c r="IG35" s="17">
        <f>IF(AND(238&gt;=$B$10,238&lt;=$D$10),1,0)</f>
        <v/>
      </c>
      <c r="IH35" s="17">
        <f>IF(AND(239&gt;=$B$10,239&lt;=$D$10),1,0)</f>
        <v/>
      </c>
      <c r="II35" s="17">
        <f>IF(AND(240&gt;=$B$10,240&lt;=$D$10),1,0)</f>
        <v/>
      </c>
      <c r="IJ35" s="17">
        <f>IF(AND(241&gt;=$B$10,241&lt;=$D$10),1,0)</f>
        <v/>
      </c>
      <c r="IK35" s="17">
        <f>IF(AND(242&gt;=$B$10,242&lt;=$D$10),1,0)</f>
        <v/>
      </c>
      <c r="IL35" s="17">
        <f>IF(AND(243&gt;=$B$10,243&lt;=$D$10),1,0)</f>
        <v/>
      </c>
      <c r="IM35" s="17">
        <f>IF(AND(244&gt;=$B$10,244&lt;=$D$10),1,0)</f>
        <v/>
      </c>
      <c r="IN35" s="17">
        <f>IF(AND(245&gt;=$B$10,245&lt;=$D$10),1,0)</f>
        <v/>
      </c>
      <c r="IO35" s="17">
        <f>IF(AND(246&gt;=$B$10,246&lt;=$D$10),1,0)</f>
        <v/>
      </c>
      <c r="IP35" s="17">
        <f>IF(AND(247&gt;=$B$10,247&lt;=$D$10),1,0)</f>
        <v/>
      </c>
      <c r="IQ35" s="17">
        <f>IF(AND(248&gt;=$B$10,248&lt;=$D$10),1,0)</f>
        <v/>
      </c>
      <c r="IR35" s="17">
        <f>IF(AND(249&gt;=$B$10,249&lt;=$D$10),1,0)</f>
        <v/>
      </c>
      <c r="IS35" s="17">
        <f>IF(AND(250&gt;=$B$10,250&lt;=$D$10),1,0)</f>
        <v/>
      </c>
      <c r="IT35" s="17">
        <f>IF(AND(251&gt;=$B$10,251&lt;=$D$10),1,0)</f>
        <v/>
      </c>
      <c r="IU35" s="17">
        <f>IF(AND(252&gt;=$B$10,252&lt;=$D$10),1,0)</f>
        <v/>
      </c>
      <c r="IV35" s="17">
        <f>IF(AND(253&gt;=$B$10,253&lt;=$D$10),1,0)</f>
        <v/>
      </c>
      <c r="IW35" s="17">
        <f>IF(AND(254&gt;=$B$10,254&lt;=$D$10),1,0)</f>
        <v/>
      </c>
      <c r="IX35" s="17">
        <f>IF(AND(255&gt;=$B$10,255&lt;=$D$10),1,0)</f>
        <v/>
      </c>
      <c r="IY35" s="17">
        <f>IF(AND(256&gt;=$B$10,256&lt;=$D$10),1,0)</f>
        <v/>
      </c>
      <c r="IZ35" s="17">
        <f>IF(AND(257&gt;=$B$10,257&lt;=$D$10),1,0)</f>
        <v/>
      </c>
      <c r="JA35" s="17">
        <f>IF(AND(258&gt;=$B$10,258&lt;=$D$10),1,0)</f>
        <v/>
      </c>
      <c r="JB35" s="17">
        <f>IF(AND(259&gt;=$B$10,259&lt;=$D$10),1,0)</f>
        <v/>
      </c>
      <c r="JC35" s="17">
        <f>IF(AND(260&gt;=$B$10,260&lt;=$D$10),1,0)</f>
        <v/>
      </c>
      <c r="JD35" s="17">
        <f>IF(AND(261&gt;=$B$10,261&lt;=$D$10),1,0)</f>
        <v/>
      </c>
      <c r="JE35" s="17">
        <f>IF(AND(262&gt;=$B$10,262&lt;=$D$10),1,0)</f>
        <v/>
      </c>
      <c r="JF35" s="17">
        <f>IF(AND(263&gt;=$B$10,263&lt;=$D$10),1,0)</f>
        <v/>
      </c>
      <c r="JG35" s="17">
        <f>IF(AND(264&gt;=$B$10,264&lt;=$D$10),1,0)</f>
        <v/>
      </c>
      <c r="JH35" s="17">
        <f>IF(AND(265&gt;=$B$10,265&lt;=$D$10),1,0)</f>
        <v/>
      </c>
      <c r="JI35" s="17">
        <f>IF(AND(266&gt;=$B$10,266&lt;=$D$10),1,0)</f>
        <v/>
      </c>
      <c r="JJ35" s="17">
        <f>IF(AND(267&gt;=$B$10,267&lt;=$D$10),1,0)</f>
        <v/>
      </c>
      <c r="JK35" s="17">
        <f>IF(AND(268&gt;=$B$10,268&lt;=$D$10),1,0)</f>
        <v/>
      </c>
      <c r="JL35" s="17">
        <f>IF(AND(269&gt;=$B$10,269&lt;=$D$10),1,0)</f>
        <v/>
      </c>
      <c r="JM35" s="17">
        <f>IF(AND(270&gt;=$B$10,270&lt;=$D$10),1,0)</f>
        <v/>
      </c>
      <c r="JN35" s="17">
        <f>IF(AND(271&gt;=$B$10,271&lt;=$D$10),1,0)</f>
        <v/>
      </c>
      <c r="JO35" s="17">
        <f>IF(AND(272&gt;=$B$10,272&lt;=$D$10),1,0)</f>
        <v/>
      </c>
      <c r="JP35" s="17">
        <f>IF(AND(273&gt;=$B$10,273&lt;=$D$10),1,0)</f>
        <v/>
      </c>
      <c r="JQ35" s="17">
        <f>IF(AND(274&gt;=$B$10,274&lt;=$D$10),1,0)</f>
        <v/>
      </c>
      <c r="JR35" s="17">
        <f>IF(AND(275&gt;=$B$10,275&lt;=$D$10),1,0)</f>
        <v/>
      </c>
      <c r="JS35" s="17">
        <f>IF(AND(276&gt;=$B$10,276&lt;=$D$10),1,0)</f>
        <v/>
      </c>
      <c r="JT35" s="17">
        <f>IF(AND(277&gt;=$B$10,277&lt;=$D$10),1,0)</f>
        <v/>
      </c>
      <c r="JU35" s="17">
        <f>IF(AND(278&gt;=$B$10,278&lt;=$D$10),1,0)</f>
        <v/>
      </c>
      <c r="JV35" s="17">
        <f>IF(AND(279&gt;=$B$10,279&lt;=$D$10),1,0)</f>
        <v/>
      </c>
      <c r="JW35" s="17">
        <f>IF(AND(280&gt;=$B$10,280&lt;=$D$10),1,0)</f>
        <v/>
      </c>
      <c r="JX35" s="17">
        <f>IF(AND(281&gt;=$B$10,281&lt;=$D$10),1,0)</f>
        <v/>
      </c>
      <c r="JY35" s="17">
        <f>IF(AND(282&gt;=$B$10,282&lt;=$D$10),1,0)</f>
        <v/>
      </c>
      <c r="JZ35" s="17">
        <f>IF(AND(283&gt;=$B$10,283&lt;=$D$10),1,0)</f>
        <v/>
      </c>
      <c r="KA35" s="17">
        <f>IF(AND(284&gt;=$B$10,284&lt;=$D$10),1,0)</f>
        <v/>
      </c>
      <c r="KB35" s="17">
        <f>IF(AND(285&gt;=$B$10,285&lt;=$D$10),1,0)</f>
        <v/>
      </c>
      <c r="KC35" s="17">
        <f>IF(AND(286&gt;=$B$10,286&lt;=$D$10),1,0)</f>
        <v/>
      </c>
      <c r="KD35" s="17">
        <f>IF(AND(287&gt;=$B$10,287&lt;=$D$10),1,0)</f>
        <v/>
      </c>
      <c r="KE35" s="17">
        <f>IF(AND(288&gt;=$B$10,288&lt;=$D$10),1,0)</f>
        <v/>
      </c>
      <c r="KF35" s="17">
        <f>IF(AND(289&gt;=$B$10,289&lt;=$D$10),1,0)</f>
        <v/>
      </c>
      <c r="KG35" s="17">
        <f>IF(AND(290&gt;=$B$10,290&lt;=$D$10),1,0)</f>
        <v/>
      </c>
      <c r="KH35" s="17">
        <f>IF(AND(291&gt;=$B$10,291&lt;=$D$10),1,0)</f>
        <v/>
      </c>
      <c r="KI35" s="17">
        <f>IF(AND(292&gt;=$B$10,292&lt;=$D$10),1,0)</f>
        <v/>
      </c>
      <c r="KJ35" s="17">
        <f>IF(AND(293&gt;=$B$10,293&lt;=$D$10),1,0)</f>
        <v/>
      </c>
      <c r="KK35" s="17">
        <f>IF(AND(294&gt;=$B$10,294&lt;=$D$10),1,0)</f>
        <v/>
      </c>
      <c r="KL35" s="17">
        <f>IF(AND(295&gt;=$B$10,295&lt;=$D$10),1,0)</f>
        <v/>
      </c>
      <c r="KM35" s="17">
        <f>IF(AND(296&gt;=$B$10,296&lt;=$D$10),1,0)</f>
        <v/>
      </c>
      <c r="KN35" s="17">
        <f>IF(AND(297&gt;=$B$10,297&lt;=$D$10),1,0)</f>
        <v/>
      </c>
      <c r="KO35" s="17">
        <f>IF(AND(298&gt;=$B$10,298&lt;=$D$10),1,0)</f>
        <v/>
      </c>
      <c r="KP35" s="17">
        <f>IF(AND(299&gt;=$B$10,299&lt;=$D$10),1,0)</f>
        <v/>
      </c>
      <c r="KQ35" s="17">
        <f>IF(AND(300&gt;=$B$10,300&lt;=$D$10),1,0)</f>
        <v/>
      </c>
      <c r="KR35" s="17">
        <f>IF(AND(301&gt;=$B$10,301&lt;=$D$10),1,0)</f>
        <v/>
      </c>
      <c r="KS35" s="17">
        <f>IF(AND(302&gt;=$B$10,302&lt;=$D$10),1,0)</f>
        <v/>
      </c>
      <c r="KT35" s="17">
        <f>IF(AND(303&gt;=$B$10,303&lt;=$D$10),1,0)</f>
        <v/>
      </c>
      <c r="KU35" s="17">
        <f>IF(AND(304&gt;=$B$10,304&lt;=$D$10),1,0)</f>
        <v/>
      </c>
      <c r="KV35" s="17">
        <f>IF(AND(305&gt;=$B$10,305&lt;=$D$10),1,0)</f>
        <v/>
      </c>
      <c r="KW35" s="17">
        <f>IF(AND(306&gt;=$B$10,306&lt;=$D$10),1,0)</f>
        <v/>
      </c>
      <c r="KX35" s="17">
        <f>IF(AND(307&gt;=$B$10,307&lt;=$D$10),1,0)</f>
        <v/>
      </c>
      <c r="KY35" s="17">
        <f>IF(AND(308&gt;=$B$10,308&lt;=$D$10),1,0)</f>
        <v/>
      </c>
      <c r="KZ35" s="17">
        <f>IF(AND(309&gt;=$B$10,309&lt;=$D$10),1,0)</f>
        <v/>
      </c>
      <c r="LA35" s="17">
        <f>IF(AND(310&gt;=$B$10,310&lt;=$D$10),1,0)</f>
        <v/>
      </c>
      <c r="LB35" s="17">
        <f>IF(AND(311&gt;=$B$10,311&lt;=$D$10),1,0)</f>
        <v/>
      </c>
      <c r="LC35" s="17">
        <f>IF(AND(312&gt;=$B$10,312&lt;=$D$10),1,0)</f>
        <v/>
      </c>
      <c r="LD35" s="17">
        <f>IF(AND(313&gt;=$B$10,313&lt;=$D$10),1,0)</f>
        <v/>
      </c>
      <c r="LE35" s="17">
        <f>IF(AND(314&gt;=$B$10,314&lt;=$D$10),1,0)</f>
        <v/>
      </c>
      <c r="LF35" s="17">
        <f>IF(AND(315&gt;=$B$10,315&lt;=$D$10),1,0)</f>
        <v/>
      </c>
      <c r="LG35" s="17">
        <f>IF(AND(316&gt;=$B$10,316&lt;=$D$10),1,0)</f>
        <v/>
      </c>
      <c r="LH35" s="17">
        <f>IF(AND(317&gt;=$B$10,317&lt;=$D$10),1,0)</f>
        <v/>
      </c>
      <c r="LI35" s="17">
        <f>IF(AND(318&gt;=$B$10,318&lt;=$D$10),1,0)</f>
        <v/>
      </c>
      <c r="LJ35" s="17">
        <f>IF(AND(319&gt;=$B$10,319&lt;=$D$10),1,0)</f>
        <v/>
      </c>
      <c r="LK35" s="17">
        <f>IF(AND(320&gt;=$B$10,320&lt;=$D$10),1,0)</f>
        <v/>
      </c>
      <c r="LL35" s="17">
        <f>IF(AND(321&gt;=$B$10,321&lt;=$D$10),1,0)</f>
        <v/>
      </c>
      <c r="LM35" s="17">
        <f>IF(AND(322&gt;=$B$10,322&lt;=$D$10),1,0)</f>
        <v/>
      </c>
      <c r="LN35" s="17">
        <f>IF(AND(323&gt;=$B$10,323&lt;=$D$10),1,0)</f>
        <v/>
      </c>
      <c r="LO35" s="17">
        <f>IF(AND(324&gt;=$B$10,324&lt;=$D$10),1,0)</f>
        <v/>
      </c>
      <c r="LP35" s="17">
        <f>IF(AND(325&gt;=$B$10,325&lt;=$D$10),1,0)</f>
        <v/>
      </c>
      <c r="LQ35" s="17">
        <f>IF(AND(326&gt;=$B$10,326&lt;=$D$10),1,0)</f>
        <v/>
      </c>
      <c r="LR35" s="17">
        <f>IF(AND(327&gt;=$B$10,327&lt;=$D$10),1,0)</f>
        <v/>
      </c>
      <c r="LS35" s="17">
        <f>IF(AND(328&gt;=$B$10,328&lt;=$D$10),1,0)</f>
        <v/>
      </c>
      <c r="LT35" s="17">
        <f>IF(AND(329&gt;=$B$10,329&lt;=$D$10),1,0)</f>
        <v/>
      </c>
      <c r="LU35" s="17">
        <f>IF(AND(330&gt;=$B$10,330&lt;=$D$10),1,0)</f>
        <v/>
      </c>
      <c r="LV35" s="17">
        <f>IF(AND(331&gt;=$B$10,331&lt;=$D$10),1,0)</f>
        <v/>
      </c>
      <c r="LW35" s="17">
        <f>IF(AND(332&gt;=$B$10,332&lt;=$D$10),1,0)</f>
        <v/>
      </c>
      <c r="LX35" s="17">
        <f>IF(AND(333&gt;=$B$10,333&lt;=$D$10),1,0)</f>
        <v/>
      </c>
      <c r="LY35" s="17">
        <f>IF(AND(334&gt;=$B$10,334&lt;=$D$10),1,0)</f>
        <v/>
      </c>
      <c r="LZ35" s="17">
        <f>IF(AND(335&gt;=$B$10,335&lt;=$D$10),1,0)</f>
        <v/>
      </c>
      <c r="MA35" s="17">
        <f>IF(AND(336&gt;=$B$10,336&lt;=$D$10),1,0)</f>
        <v/>
      </c>
      <c r="MB35" s="17">
        <f>IF(AND(337&gt;=$B$10,337&lt;=$D$10),1,0)</f>
        <v/>
      </c>
      <c r="MC35" s="17">
        <f>IF(AND(338&gt;=$B$10,338&lt;=$D$10),1,0)</f>
        <v/>
      </c>
      <c r="MD35" s="17">
        <f>IF(AND(339&gt;=$B$10,339&lt;=$D$10),1,0)</f>
        <v/>
      </c>
      <c r="ME35" s="17">
        <f>IF(AND(340&gt;=$B$10,340&lt;=$D$10),1,0)</f>
        <v/>
      </c>
      <c r="MF35" s="17">
        <f>IF(AND(341&gt;=$B$10,341&lt;=$D$10),1,0)</f>
        <v/>
      </c>
      <c r="MG35" s="17">
        <f>IF(AND(342&gt;=$B$10,342&lt;=$D$10),1,0)</f>
        <v/>
      </c>
      <c r="MH35" s="17">
        <f>IF(AND(343&gt;=$B$10,343&lt;=$D$10),1,0)</f>
        <v/>
      </c>
      <c r="MI35" s="17">
        <f>IF(AND(344&gt;=$B$10,344&lt;=$D$10),1,0)</f>
        <v/>
      </c>
      <c r="MJ35" s="17">
        <f>IF(AND(345&gt;=$B$10,345&lt;=$D$10),1,0)</f>
        <v/>
      </c>
      <c r="MK35" s="17">
        <f>IF(AND(346&gt;=$B$10,346&lt;=$D$10),1,0)</f>
        <v/>
      </c>
      <c r="ML35" s="17">
        <f>IF(AND(347&gt;=$B$10,347&lt;=$D$10),1,0)</f>
        <v/>
      </c>
      <c r="MM35" s="17">
        <f>IF(AND(348&gt;=$B$10,348&lt;=$D$10),1,0)</f>
        <v/>
      </c>
      <c r="MN35" s="17">
        <f>IF(AND(349&gt;=$B$10,349&lt;=$D$10),1,0)</f>
        <v/>
      </c>
      <c r="MO35" s="17">
        <f>IF(AND(350&gt;=$B$10,350&lt;=$D$10),1,0)</f>
        <v/>
      </c>
      <c r="MP35" s="17">
        <f>IF(AND(351&gt;=$B$10,351&lt;=$D$10),1,0)</f>
        <v/>
      </c>
      <c r="MQ35" s="17">
        <f>IF(AND(352&gt;=$B$10,352&lt;=$D$10),1,0)</f>
        <v/>
      </c>
      <c r="MR35" s="17">
        <f>IF(AND(353&gt;=$B$10,353&lt;=$D$10),1,0)</f>
        <v/>
      </c>
      <c r="MS35" s="17">
        <f>IF(AND(354&gt;=$B$10,354&lt;=$D$10),1,0)</f>
        <v/>
      </c>
      <c r="MT35" s="17">
        <f>IF(AND(355&gt;=$B$10,355&lt;=$D$10),1,0)</f>
        <v/>
      </c>
      <c r="MU35" s="17">
        <f>IF(AND(356&gt;=$B$10,356&lt;=$D$10),1,0)</f>
        <v/>
      </c>
      <c r="MV35" s="17">
        <f>IF(AND(357&gt;=$B$10,357&lt;=$D$10),1,0)</f>
        <v/>
      </c>
      <c r="MW35" s="17">
        <f>IF(AND(358&gt;=$B$10,358&lt;=$D$10),1,0)</f>
        <v/>
      </c>
      <c r="MX35" s="17">
        <f>IF(AND(359&gt;=$B$10,359&lt;=$D$10),1,0)</f>
        <v/>
      </c>
      <c r="MY35" s="17">
        <f>IF(AND(360&gt;=$B$10,360&lt;=$D$10),1,0)</f>
        <v/>
      </c>
      <c r="MZ35" s="17">
        <f>IF(AND(361&gt;=$B$10,361&lt;=$D$10),1,0)</f>
        <v/>
      </c>
      <c r="NA35" s="17">
        <f>IF(AND(362&gt;=$B$10,362&lt;=$D$10),1,0)</f>
        <v/>
      </c>
      <c r="NB35" s="17">
        <f>IF(AND(363&gt;=$B$10,363&lt;=$D$10),1,0)</f>
        <v/>
      </c>
      <c r="NC35" s="17">
        <f>IF(AND(364&gt;=$B$10,364&lt;=$D$10),1,0)</f>
        <v/>
      </c>
      <c r="ND35" s="17">
        <f>IF(AND(365&gt;=$B$10,365&lt;=$D$10),1,0)</f>
        <v/>
      </c>
      <c r="NE35" s="17">
        <f>IF(AND(366&gt;=$B$10,366&lt;=$D$10),1,0)</f>
        <v/>
      </c>
      <c r="NF35" s="17">
        <f>IF(AND(367&gt;=$B$10,367&lt;=$D$10),1,0)</f>
        <v/>
      </c>
      <c r="NG35" s="17">
        <f>IF(AND(368&gt;=$B$10,368&lt;=$D$10),1,0)</f>
        <v/>
      </c>
      <c r="NH35" s="17">
        <f>IF(AND(369&gt;=$B$10,369&lt;=$D$10),1,0)</f>
        <v/>
      </c>
      <c r="NI35" s="17">
        <f>IF(AND(370&gt;=$B$10,370&lt;=$D$10),1,0)</f>
        <v/>
      </c>
      <c r="NJ35" s="17">
        <f>IF(AND(371&gt;=$B$10,371&lt;=$D$10),1,0)</f>
        <v/>
      </c>
      <c r="NK35" s="17">
        <f>IF(AND(372&gt;=$B$10,372&lt;=$D$10),1,0)</f>
        <v/>
      </c>
    </row>
    <row r="36">
      <c r="A36" s="5" t="inlineStr">
        <is>
          <t>Flag: Lease-Up</t>
        </is>
      </c>
      <c r="C36" s="40" t="n"/>
      <c r="D36" s="17">
        <f>IF(AND(1&gt;=$B$11,1&lt;=$D$11),1,0)</f>
        <v/>
      </c>
      <c r="E36" s="17">
        <f>IF(AND(2&gt;=$B$11,2&lt;=$D$11),1,0)</f>
        <v/>
      </c>
      <c r="F36" s="17">
        <f>IF(AND(3&gt;=$B$11,3&lt;=$D$11),1,0)</f>
        <v/>
      </c>
      <c r="G36" s="17">
        <f>IF(AND(4&gt;=$B$11,4&lt;=$D$11),1,0)</f>
        <v/>
      </c>
      <c r="H36" s="17">
        <f>IF(AND(5&gt;=$B$11,5&lt;=$D$11),1,0)</f>
        <v/>
      </c>
      <c r="I36" s="17">
        <f>IF(AND(6&gt;=$B$11,6&lt;=$D$11),1,0)</f>
        <v/>
      </c>
      <c r="J36" s="17">
        <f>IF(AND(7&gt;=$B$11,7&lt;=$D$11),1,0)</f>
        <v/>
      </c>
      <c r="K36" s="17">
        <f>IF(AND(8&gt;=$B$11,8&lt;=$D$11),1,0)</f>
        <v/>
      </c>
      <c r="L36" s="17">
        <f>IF(AND(9&gt;=$B$11,9&lt;=$D$11),1,0)</f>
        <v/>
      </c>
      <c r="M36" s="17">
        <f>IF(AND(10&gt;=$B$11,10&lt;=$D$11),1,0)</f>
        <v/>
      </c>
      <c r="N36" s="17">
        <f>IF(AND(11&gt;=$B$11,11&lt;=$D$11),1,0)</f>
        <v/>
      </c>
      <c r="O36" s="17">
        <f>IF(AND(12&gt;=$B$11,12&lt;=$D$11),1,0)</f>
        <v/>
      </c>
      <c r="P36" s="17">
        <f>IF(AND(13&gt;=$B$11,13&lt;=$D$11),1,0)</f>
        <v/>
      </c>
      <c r="Q36" s="17">
        <f>IF(AND(14&gt;=$B$11,14&lt;=$D$11),1,0)</f>
        <v/>
      </c>
      <c r="R36" s="17">
        <f>IF(AND(15&gt;=$B$11,15&lt;=$D$11),1,0)</f>
        <v/>
      </c>
      <c r="S36" s="17">
        <f>IF(AND(16&gt;=$B$11,16&lt;=$D$11),1,0)</f>
        <v/>
      </c>
      <c r="T36" s="17">
        <f>IF(AND(17&gt;=$B$11,17&lt;=$D$11),1,0)</f>
        <v/>
      </c>
      <c r="U36" s="17">
        <f>IF(AND(18&gt;=$B$11,18&lt;=$D$11),1,0)</f>
        <v/>
      </c>
      <c r="V36" s="17">
        <f>IF(AND(19&gt;=$B$11,19&lt;=$D$11),1,0)</f>
        <v/>
      </c>
      <c r="W36" s="17">
        <f>IF(AND(20&gt;=$B$11,20&lt;=$D$11),1,0)</f>
        <v/>
      </c>
      <c r="X36" s="17">
        <f>IF(AND(21&gt;=$B$11,21&lt;=$D$11),1,0)</f>
        <v/>
      </c>
      <c r="Y36" s="17">
        <f>IF(AND(22&gt;=$B$11,22&lt;=$D$11),1,0)</f>
        <v/>
      </c>
      <c r="Z36" s="17">
        <f>IF(AND(23&gt;=$B$11,23&lt;=$D$11),1,0)</f>
        <v/>
      </c>
      <c r="AA36" s="17">
        <f>IF(AND(24&gt;=$B$11,24&lt;=$D$11),1,0)</f>
        <v/>
      </c>
      <c r="AB36" s="17">
        <f>IF(AND(25&gt;=$B$11,25&lt;=$D$11),1,0)</f>
        <v/>
      </c>
      <c r="AC36" s="17">
        <f>IF(AND(26&gt;=$B$11,26&lt;=$D$11),1,0)</f>
        <v/>
      </c>
      <c r="AD36" s="17">
        <f>IF(AND(27&gt;=$B$11,27&lt;=$D$11),1,0)</f>
        <v/>
      </c>
      <c r="AE36" s="17">
        <f>IF(AND(28&gt;=$B$11,28&lt;=$D$11),1,0)</f>
        <v/>
      </c>
      <c r="AF36" s="17">
        <f>IF(AND(29&gt;=$B$11,29&lt;=$D$11),1,0)</f>
        <v/>
      </c>
      <c r="AG36" s="17">
        <f>IF(AND(30&gt;=$B$11,30&lt;=$D$11),1,0)</f>
        <v/>
      </c>
      <c r="AH36" s="17">
        <f>IF(AND(31&gt;=$B$11,31&lt;=$D$11),1,0)</f>
        <v/>
      </c>
      <c r="AI36" s="17">
        <f>IF(AND(32&gt;=$B$11,32&lt;=$D$11),1,0)</f>
        <v/>
      </c>
      <c r="AJ36" s="17">
        <f>IF(AND(33&gt;=$B$11,33&lt;=$D$11),1,0)</f>
        <v/>
      </c>
      <c r="AK36" s="17">
        <f>IF(AND(34&gt;=$B$11,34&lt;=$D$11),1,0)</f>
        <v/>
      </c>
      <c r="AL36" s="17">
        <f>IF(AND(35&gt;=$B$11,35&lt;=$D$11),1,0)</f>
        <v/>
      </c>
      <c r="AM36" s="17">
        <f>IF(AND(36&gt;=$B$11,36&lt;=$D$11),1,0)</f>
        <v/>
      </c>
      <c r="AN36" s="17">
        <f>IF(AND(37&gt;=$B$11,37&lt;=$D$11),1,0)</f>
        <v/>
      </c>
      <c r="AO36" s="17">
        <f>IF(AND(38&gt;=$B$11,38&lt;=$D$11),1,0)</f>
        <v/>
      </c>
      <c r="AP36" s="17">
        <f>IF(AND(39&gt;=$B$11,39&lt;=$D$11),1,0)</f>
        <v/>
      </c>
      <c r="AQ36" s="17">
        <f>IF(AND(40&gt;=$B$11,40&lt;=$D$11),1,0)</f>
        <v/>
      </c>
      <c r="AR36" s="17">
        <f>IF(AND(41&gt;=$B$11,41&lt;=$D$11),1,0)</f>
        <v/>
      </c>
      <c r="AS36" s="17">
        <f>IF(AND(42&gt;=$B$11,42&lt;=$D$11),1,0)</f>
        <v/>
      </c>
      <c r="AT36" s="17">
        <f>IF(AND(43&gt;=$B$11,43&lt;=$D$11),1,0)</f>
        <v/>
      </c>
      <c r="AU36" s="17">
        <f>IF(AND(44&gt;=$B$11,44&lt;=$D$11),1,0)</f>
        <v/>
      </c>
      <c r="AV36" s="17">
        <f>IF(AND(45&gt;=$B$11,45&lt;=$D$11),1,0)</f>
        <v/>
      </c>
      <c r="AW36" s="17">
        <f>IF(AND(46&gt;=$B$11,46&lt;=$D$11),1,0)</f>
        <v/>
      </c>
      <c r="AX36" s="17">
        <f>IF(AND(47&gt;=$B$11,47&lt;=$D$11),1,0)</f>
        <v/>
      </c>
      <c r="AY36" s="17">
        <f>IF(AND(48&gt;=$B$11,48&lt;=$D$11),1,0)</f>
        <v/>
      </c>
      <c r="AZ36" s="17">
        <f>IF(AND(49&gt;=$B$11,49&lt;=$D$11),1,0)</f>
        <v/>
      </c>
      <c r="BA36" s="17">
        <f>IF(AND(50&gt;=$B$11,50&lt;=$D$11),1,0)</f>
        <v/>
      </c>
      <c r="BB36" s="17">
        <f>IF(AND(51&gt;=$B$11,51&lt;=$D$11),1,0)</f>
        <v/>
      </c>
      <c r="BC36" s="17">
        <f>IF(AND(52&gt;=$B$11,52&lt;=$D$11),1,0)</f>
        <v/>
      </c>
      <c r="BD36" s="17">
        <f>IF(AND(53&gt;=$B$11,53&lt;=$D$11),1,0)</f>
        <v/>
      </c>
      <c r="BE36" s="17">
        <f>IF(AND(54&gt;=$B$11,54&lt;=$D$11),1,0)</f>
        <v/>
      </c>
      <c r="BF36" s="17">
        <f>IF(AND(55&gt;=$B$11,55&lt;=$D$11),1,0)</f>
        <v/>
      </c>
      <c r="BG36" s="17">
        <f>IF(AND(56&gt;=$B$11,56&lt;=$D$11),1,0)</f>
        <v/>
      </c>
      <c r="BH36" s="17">
        <f>IF(AND(57&gt;=$B$11,57&lt;=$D$11),1,0)</f>
        <v/>
      </c>
      <c r="BI36" s="17">
        <f>IF(AND(58&gt;=$B$11,58&lt;=$D$11),1,0)</f>
        <v/>
      </c>
      <c r="BJ36" s="17">
        <f>IF(AND(59&gt;=$B$11,59&lt;=$D$11),1,0)</f>
        <v/>
      </c>
      <c r="BK36" s="17">
        <f>IF(AND(60&gt;=$B$11,60&lt;=$D$11),1,0)</f>
        <v/>
      </c>
      <c r="BL36" s="17">
        <f>IF(AND(61&gt;=$B$11,61&lt;=$D$11),1,0)</f>
        <v/>
      </c>
      <c r="BM36" s="17">
        <f>IF(AND(62&gt;=$B$11,62&lt;=$D$11),1,0)</f>
        <v/>
      </c>
      <c r="BN36" s="17">
        <f>IF(AND(63&gt;=$B$11,63&lt;=$D$11),1,0)</f>
        <v/>
      </c>
      <c r="BO36" s="17">
        <f>IF(AND(64&gt;=$B$11,64&lt;=$D$11),1,0)</f>
        <v/>
      </c>
      <c r="BP36" s="17">
        <f>IF(AND(65&gt;=$B$11,65&lt;=$D$11),1,0)</f>
        <v/>
      </c>
      <c r="BQ36" s="17">
        <f>IF(AND(66&gt;=$B$11,66&lt;=$D$11),1,0)</f>
        <v/>
      </c>
      <c r="BR36" s="17">
        <f>IF(AND(67&gt;=$B$11,67&lt;=$D$11),1,0)</f>
        <v/>
      </c>
      <c r="BS36" s="17">
        <f>IF(AND(68&gt;=$B$11,68&lt;=$D$11),1,0)</f>
        <v/>
      </c>
      <c r="BT36" s="17">
        <f>IF(AND(69&gt;=$B$11,69&lt;=$D$11),1,0)</f>
        <v/>
      </c>
      <c r="BU36" s="17">
        <f>IF(AND(70&gt;=$B$11,70&lt;=$D$11),1,0)</f>
        <v/>
      </c>
      <c r="BV36" s="17">
        <f>IF(AND(71&gt;=$B$11,71&lt;=$D$11),1,0)</f>
        <v/>
      </c>
      <c r="BW36" s="17">
        <f>IF(AND(72&gt;=$B$11,72&lt;=$D$11),1,0)</f>
        <v/>
      </c>
      <c r="BX36" s="17">
        <f>IF(AND(73&gt;=$B$11,73&lt;=$D$11),1,0)</f>
        <v/>
      </c>
      <c r="BY36" s="17">
        <f>IF(AND(74&gt;=$B$11,74&lt;=$D$11),1,0)</f>
        <v/>
      </c>
      <c r="BZ36" s="17">
        <f>IF(AND(75&gt;=$B$11,75&lt;=$D$11),1,0)</f>
        <v/>
      </c>
      <c r="CA36" s="17">
        <f>IF(AND(76&gt;=$B$11,76&lt;=$D$11),1,0)</f>
        <v/>
      </c>
      <c r="CB36" s="17">
        <f>IF(AND(77&gt;=$B$11,77&lt;=$D$11),1,0)</f>
        <v/>
      </c>
      <c r="CC36" s="17">
        <f>IF(AND(78&gt;=$B$11,78&lt;=$D$11),1,0)</f>
        <v/>
      </c>
      <c r="CD36" s="17">
        <f>IF(AND(79&gt;=$B$11,79&lt;=$D$11),1,0)</f>
        <v/>
      </c>
      <c r="CE36" s="17">
        <f>IF(AND(80&gt;=$B$11,80&lt;=$D$11),1,0)</f>
        <v/>
      </c>
      <c r="CF36" s="17">
        <f>IF(AND(81&gt;=$B$11,81&lt;=$D$11),1,0)</f>
        <v/>
      </c>
      <c r="CG36" s="17">
        <f>IF(AND(82&gt;=$B$11,82&lt;=$D$11),1,0)</f>
        <v/>
      </c>
      <c r="CH36" s="17">
        <f>IF(AND(83&gt;=$B$11,83&lt;=$D$11),1,0)</f>
        <v/>
      </c>
      <c r="CI36" s="17">
        <f>IF(AND(84&gt;=$B$11,84&lt;=$D$11),1,0)</f>
        <v/>
      </c>
      <c r="CJ36" s="17">
        <f>IF(AND(85&gt;=$B$11,85&lt;=$D$11),1,0)</f>
        <v/>
      </c>
      <c r="CK36" s="17">
        <f>IF(AND(86&gt;=$B$11,86&lt;=$D$11),1,0)</f>
        <v/>
      </c>
      <c r="CL36" s="17">
        <f>IF(AND(87&gt;=$B$11,87&lt;=$D$11),1,0)</f>
        <v/>
      </c>
      <c r="CM36" s="17">
        <f>IF(AND(88&gt;=$B$11,88&lt;=$D$11),1,0)</f>
        <v/>
      </c>
      <c r="CN36" s="17">
        <f>IF(AND(89&gt;=$B$11,89&lt;=$D$11),1,0)</f>
        <v/>
      </c>
      <c r="CO36" s="17">
        <f>IF(AND(90&gt;=$B$11,90&lt;=$D$11),1,0)</f>
        <v/>
      </c>
      <c r="CP36" s="17">
        <f>IF(AND(91&gt;=$B$11,91&lt;=$D$11),1,0)</f>
        <v/>
      </c>
      <c r="CQ36" s="17">
        <f>IF(AND(92&gt;=$B$11,92&lt;=$D$11),1,0)</f>
        <v/>
      </c>
      <c r="CR36" s="17">
        <f>IF(AND(93&gt;=$B$11,93&lt;=$D$11),1,0)</f>
        <v/>
      </c>
      <c r="CS36" s="17">
        <f>IF(AND(94&gt;=$B$11,94&lt;=$D$11),1,0)</f>
        <v/>
      </c>
      <c r="CT36" s="17">
        <f>IF(AND(95&gt;=$B$11,95&lt;=$D$11),1,0)</f>
        <v/>
      </c>
      <c r="CU36" s="17">
        <f>IF(AND(96&gt;=$B$11,96&lt;=$D$11),1,0)</f>
        <v/>
      </c>
      <c r="CV36" s="17">
        <f>IF(AND(97&gt;=$B$11,97&lt;=$D$11),1,0)</f>
        <v/>
      </c>
      <c r="CW36" s="17">
        <f>IF(AND(98&gt;=$B$11,98&lt;=$D$11),1,0)</f>
        <v/>
      </c>
      <c r="CX36" s="17">
        <f>IF(AND(99&gt;=$B$11,99&lt;=$D$11),1,0)</f>
        <v/>
      </c>
      <c r="CY36" s="17">
        <f>IF(AND(100&gt;=$B$11,100&lt;=$D$11),1,0)</f>
        <v/>
      </c>
      <c r="CZ36" s="17">
        <f>IF(AND(101&gt;=$B$11,101&lt;=$D$11),1,0)</f>
        <v/>
      </c>
      <c r="DA36" s="17">
        <f>IF(AND(102&gt;=$B$11,102&lt;=$D$11),1,0)</f>
        <v/>
      </c>
      <c r="DB36" s="17">
        <f>IF(AND(103&gt;=$B$11,103&lt;=$D$11),1,0)</f>
        <v/>
      </c>
      <c r="DC36" s="17">
        <f>IF(AND(104&gt;=$B$11,104&lt;=$D$11),1,0)</f>
        <v/>
      </c>
      <c r="DD36" s="17">
        <f>IF(AND(105&gt;=$B$11,105&lt;=$D$11),1,0)</f>
        <v/>
      </c>
      <c r="DE36" s="17">
        <f>IF(AND(106&gt;=$B$11,106&lt;=$D$11),1,0)</f>
        <v/>
      </c>
      <c r="DF36" s="17">
        <f>IF(AND(107&gt;=$B$11,107&lt;=$D$11),1,0)</f>
        <v/>
      </c>
      <c r="DG36" s="17">
        <f>IF(AND(108&gt;=$B$11,108&lt;=$D$11),1,0)</f>
        <v/>
      </c>
      <c r="DH36" s="17">
        <f>IF(AND(109&gt;=$B$11,109&lt;=$D$11),1,0)</f>
        <v/>
      </c>
      <c r="DI36" s="17">
        <f>IF(AND(110&gt;=$B$11,110&lt;=$D$11),1,0)</f>
        <v/>
      </c>
      <c r="DJ36" s="17">
        <f>IF(AND(111&gt;=$B$11,111&lt;=$D$11),1,0)</f>
        <v/>
      </c>
      <c r="DK36" s="17">
        <f>IF(AND(112&gt;=$B$11,112&lt;=$D$11),1,0)</f>
        <v/>
      </c>
      <c r="DL36" s="17">
        <f>IF(AND(113&gt;=$B$11,113&lt;=$D$11),1,0)</f>
        <v/>
      </c>
      <c r="DM36" s="17">
        <f>IF(AND(114&gt;=$B$11,114&lt;=$D$11),1,0)</f>
        <v/>
      </c>
      <c r="DN36" s="17">
        <f>IF(AND(115&gt;=$B$11,115&lt;=$D$11),1,0)</f>
        <v/>
      </c>
      <c r="DO36" s="17">
        <f>IF(AND(116&gt;=$B$11,116&lt;=$D$11),1,0)</f>
        <v/>
      </c>
      <c r="DP36" s="17">
        <f>IF(AND(117&gt;=$B$11,117&lt;=$D$11),1,0)</f>
        <v/>
      </c>
      <c r="DQ36" s="17">
        <f>IF(AND(118&gt;=$B$11,118&lt;=$D$11),1,0)</f>
        <v/>
      </c>
      <c r="DR36" s="17">
        <f>IF(AND(119&gt;=$B$11,119&lt;=$D$11),1,0)</f>
        <v/>
      </c>
      <c r="DS36" s="17">
        <f>IF(AND(120&gt;=$B$11,120&lt;=$D$11),1,0)</f>
        <v/>
      </c>
      <c r="DT36" s="17">
        <f>IF(AND(121&gt;=$B$11,121&lt;=$D$11),1,0)</f>
        <v/>
      </c>
      <c r="DU36" s="17">
        <f>IF(AND(122&gt;=$B$11,122&lt;=$D$11),1,0)</f>
        <v/>
      </c>
      <c r="DV36" s="17">
        <f>IF(AND(123&gt;=$B$11,123&lt;=$D$11),1,0)</f>
        <v/>
      </c>
      <c r="DW36" s="17">
        <f>IF(AND(124&gt;=$B$11,124&lt;=$D$11),1,0)</f>
        <v/>
      </c>
      <c r="DX36" s="17">
        <f>IF(AND(125&gt;=$B$11,125&lt;=$D$11),1,0)</f>
        <v/>
      </c>
      <c r="DY36" s="17">
        <f>IF(AND(126&gt;=$B$11,126&lt;=$D$11),1,0)</f>
        <v/>
      </c>
      <c r="DZ36" s="17">
        <f>IF(AND(127&gt;=$B$11,127&lt;=$D$11),1,0)</f>
        <v/>
      </c>
      <c r="EA36" s="17">
        <f>IF(AND(128&gt;=$B$11,128&lt;=$D$11),1,0)</f>
        <v/>
      </c>
      <c r="EB36" s="17">
        <f>IF(AND(129&gt;=$B$11,129&lt;=$D$11),1,0)</f>
        <v/>
      </c>
      <c r="EC36" s="17">
        <f>IF(AND(130&gt;=$B$11,130&lt;=$D$11),1,0)</f>
        <v/>
      </c>
      <c r="ED36" s="17">
        <f>IF(AND(131&gt;=$B$11,131&lt;=$D$11),1,0)</f>
        <v/>
      </c>
      <c r="EE36" s="17">
        <f>IF(AND(132&gt;=$B$11,132&lt;=$D$11),1,0)</f>
        <v/>
      </c>
      <c r="EF36" s="17">
        <f>IF(AND(133&gt;=$B$11,133&lt;=$D$11),1,0)</f>
        <v/>
      </c>
      <c r="EG36" s="17">
        <f>IF(AND(134&gt;=$B$11,134&lt;=$D$11),1,0)</f>
        <v/>
      </c>
      <c r="EH36" s="17">
        <f>IF(AND(135&gt;=$B$11,135&lt;=$D$11),1,0)</f>
        <v/>
      </c>
      <c r="EI36" s="17">
        <f>IF(AND(136&gt;=$B$11,136&lt;=$D$11),1,0)</f>
        <v/>
      </c>
      <c r="EJ36" s="17">
        <f>IF(AND(137&gt;=$B$11,137&lt;=$D$11),1,0)</f>
        <v/>
      </c>
      <c r="EK36" s="17">
        <f>IF(AND(138&gt;=$B$11,138&lt;=$D$11),1,0)</f>
        <v/>
      </c>
      <c r="EL36" s="17">
        <f>IF(AND(139&gt;=$B$11,139&lt;=$D$11),1,0)</f>
        <v/>
      </c>
      <c r="EM36" s="17">
        <f>IF(AND(140&gt;=$B$11,140&lt;=$D$11),1,0)</f>
        <v/>
      </c>
      <c r="EN36" s="17">
        <f>IF(AND(141&gt;=$B$11,141&lt;=$D$11),1,0)</f>
        <v/>
      </c>
      <c r="EO36" s="17">
        <f>IF(AND(142&gt;=$B$11,142&lt;=$D$11),1,0)</f>
        <v/>
      </c>
      <c r="EP36" s="17">
        <f>IF(AND(143&gt;=$B$11,143&lt;=$D$11),1,0)</f>
        <v/>
      </c>
      <c r="EQ36" s="17">
        <f>IF(AND(144&gt;=$B$11,144&lt;=$D$11),1,0)</f>
        <v/>
      </c>
      <c r="ER36" s="17">
        <f>IF(AND(145&gt;=$B$11,145&lt;=$D$11),1,0)</f>
        <v/>
      </c>
      <c r="ES36" s="17">
        <f>IF(AND(146&gt;=$B$11,146&lt;=$D$11),1,0)</f>
        <v/>
      </c>
      <c r="ET36" s="17">
        <f>IF(AND(147&gt;=$B$11,147&lt;=$D$11),1,0)</f>
        <v/>
      </c>
      <c r="EU36" s="17">
        <f>IF(AND(148&gt;=$B$11,148&lt;=$D$11),1,0)</f>
        <v/>
      </c>
      <c r="EV36" s="17">
        <f>IF(AND(149&gt;=$B$11,149&lt;=$D$11),1,0)</f>
        <v/>
      </c>
      <c r="EW36" s="17">
        <f>IF(AND(150&gt;=$B$11,150&lt;=$D$11),1,0)</f>
        <v/>
      </c>
      <c r="EX36" s="17">
        <f>IF(AND(151&gt;=$B$11,151&lt;=$D$11),1,0)</f>
        <v/>
      </c>
      <c r="EY36" s="17">
        <f>IF(AND(152&gt;=$B$11,152&lt;=$D$11),1,0)</f>
        <v/>
      </c>
      <c r="EZ36" s="17">
        <f>IF(AND(153&gt;=$B$11,153&lt;=$D$11),1,0)</f>
        <v/>
      </c>
      <c r="FA36" s="17">
        <f>IF(AND(154&gt;=$B$11,154&lt;=$D$11),1,0)</f>
        <v/>
      </c>
      <c r="FB36" s="17">
        <f>IF(AND(155&gt;=$B$11,155&lt;=$D$11),1,0)</f>
        <v/>
      </c>
      <c r="FC36" s="17">
        <f>IF(AND(156&gt;=$B$11,156&lt;=$D$11),1,0)</f>
        <v/>
      </c>
      <c r="FD36" s="17">
        <f>IF(AND(157&gt;=$B$11,157&lt;=$D$11),1,0)</f>
        <v/>
      </c>
      <c r="FE36" s="17">
        <f>IF(AND(158&gt;=$B$11,158&lt;=$D$11),1,0)</f>
        <v/>
      </c>
      <c r="FF36" s="17">
        <f>IF(AND(159&gt;=$B$11,159&lt;=$D$11),1,0)</f>
        <v/>
      </c>
      <c r="FG36" s="17">
        <f>IF(AND(160&gt;=$B$11,160&lt;=$D$11),1,0)</f>
        <v/>
      </c>
      <c r="FH36" s="17">
        <f>IF(AND(161&gt;=$B$11,161&lt;=$D$11),1,0)</f>
        <v/>
      </c>
      <c r="FI36" s="17">
        <f>IF(AND(162&gt;=$B$11,162&lt;=$D$11),1,0)</f>
        <v/>
      </c>
      <c r="FJ36" s="17">
        <f>IF(AND(163&gt;=$B$11,163&lt;=$D$11),1,0)</f>
        <v/>
      </c>
      <c r="FK36" s="17">
        <f>IF(AND(164&gt;=$B$11,164&lt;=$D$11),1,0)</f>
        <v/>
      </c>
      <c r="FL36" s="17">
        <f>IF(AND(165&gt;=$B$11,165&lt;=$D$11),1,0)</f>
        <v/>
      </c>
      <c r="FM36" s="17">
        <f>IF(AND(166&gt;=$B$11,166&lt;=$D$11),1,0)</f>
        <v/>
      </c>
      <c r="FN36" s="17">
        <f>IF(AND(167&gt;=$B$11,167&lt;=$D$11),1,0)</f>
        <v/>
      </c>
      <c r="FO36" s="17">
        <f>IF(AND(168&gt;=$B$11,168&lt;=$D$11),1,0)</f>
        <v/>
      </c>
      <c r="FP36" s="17">
        <f>IF(AND(169&gt;=$B$11,169&lt;=$D$11),1,0)</f>
        <v/>
      </c>
      <c r="FQ36" s="17">
        <f>IF(AND(170&gt;=$B$11,170&lt;=$D$11),1,0)</f>
        <v/>
      </c>
      <c r="FR36" s="17">
        <f>IF(AND(171&gt;=$B$11,171&lt;=$D$11),1,0)</f>
        <v/>
      </c>
      <c r="FS36" s="17">
        <f>IF(AND(172&gt;=$B$11,172&lt;=$D$11),1,0)</f>
        <v/>
      </c>
      <c r="FT36" s="17">
        <f>IF(AND(173&gt;=$B$11,173&lt;=$D$11),1,0)</f>
        <v/>
      </c>
      <c r="FU36" s="17">
        <f>IF(AND(174&gt;=$B$11,174&lt;=$D$11),1,0)</f>
        <v/>
      </c>
      <c r="FV36" s="17">
        <f>IF(AND(175&gt;=$B$11,175&lt;=$D$11),1,0)</f>
        <v/>
      </c>
      <c r="FW36" s="17">
        <f>IF(AND(176&gt;=$B$11,176&lt;=$D$11),1,0)</f>
        <v/>
      </c>
      <c r="FX36" s="17">
        <f>IF(AND(177&gt;=$B$11,177&lt;=$D$11),1,0)</f>
        <v/>
      </c>
      <c r="FY36" s="17">
        <f>IF(AND(178&gt;=$B$11,178&lt;=$D$11),1,0)</f>
        <v/>
      </c>
      <c r="FZ36" s="17">
        <f>IF(AND(179&gt;=$B$11,179&lt;=$D$11),1,0)</f>
        <v/>
      </c>
      <c r="GA36" s="17">
        <f>IF(AND(180&gt;=$B$11,180&lt;=$D$11),1,0)</f>
        <v/>
      </c>
      <c r="GB36" s="17">
        <f>IF(AND(181&gt;=$B$11,181&lt;=$D$11),1,0)</f>
        <v/>
      </c>
      <c r="GC36" s="17">
        <f>IF(AND(182&gt;=$B$11,182&lt;=$D$11),1,0)</f>
        <v/>
      </c>
      <c r="GD36" s="17">
        <f>IF(AND(183&gt;=$B$11,183&lt;=$D$11),1,0)</f>
        <v/>
      </c>
      <c r="GE36" s="17">
        <f>IF(AND(184&gt;=$B$11,184&lt;=$D$11),1,0)</f>
        <v/>
      </c>
      <c r="GF36" s="17">
        <f>IF(AND(185&gt;=$B$11,185&lt;=$D$11),1,0)</f>
        <v/>
      </c>
      <c r="GG36" s="17">
        <f>IF(AND(186&gt;=$B$11,186&lt;=$D$11),1,0)</f>
        <v/>
      </c>
      <c r="GH36" s="17">
        <f>IF(AND(187&gt;=$B$11,187&lt;=$D$11),1,0)</f>
        <v/>
      </c>
      <c r="GI36" s="17">
        <f>IF(AND(188&gt;=$B$11,188&lt;=$D$11),1,0)</f>
        <v/>
      </c>
      <c r="GJ36" s="17">
        <f>IF(AND(189&gt;=$B$11,189&lt;=$D$11),1,0)</f>
        <v/>
      </c>
      <c r="GK36" s="17">
        <f>IF(AND(190&gt;=$B$11,190&lt;=$D$11),1,0)</f>
        <v/>
      </c>
      <c r="GL36" s="17">
        <f>IF(AND(191&gt;=$B$11,191&lt;=$D$11),1,0)</f>
        <v/>
      </c>
      <c r="GM36" s="17">
        <f>IF(AND(192&gt;=$B$11,192&lt;=$D$11),1,0)</f>
        <v/>
      </c>
      <c r="GN36" s="17">
        <f>IF(AND(193&gt;=$B$11,193&lt;=$D$11),1,0)</f>
        <v/>
      </c>
      <c r="GO36" s="17">
        <f>IF(AND(194&gt;=$B$11,194&lt;=$D$11),1,0)</f>
        <v/>
      </c>
      <c r="GP36" s="17">
        <f>IF(AND(195&gt;=$B$11,195&lt;=$D$11),1,0)</f>
        <v/>
      </c>
      <c r="GQ36" s="17">
        <f>IF(AND(196&gt;=$B$11,196&lt;=$D$11),1,0)</f>
        <v/>
      </c>
      <c r="GR36" s="17">
        <f>IF(AND(197&gt;=$B$11,197&lt;=$D$11),1,0)</f>
        <v/>
      </c>
      <c r="GS36" s="17">
        <f>IF(AND(198&gt;=$B$11,198&lt;=$D$11),1,0)</f>
        <v/>
      </c>
      <c r="GT36" s="17">
        <f>IF(AND(199&gt;=$B$11,199&lt;=$D$11),1,0)</f>
        <v/>
      </c>
      <c r="GU36" s="17">
        <f>IF(AND(200&gt;=$B$11,200&lt;=$D$11),1,0)</f>
        <v/>
      </c>
      <c r="GV36" s="17">
        <f>IF(AND(201&gt;=$B$11,201&lt;=$D$11),1,0)</f>
        <v/>
      </c>
      <c r="GW36" s="17">
        <f>IF(AND(202&gt;=$B$11,202&lt;=$D$11),1,0)</f>
        <v/>
      </c>
      <c r="GX36" s="17">
        <f>IF(AND(203&gt;=$B$11,203&lt;=$D$11),1,0)</f>
        <v/>
      </c>
      <c r="GY36" s="17">
        <f>IF(AND(204&gt;=$B$11,204&lt;=$D$11),1,0)</f>
        <v/>
      </c>
      <c r="GZ36" s="17">
        <f>IF(AND(205&gt;=$B$11,205&lt;=$D$11),1,0)</f>
        <v/>
      </c>
      <c r="HA36" s="17">
        <f>IF(AND(206&gt;=$B$11,206&lt;=$D$11),1,0)</f>
        <v/>
      </c>
      <c r="HB36" s="17">
        <f>IF(AND(207&gt;=$B$11,207&lt;=$D$11),1,0)</f>
        <v/>
      </c>
      <c r="HC36" s="17">
        <f>IF(AND(208&gt;=$B$11,208&lt;=$D$11),1,0)</f>
        <v/>
      </c>
      <c r="HD36" s="17">
        <f>IF(AND(209&gt;=$B$11,209&lt;=$D$11),1,0)</f>
        <v/>
      </c>
      <c r="HE36" s="17">
        <f>IF(AND(210&gt;=$B$11,210&lt;=$D$11),1,0)</f>
        <v/>
      </c>
      <c r="HF36" s="17">
        <f>IF(AND(211&gt;=$B$11,211&lt;=$D$11),1,0)</f>
        <v/>
      </c>
      <c r="HG36" s="17">
        <f>IF(AND(212&gt;=$B$11,212&lt;=$D$11),1,0)</f>
        <v/>
      </c>
      <c r="HH36" s="17">
        <f>IF(AND(213&gt;=$B$11,213&lt;=$D$11),1,0)</f>
        <v/>
      </c>
      <c r="HI36" s="17">
        <f>IF(AND(214&gt;=$B$11,214&lt;=$D$11),1,0)</f>
        <v/>
      </c>
      <c r="HJ36" s="17">
        <f>IF(AND(215&gt;=$B$11,215&lt;=$D$11),1,0)</f>
        <v/>
      </c>
      <c r="HK36" s="17">
        <f>IF(AND(216&gt;=$B$11,216&lt;=$D$11),1,0)</f>
        <v/>
      </c>
      <c r="HL36" s="17">
        <f>IF(AND(217&gt;=$B$11,217&lt;=$D$11),1,0)</f>
        <v/>
      </c>
      <c r="HM36" s="17">
        <f>IF(AND(218&gt;=$B$11,218&lt;=$D$11),1,0)</f>
        <v/>
      </c>
      <c r="HN36" s="17">
        <f>IF(AND(219&gt;=$B$11,219&lt;=$D$11),1,0)</f>
        <v/>
      </c>
      <c r="HO36" s="17">
        <f>IF(AND(220&gt;=$B$11,220&lt;=$D$11),1,0)</f>
        <v/>
      </c>
      <c r="HP36" s="17">
        <f>IF(AND(221&gt;=$B$11,221&lt;=$D$11),1,0)</f>
        <v/>
      </c>
      <c r="HQ36" s="17">
        <f>IF(AND(222&gt;=$B$11,222&lt;=$D$11),1,0)</f>
        <v/>
      </c>
      <c r="HR36" s="17">
        <f>IF(AND(223&gt;=$B$11,223&lt;=$D$11),1,0)</f>
        <v/>
      </c>
      <c r="HS36" s="17">
        <f>IF(AND(224&gt;=$B$11,224&lt;=$D$11),1,0)</f>
        <v/>
      </c>
      <c r="HT36" s="17">
        <f>IF(AND(225&gt;=$B$11,225&lt;=$D$11),1,0)</f>
        <v/>
      </c>
      <c r="HU36" s="17">
        <f>IF(AND(226&gt;=$B$11,226&lt;=$D$11),1,0)</f>
        <v/>
      </c>
      <c r="HV36" s="17">
        <f>IF(AND(227&gt;=$B$11,227&lt;=$D$11),1,0)</f>
        <v/>
      </c>
      <c r="HW36" s="17">
        <f>IF(AND(228&gt;=$B$11,228&lt;=$D$11),1,0)</f>
        <v/>
      </c>
      <c r="HX36" s="17">
        <f>IF(AND(229&gt;=$B$11,229&lt;=$D$11),1,0)</f>
        <v/>
      </c>
      <c r="HY36" s="17">
        <f>IF(AND(230&gt;=$B$11,230&lt;=$D$11),1,0)</f>
        <v/>
      </c>
      <c r="HZ36" s="17">
        <f>IF(AND(231&gt;=$B$11,231&lt;=$D$11),1,0)</f>
        <v/>
      </c>
      <c r="IA36" s="17">
        <f>IF(AND(232&gt;=$B$11,232&lt;=$D$11),1,0)</f>
        <v/>
      </c>
      <c r="IB36" s="17">
        <f>IF(AND(233&gt;=$B$11,233&lt;=$D$11),1,0)</f>
        <v/>
      </c>
      <c r="IC36" s="17">
        <f>IF(AND(234&gt;=$B$11,234&lt;=$D$11),1,0)</f>
        <v/>
      </c>
      <c r="ID36" s="17">
        <f>IF(AND(235&gt;=$B$11,235&lt;=$D$11),1,0)</f>
        <v/>
      </c>
      <c r="IE36" s="17">
        <f>IF(AND(236&gt;=$B$11,236&lt;=$D$11),1,0)</f>
        <v/>
      </c>
      <c r="IF36" s="17">
        <f>IF(AND(237&gt;=$B$11,237&lt;=$D$11),1,0)</f>
        <v/>
      </c>
      <c r="IG36" s="17">
        <f>IF(AND(238&gt;=$B$11,238&lt;=$D$11),1,0)</f>
        <v/>
      </c>
      <c r="IH36" s="17">
        <f>IF(AND(239&gt;=$B$11,239&lt;=$D$11),1,0)</f>
        <v/>
      </c>
      <c r="II36" s="17">
        <f>IF(AND(240&gt;=$B$11,240&lt;=$D$11),1,0)</f>
        <v/>
      </c>
      <c r="IJ36" s="17">
        <f>IF(AND(241&gt;=$B$11,241&lt;=$D$11),1,0)</f>
        <v/>
      </c>
      <c r="IK36" s="17">
        <f>IF(AND(242&gt;=$B$11,242&lt;=$D$11),1,0)</f>
        <v/>
      </c>
      <c r="IL36" s="17">
        <f>IF(AND(243&gt;=$B$11,243&lt;=$D$11),1,0)</f>
        <v/>
      </c>
      <c r="IM36" s="17">
        <f>IF(AND(244&gt;=$B$11,244&lt;=$D$11),1,0)</f>
        <v/>
      </c>
      <c r="IN36" s="17">
        <f>IF(AND(245&gt;=$B$11,245&lt;=$D$11),1,0)</f>
        <v/>
      </c>
      <c r="IO36" s="17">
        <f>IF(AND(246&gt;=$B$11,246&lt;=$D$11),1,0)</f>
        <v/>
      </c>
      <c r="IP36" s="17">
        <f>IF(AND(247&gt;=$B$11,247&lt;=$D$11),1,0)</f>
        <v/>
      </c>
      <c r="IQ36" s="17">
        <f>IF(AND(248&gt;=$B$11,248&lt;=$D$11),1,0)</f>
        <v/>
      </c>
      <c r="IR36" s="17">
        <f>IF(AND(249&gt;=$B$11,249&lt;=$D$11),1,0)</f>
        <v/>
      </c>
      <c r="IS36" s="17">
        <f>IF(AND(250&gt;=$B$11,250&lt;=$D$11),1,0)</f>
        <v/>
      </c>
      <c r="IT36" s="17">
        <f>IF(AND(251&gt;=$B$11,251&lt;=$D$11),1,0)</f>
        <v/>
      </c>
      <c r="IU36" s="17">
        <f>IF(AND(252&gt;=$B$11,252&lt;=$D$11),1,0)</f>
        <v/>
      </c>
      <c r="IV36" s="17">
        <f>IF(AND(253&gt;=$B$11,253&lt;=$D$11),1,0)</f>
        <v/>
      </c>
      <c r="IW36" s="17">
        <f>IF(AND(254&gt;=$B$11,254&lt;=$D$11),1,0)</f>
        <v/>
      </c>
      <c r="IX36" s="17">
        <f>IF(AND(255&gt;=$B$11,255&lt;=$D$11),1,0)</f>
        <v/>
      </c>
      <c r="IY36" s="17">
        <f>IF(AND(256&gt;=$B$11,256&lt;=$D$11),1,0)</f>
        <v/>
      </c>
      <c r="IZ36" s="17">
        <f>IF(AND(257&gt;=$B$11,257&lt;=$D$11),1,0)</f>
        <v/>
      </c>
      <c r="JA36" s="17">
        <f>IF(AND(258&gt;=$B$11,258&lt;=$D$11),1,0)</f>
        <v/>
      </c>
      <c r="JB36" s="17">
        <f>IF(AND(259&gt;=$B$11,259&lt;=$D$11),1,0)</f>
        <v/>
      </c>
      <c r="JC36" s="17">
        <f>IF(AND(260&gt;=$B$11,260&lt;=$D$11),1,0)</f>
        <v/>
      </c>
      <c r="JD36" s="17">
        <f>IF(AND(261&gt;=$B$11,261&lt;=$D$11),1,0)</f>
        <v/>
      </c>
      <c r="JE36" s="17">
        <f>IF(AND(262&gt;=$B$11,262&lt;=$D$11),1,0)</f>
        <v/>
      </c>
      <c r="JF36" s="17">
        <f>IF(AND(263&gt;=$B$11,263&lt;=$D$11),1,0)</f>
        <v/>
      </c>
      <c r="JG36" s="17">
        <f>IF(AND(264&gt;=$B$11,264&lt;=$D$11),1,0)</f>
        <v/>
      </c>
      <c r="JH36" s="17">
        <f>IF(AND(265&gt;=$B$11,265&lt;=$D$11),1,0)</f>
        <v/>
      </c>
      <c r="JI36" s="17">
        <f>IF(AND(266&gt;=$B$11,266&lt;=$D$11),1,0)</f>
        <v/>
      </c>
      <c r="JJ36" s="17">
        <f>IF(AND(267&gt;=$B$11,267&lt;=$D$11),1,0)</f>
        <v/>
      </c>
      <c r="JK36" s="17">
        <f>IF(AND(268&gt;=$B$11,268&lt;=$D$11),1,0)</f>
        <v/>
      </c>
      <c r="JL36" s="17">
        <f>IF(AND(269&gt;=$B$11,269&lt;=$D$11),1,0)</f>
        <v/>
      </c>
      <c r="JM36" s="17">
        <f>IF(AND(270&gt;=$B$11,270&lt;=$D$11),1,0)</f>
        <v/>
      </c>
      <c r="JN36" s="17">
        <f>IF(AND(271&gt;=$B$11,271&lt;=$D$11),1,0)</f>
        <v/>
      </c>
      <c r="JO36" s="17">
        <f>IF(AND(272&gt;=$B$11,272&lt;=$D$11),1,0)</f>
        <v/>
      </c>
      <c r="JP36" s="17">
        <f>IF(AND(273&gt;=$B$11,273&lt;=$D$11),1,0)</f>
        <v/>
      </c>
      <c r="JQ36" s="17">
        <f>IF(AND(274&gt;=$B$11,274&lt;=$D$11),1,0)</f>
        <v/>
      </c>
      <c r="JR36" s="17">
        <f>IF(AND(275&gt;=$B$11,275&lt;=$D$11),1,0)</f>
        <v/>
      </c>
      <c r="JS36" s="17">
        <f>IF(AND(276&gt;=$B$11,276&lt;=$D$11),1,0)</f>
        <v/>
      </c>
      <c r="JT36" s="17">
        <f>IF(AND(277&gt;=$B$11,277&lt;=$D$11),1,0)</f>
        <v/>
      </c>
      <c r="JU36" s="17">
        <f>IF(AND(278&gt;=$B$11,278&lt;=$D$11),1,0)</f>
        <v/>
      </c>
      <c r="JV36" s="17">
        <f>IF(AND(279&gt;=$B$11,279&lt;=$D$11),1,0)</f>
        <v/>
      </c>
      <c r="JW36" s="17">
        <f>IF(AND(280&gt;=$B$11,280&lt;=$D$11),1,0)</f>
        <v/>
      </c>
      <c r="JX36" s="17">
        <f>IF(AND(281&gt;=$B$11,281&lt;=$D$11),1,0)</f>
        <v/>
      </c>
      <c r="JY36" s="17">
        <f>IF(AND(282&gt;=$B$11,282&lt;=$D$11),1,0)</f>
        <v/>
      </c>
      <c r="JZ36" s="17">
        <f>IF(AND(283&gt;=$B$11,283&lt;=$D$11),1,0)</f>
        <v/>
      </c>
      <c r="KA36" s="17">
        <f>IF(AND(284&gt;=$B$11,284&lt;=$D$11),1,0)</f>
        <v/>
      </c>
      <c r="KB36" s="17">
        <f>IF(AND(285&gt;=$B$11,285&lt;=$D$11),1,0)</f>
        <v/>
      </c>
      <c r="KC36" s="17">
        <f>IF(AND(286&gt;=$B$11,286&lt;=$D$11),1,0)</f>
        <v/>
      </c>
      <c r="KD36" s="17">
        <f>IF(AND(287&gt;=$B$11,287&lt;=$D$11),1,0)</f>
        <v/>
      </c>
      <c r="KE36" s="17">
        <f>IF(AND(288&gt;=$B$11,288&lt;=$D$11),1,0)</f>
        <v/>
      </c>
      <c r="KF36" s="17">
        <f>IF(AND(289&gt;=$B$11,289&lt;=$D$11),1,0)</f>
        <v/>
      </c>
      <c r="KG36" s="17">
        <f>IF(AND(290&gt;=$B$11,290&lt;=$D$11),1,0)</f>
        <v/>
      </c>
      <c r="KH36" s="17">
        <f>IF(AND(291&gt;=$B$11,291&lt;=$D$11),1,0)</f>
        <v/>
      </c>
      <c r="KI36" s="17">
        <f>IF(AND(292&gt;=$B$11,292&lt;=$D$11),1,0)</f>
        <v/>
      </c>
      <c r="KJ36" s="17">
        <f>IF(AND(293&gt;=$B$11,293&lt;=$D$11),1,0)</f>
        <v/>
      </c>
      <c r="KK36" s="17">
        <f>IF(AND(294&gt;=$B$11,294&lt;=$D$11),1,0)</f>
        <v/>
      </c>
      <c r="KL36" s="17">
        <f>IF(AND(295&gt;=$B$11,295&lt;=$D$11),1,0)</f>
        <v/>
      </c>
      <c r="KM36" s="17">
        <f>IF(AND(296&gt;=$B$11,296&lt;=$D$11),1,0)</f>
        <v/>
      </c>
      <c r="KN36" s="17">
        <f>IF(AND(297&gt;=$B$11,297&lt;=$D$11),1,0)</f>
        <v/>
      </c>
      <c r="KO36" s="17">
        <f>IF(AND(298&gt;=$B$11,298&lt;=$D$11),1,0)</f>
        <v/>
      </c>
      <c r="KP36" s="17">
        <f>IF(AND(299&gt;=$B$11,299&lt;=$D$11),1,0)</f>
        <v/>
      </c>
      <c r="KQ36" s="17">
        <f>IF(AND(300&gt;=$B$11,300&lt;=$D$11),1,0)</f>
        <v/>
      </c>
      <c r="KR36" s="17">
        <f>IF(AND(301&gt;=$B$11,301&lt;=$D$11),1,0)</f>
        <v/>
      </c>
      <c r="KS36" s="17">
        <f>IF(AND(302&gt;=$B$11,302&lt;=$D$11),1,0)</f>
        <v/>
      </c>
      <c r="KT36" s="17">
        <f>IF(AND(303&gt;=$B$11,303&lt;=$D$11),1,0)</f>
        <v/>
      </c>
      <c r="KU36" s="17">
        <f>IF(AND(304&gt;=$B$11,304&lt;=$D$11),1,0)</f>
        <v/>
      </c>
      <c r="KV36" s="17">
        <f>IF(AND(305&gt;=$B$11,305&lt;=$D$11),1,0)</f>
        <v/>
      </c>
      <c r="KW36" s="17">
        <f>IF(AND(306&gt;=$B$11,306&lt;=$D$11),1,0)</f>
        <v/>
      </c>
      <c r="KX36" s="17">
        <f>IF(AND(307&gt;=$B$11,307&lt;=$D$11),1,0)</f>
        <v/>
      </c>
      <c r="KY36" s="17">
        <f>IF(AND(308&gt;=$B$11,308&lt;=$D$11),1,0)</f>
        <v/>
      </c>
      <c r="KZ36" s="17">
        <f>IF(AND(309&gt;=$B$11,309&lt;=$D$11),1,0)</f>
        <v/>
      </c>
      <c r="LA36" s="17">
        <f>IF(AND(310&gt;=$B$11,310&lt;=$D$11),1,0)</f>
        <v/>
      </c>
      <c r="LB36" s="17">
        <f>IF(AND(311&gt;=$B$11,311&lt;=$D$11),1,0)</f>
        <v/>
      </c>
      <c r="LC36" s="17">
        <f>IF(AND(312&gt;=$B$11,312&lt;=$D$11),1,0)</f>
        <v/>
      </c>
      <c r="LD36" s="17">
        <f>IF(AND(313&gt;=$B$11,313&lt;=$D$11),1,0)</f>
        <v/>
      </c>
      <c r="LE36" s="17">
        <f>IF(AND(314&gt;=$B$11,314&lt;=$D$11),1,0)</f>
        <v/>
      </c>
      <c r="LF36" s="17">
        <f>IF(AND(315&gt;=$B$11,315&lt;=$D$11),1,0)</f>
        <v/>
      </c>
      <c r="LG36" s="17">
        <f>IF(AND(316&gt;=$B$11,316&lt;=$D$11),1,0)</f>
        <v/>
      </c>
      <c r="LH36" s="17">
        <f>IF(AND(317&gt;=$B$11,317&lt;=$D$11),1,0)</f>
        <v/>
      </c>
      <c r="LI36" s="17">
        <f>IF(AND(318&gt;=$B$11,318&lt;=$D$11),1,0)</f>
        <v/>
      </c>
      <c r="LJ36" s="17">
        <f>IF(AND(319&gt;=$B$11,319&lt;=$D$11),1,0)</f>
        <v/>
      </c>
      <c r="LK36" s="17">
        <f>IF(AND(320&gt;=$B$11,320&lt;=$D$11),1,0)</f>
        <v/>
      </c>
      <c r="LL36" s="17">
        <f>IF(AND(321&gt;=$B$11,321&lt;=$D$11),1,0)</f>
        <v/>
      </c>
      <c r="LM36" s="17">
        <f>IF(AND(322&gt;=$B$11,322&lt;=$D$11),1,0)</f>
        <v/>
      </c>
      <c r="LN36" s="17">
        <f>IF(AND(323&gt;=$B$11,323&lt;=$D$11),1,0)</f>
        <v/>
      </c>
      <c r="LO36" s="17">
        <f>IF(AND(324&gt;=$B$11,324&lt;=$D$11),1,0)</f>
        <v/>
      </c>
      <c r="LP36" s="17">
        <f>IF(AND(325&gt;=$B$11,325&lt;=$D$11),1,0)</f>
        <v/>
      </c>
      <c r="LQ36" s="17">
        <f>IF(AND(326&gt;=$B$11,326&lt;=$D$11),1,0)</f>
        <v/>
      </c>
      <c r="LR36" s="17">
        <f>IF(AND(327&gt;=$B$11,327&lt;=$D$11),1,0)</f>
        <v/>
      </c>
      <c r="LS36" s="17">
        <f>IF(AND(328&gt;=$B$11,328&lt;=$D$11),1,0)</f>
        <v/>
      </c>
      <c r="LT36" s="17">
        <f>IF(AND(329&gt;=$B$11,329&lt;=$D$11),1,0)</f>
        <v/>
      </c>
      <c r="LU36" s="17">
        <f>IF(AND(330&gt;=$B$11,330&lt;=$D$11),1,0)</f>
        <v/>
      </c>
      <c r="LV36" s="17">
        <f>IF(AND(331&gt;=$B$11,331&lt;=$D$11),1,0)</f>
        <v/>
      </c>
      <c r="LW36" s="17">
        <f>IF(AND(332&gt;=$B$11,332&lt;=$D$11),1,0)</f>
        <v/>
      </c>
      <c r="LX36" s="17">
        <f>IF(AND(333&gt;=$B$11,333&lt;=$D$11),1,0)</f>
        <v/>
      </c>
      <c r="LY36" s="17">
        <f>IF(AND(334&gt;=$B$11,334&lt;=$D$11),1,0)</f>
        <v/>
      </c>
      <c r="LZ36" s="17">
        <f>IF(AND(335&gt;=$B$11,335&lt;=$D$11),1,0)</f>
        <v/>
      </c>
      <c r="MA36" s="17">
        <f>IF(AND(336&gt;=$B$11,336&lt;=$D$11),1,0)</f>
        <v/>
      </c>
      <c r="MB36" s="17">
        <f>IF(AND(337&gt;=$B$11,337&lt;=$D$11),1,0)</f>
        <v/>
      </c>
      <c r="MC36" s="17">
        <f>IF(AND(338&gt;=$B$11,338&lt;=$D$11),1,0)</f>
        <v/>
      </c>
      <c r="MD36" s="17">
        <f>IF(AND(339&gt;=$B$11,339&lt;=$D$11),1,0)</f>
        <v/>
      </c>
      <c r="ME36" s="17">
        <f>IF(AND(340&gt;=$B$11,340&lt;=$D$11),1,0)</f>
        <v/>
      </c>
      <c r="MF36" s="17">
        <f>IF(AND(341&gt;=$B$11,341&lt;=$D$11),1,0)</f>
        <v/>
      </c>
      <c r="MG36" s="17">
        <f>IF(AND(342&gt;=$B$11,342&lt;=$D$11),1,0)</f>
        <v/>
      </c>
      <c r="MH36" s="17">
        <f>IF(AND(343&gt;=$B$11,343&lt;=$D$11),1,0)</f>
        <v/>
      </c>
      <c r="MI36" s="17">
        <f>IF(AND(344&gt;=$B$11,344&lt;=$D$11),1,0)</f>
        <v/>
      </c>
      <c r="MJ36" s="17">
        <f>IF(AND(345&gt;=$B$11,345&lt;=$D$11),1,0)</f>
        <v/>
      </c>
      <c r="MK36" s="17">
        <f>IF(AND(346&gt;=$B$11,346&lt;=$D$11),1,0)</f>
        <v/>
      </c>
      <c r="ML36" s="17">
        <f>IF(AND(347&gt;=$B$11,347&lt;=$D$11),1,0)</f>
        <v/>
      </c>
      <c r="MM36" s="17">
        <f>IF(AND(348&gt;=$B$11,348&lt;=$D$11),1,0)</f>
        <v/>
      </c>
      <c r="MN36" s="17">
        <f>IF(AND(349&gt;=$B$11,349&lt;=$D$11),1,0)</f>
        <v/>
      </c>
      <c r="MO36" s="17">
        <f>IF(AND(350&gt;=$B$11,350&lt;=$D$11),1,0)</f>
        <v/>
      </c>
      <c r="MP36" s="17">
        <f>IF(AND(351&gt;=$B$11,351&lt;=$D$11),1,0)</f>
        <v/>
      </c>
      <c r="MQ36" s="17">
        <f>IF(AND(352&gt;=$B$11,352&lt;=$D$11),1,0)</f>
        <v/>
      </c>
      <c r="MR36" s="17">
        <f>IF(AND(353&gt;=$B$11,353&lt;=$D$11),1,0)</f>
        <v/>
      </c>
      <c r="MS36" s="17">
        <f>IF(AND(354&gt;=$B$11,354&lt;=$D$11),1,0)</f>
        <v/>
      </c>
      <c r="MT36" s="17">
        <f>IF(AND(355&gt;=$B$11,355&lt;=$D$11),1,0)</f>
        <v/>
      </c>
      <c r="MU36" s="17">
        <f>IF(AND(356&gt;=$B$11,356&lt;=$D$11),1,0)</f>
        <v/>
      </c>
      <c r="MV36" s="17">
        <f>IF(AND(357&gt;=$B$11,357&lt;=$D$11),1,0)</f>
        <v/>
      </c>
      <c r="MW36" s="17">
        <f>IF(AND(358&gt;=$B$11,358&lt;=$D$11),1,0)</f>
        <v/>
      </c>
      <c r="MX36" s="17">
        <f>IF(AND(359&gt;=$B$11,359&lt;=$D$11),1,0)</f>
        <v/>
      </c>
      <c r="MY36" s="17">
        <f>IF(AND(360&gt;=$B$11,360&lt;=$D$11),1,0)</f>
        <v/>
      </c>
      <c r="MZ36" s="17">
        <f>IF(AND(361&gt;=$B$11,361&lt;=$D$11),1,0)</f>
        <v/>
      </c>
      <c r="NA36" s="17">
        <f>IF(AND(362&gt;=$B$11,362&lt;=$D$11),1,0)</f>
        <v/>
      </c>
      <c r="NB36" s="17">
        <f>IF(AND(363&gt;=$B$11,363&lt;=$D$11),1,0)</f>
        <v/>
      </c>
      <c r="NC36" s="17">
        <f>IF(AND(364&gt;=$B$11,364&lt;=$D$11),1,0)</f>
        <v/>
      </c>
      <c r="ND36" s="17">
        <f>IF(AND(365&gt;=$B$11,365&lt;=$D$11),1,0)</f>
        <v/>
      </c>
      <c r="NE36" s="17">
        <f>IF(AND(366&gt;=$B$11,366&lt;=$D$11),1,0)</f>
        <v/>
      </c>
      <c r="NF36" s="17">
        <f>IF(AND(367&gt;=$B$11,367&lt;=$D$11),1,0)</f>
        <v/>
      </c>
      <c r="NG36" s="17">
        <f>IF(AND(368&gt;=$B$11,368&lt;=$D$11),1,0)</f>
        <v/>
      </c>
      <c r="NH36" s="17">
        <f>IF(AND(369&gt;=$B$11,369&lt;=$D$11),1,0)</f>
        <v/>
      </c>
      <c r="NI36" s="17">
        <f>IF(AND(370&gt;=$B$11,370&lt;=$D$11),1,0)</f>
        <v/>
      </c>
      <c r="NJ36" s="17">
        <f>IF(AND(371&gt;=$B$11,371&lt;=$D$11),1,0)</f>
        <v/>
      </c>
      <c r="NK36" s="17">
        <f>IF(AND(372&gt;=$B$11,372&lt;=$D$11),1,0)</f>
        <v/>
      </c>
    </row>
    <row r="37">
      <c r="A37" s="5" t="inlineStr">
        <is>
          <t>Flag: Stabilization</t>
        </is>
      </c>
      <c r="C37" s="40" t="n"/>
      <c r="D37" s="17">
        <f>IF(AND(1&gt;=$B$12,1&lt;=$D$12),1,0)</f>
        <v/>
      </c>
      <c r="E37" s="17">
        <f>IF(AND(2&gt;=$B$12,2&lt;=$D$12),1,0)</f>
        <v/>
      </c>
      <c r="F37" s="17">
        <f>IF(AND(3&gt;=$B$12,3&lt;=$D$12),1,0)</f>
        <v/>
      </c>
      <c r="G37" s="17">
        <f>IF(AND(4&gt;=$B$12,4&lt;=$D$12),1,0)</f>
        <v/>
      </c>
      <c r="H37" s="17">
        <f>IF(AND(5&gt;=$B$12,5&lt;=$D$12),1,0)</f>
        <v/>
      </c>
      <c r="I37" s="17">
        <f>IF(AND(6&gt;=$B$12,6&lt;=$D$12),1,0)</f>
        <v/>
      </c>
      <c r="J37" s="17">
        <f>IF(AND(7&gt;=$B$12,7&lt;=$D$12),1,0)</f>
        <v/>
      </c>
      <c r="K37" s="17">
        <f>IF(AND(8&gt;=$B$12,8&lt;=$D$12),1,0)</f>
        <v/>
      </c>
      <c r="L37" s="17">
        <f>IF(AND(9&gt;=$B$12,9&lt;=$D$12),1,0)</f>
        <v/>
      </c>
      <c r="M37" s="17">
        <f>IF(AND(10&gt;=$B$12,10&lt;=$D$12),1,0)</f>
        <v/>
      </c>
      <c r="N37" s="17">
        <f>IF(AND(11&gt;=$B$12,11&lt;=$D$12),1,0)</f>
        <v/>
      </c>
      <c r="O37" s="17">
        <f>IF(AND(12&gt;=$B$12,12&lt;=$D$12),1,0)</f>
        <v/>
      </c>
      <c r="P37" s="17">
        <f>IF(AND(13&gt;=$B$12,13&lt;=$D$12),1,0)</f>
        <v/>
      </c>
      <c r="Q37" s="17">
        <f>IF(AND(14&gt;=$B$12,14&lt;=$D$12),1,0)</f>
        <v/>
      </c>
      <c r="R37" s="17">
        <f>IF(AND(15&gt;=$B$12,15&lt;=$D$12),1,0)</f>
        <v/>
      </c>
      <c r="S37" s="17">
        <f>IF(AND(16&gt;=$B$12,16&lt;=$D$12),1,0)</f>
        <v/>
      </c>
      <c r="T37" s="17">
        <f>IF(AND(17&gt;=$B$12,17&lt;=$D$12),1,0)</f>
        <v/>
      </c>
      <c r="U37" s="17">
        <f>IF(AND(18&gt;=$B$12,18&lt;=$D$12),1,0)</f>
        <v/>
      </c>
      <c r="V37" s="17">
        <f>IF(AND(19&gt;=$B$12,19&lt;=$D$12),1,0)</f>
        <v/>
      </c>
      <c r="W37" s="17">
        <f>IF(AND(20&gt;=$B$12,20&lt;=$D$12),1,0)</f>
        <v/>
      </c>
      <c r="X37" s="17">
        <f>IF(AND(21&gt;=$B$12,21&lt;=$D$12),1,0)</f>
        <v/>
      </c>
      <c r="Y37" s="17">
        <f>IF(AND(22&gt;=$B$12,22&lt;=$D$12),1,0)</f>
        <v/>
      </c>
      <c r="Z37" s="17">
        <f>IF(AND(23&gt;=$B$12,23&lt;=$D$12),1,0)</f>
        <v/>
      </c>
      <c r="AA37" s="17">
        <f>IF(AND(24&gt;=$B$12,24&lt;=$D$12),1,0)</f>
        <v/>
      </c>
      <c r="AB37" s="17">
        <f>IF(AND(25&gt;=$B$12,25&lt;=$D$12),1,0)</f>
        <v/>
      </c>
      <c r="AC37" s="17">
        <f>IF(AND(26&gt;=$B$12,26&lt;=$D$12),1,0)</f>
        <v/>
      </c>
      <c r="AD37" s="17">
        <f>IF(AND(27&gt;=$B$12,27&lt;=$D$12),1,0)</f>
        <v/>
      </c>
      <c r="AE37" s="17">
        <f>IF(AND(28&gt;=$B$12,28&lt;=$D$12),1,0)</f>
        <v/>
      </c>
      <c r="AF37" s="17">
        <f>IF(AND(29&gt;=$B$12,29&lt;=$D$12),1,0)</f>
        <v/>
      </c>
      <c r="AG37" s="17">
        <f>IF(AND(30&gt;=$B$12,30&lt;=$D$12),1,0)</f>
        <v/>
      </c>
      <c r="AH37" s="17">
        <f>IF(AND(31&gt;=$B$12,31&lt;=$D$12),1,0)</f>
        <v/>
      </c>
      <c r="AI37" s="17">
        <f>IF(AND(32&gt;=$B$12,32&lt;=$D$12),1,0)</f>
        <v/>
      </c>
      <c r="AJ37" s="17">
        <f>IF(AND(33&gt;=$B$12,33&lt;=$D$12),1,0)</f>
        <v/>
      </c>
      <c r="AK37" s="17">
        <f>IF(AND(34&gt;=$B$12,34&lt;=$D$12),1,0)</f>
        <v/>
      </c>
      <c r="AL37" s="17">
        <f>IF(AND(35&gt;=$B$12,35&lt;=$D$12),1,0)</f>
        <v/>
      </c>
      <c r="AM37" s="17">
        <f>IF(AND(36&gt;=$B$12,36&lt;=$D$12),1,0)</f>
        <v/>
      </c>
      <c r="AN37" s="17">
        <f>IF(AND(37&gt;=$B$12,37&lt;=$D$12),1,0)</f>
        <v/>
      </c>
      <c r="AO37" s="17">
        <f>IF(AND(38&gt;=$B$12,38&lt;=$D$12),1,0)</f>
        <v/>
      </c>
      <c r="AP37" s="17">
        <f>IF(AND(39&gt;=$B$12,39&lt;=$D$12),1,0)</f>
        <v/>
      </c>
      <c r="AQ37" s="17">
        <f>IF(AND(40&gt;=$B$12,40&lt;=$D$12),1,0)</f>
        <v/>
      </c>
      <c r="AR37" s="17">
        <f>IF(AND(41&gt;=$B$12,41&lt;=$D$12),1,0)</f>
        <v/>
      </c>
      <c r="AS37" s="17">
        <f>IF(AND(42&gt;=$B$12,42&lt;=$D$12),1,0)</f>
        <v/>
      </c>
      <c r="AT37" s="17">
        <f>IF(AND(43&gt;=$B$12,43&lt;=$D$12),1,0)</f>
        <v/>
      </c>
      <c r="AU37" s="17">
        <f>IF(AND(44&gt;=$B$12,44&lt;=$D$12),1,0)</f>
        <v/>
      </c>
      <c r="AV37" s="17">
        <f>IF(AND(45&gt;=$B$12,45&lt;=$D$12),1,0)</f>
        <v/>
      </c>
      <c r="AW37" s="17">
        <f>IF(AND(46&gt;=$B$12,46&lt;=$D$12),1,0)</f>
        <v/>
      </c>
      <c r="AX37" s="17">
        <f>IF(AND(47&gt;=$B$12,47&lt;=$D$12),1,0)</f>
        <v/>
      </c>
      <c r="AY37" s="17">
        <f>IF(AND(48&gt;=$B$12,48&lt;=$D$12),1,0)</f>
        <v/>
      </c>
      <c r="AZ37" s="17">
        <f>IF(AND(49&gt;=$B$12,49&lt;=$D$12),1,0)</f>
        <v/>
      </c>
      <c r="BA37" s="17">
        <f>IF(AND(50&gt;=$B$12,50&lt;=$D$12),1,0)</f>
        <v/>
      </c>
      <c r="BB37" s="17">
        <f>IF(AND(51&gt;=$B$12,51&lt;=$D$12),1,0)</f>
        <v/>
      </c>
      <c r="BC37" s="17">
        <f>IF(AND(52&gt;=$B$12,52&lt;=$D$12),1,0)</f>
        <v/>
      </c>
      <c r="BD37" s="17">
        <f>IF(AND(53&gt;=$B$12,53&lt;=$D$12),1,0)</f>
        <v/>
      </c>
      <c r="BE37" s="17">
        <f>IF(AND(54&gt;=$B$12,54&lt;=$D$12),1,0)</f>
        <v/>
      </c>
      <c r="BF37" s="17">
        <f>IF(AND(55&gt;=$B$12,55&lt;=$D$12),1,0)</f>
        <v/>
      </c>
      <c r="BG37" s="17">
        <f>IF(AND(56&gt;=$B$12,56&lt;=$D$12),1,0)</f>
        <v/>
      </c>
      <c r="BH37" s="17">
        <f>IF(AND(57&gt;=$B$12,57&lt;=$D$12),1,0)</f>
        <v/>
      </c>
      <c r="BI37" s="17">
        <f>IF(AND(58&gt;=$B$12,58&lt;=$D$12),1,0)</f>
        <v/>
      </c>
      <c r="BJ37" s="17">
        <f>IF(AND(59&gt;=$B$12,59&lt;=$D$12),1,0)</f>
        <v/>
      </c>
      <c r="BK37" s="17">
        <f>IF(AND(60&gt;=$B$12,60&lt;=$D$12),1,0)</f>
        <v/>
      </c>
      <c r="BL37" s="17">
        <f>IF(AND(61&gt;=$B$12,61&lt;=$D$12),1,0)</f>
        <v/>
      </c>
      <c r="BM37" s="17">
        <f>IF(AND(62&gt;=$B$12,62&lt;=$D$12),1,0)</f>
        <v/>
      </c>
      <c r="BN37" s="17">
        <f>IF(AND(63&gt;=$B$12,63&lt;=$D$12),1,0)</f>
        <v/>
      </c>
      <c r="BO37" s="17">
        <f>IF(AND(64&gt;=$B$12,64&lt;=$D$12),1,0)</f>
        <v/>
      </c>
      <c r="BP37" s="17">
        <f>IF(AND(65&gt;=$B$12,65&lt;=$D$12),1,0)</f>
        <v/>
      </c>
      <c r="BQ37" s="17">
        <f>IF(AND(66&gt;=$B$12,66&lt;=$D$12),1,0)</f>
        <v/>
      </c>
      <c r="BR37" s="17">
        <f>IF(AND(67&gt;=$B$12,67&lt;=$D$12),1,0)</f>
        <v/>
      </c>
      <c r="BS37" s="17">
        <f>IF(AND(68&gt;=$B$12,68&lt;=$D$12),1,0)</f>
        <v/>
      </c>
      <c r="BT37" s="17">
        <f>IF(AND(69&gt;=$B$12,69&lt;=$D$12),1,0)</f>
        <v/>
      </c>
      <c r="BU37" s="17">
        <f>IF(AND(70&gt;=$B$12,70&lt;=$D$12),1,0)</f>
        <v/>
      </c>
      <c r="BV37" s="17">
        <f>IF(AND(71&gt;=$B$12,71&lt;=$D$12),1,0)</f>
        <v/>
      </c>
      <c r="BW37" s="17">
        <f>IF(AND(72&gt;=$B$12,72&lt;=$D$12),1,0)</f>
        <v/>
      </c>
      <c r="BX37" s="17">
        <f>IF(AND(73&gt;=$B$12,73&lt;=$D$12),1,0)</f>
        <v/>
      </c>
      <c r="BY37" s="17">
        <f>IF(AND(74&gt;=$B$12,74&lt;=$D$12),1,0)</f>
        <v/>
      </c>
      <c r="BZ37" s="17">
        <f>IF(AND(75&gt;=$B$12,75&lt;=$D$12),1,0)</f>
        <v/>
      </c>
      <c r="CA37" s="17">
        <f>IF(AND(76&gt;=$B$12,76&lt;=$D$12),1,0)</f>
        <v/>
      </c>
      <c r="CB37" s="17">
        <f>IF(AND(77&gt;=$B$12,77&lt;=$D$12),1,0)</f>
        <v/>
      </c>
      <c r="CC37" s="17">
        <f>IF(AND(78&gt;=$B$12,78&lt;=$D$12),1,0)</f>
        <v/>
      </c>
      <c r="CD37" s="17">
        <f>IF(AND(79&gt;=$B$12,79&lt;=$D$12),1,0)</f>
        <v/>
      </c>
      <c r="CE37" s="17">
        <f>IF(AND(80&gt;=$B$12,80&lt;=$D$12),1,0)</f>
        <v/>
      </c>
      <c r="CF37" s="17">
        <f>IF(AND(81&gt;=$B$12,81&lt;=$D$12),1,0)</f>
        <v/>
      </c>
      <c r="CG37" s="17">
        <f>IF(AND(82&gt;=$B$12,82&lt;=$D$12),1,0)</f>
        <v/>
      </c>
      <c r="CH37" s="17">
        <f>IF(AND(83&gt;=$B$12,83&lt;=$D$12),1,0)</f>
        <v/>
      </c>
      <c r="CI37" s="17">
        <f>IF(AND(84&gt;=$B$12,84&lt;=$D$12),1,0)</f>
        <v/>
      </c>
      <c r="CJ37" s="17">
        <f>IF(AND(85&gt;=$B$12,85&lt;=$D$12),1,0)</f>
        <v/>
      </c>
      <c r="CK37" s="17">
        <f>IF(AND(86&gt;=$B$12,86&lt;=$D$12),1,0)</f>
        <v/>
      </c>
      <c r="CL37" s="17">
        <f>IF(AND(87&gt;=$B$12,87&lt;=$D$12),1,0)</f>
        <v/>
      </c>
      <c r="CM37" s="17">
        <f>IF(AND(88&gt;=$B$12,88&lt;=$D$12),1,0)</f>
        <v/>
      </c>
      <c r="CN37" s="17">
        <f>IF(AND(89&gt;=$B$12,89&lt;=$D$12),1,0)</f>
        <v/>
      </c>
      <c r="CO37" s="17">
        <f>IF(AND(90&gt;=$B$12,90&lt;=$D$12),1,0)</f>
        <v/>
      </c>
      <c r="CP37" s="17">
        <f>IF(AND(91&gt;=$B$12,91&lt;=$D$12),1,0)</f>
        <v/>
      </c>
      <c r="CQ37" s="17">
        <f>IF(AND(92&gt;=$B$12,92&lt;=$D$12),1,0)</f>
        <v/>
      </c>
      <c r="CR37" s="17">
        <f>IF(AND(93&gt;=$B$12,93&lt;=$D$12),1,0)</f>
        <v/>
      </c>
      <c r="CS37" s="17">
        <f>IF(AND(94&gt;=$B$12,94&lt;=$D$12),1,0)</f>
        <v/>
      </c>
      <c r="CT37" s="17">
        <f>IF(AND(95&gt;=$B$12,95&lt;=$D$12),1,0)</f>
        <v/>
      </c>
      <c r="CU37" s="17">
        <f>IF(AND(96&gt;=$B$12,96&lt;=$D$12),1,0)</f>
        <v/>
      </c>
      <c r="CV37" s="17">
        <f>IF(AND(97&gt;=$B$12,97&lt;=$D$12),1,0)</f>
        <v/>
      </c>
      <c r="CW37" s="17">
        <f>IF(AND(98&gt;=$B$12,98&lt;=$D$12),1,0)</f>
        <v/>
      </c>
      <c r="CX37" s="17">
        <f>IF(AND(99&gt;=$B$12,99&lt;=$D$12),1,0)</f>
        <v/>
      </c>
      <c r="CY37" s="17">
        <f>IF(AND(100&gt;=$B$12,100&lt;=$D$12),1,0)</f>
        <v/>
      </c>
      <c r="CZ37" s="17">
        <f>IF(AND(101&gt;=$B$12,101&lt;=$D$12),1,0)</f>
        <v/>
      </c>
      <c r="DA37" s="17">
        <f>IF(AND(102&gt;=$B$12,102&lt;=$D$12),1,0)</f>
        <v/>
      </c>
      <c r="DB37" s="17">
        <f>IF(AND(103&gt;=$B$12,103&lt;=$D$12),1,0)</f>
        <v/>
      </c>
      <c r="DC37" s="17">
        <f>IF(AND(104&gt;=$B$12,104&lt;=$D$12),1,0)</f>
        <v/>
      </c>
      <c r="DD37" s="17">
        <f>IF(AND(105&gt;=$B$12,105&lt;=$D$12),1,0)</f>
        <v/>
      </c>
      <c r="DE37" s="17">
        <f>IF(AND(106&gt;=$B$12,106&lt;=$D$12),1,0)</f>
        <v/>
      </c>
      <c r="DF37" s="17">
        <f>IF(AND(107&gt;=$B$12,107&lt;=$D$12),1,0)</f>
        <v/>
      </c>
      <c r="DG37" s="17">
        <f>IF(AND(108&gt;=$B$12,108&lt;=$D$12),1,0)</f>
        <v/>
      </c>
      <c r="DH37" s="17">
        <f>IF(AND(109&gt;=$B$12,109&lt;=$D$12),1,0)</f>
        <v/>
      </c>
      <c r="DI37" s="17">
        <f>IF(AND(110&gt;=$B$12,110&lt;=$D$12),1,0)</f>
        <v/>
      </c>
      <c r="DJ37" s="17">
        <f>IF(AND(111&gt;=$B$12,111&lt;=$D$12),1,0)</f>
        <v/>
      </c>
      <c r="DK37" s="17">
        <f>IF(AND(112&gt;=$B$12,112&lt;=$D$12),1,0)</f>
        <v/>
      </c>
      <c r="DL37" s="17">
        <f>IF(AND(113&gt;=$B$12,113&lt;=$D$12),1,0)</f>
        <v/>
      </c>
      <c r="DM37" s="17">
        <f>IF(AND(114&gt;=$B$12,114&lt;=$D$12),1,0)</f>
        <v/>
      </c>
      <c r="DN37" s="17">
        <f>IF(AND(115&gt;=$B$12,115&lt;=$D$12),1,0)</f>
        <v/>
      </c>
      <c r="DO37" s="17">
        <f>IF(AND(116&gt;=$B$12,116&lt;=$D$12),1,0)</f>
        <v/>
      </c>
      <c r="DP37" s="17">
        <f>IF(AND(117&gt;=$B$12,117&lt;=$D$12),1,0)</f>
        <v/>
      </c>
      <c r="DQ37" s="17">
        <f>IF(AND(118&gt;=$B$12,118&lt;=$D$12),1,0)</f>
        <v/>
      </c>
      <c r="DR37" s="17">
        <f>IF(AND(119&gt;=$B$12,119&lt;=$D$12),1,0)</f>
        <v/>
      </c>
      <c r="DS37" s="17">
        <f>IF(AND(120&gt;=$B$12,120&lt;=$D$12),1,0)</f>
        <v/>
      </c>
      <c r="DT37" s="17">
        <f>IF(AND(121&gt;=$B$12,121&lt;=$D$12),1,0)</f>
        <v/>
      </c>
      <c r="DU37" s="17">
        <f>IF(AND(122&gt;=$B$12,122&lt;=$D$12),1,0)</f>
        <v/>
      </c>
      <c r="DV37" s="17">
        <f>IF(AND(123&gt;=$B$12,123&lt;=$D$12),1,0)</f>
        <v/>
      </c>
      <c r="DW37" s="17">
        <f>IF(AND(124&gt;=$B$12,124&lt;=$D$12),1,0)</f>
        <v/>
      </c>
      <c r="DX37" s="17">
        <f>IF(AND(125&gt;=$B$12,125&lt;=$D$12),1,0)</f>
        <v/>
      </c>
      <c r="DY37" s="17">
        <f>IF(AND(126&gt;=$B$12,126&lt;=$D$12),1,0)</f>
        <v/>
      </c>
      <c r="DZ37" s="17">
        <f>IF(AND(127&gt;=$B$12,127&lt;=$D$12),1,0)</f>
        <v/>
      </c>
      <c r="EA37" s="17">
        <f>IF(AND(128&gt;=$B$12,128&lt;=$D$12),1,0)</f>
        <v/>
      </c>
      <c r="EB37" s="17">
        <f>IF(AND(129&gt;=$B$12,129&lt;=$D$12),1,0)</f>
        <v/>
      </c>
      <c r="EC37" s="17">
        <f>IF(AND(130&gt;=$B$12,130&lt;=$D$12),1,0)</f>
        <v/>
      </c>
      <c r="ED37" s="17">
        <f>IF(AND(131&gt;=$B$12,131&lt;=$D$12),1,0)</f>
        <v/>
      </c>
      <c r="EE37" s="17">
        <f>IF(AND(132&gt;=$B$12,132&lt;=$D$12),1,0)</f>
        <v/>
      </c>
      <c r="EF37" s="17">
        <f>IF(AND(133&gt;=$B$12,133&lt;=$D$12),1,0)</f>
        <v/>
      </c>
      <c r="EG37" s="17">
        <f>IF(AND(134&gt;=$B$12,134&lt;=$D$12),1,0)</f>
        <v/>
      </c>
      <c r="EH37" s="17">
        <f>IF(AND(135&gt;=$B$12,135&lt;=$D$12),1,0)</f>
        <v/>
      </c>
      <c r="EI37" s="17">
        <f>IF(AND(136&gt;=$B$12,136&lt;=$D$12),1,0)</f>
        <v/>
      </c>
      <c r="EJ37" s="17">
        <f>IF(AND(137&gt;=$B$12,137&lt;=$D$12),1,0)</f>
        <v/>
      </c>
      <c r="EK37" s="17">
        <f>IF(AND(138&gt;=$B$12,138&lt;=$D$12),1,0)</f>
        <v/>
      </c>
      <c r="EL37" s="17">
        <f>IF(AND(139&gt;=$B$12,139&lt;=$D$12),1,0)</f>
        <v/>
      </c>
      <c r="EM37" s="17">
        <f>IF(AND(140&gt;=$B$12,140&lt;=$D$12),1,0)</f>
        <v/>
      </c>
      <c r="EN37" s="17">
        <f>IF(AND(141&gt;=$B$12,141&lt;=$D$12),1,0)</f>
        <v/>
      </c>
      <c r="EO37" s="17">
        <f>IF(AND(142&gt;=$B$12,142&lt;=$D$12),1,0)</f>
        <v/>
      </c>
      <c r="EP37" s="17">
        <f>IF(AND(143&gt;=$B$12,143&lt;=$D$12),1,0)</f>
        <v/>
      </c>
      <c r="EQ37" s="17">
        <f>IF(AND(144&gt;=$B$12,144&lt;=$D$12),1,0)</f>
        <v/>
      </c>
      <c r="ER37" s="17">
        <f>IF(AND(145&gt;=$B$12,145&lt;=$D$12),1,0)</f>
        <v/>
      </c>
      <c r="ES37" s="17">
        <f>IF(AND(146&gt;=$B$12,146&lt;=$D$12),1,0)</f>
        <v/>
      </c>
      <c r="ET37" s="17">
        <f>IF(AND(147&gt;=$B$12,147&lt;=$D$12),1,0)</f>
        <v/>
      </c>
      <c r="EU37" s="17">
        <f>IF(AND(148&gt;=$B$12,148&lt;=$D$12),1,0)</f>
        <v/>
      </c>
      <c r="EV37" s="17">
        <f>IF(AND(149&gt;=$B$12,149&lt;=$D$12),1,0)</f>
        <v/>
      </c>
      <c r="EW37" s="17">
        <f>IF(AND(150&gt;=$B$12,150&lt;=$D$12),1,0)</f>
        <v/>
      </c>
      <c r="EX37" s="17">
        <f>IF(AND(151&gt;=$B$12,151&lt;=$D$12),1,0)</f>
        <v/>
      </c>
      <c r="EY37" s="17">
        <f>IF(AND(152&gt;=$B$12,152&lt;=$D$12),1,0)</f>
        <v/>
      </c>
      <c r="EZ37" s="17">
        <f>IF(AND(153&gt;=$B$12,153&lt;=$D$12),1,0)</f>
        <v/>
      </c>
      <c r="FA37" s="17">
        <f>IF(AND(154&gt;=$B$12,154&lt;=$D$12),1,0)</f>
        <v/>
      </c>
      <c r="FB37" s="17">
        <f>IF(AND(155&gt;=$B$12,155&lt;=$D$12),1,0)</f>
        <v/>
      </c>
      <c r="FC37" s="17">
        <f>IF(AND(156&gt;=$B$12,156&lt;=$D$12),1,0)</f>
        <v/>
      </c>
      <c r="FD37" s="17">
        <f>IF(AND(157&gt;=$B$12,157&lt;=$D$12),1,0)</f>
        <v/>
      </c>
      <c r="FE37" s="17">
        <f>IF(AND(158&gt;=$B$12,158&lt;=$D$12),1,0)</f>
        <v/>
      </c>
      <c r="FF37" s="17">
        <f>IF(AND(159&gt;=$B$12,159&lt;=$D$12),1,0)</f>
        <v/>
      </c>
      <c r="FG37" s="17">
        <f>IF(AND(160&gt;=$B$12,160&lt;=$D$12),1,0)</f>
        <v/>
      </c>
      <c r="FH37" s="17">
        <f>IF(AND(161&gt;=$B$12,161&lt;=$D$12),1,0)</f>
        <v/>
      </c>
      <c r="FI37" s="17">
        <f>IF(AND(162&gt;=$B$12,162&lt;=$D$12),1,0)</f>
        <v/>
      </c>
      <c r="FJ37" s="17">
        <f>IF(AND(163&gt;=$B$12,163&lt;=$D$12),1,0)</f>
        <v/>
      </c>
      <c r="FK37" s="17">
        <f>IF(AND(164&gt;=$B$12,164&lt;=$D$12),1,0)</f>
        <v/>
      </c>
      <c r="FL37" s="17">
        <f>IF(AND(165&gt;=$B$12,165&lt;=$D$12),1,0)</f>
        <v/>
      </c>
      <c r="FM37" s="17">
        <f>IF(AND(166&gt;=$B$12,166&lt;=$D$12),1,0)</f>
        <v/>
      </c>
      <c r="FN37" s="17">
        <f>IF(AND(167&gt;=$B$12,167&lt;=$D$12),1,0)</f>
        <v/>
      </c>
      <c r="FO37" s="17">
        <f>IF(AND(168&gt;=$B$12,168&lt;=$D$12),1,0)</f>
        <v/>
      </c>
      <c r="FP37" s="17">
        <f>IF(AND(169&gt;=$B$12,169&lt;=$D$12),1,0)</f>
        <v/>
      </c>
      <c r="FQ37" s="17">
        <f>IF(AND(170&gt;=$B$12,170&lt;=$D$12),1,0)</f>
        <v/>
      </c>
      <c r="FR37" s="17">
        <f>IF(AND(171&gt;=$B$12,171&lt;=$D$12),1,0)</f>
        <v/>
      </c>
      <c r="FS37" s="17">
        <f>IF(AND(172&gt;=$B$12,172&lt;=$D$12),1,0)</f>
        <v/>
      </c>
      <c r="FT37" s="17">
        <f>IF(AND(173&gt;=$B$12,173&lt;=$D$12),1,0)</f>
        <v/>
      </c>
      <c r="FU37" s="17">
        <f>IF(AND(174&gt;=$B$12,174&lt;=$D$12),1,0)</f>
        <v/>
      </c>
      <c r="FV37" s="17">
        <f>IF(AND(175&gt;=$B$12,175&lt;=$D$12),1,0)</f>
        <v/>
      </c>
      <c r="FW37" s="17">
        <f>IF(AND(176&gt;=$B$12,176&lt;=$D$12),1,0)</f>
        <v/>
      </c>
      <c r="FX37" s="17">
        <f>IF(AND(177&gt;=$B$12,177&lt;=$D$12),1,0)</f>
        <v/>
      </c>
      <c r="FY37" s="17">
        <f>IF(AND(178&gt;=$B$12,178&lt;=$D$12),1,0)</f>
        <v/>
      </c>
      <c r="FZ37" s="17">
        <f>IF(AND(179&gt;=$B$12,179&lt;=$D$12),1,0)</f>
        <v/>
      </c>
      <c r="GA37" s="17">
        <f>IF(AND(180&gt;=$B$12,180&lt;=$D$12),1,0)</f>
        <v/>
      </c>
      <c r="GB37" s="17">
        <f>IF(AND(181&gt;=$B$12,181&lt;=$D$12),1,0)</f>
        <v/>
      </c>
      <c r="GC37" s="17">
        <f>IF(AND(182&gt;=$B$12,182&lt;=$D$12),1,0)</f>
        <v/>
      </c>
      <c r="GD37" s="17">
        <f>IF(AND(183&gt;=$B$12,183&lt;=$D$12),1,0)</f>
        <v/>
      </c>
      <c r="GE37" s="17">
        <f>IF(AND(184&gt;=$B$12,184&lt;=$D$12),1,0)</f>
        <v/>
      </c>
      <c r="GF37" s="17">
        <f>IF(AND(185&gt;=$B$12,185&lt;=$D$12),1,0)</f>
        <v/>
      </c>
      <c r="GG37" s="17">
        <f>IF(AND(186&gt;=$B$12,186&lt;=$D$12),1,0)</f>
        <v/>
      </c>
      <c r="GH37" s="17">
        <f>IF(AND(187&gt;=$B$12,187&lt;=$D$12),1,0)</f>
        <v/>
      </c>
      <c r="GI37" s="17">
        <f>IF(AND(188&gt;=$B$12,188&lt;=$D$12),1,0)</f>
        <v/>
      </c>
      <c r="GJ37" s="17">
        <f>IF(AND(189&gt;=$B$12,189&lt;=$D$12),1,0)</f>
        <v/>
      </c>
      <c r="GK37" s="17">
        <f>IF(AND(190&gt;=$B$12,190&lt;=$D$12),1,0)</f>
        <v/>
      </c>
      <c r="GL37" s="17">
        <f>IF(AND(191&gt;=$B$12,191&lt;=$D$12),1,0)</f>
        <v/>
      </c>
      <c r="GM37" s="17">
        <f>IF(AND(192&gt;=$B$12,192&lt;=$D$12),1,0)</f>
        <v/>
      </c>
      <c r="GN37" s="17">
        <f>IF(AND(193&gt;=$B$12,193&lt;=$D$12),1,0)</f>
        <v/>
      </c>
      <c r="GO37" s="17">
        <f>IF(AND(194&gt;=$B$12,194&lt;=$D$12),1,0)</f>
        <v/>
      </c>
      <c r="GP37" s="17">
        <f>IF(AND(195&gt;=$B$12,195&lt;=$D$12),1,0)</f>
        <v/>
      </c>
      <c r="GQ37" s="17">
        <f>IF(AND(196&gt;=$B$12,196&lt;=$D$12),1,0)</f>
        <v/>
      </c>
      <c r="GR37" s="17">
        <f>IF(AND(197&gt;=$B$12,197&lt;=$D$12),1,0)</f>
        <v/>
      </c>
      <c r="GS37" s="17">
        <f>IF(AND(198&gt;=$B$12,198&lt;=$D$12),1,0)</f>
        <v/>
      </c>
      <c r="GT37" s="17">
        <f>IF(AND(199&gt;=$B$12,199&lt;=$D$12),1,0)</f>
        <v/>
      </c>
      <c r="GU37" s="17">
        <f>IF(AND(200&gt;=$B$12,200&lt;=$D$12),1,0)</f>
        <v/>
      </c>
      <c r="GV37" s="17">
        <f>IF(AND(201&gt;=$B$12,201&lt;=$D$12),1,0)</f>
        <v/>
      </c>
      <c r="GW37" s="17">
        <f>IF(AND(202&gt;=$B$12,202&lt;=$D$12),1,0)</f>
        <v/>
      </c>
      <c r="GX37" s="17">
        <f>IF(AND(203&gt;=$B$12,203&lt;=$D$12),1,0)</f>
        <v/>
      </c>
      <c r="GY37" s="17">
        <f>IF(AND(204&gt;=$B$12,204&lt;=$D$12),1,0)</f>
        <v/>
      </c>
      <c r="GZ37" s="17">
        <f>IF(AND(205&gt;=$B$12,205&lt;=$D$12),1,0)</f>
        <v/>
      </c>
      <c r="HA37" s="17">
        <f>IF(AND(206&gt;=$B$12,206&lt;=$D$12),1,0)</f>
        <v/>
      </c>
      <c r="HB37" s="17">
        <f>IF(AND(207&gt;=$B$12,207&lt;=$D$12),1,0)</f>
        <v/>
      </c>
      <c r="HC37" s="17">
        <f>IF(AND(208&gt;=$B$12,208&lt;=$D$12),1,0)</f>
        <v/>
      </c>
      <c r="HD37" s="17">
        <f>IF(AND(209&gt;=$B$12,209&lt;=$D$12),1,0)</f>
        <v/>
      </c>
      <c r="HE37" s="17">
        <f>IF(AND(210&gt;=$B$12,210&lt;=$D$12),1,0)</f>
        <v/>
      </c>
      <c r="HF37" s="17">
        <f>IF(AND(211&gt;=$B$12,211&lt;=$D$12),1,0)</f>
        <v/>
      </c>
      <c r="HG37" s="17">
        <f>IF(AND(212&gt;=$B$12,212&lt;=$D$12),1,0)</f>
        <v/>
      </c>
      <c r="HH37" s="17">
        <f>IF(AND(213&gt;=$B$12,213&lt;=$D$12),1,0)</f>
        <v/>
      </c>
      <c r="HI37" s="17">
        <f>IF(AND(214&gt;=$B$12,214&lt;=$D$12),1,0)</f>
        <v/>
      </c>
      <c r="HJ37" s="17">
        <f>IF(AND(215&gt;=$B$12,215&lt;=$D$12),1,0)</f>
        <v/>
      </c>
      <c r="HK37" s="17">
        <f>IF(AND(216&gt;=$B$12,216&lt;=$D$12),1,0)</f>
        <v/>
      </c>
      <c r="HL37" s="17">
        <f>IF(AND(217&gt;=$B$12,217&lt;=$D$12),1,0)</f>
        <v/>
      </c>
      <c r="HM37" s="17">
        <f>IF(AND(218&gt;=$B$12,218&lt;=$D$12),1,0)</f>
        <v/>
      </c>
      <c r="HN37" s="17">
        <f>IF(AND(219&gt;=$B$12,219&lt;=$D$12),1,0)</f>
        <v/>
      </c>
      <c r="HO37" s="17">
        <f>IF(AND(220&gt;=$B$12,220&lt;=$D$12),1,0)</f>
        <v/>
      </c>
      <c r="HP37" s="17">
        <f>IF(AND(221&gt;=$B$12,221&lt;=$D$12),1,0)</f>
        <v/>
      </c>
      <c r="HQ37" s="17">
        <f>IF(AND(222&gt;=$B$12,222&lt;=$D$12),1,0)</f>
        <v/>
      </c>
      <c r="HR37" s="17">
        <f>IF(AND(223&gt;=$B$12,223&lt;=$D$12),1,0)</f>
        <v/>
      </c>
      <c r="HS37" s="17">
        <f>IF(AND(224&gt;=$B$12,224&lt;=$D$12),1,0)</f>
        <v/>
      </c>
      <c r="HT37" s="17">
        <f>IF(AND(225&gt;=$B$12,225&lt;=$D$12),1,0)</f>
        <v/>
      </c>
      <c r="HU37" s="17">
        <f>IF(AND(226&gt;=$B$12,226&lt;=$D$12),1,0)</f>
        <v/>
      </c>
      <c r="HV37" s="17">
        <f>IF(AND(227&gt;=$B$12,227&lt;=$D$12),1,0)</f>
        <v/>
      </c>
      <c r="HW37" s="17">
        <f>IF(AND(228&gt;=$B$12,228&lt;=$D$12),1,0)</f>
        <v/>
      </c>
      <c r="HX37" s="17">
        <f>IF(AND(229&gt;=$B$12,229&lt;=$D$12),1,0)</f>
        <v/>
      </c>
      <c r="HY37" s="17">
        <f>IF(AND(230&gt;=$B$12,230&lt;=$D$12),1,0)</f>
        <v/>
      </c>
      <c r="HZ37" s="17">
        <f>IF(AND(231&gt;=$B$12,231&lt;=$D$12),1,0)</f>
        <v/>
      </c>
      <c r="IA37" s="17">
        <f>IF(AND(232&gt;=$B$12,232&lt;=$D$12),1,0)</f>
        <v/>
      </c>
      <c r="IB37" s="17">
        <f>IF(AND(233&gt;=$B$12,233&lt;=$D$12),1,0)</f>
        <v/>
      </c>
      <c r="IC37" s="17">
        <f>IF(AND(234&gt;=$B$12,234&lt;=$D$12),1,0)</f>
        <v/>
      </c>
      <c r="ID37" s="17">
        <f>IF(AND(235&gt;=$B$12,235&lt;=$D$12),1,0)</f>
        <v/>
      </c>
      <c r="IE37" s="17">
        <f>IF(AND(236&gt;=$B$12,236&lt;=$D$12),1,0)</f>
        <v/>
      </c>
      <c r="IF37" s="17">
        <f>IF(AND(237&gt;=$B$12,237&lt;=$D$12),1,0)</f>
        <v/>
      </c>
      <c r="IG37" s="17">
        <f>IF(AND(238&gt;=$B$12,238&lt;=$D$12),1,0)</f>
        <v/>
      </c>
      <c r="IH37" s="17">
        <f>IF(AND(239&gt;=$B$12,239&lt;=$D$12),1,0)</f>
        <v/>
      </c>
      <c r="II37" s="17">
        <f>IF(AND(240&gt;=$B$12,240&lt;=$D$12),1,0)</f>
        <v/>
      </c>
      <c r="IJ37" s="17">
        <f>IF(AND(241&gt;=$B$12,241&lt;=$D$12),1,0)</f>
        <v/>
      </c>
      <c r="IK37" s="17">
        <f>IF(AND(242&gt;=$B$12,242&lt;=$D$12),1,0)</f>
        <v/>
      </c>
      <c r="IL37" s="17">
        <f>IF(AND(243&gt;=$B$12,243&lt;=$D$12),1,0)</f>
        <v/>
      </c>
      <c r="IM37" s="17">
        <f>IF(AND(244&gt;=$B$12,244&lt;=$D$12),1,0)</f>
        <v/>
      </c>
      <c r="IN37" s="17">
        <f>IF(AND(245&gt;=$B$12,245&lt;=$D$12),1,0)</f>
        <v/>
      </c>
      <c r="IO37" s="17">
        <f>IF(AND(246&gt;=$B$12,246&lt;=$D$12),1,0)</f>
        <v/>
      </c>
      <c r="IP37" s="17">
        <f>IF(AND(247&gt;=$B$12,247&lt;=$D$12),1,0)</f>
        <v/>
      </c>
      <c r="IQ37" s="17">
        <f>IF(AND(248&gt;=$B$12,248&lt;=$D$12),1,0)</f>
        <v/>
      </c>
      <c r="IR37" s="17">
        <f>IF(AND(249&gt;=$B$12,249&lt;=$D$12),1,0)</f>
        <v/>
      </c>
      <c r="IS37" s="17">
        <f>IF(AND(250&gt;=$B$12,250&lt;=$D$12),1,0)</f>
        <v/>
      </c>
      <c r="IT37" s="17">
        <f>IF(AND(251&gt;=$B$12,251&lt;=$D$12),1,0)</f>
        <v/>
      </c>
      <c r="IU37" s="17">
        <f>IF(AND(252&gt;=$B$12,252&lt;=$D$12),1,0)</f>
        <v/>
      </c>
      <c r="IV37" s="17">
        <f>IF(AND(253&gt;=$B$12,253&lt;=$D$12),1,0)</f>
        <v/>
      </c>
      <c r="IW37" s="17">
        <f>IF(AND(254&gt;=$B$12,254&lt;=$D$12),1,0)</f>
        <v/>
      </c>
      <c r="IX37" s="17">
        <f>IF(AND(255&gt;=$B$12,255&lt;=$D$12),1,0)</f>
        <v/>
      </c>
      <c r="IY37" s="17">
        <f>IF(AND(256&gt;=$B$12,256&lt;=$D$12),1,0)</f>
        <v/>
      </c>
      <c r="IZ37" s="17">
        <f>IF(AND(257&gt;=$B$12,257&lt;=$D$12),1,0)</f>
        <v/>
      </c>
      <c r="JA37" s="17">
        <f>IF(AND(258&gt;=$B$12,258&lt;=$D$12),1,0)</f>
        <v/>
      </c>
      <c r="JB37" s="17">
        <f>IF(AND(259&gt;=$B$12,259&lt;=$D$12),1,0)</f>
        <v/>
      </c>
      <c r="JC37" s="17">
        <f>IF(AND(260&gt;=$B$12,260&lt;=$D$12),1,0)</f>
        <v/>
      </c>
      <c r="JD37" s="17">
        <f>IF(AND(261&gt;=$B$12,261&lt;=$D$12),1,0)</f>
        <v/>
      </c>
      <c r="JE37" s="17">
        <f>IF(AND(262&gt;=$B$12,262&lt;=$D$12),1,0)</f>
        <v/>
      </c>
      <c r="JF37" s="17">
        <f>IF(AND(263&gt;=$B$12,263&lt;=$D$12),1,0)</f>
        <v/>
      </c>
      <c r="JG37" s="17">
        <f>IF(AND(264&gt;=$B$12,264&lt;=$D$12),1,0)</f>
        <v/>
      </c>
      <c r="JH37" s="17">
        <f>IF(AND(265&gt;=$B$12,265&lt;=$D$12),1,0)</f>
        <v/>
      </c>
      <c r="JI37" s="17">
        <f>IF(AND(266&gt;=$B$12,266&lt;=$D$12),1,0)</f>
        <v/>
      </c>
      <c r="JJ37" s="17">
        <f>IF(AND(267&gt;=$B$12,267&lt;=$D$12),1,0)</f>
        <v/>
      </c>
      <c r="JK37" s="17">
        <f>IF(AND(268&gt;=$B$12,268&lt;=$D$12),1,0)</f>
        <v/>
      </c>
      <c r="JL37" s="17">
        <f>IF(AND(269&gt;=$B$12,269&lt;=$D$12),1,0)</f>
        <v/>
      </c>
      <c r="JM37" s="17">
        <f>IF(AND(270&gt;=$B$12,270&lt;=$D$12),1,0)</f>
        <v/>
      </c>
      <c r="JN37" s="17">
        <f>IF(AND(271&gt;=$B$12,271&lt;=$D$12),1,0)</f>
        <v/>
      </c>
      <c r="JO37" s="17">
        <f>IF(AND(272&gt;=$B$12,272&lt;=$D$12),1,0)</f>
        <v/>
      </c>
      <c r="JP37" s="17">
        <f>IF(AND(273&gt;=$B$12,273&lt;=$D$12),1,0)</f>
        <v/>
      </c>
      <c r="JQ37" s="17">
        <f>IF(AND(274&gt;=$B$12,274&lt;=$D$12),1,0)</f>
        <v/>
      </c>
      <c r="JR37" s="17">
        <f>IF(AND(275&gt;=$B$12,275&lt;=$D$12),1,0)</f>
        <v/>
      </c>
      <c r="JS37" s="17">
        <f>IF(AND(276&gt;=$B$12,276&lt;=$D$12),1,0)</f>
        <v/>
      </c>
      <c r="JT37" s="17">
        <f>IF(AND(277&gt;=$B$12,277&lt;=$D$12),1,0)</f>
        <v/>
      </c>
      <c r="JU37" s="17">
        <f>IF(AND(278&gt;=$B$12,278&lt;=$D$12),1,0)</f>
        <v/>
      </c>
      <c r="JV37" s="17">
        <f>IF(AND(279&gt;=$B$12,279&lt;=$D$12),1,0)</f>
        <v/>
      </c>
      <c r="JW37" s="17">
        <f>IF(AND(280&gt;=$B$12,280&lt;=$D$12),1,0)</f>
        <v/>
      </c>
      <c r="JX37" s="17">
        <f>IF(AND(281&gt;=$B$12,281&lt;=$D$12),1,0)</f>
        <v/>
      </c>
      <c r="JY37" s="17">
        <f>IF(AND(282&gt;=$B$12,282&lt;=$D$12),1,0)</f>
        <v/>
      </c>
      <c r="JZ37" s="17">
        <f>IF(AND(283&gt;=$B$12,283&lt;=$D$12),1,0)</f>
        <v/>
      </c>
      <c r="KA37" s="17">
        <f>IF(AND(284&gt;=$B$12,284&lt;=$D$12),1,0)</f>
        <v/>
      </c>
      <c r="KB37" s="17">
        <f>IF(AND(285&gt;=$B$12,285&lt;=$D$12),1,0)</f>
        <v/>
      </c>
      <c r="KC37" s="17">
        <f>IF(AND(286&gt;=$B$12,286&lt;=$D$12),1,0)</f>
        <v/>
      </c>
      <c r="KD37" s="17">
        <f>IF(AND(287&gt;=$B$12,287&lt;=$D$12),1,0)</f>
        <v/>
      </c>
      <c r="KE37" s="17">
        <f>IF(AND(288&gt;=$B$12,288&lt;=$D$12),1,0)</f>
        <v/>
      </c>
      <c r="KF37" s="17">
        <f>IF(AND(289&gt;=$B$12,289&lt;=$D$12),1,0)</f>
        <v/>
      </c>
      <c r="KG37" s="17">
        <f>IF(AND(290&gt;=$B$12,290&lt;=$D$12),1,0)</f>
        <v/>
      </c>
      <c r="KH37" s="17">
        <f>IF(AND(291&gt;=$B$12,291&lt;=$D$12),1,0)</f>
        <v/>
      </c>
      <c r="KI37" s="17">
        <f>IF(AND(292&gt;=$B$12,292&lt;=$D$12),1,0)</f>
        <v/>
      </c>
      <c r="KJ37" s="17">
        <f>IF(AND(293&gt;=$B$12,293&lt;=$D$12),1,0)</f>
        <v/>
      </c>
      <c r="KK37" s="17">
        <f>IF(AND(294&gt;=$B$12,294&lt;=$D$12),1,0)</f>
        <v/>
      </c>
      <c r="KL37" s="17">
        <f>IF(AND(295&gt;=$B$12,295&lt;=$D$12),1,0)</f>
        <v/>
      </c>
      <c r="KM37" s="17">
        <f>IF(AND(296&gt;=$B$12,296&lt;=$D$12),1,0)</f>
        <v/>
      </c>
      <c r="KN37" s="17">
        <f>IF(AND(297&gt;=$B$12,297&lt;=$D$12),1,0)</f>
        <v/>
      </c>
      <c r="KO37" s="17">
        <f>IF(AND(298&gt;=$B$12,298&lt;=$D$12),1,0)</f>
        <v/>
      </c>
      <c r="KP37" s="17">
        <f>IF(AND(299&gt;=$B$12,299&lt;=$D$12),1,0)</f>
        <v/>
      </c>
      <c r="KQ37" s="17">
        <f>IF(AND(300&gt;=$B$12,300&lt;=$D$12),1,0)</f>
        <v/>
      </c>
      <c r="KR37" s="17">
        <f>IF(AND(301&gt;=$B$12,301&lt;=$D$12),1,0)</f>
        <v/>
      </c>
      <c r="KS37" s="17">
        <f>IF(AND(302&gt;=$B$12,302&lt;=$D$12),1,0)</f>
        <v/>
      </c>
      <c r="KT37" s="17">
        <f>IF(AND(303&gt;=$B$12,303&lt;=$D$12),1,0)</f>
        <v/>
      </c>
      <c r="KU37" s="17">
        <f>IF(AND(304&gt;=$B$12,304&lt;=$D$12),1,0)</f>
        <v/>
      </c>
      <c r="KV37" s="17">
        <f>IF(AND(305&gt;=$B$12,305&lt;=$D$12),1,0)</f>
        <v/>
      </c>
      <c r="KW37" s="17">
        <f>IF(AND(306&gt;=$B$12,306&lt;=$D$12),1,0)</f>
        <v/>
      </c>
      <c r="KX37" s="17">
        <f>IF(AND(307&gt;=$B$12,307&lt;=$D$12),1,0)</f>
        <v/>
      </c>
      <c r="KY37" s="17">
        <f>IF(AND(308&gt;=$B$12,308&lt;=$D$12),1,0)</f>
        <v/>
      </c>
      <c r="KZ37" s="17">
        <f>IF(AND(309&gt;=$B$12,309&lt;=$D$12),1,0)</f>
        <v/>
      </c>
      <c r="LA37" s="17">
        <f>IF(AND(310&gt;=$B$12,310&lt;=$D$12),1,0)</f>
        <v/>
      </c>
      <c r="LB37" s="17">
        <f>IF(AND(311&gt;=$B$12,311&lt;=$D$12),1,0)</f>
        <v/>
      </c>
      <c r="LC37" s="17">
        <f>IF(AND(312&gt;=$B$12,312&lt;=$D$12),1,0)</f>
        <v/>
      </c>
      <c r="LD37" s="17">
        <f>IF(AND(313&gt;=$B$12,313&lt;=$D$12),1,0)</f>
        <v/>
      </c>
      <c r="LE37" s="17">
        <f>IF(AND(314&gt;=$B$12,314&lt;=$D$12),1,0)</f>
        <v/>
      </c>
      <c r="LF37" s="17">
        <f>IF(AND(315&gt;=$B$12,315&lt;=$D$12),1,0)</f>
        <v/>
      </c>
      <c r="LG37" s="17">
        <f>IF(AND(316&gt;=$B$12,316&lt;=$D$12),1,0)</f>
        <v/>
      </c>
      <c r="LH37" s="17">
        <f>IF(AND(317&gt;=$B$12,317&lt;=$D$12),1,0)</f>
        <v/>
      </c>
      <c r="LI37" s="17">
        <f>IF(AND(318&gt;=$B$12,318&lt;=$D$12),1,0)</f>
        <v/>
      </c>
      <c r="LJ37" s="17">
        <f>IF(AND(319&gt;=$B$12,319&lt;=$D$12),1,0)</f>
        <v/>
      </c>
      <c r="LK37" s="17">
        <f>IF(AND(320&gt;=$B$12,320&lt;=$D$12),1,0)</f>
        <v/>
      </c>
      <c r="LL37" s="17">
        <f>IF(AND(321&gt;=$B$12,321&lt;=$D$12),1,0)</f>
        <v/>
      </c>
      <c r="LM37" s="17">
        <f>IF(AND(322&gt;=$B$12,322&lt;=$D$12),1,0)</f>
        <v/>
      </c>
      <c r="LN37" s="17">
        <f>IF(AND(323&gt;=$B$12,323&lt;=$D$12),1,0)</f>
        <v/>
      </c>
      <c r="LO37" s="17">
        <f>IF(AND(324&gt;=$B$12,324&lt;=$D$12),1,0)</f>
        <v/>
      </c>
      <c r="LP37" s="17">
        <f>IF(AND(325&gt;=$B$12,325&lt;=$D$12),1,0)</f>
        <v/>
      </c>
      <c r="LQ37" s="17">
        <f>IF(AND(326&gt;=$B$12,326&lt;=$D$12),1,0)</f>
        <v/>
      </c>
      <c r="LR37" s="17">
        <f>IF(AND(327&gt;=$B$12,327&lt;=$D$12),1,0)</f>
        <v/>
      </c>
      <c r="LS37" s="17">
        <f>IF(AND(328&gt;=$B$12,328&lt;=$D$12),1,0)</f>
        <v/>
      </c>
      <c r="LT37" s="17">
        <f>IF(AND(329&gt;=$B$12,329&lt;=$D$12),1,0)</f>
        <v/>
      </c>
      <c r="LU37" s="17">
        <f>IF(AND(330&gt;=$B$12,330&lt;=$D$12),1,0)</f>
        <v/>
      </c>
      <c r="LV37" s="17">
        <f>IF(AND(331&gt;=$B$12,331&lt;=$D$12),1,0)</f>
        <v/>
      </c>
      <c r="LW37" s="17">
        <f>IF(AND(332&gt;=$B$12,332&lt;=$D$12),1,0)</f>
        <v/>
      </c>
      <c r="LX37" s="17">
        <f>IF(AND(333&gt;=$B$12,333&lt;=$D$12),1,0)</f>
        <v/>
      </c>
      <c r="LY37" s="17">
        <f>IF(AND(334&gt;=$B$12,334&lt;=$D$12),1,0)</f>
        <v/>
      </c>
      <c r="LZ37" s="17">
        <f>IF(AND(335&gt;=$B$12,335&lt;=$D$12),1,0)</f>
        <v/>
      </c>
      <c r="MA37" s="17">
        <f>IF(AND(336&gt;=$B$12,336&lt;=$D$12),1,0)</f>
        <v/>
      </c>
      <c r="MB37" s="17">
        <f>IF(AND(337&gt;=$B$12,337&lt;=$D$12),1,0)</f>
        <v/>
      </c>
      <c r="MC37" s="17">
        <f>IF(AND(338&gt;=$B$12,338&lt;=$D$12),1,0)</f>
        <v/>
      </c>
      <c r="MD37" s="17">
        <f>IF(AND(339&gt;=$B$12,339&lt;=$D$12),1,0)</f>
        <v/>
      </c>
      <c r="ME37" s="17">
        <f>IF(AND(340&gt;=$B$12,340&lt;=$D$12),1,0)</f>
        <v/>
      </c>
      <c r="MF37" s="17">
        <f>IF(AND(341&gt;=$B$12,341&lt;=$D$12),1,0)</f>
        <v/>
      </c>
      <c r="MG37" s="17">
        <f>IF(AND(342&gt;=$B$12,342&lt;=$D$12),1,0)</f>
        <v/>
      </c>
      <c r="MH37" s="17">
        <f>IF(AND(343&gt;=$B$12,343&lt;=$D$12),1,0)</f>
        <v/>
      </c>
      <c r="MI37" s="17">
        <f>IF(AND(344&gt;=$B$12,344&lt;=$D$12),1,0)</f>
        <v/>
      </c>
      <c r="MJ37" s="17">
        <f>IF(AND(345&gt;=$B$12,345&lt;=$D$12),1,0)</f>
        <v/>
      </c>
      <c r="MK37" s="17">
        <f>IF(AND(346&gt;=$B$12,346&lt;=$D$12),1,0)</f>
        <v/>
      </c>
      <c r="ML37" s="17">
        <f>IF(AND(347&gt;=$B$12,347&lt;=$D$12),1,0)</f>
        <v/>
      </c>
      <c r="MM37" s="17">
        <f>IF(AND(348&gt;=$B$12,348&lt;=$D$12),1,0)</f>
        <v/>
      </c>
      <c r="MN37" s="17">
        <f>IF(AND(349&gt;=$B$12,349&lt;=$D$12),1,0)</f>
        <v/>
      </c>
      <c r="MO37" s="17">
        <f>IF(AND(350&gt;=$B$12,350&lt;=$D$12),1,0)</f>
        <v/>
      </c>
      <c r="MP37" s="17">
        <f>IF(AND(351&gt;=$B$12,351&lt;=$D$12),1,0)</f>
        <v/>
      </c>
      <c r="MQ37" s="17">
        <f>IF(AND(352&gt;=$B$12,352&lt;=$D$12),1,0)</f>
        <v/>
      </c>
      <c r="MR37" s="17">
        <f>IF(AND(353&gt;=$B$12,353&lt;=$D$12),1,0)</f>
        <v/>
      </c>
      <c r="MS37" s="17">
        <f>IF(AND(354&gt;=$B$12,354&lt;=$D$12),1,0)</f>
        <v/>
      </c>
      <c r="MT37" s="17">
        <f>IF(AND(355&gt;=$B$12,355&lt;=$D$12),1,0)</f>
        <v/>
      </c>
      <c r="MU37" s="17">
        <f>IF(AND(356&gt;=$B$12,356&lt;=$D$12),1,0)</f>
        <v/>
      </c>
      <c r="MV37" s="17">
        <f>IF(AND(357&gt;=$B$12,357&lt;=$D$12),1,0)</f>
        <v/>
      </c>
      <c r="MW37" s="17">
        <f>IF(AND(358&gt;=$B$12,358&lt;=$D$12),1,0)</f>
        <v/>
      </c>
      <c r="MX37" s="17">
        <f>IF(AND(359&gt;=$B$12,359&lt;=$D$12),1,0)</f>
        <v/>
      </c>
      <c r="MY37" s="17">
        <f>IF(AND(360&gt;=$B$12,360&lt;=$D$12),1,0)</f>
        <v/>
      </c>
      <c r="MZ37" s="17">
        <f>IF(AND(361&gt;=$B$12,361&lt;=$D$12),1,0)</f>
        <v/>
      </c>
      <c r="NA37" s="17">
        <f>IF(AND(362&gt;=$B$12,362&lt;=$D$12),1,0)</f>
        <v/>
      </c>
      <c r="NB37" s="17">
        <f>IF(AND(363&gt;=$B$12,363&lt;=$D$12),1,0)</f>
        <v/>
      </c>
      <c r="NC37" s="17">
        <f>IF(AND(364&gt;=$B$12,364&lt;=$D$12),1,0)</f>
        <v/>
      </c>
      <c r="ND37" s="17">
        <f>IF(AND(365&gt;=$B$12,365&lt;=$D$12),1,0)</f>
        <v/>
      </c>
      <c r="NE37" s="17">
        <f>IF(AND(366&gt;=$B$12,366&lt;=$D$12),1,0)</f>
        <v/>
      </c>
      <c r="NF37" s="17">
        <f>IF(AND(367&gt;=$B$12,367&lt;=$D$12),1,0)</f>
        <v/>
      </c>
      <c r="NG37" s="17">
        <f>IF(AND(368&gt;=$B$12,368&lt;=$D$12),1,0)</f>
        <v/>
      </c>
      <c r="NH37" s="17">
        <f>IF(AND(369&gt;=$B$12,369&lt;=$D$12),1,0)</f>
        <v/>
      </c>
      <c r="NI37" s="17">
        <f>IF(AND(370&gt;=$B$12,370&lt;=$D$12),1,0)</f>
        <v/>
      </c>
      <c r="NJ37" s="17">
        <f>IF(AND(371&gt;=$B$12,371&lt;=$D$12),1,0)</f>
        <v/>
      </c>
      <c r="NK37" s="17">
        <f>IF(AND(372&gt;=$B$12,372&lt;=$D$12),1,0)</f>
        <v/>
      </c>
    </row>
    <row r="38">
      <c r="A38" s="5" t="inlineStr">
        <is>
          <t>Flag: Recapitalization/Refinance</t>
        </is>
      </c>
      <c r="C38" s="40" t="n"/>
      <c r="D38" s="17">
        <f>IF(AND(1&gt;=$B$13,1&lt;=$D$13),1,0)</f>
        <v/>
      </c>
      <c r="E38" s="17">
        <f>IF(AND(2&gt;=$B$13,2&lt;=$D$13),1,0)</f>
        <v/>
      </c>
      <c r="F38" s="17">
        <f>IF(AND(3&gt;=$B$13,3&lt;=$D$13),1,0)</f>
        <v/>
      </c>
      <c r="G38" s="17">
        <f>IF(AND(4&gt;=$B$13,4&lt;=$D$13),1,0)</f>
        <v/>
      </c>
      <c r="H38" s="17">
        <f>IF(AND(5&gt;=$B$13,5&lt;=$D$13),1,0)</f>
        <v/>
      </c>
      <c r="I38" s="17">
        <f>IF(AND(6&gt;=$B$13,6&lt;=$D$13),1,0)</f>
        <v/>
      </c>
      <c r="J38" s="17">
        <f>IF(AND(7&gt;=$B$13,7&lt;=$D$13),1,0)</f>
        <v/>
      </c>
      <c r="K38" s="17">
        <f>IF(AND(8&gt;=$B$13,8&lt;=$D$13),1,0)</f>
        <v/>
      </c>
      <c r="L38" s="17">
        <f>IF(AND(9&gt;=$B$13,9&lt;=$D$13),1,0)</f>
        <v/>
      </c>
      <c r="M38" s="17">
        <f>IF(AND(10&gt;=$B$13,10&lt;=$D$13),1,0)</f>
        <v/>
      </c>
      <c r="N38" s="17">
        <f>IF(AND(11&gt;=$B$13,11&lt;=$D$13),1,0)</f>
        <v/>
      </c>
      <c r="O38" s="17">
        <f>IF(AND(12&gt;=$B$13,12&lt;=$D$13),1,0)</f>
        <v/>
      </c>
      <c r="P38" s="17">
        <f>IF(AND(13&gt;=$B$13,13&lt;=$D$13),1,0)</f>
        <v/>
      </c>
      <c r="Q38" s="17">
        <f>IF(AND(14&gt;=$B$13,14&lt;=$D$13),1,0)</f>
        <v/>
      </c>
      <c r="R38" s="17">
        <f>IF(AND(15&gt;=$B$13,15&lt;=$D$13),1,0)</f>
        <v/>
      </c>
      <c r="S38" s="17">
        <f>IF(AND(16&gt;=$B$13,16&lt;=$D$13),1,0)</f>
        <v/>
      </c>
      <c r="T38" s="17">
        <f>IF(AND(17&gt;=$B$13,17&lt;=$D$13),1,0)</f>
        <v/>
      </c>
      <c r="U38" s="17">
        <f>IF(AND(18&gt;=$B$13,18&lt;=$D$13),1,0)</f>
        <v/>
      </c>
      <c r="V38" s="17">
        <f>IF(AND(19&gt;=$B$13,19&lt;=$D$13),1,0)</f>
        <v/>
      </c>
      <c r="W38" s="17">
        <f>IF(AND(20&gt;=$B$13,20&lt;=$D$13),1,0)</f>
        <v/>
      </c>
      <c r="X38" s="17">
        <f>IF(AND(21&gt;=$B$13,21&lt;=$D$13),1,0)</f>
        <v/>
      </c>
      <c r="Y38" s="17">
        <f>IF(AND(22&gt;=$B$13,22&lt;=$D$13),1,0)</f>
        <v/>
      </c>
      <c r="Z38" s="17">
        <f>IF(AND(23&gt;=$B$13,23&lt;=$D$13),1,0)</f>
        <v/>
      </c>
      <c r="AA38" s="17">
        <f>IF(AND(24&gt;=$B$13,24&lt;=$D$13),1,0)</f>
        <v/>
      </c>
      <c r="AB38" s="17">
        <f>IF(AND(25&gt;=$B$13,25&lt;=$D$13),1,0)</f>
        <v/>
      </c>
      <c r="AC38" s="17">
        <f>IF(AND(26&gt;=$B$13,26&lt;=$D$13),1,0)</f>
        <v/>
      </c>
      <c r="AD38" s="17">
        <f>IF(AND(27&gt;=$B$13,27&lt;=$D$13),1,0)</f>
        <v/>
      </c>
      <c r="AE38" s="17">
        <f>IF(AND(28&gt;=$B$13,28&lt;=$D$13),1,0)</f>
        <v/>
      </c>
      <c r="AF38" s="17">
        <f>IF(AND(29&gt;=$B$13,29&lt;=$D$13),1,0)</f>
        <v/>
      </c>
      <c r="AG38" s="17">
        <f>IF(AND(30&gt;=$B$13,30&lt;=$D$13),1,0)</f>
        <v/>
      </c>
      <c r="AH38" s="17">
        <f>IF(AND(31&gt;=$B$13,31&lt;=$D$13),1,0)</f>
        <v/>
      </c>
      <c r="AI38" s="17">
        <f>IF(AND(32&gt;=$B$13,32&lt;=$D$13),1,0)</f>
        <v/>
      </c>
      <c r="AJ38" s="17">
        <f>IF(AND(33&gt;=$B$13,33&lt;=$D$13),1,0)</f>
        <v/>
      </c>
      <c r="AK38" s="17">
        <f>IF(AND(34&gt;=$B$13,34&lt;=$D$13),1,0)</f>
        <v/>
      </c>
      <c r="AL38" s="17">
        <f>IF(AND(35&gt;=$B$13,35&lt;=$D$13),1,0)</f>
        <v/>
      </c>
      <c r="AM38" s="17">
        <f>IF(AND(36&gt;=$B$13,36&lt;=$D$13),1,0)</f>
        <v/>
      </c>
      <c r="AN38" s="17">
        <f>IF(AND(37&gt;=$B$13,37&lt;=$D$13),1,0)</f>
        <v/>
      </c>
      <c r="AO38" s="17">
        <f>IF(AND(38&gt;=$B$13,38&lt;=$D$13),1,0)</f>
        <v/>
      </c>
      <c r="AP38" s="17">
        <f>IF(AND(39&gt;=$B$13,39&lt;=$D$13),1,0)</f>
        <v/>
      </c>
      <c r="AQ38" s="17">
        <f>IF(AND(40&gt;=$B$13,40&lt;=$D$13),1,0)</f>
        <v/>
      </c>
      <c r="AR38" s="17">
        <f>IF(AND(41&gt;=$B$13,41&lt;=$D$13),1,0)</f>
        <v/>
      </c>
      <c r="AS38" s="17">
        <f>IF(AND(42&gt;=$B$13,42&lt;=$D$13),1,0)</f>
        <v/>
      </c>
      <c r="AT38" s="17">
        <f>IF(AND(43&gt;=$B$13,43&lt;=$D$13),1,0)</f>
        <v/>
      </c>
      <c r="AU38" s="17">
        <f>IF(AND(44&gt;=$B$13,44&lt;=$D$13),1,0)</f>
        <v/>
      </c>
      <c r="AV38" s="17">
        <f>IF(AND(45&gt;=$B$13,45&lt;=$D$13),1,0)</f>
        <v/>
      </c>
      <c r="AW38" s="17">
        <f>IF(AND(46&gt;=$B$13,46&lt;=$D$13),1,0)</f>
        <v/>
      </c>
      <c r="AX38" s="17">
        <f>IF(AND(47&gt;=$B$13,47&lt;=$D$13),1,0)</f>
        <v/>
      </c>
      <c r="AY38" s="17">
        <f>IF(AND(48&gt;=$B$13,48&lt;=$D$13),1,0)</f>
        <v/>
      </c>
      <c r="AZ38" s="17">
        <f>IF(AND(49&gt;=$B$13,49&lt;=$D$13),1,0)</f>
        <v/>
      </c>
      <c r="BA38" s="17">
        <f>IF(AND(50&gt;=$B$13,50&lt;=$D$13),1,0)</f>
        <v/>
      </c>
      <c r="BB38" s="17">
        <f>IF(AND(51&gt;=$B$13,51&lt;=$D$13),1,0)</f>
        <v/>
      </c>
      <c r="BC38" s="17">
        <f>IF(AND(52&gt;=$B$13,52&lt;=$D$13),1,0)</f>
        <v/>
      </c>
      <c r="BD38" s="17">
        <f>IF(AND(53&gt;=$B$13,53&lt;=$D$13),1,0)</f>
        <v/>
      </c>
      <c r="BE38" s="17">
        <f>IF(AND(54&gt;=$B$13,54&lt;=$D$13),1,0)</f>
        <v/>
      </c>
      <c r="BF38" s="17">
        <f>IF(AND(55&gt;=$B$13,55&lt;=$D$13),1,0)</f>
        <v/>
      </c>
      <c r="BG38" s="17">
        <f>IF(AND(56&gt;=$B$13,56&lt;=$D$13),1,0)</f>
        <v/>
      </c>
      <c r="BH38" s="17">
        <f>IF(AND(57&gt;=$B$13,57&lt;=$D$13),1,0)</f>
        <v/>
      </c>
      <c r="BI38" s="17">
        <f>IF(AND(58&gt;=$B$13,58&lt;=$D$13),1,0)</f>
        <v/>
      </c>
      <c r="BJ38" s="17">
        <f>IF(AND(59&gt;=$B$13,59&lt;=$D$13),1,0)</f>
        <v/>
      </c>
      <c r="BK38" s="17">
        <f>IF(AND(60&gt;=$B$13,60&lt;=$D$13),1,0)</f>
        <v/>
      </c>
      <c r="BL38" s="17">
        <f>IF(AND(61&gt;=$B$13,61&lt;=$D$13),1,0)</f>
        <v/>
      </c>
      <c r="BM38" s="17">
        <f>IF(AND(62&gt;=$B$13,62&lt;=$D$13),1,0)</f>
        <v/>
      </c>
      <c r="BN38" s="17">
        <f>IF(AND(63&gt;=$B$13,63&lt;=$D$13),1,0)</f>
        <v/>
      </c>
      <c r="BO38" s="17">
        <f>IF(AND(64&gt;=$B$13,64&lt;=$D$13),1,0)</f>
        <v/>
      </c>
      <c r="BP38" s="17">
        <f>IF(AND(65&gt;=$B$13,65&lt;=$D$13),1,0)</f>
        <v/>
      </c>
      <c r="BQ38" s="17">
        <f>IF(AND(66&gt;=$B$13,66&lt;=$D$13),1,0)</f>
        <v/>
      </c>
      <c r="BR38" s="17">
        <f>IF(AND(67&gt;=$B$13,67&lt;=$D$13),1,0)</f>
        <v/>
      </c>
      <c r="BS38" s="17">
        <f>IF(AND(68&gt;=$B$13,68&lt;=$D$13),1,0)</f>
        <v/>
      </c>
      <c r="BT38" s="17">
        <f>IF(AND(69&gt;=$B$13,69&lt;=$D$13),1,0)</f>
        <v/>
      </c>
      <c r="BU38" s="17">
        <f>IF(AND(70&gt;=$B$13,70&lt;=$D$13),1,0)</f>
        <v/>
      </c>
      <c r="BV38" s="17">
        <f>IF(AND(71&gt;=$B$13,71&lt;=$D$13),1,0)</f>
        <v/>
      </c>
      <c r="BW38" s="17">
        <f>IF(AND(72&gt;=$B$13,72&lt;=$D$13),1,0)</f>
        <v/>
      </c>
      <c r="BX38" s="17">
        <f>IF(AND(73&gt;=$B$13,73&lt;=$D$13),1,0)</f>
        <v/>
      </c>
      <c r="BY38" s="17">
        <f>IF(AND(74&gt;=$B$13,74&lt;=$D$13),1,0)</f>
        <v/>
      </c>
      <c r="BZ38" s="17">
        <f>IF(AND(75&gt;=$B$13,75&lt;=$D$13),1,0)</f>
        <v/>
      </c>
      <c r="CA38" s="17">
        <f>IF(AND(76&gt;=$B$13,76&lt;=$D$13),1,0)</f>
        <v/>
      </c>
      <c r="CB38" s="17">
        <f>IF(AND(77&gt;=$B$13,77&lt;=$D$13),1,0)</f>
        <v/>
      </c>
      <c r="CC38" s="17">
        <f>IF(AND(78&gt;=$B$13,78&lt;=$D$13),1,0)</f>
        <v/>
      </c>
      <c r="CD38" s="17">
        <f>IF(AND(79&gt;=$B$13,79&lt;=$D$13),1,0)</f>
        <v/>
      </c>
      <c r="CE38" s="17">
        <f>IF(AND(80&gt;=$B$13,80&lt;=$D$13),1,0)</f>
        <v/>
      </c>
      <c r="CF38" s="17">
        <f>IF(AND(81&gt;=$B$13,81&lt;=$D$13),1,0)</f>
        <v/>
      </c>
      <c r="CG38" s="17">
        <f>IF(AND(82&gt;=$B$13,82&lt;=$D$13),1,0)</f>
        <v/>
      </c>
      <c r="CH38" s="17">
        <f>IF(AND(83&gt;=$B$13,83&lt;=$D$13),1,0)</f>
        <v/>
      </c>
      <c r="CI38" s="17">
        <f>IF(AND(84&gt;=$B$13,84&lt;=$D$13),1,0)</f>
        <v/>
      </c>
      <c r="CJ38" s="17">
        <f>IF(AND(85&gt;=$B$13,85&lt;=$D$13),1,0)</f>
        <v/>
      </c>
      <c r="CK38" s="17">
        <f>IF(AND(86&gt;=$B$13,86&lt;=$D$13),1,0)</f>
        <v/>
      </c>
      <c r="CL38" s="17">
        <f>IF(AND(87&gt;=$B$13,87&lt;=$D$13),1,0)</f>
        <v/>
      </c>
      <c r="CM38" s="17">
        <f>IF(AND(88&gt;=$B$13,88&lt;=$D$13),1,0)</f>
        <v/>
      </c>
      <c r="CN38" s="17">
        <f>IF(AND(89&gt;=$B$13,89&lt;=$D$13),1,0)</f>
        <v/>
      </c>
      <c r="CO38" s="17">
        <f>IF(AND(90&gt;=$B$13,90&lt;=$D$13),1,0)</f>
        <v/>
      </c>
      <c r="CP38" s="17">
        <f>IF(AND(91&gt;=$B$13,91&lt;=$D$13),1,0)</f>
        <v/>
      </c>
      <c r="CQ38" s="17">
        <f>IF(AND(92&gt;=$B$13,92&lt;=$D$13),1,0)</f>
        <v/>
      </c>
      <c r="CR38" s="17">
        <f>IF(AND(93&gt;=$B$13,93&lt;=$D$13),1,0)</f>
        <v/>
      </c>
      <c r="CS38" s="17">
        <f>IF(AND(94&gt;=$B$13,94&lt;=$D$13),1,0)</f>
        <v/>
      </c>
      <c r="CT38" s="17">
        <f>IF(AND(95&gt;=$B$13,95&lt;=$D$13),1,0)</f>
        <v/>
      </c>
      <c r="CU38" s="17">
        <f>IF(AND(96&gt;=$B$13,96&lt;=$D$13),1,0)</f>
        <v/>
      </c>
      <c r="CV38" s="17">
        <f>IF(AND(97&gt;=$B$13,97&lt;=$D$13),1,0)</f>
        <v/>
      </c>
      <c r="CW38" s="17">
        <f>IF(AND(98&gt;=$B$13,98&lt;=$D$13),1,0)</f>
        <v/>
      </c>
      <c r="CX38" s="17">
        <f>IF(AND(99&gt;=$B$13,99&lt;=$D$13),1,0)</f>
        <v/>
      </c>
      <c r="CY38" s="17">
        <f>IF(AND(100&gt;=$B$13,100&lt;=$D$13),1,0)</f>
        <v/>
      </c>
      <c r="CZ38" s="17">
        <f>IF(AND(101&gt;=$B$13,101&lt;=$D$13),1,0)</f>
        <v/>
      </c>
      <c r="DA38" s="17">
        <f>IF(AND(102&gt;=$B$13,102&lt;=$D$13),1,0)</f>
        <v/>
      </c>
      <c r="DB38" s="17">
        <f>IF(AND(103&gt;=$B$13,103&lt;=$D$13),1,0)</f>
        <v/>
      </c>
      <c r="DC38" s="17">
        <f>IF(AND(104&gt;=$B$13,104&lt;=$D$13),1,0)</f>
        <v/>
      </c>
      <c r="DD38" s="17">
        <f>IF(AND(105&gt;=$B$13,105&lt;=$D$13),1,0)</f>
        <v/>
      </c>
      <c r="DE38" s="17">
        <f>IF(AND(106&gt;=$B$13,106&lt;=$D$13),1,0)</f>
        <v/>
      </c>
      <c r="DF38" s="17">
        <f>IF(AND(107&gt;=$B$13,107&lt;=$D$13),1,0)</f>
        <v/>
      </c>
      <c r="DG38" s="17">
        <f>IF(AND(108&gt;=$B$13,108&lt;=$D$13),1,0)</f>
        <v/>
      </c>
      <c r="DH38" s="17">
        <f>IF(AND(109&gt;=$B$13,109&lt;=$D$13),1,0)</f>
        <v/>
      </c>
      <c r="DI38" s="17">
        <f>IF(AND(110&gt;=$B$13,110&lt;=$D$13),1,0)</f>
        <v/>
      </c>
      <c r="DJ38" s="17">
        <f>IF(AND(111&gt;=$B$13,111&lt;=$D$13),1,0)</f>
        <v/>
      </c>
      <c r="DK38" s="17">
        <f>IF(AND(112&gt;=$B$13,112&lt;=$D$13),1,0)</f>
        <v/>
      </c>
      <c r="DL38" s="17">
        <f>IF(AND(113&gt;=$B$13,113&lt;=$D$13),1,0)</f>
        <v/>
      </c>
      <c r="DM38" s="17">
        <f>IF(AND(114&gt;=$B$13,114&lt;=$D$13),1,0)</f>
        <v/>
      </c>
      <c r="DN38" s="17">
        <f>IF(AND(115&gt;=$B$13,115&lt;=$D$13),1,0)</f>
        <v/>
      </c>
      <c r="DO38" s="17">
        <f>IF(AND(116&gt;=$B$13,116&lt;=$D$13),1,0)</f>
        <v/>
      </c>
      <c r="DP38" s="17">
        <f>IF(AND(117&gt;=$B$13,117&lt;=$D$13),1,0)</f>
        <v/>
      </c>
      <c r="DQ38" s="17">
        <f>IF(AND(118&gt;=$B$13,118&lt;=$D$13),1,0)</f>
        <v/>
      </c>
      <c r="DR38" s="17">
        <f>IF(AND(119&gt;=$B$13,119&lt;=$D$13),1,0)</f>
        <v/>
      </c>
      <c r="DS38" s="17">
        <f>IF(AND(120&gt;=$B$13,120&lt;=$D$13),1,0)</f>
        <v/>
      </c>
      <c r="DT38" s="17">
        <f>IF(AND(121&gt;=$B$13,121&lt;=$D$13),1,0)</f>
        <v/>
      </c>
      <c r="DU38" s="17">
        <f>IF(AND(122&gt;=$B$13,122&lt;=$D$13),1,0)</f>
        <v/>
      </c>
      <c r="DV38" s="17">
        <f>IF(AND(123&gt;=$B$13,123&lt;=$D$13),1,0)</f>
        <v/>
      </c>
      <c r="DW38" s="17">
        <f>IF(AND(124&gt;=$B$13,124&lt;=$D$13),1,0)</f>
        <v/>
      </c>
      <c r="DX38" s="17">
        <f>IF(AND(125&gt;=$B$13,125&lt;=$D$13),1,0)</f>
        <v/>
      </c>
      <c r="DY38" s="17">
        <f>IF(AND(126&gt;=$B$13,126&lt;=$D$13),1,0)</f>
        <v/>
      </c>
      <c r="DZ38" s="17">
        <f>IF(AND(127&gt;=$B$13,127&lt;=$D$13),1,0)</f>
        <v/>
      </c>
      <c r="EA38" s="17">
        <f>IF(AND(128&gt;=$B$13,128&lt;=$D$13),1,0)</f>
        <v/>
      </c>
      <c r="EB38" s="17">
        <f>IF(AND(129&gt;=$B$13,129&lt;=$D$13),1,0)</f>
        <v/>
      </c>
      <c r="EC38" s="17">
        <f>IF(AND(130&gt;=$B$13,130&lt;=$D$13),1,0)</f>
        <v/>
      </c>
      <c r="ED38" s="17">
        <f>IF(AND(131&gt;=$B$13,131&lt;=$D$13),1,0)</f>
        <v/>
      </c>
      <c r="EE38" s="17">
        <f>IF(AND(132&gt;=$B$13,132&lt;=$D$13),1,0)</f>
        <v/>
      </c>
      <c r="EF38" s="17">
        <f>IF(AND(133&gt;=$B$13,133&lt;=$D$13),1,0)</f>
        <v/>
      </c>
      <c r="EG38" s="17">
        <f>IF(AND(134&gt;=$B$13,134&lt;=$D$13),1,0)</f>
        <v/>
      </c>
      <c r="EH38" s="17">
        <f>IF(AND(135&gt;=$B$13,135&lt;=$D$13),1,0)</f>
        <v/>
      </c>
      <c r="EI38" s="17">
        <f>IF(AND(136&gt;=$B$13,136&lt;=$D$13),1,0)</f>
        <v/>
      </c>
      <c r="EJ38" s="17">
        <f>IF(AND(137&gt;=$B$13,137&lt;=$D$13),1,0)</f>
        <v/>
      </c>
      <c r="EK38" s="17">
        <f>IF(AND(138&gt;=$B$13,138&lt;=$D$13),1,0)</f>
        <v/>
      </c>
      <c r="EL38" s="17">
        <f>IF(AND(139&gt;=$B$13,139&lt;=$D$13),1,0)</f>
        <v/>
      </c>
      <c r="EM38" s="17">
        <f>IF(AND(140&gt;=$B$13,140&lt;=$D$13),1,0)</f>
        <v/>
      </c>
      <c r="EN38" s="17">
        <f>IF(AND(141&gt;=$B$13,141&lt;=$D$13),1,0)</f>
        <v/>
      </c>
      <c r="EO38" s="17">
        <f>IF(AND(142&gt;=$B$13,142&lt;=$D$13),1,0)</f>
        <v/>
      </c>
      <c r="EP38" s="17">
        <f>IF(AND(143&gt;=$B$13,143&lt;=$D$13),1,0)</f>
        <v/>
      </c>
      <c r="EQ38" s="17">
        <f>IF(AND(144&gt;=$B$13,144&lt;=$D$13),1,0)</f>
        <v/>
      </c>
      <c r="ER38" s="17">
        <f>IF(AND(145&gt;=$B$13,145&lt;=$D$13),1,0)</f>
        <v/>
      </c>
      <c r="ES38" s="17">
        <f>IF(AND(146&gt;=$B$13,146&lt;=$D$13),1,0)</f>
        <v/>
      </c>
      <c r="ET38" s="17">
        <f>IF(AND(147&gt;=$B$13,147&lt;=$D$13),1,0)</f>
        <v/>
      </c>
      <c r="EU38" s="17">
        <f>IF(AND(148&gt;=$B$13,148&lt;=$D$13),1,0)</f>
        <v/>
      </c>
      <c r="EV38" s="17">
        <f>IF(AND(149&gt;=$B$13,149&lt;=$D$13),1,0)</f>
        <v/>
      </c>
      <c r="EW38" s="17">
        <f>IF(AND(150&gt;=$B$13,150&lt;=$D$13),1,0)</f>
        <v/>
      </c>
      <c r="EX38" s="17">
        <f>IF(AND(151&gt;=$B$13,151&lt;=$D$13),1,0)</f>
        <v/>
      </c>
      <c r="EY38" s="17">
        <f>IF(AND(152&gt;=$B$13,152&lt;=$D$13),1,0)</f>
        <v/>
      </c>
      <c r="EZ38" s="17">
        <f>IF(AND(153&gt;=$B$13,153&lt;=$D$13),1,0)</f>
        <v/>
      </c>
      <c r="FA38" s="17">
        <f>IF(AND(154&gt;=$B$13,154&lt;=$D$13),1,0)</f>
        <v/>
      </c>
      <c r="FB38" s="17">
        <f>IF(AND(155&gt;=$B$13,155&lt;=$D$13),1,0)</f>
        <v/>
      </c>
      <c r="FC38" s="17">
        <f>IF(AND(156&gt;=$B$13,156&lt;=$D$13),1,0)</f>
        <v/>
      </c>
      <c r="FD38" s="17">
        <f>IF(AND(157&gt;=$B$13,157&lt;=$D$13),1,0)</f>
        <v/>
      </c>
      <c r="FE38" s="17">
        <f>IF(AND(158&gt;=$B$13,158&lt;=$D$13),1,0)</f>
        <v/>
      </c>
      <c r="FF38" s="17">
        <f>IF(AND(159&gt;=$B$13,159&lt;=$D$13),1,0)</f>
        <v/>
      </c>
      <c r="FG38" s="17">
        <f>IF(AND(160&gt;=$B$13,160&lt;=$D$13),1,0)</f>
        <v/>
      </c>
      <c r="FH38" s="17">
        <f>IF(AND(161&gt;=$B$13,161&lt;=$D$13),1,0)</f>
        <v/>
      </c>
      <c r="FI38" s="17">
        <f>IF(AND(162&gt;=$B$13,162&lt;=$D$13),1,0)</f>
        <v/>
      </c>
      <c r="FJ38" s="17">
        <f>IF(AND(163&gt;=$B$13,163&lt;=$D$13),1,0)</f>
        <v/>
      </c>
      <c r="FK38" s="17">
        <f>IF(AND(164&gt;=$B$13,164&lt;=$D$13),1,0)</f>
        <v/>
      </c>
      <c r="FL38" s="17">
        <f>IF(AND(165&gt;=$B$13,165&lt;=$D$13),1,0)</f>
        <v/>
      </c>
      <c r="FM38" s="17">
        <f>IF(AND(166&gt;=$B$13,166&lt;=$D$13),1,0)</f>
        <v/>
      </c>
      <c r="FN38" s="17">
        <f>IF(AND(167&gt;=$B$13,167&lt;=$D$13),1,0)</f>
        <v/>
      </c>
      <c r="FO38" s="17">
        <f>IF(AND(168&gt;=$B$13,168&lt;=$D$13),1,0)</f>
        <v/>
      </c>
      <c r="FP38" s="17">
        <f>IF(AND(169&gt;=$B$13,169&lt;=$D$13),1,0)</f>
        <v/>
      </c>
      <c r="FQ38" s="17">
        <f>IF(AND(170&gt;=$B$13,170&lt;=$D$13),1,0)</f>
        <v/>
      </c>
      <c r="FR38" s="17">
        <f>IF(AND(171&gt;=$B$13,171&lt;=$D$13),1,0)</f>
        <v/>
      </c>
      <c r="FS38" s="17">
        <f>IF(AND(172&gt;=$B$13,172&lt;=$D$13),1,0)</f>
        <v/>
      </c>
      <c r="FT38" s="17">
        <f>IF(AND(173&gt;=$B$13,173&lt;=$D$13),1,0)</f>
        <v/>
      </c>
      <c r="FU38" s="17">
        <f>IF(AND(174&gt;=$B$13,174&lt;=$D$13),1,0)</f>
        <v/>
      </c>
      <c r="FV38" s="17">
        <f>IF(AND(175&gt;=$B$13,175&lt;=$D$13),1,0)</f>
        <v/>
      </c>
      <c r="FW38" s="17">
        <f>IF(AND(176&gt;=$B$13,176&lt;=$D$13),1,0)</f>
        <v/>
      </c>
      <c r="FX38" s="17">
        <f>IF(AND(177&gt;=$B$13,177&lt;=$D$13),1,0)</f>
        <v/>
      </c>
      <c r="FY38" s="17">
        <f>IF(AND(178&gt;=$B$13,178&lt;=$D$13),1,0)</f>
        <v/>
      </c>
      <c r="FZ38" s="17">
        <f>IF(AND(179&gt;=$B$13,179&lt;=$D$13),1,0)</f>
        <v/>
      </c>
      <c r="GA38" s="17">
        <f>IF(AND(180&gt;=$B$13,180&lt;=$D$13),1,0)</f>
        <v/>
      </c>
      <c r="GB38" s="17">
        <f>IF(AND(181&gt;=$B$13,181&lt;=$D$13),1,0)</f>
        <v/>
      </c>
      <c r="GC38" s="17">
        <f>IF(AND(182&gt;=$B$13,182&lt;=$D$13),1,0)</f>
        <v/>
      </c>
      <c r="GD38" s="17">
        <f>IF(AND(183&gt;=$B$13,183&lt;=$D$13),1,0)</f>
        <v/>
      </c>
      <c r="GE38" s="17">
        <f>IF(AND(184&gt;=$B$13,184&lt;=$D$13),1,0)</f>
        <v/>
      </c>
      <c r="GF38" s="17">
        <f>IF(AND(185&gt;=$B$13,185&lt;=$D$13),1,0)</f>
        <v/>
      </c>
      <c r="GG38" s="17">
        <f>IF(AND(186&gt;=$B$13,186&lt;=$D$13),1,0)</f>
        <v/>
      </c>
      <c r="GH38" s="17">
        <f>IF(AND(187&gt;=$B$13,187&lt;=$D$13),1,0)</f>
        <v/>
      </c>
      <c r="GI38" s="17">
        <f>IF(AND(188&gt;=$B$13,188&lt;=$D$13),1,0)</f>
        <v/>
      </c>
      <c r="GJ38" s="17">
        <f>IF(AND(189&gt;=$B$13,189&lt;=$D$13),1,0)</f>
        <v/>
      </c>
      <c r="GK38" s="17">
        <f>IF(AND(190&gt;=$B$13,190&lt;=$D$13),1,0)</f>
        <v/>
      </c>
      <c r="GL38" s="17">
        <f>IF(AND(191&gt;=$B$13,191&lt;=$D$13),1,0)</f>
        <v/>
      </c>
      <c r="GM38" s="17">
        <f>IF(AND(192&gt;=$B$13,192&lt;=$D$13),1,0)</f>
        <v/>
      </c>
      <c r="GN38" s="17">
        <f>IF(AND(193&gt;=$B$13,193&lt;=$D$13),1,0)</f>
        <v/>
      </c>
      <c r="GO38" s="17">
        <f>IF(AND(194&gt;=$B$13,194&lt;=$D$13),1,0)</f>
        <v/>
      </c>
      <c r="GP38" s="17">
        <f>IF(AND(195&gt;=$B$13,195&lt;=$D$13),1,0)</f>
        <v/>
      </c>
      <c r="GQ38" s="17">
        <f>IF(AND(196&gt;=$B$13,196&lt;=$D$13),1,0)</f>
        <v/>
      </c>
      <c r="GR38" s="17">
        <f>IF(AND(197&gt;=$B$13,197&lt;=$D$13),1,0)</f>
        <v/>
      </c>
      <c r="GS38" s="17">
        <f>IF(AND(198&gt;=$B$13,198&lt;=$D$13),1,0)</f>
        <v/>
      </c>
      <c r="GT38" s="17">
        <f>IF(AND(199&gt;=$B$13,199&lt;=$D$13),1,0)</f>
        <v/>
      </c>
      <c r="GU38" s="17">
        <f>IF(AND(200&gt;=$B$13,200&lt;=$D$13),1,0)</f>
        <v/>
      </c>
      <c r="GV38" s="17">
        <f>IF(AND(201&gt;=$B$13,201&lt;=$D$13),1,0)</f>
        <v/>
      </c>
      <c r="GW38" s="17">
        <f>IF(AND(202&gt;=$B$13,202&lt;=$D$13),1,0)</f>
        <v/>
      </c>
      <c r="GX38" s="17">
        <f>IF(AND(203&gt;=$B$13,203&lt;=$D$13),1,0)</f>
        <v/>
      </c>
      <c r="GY38" s="17">
        <f>IF(AND(204&gt;=$B$13,204&lt;=$D$13),1,0)</f>
        <v/>
      </c>
      <c r="GZ38" s="17">
        <f>IF(AND(205&gt;=$B$13,205&lt;=$D$13),1,0)</f>
        <v/>
      </c>
      <c r="HA38" s="17">
        <f>IF(AND(206&gt;=$B$13,206&lt;=$D$13),1,0)</f>
        <v/>
      </c>
      <c r="HB38" s="17">
        <f>IF(AND(207&gt;=$B$13,207&lt;=$D$13),1,0)</f>
        <v/>
      </c>
      <c r="HC38" s="17">
        <f>IF(AND(208&gt;=$B$13,208&lt;=$D$13),1,0)</f>
        <v/>
      </c>
      <c r="HD38" s="17">
        <f>IF(AND(209&gt;=$B$13,209&lt;=$D$13),1,0)</f>
        <v/>
      </c>
      <c r="HE38" s="17">
        <f>IF(AND(210&gt;=$B$13,210&lt;=$D$13),1,0)</f>
        <v/>
      </c>
      <c r="HF38" s="17">
        <f>IF(AND(211&gt;=$B$13,211&lt;=$D$13),1,0)</f>
        <v/>
      </c>
      <c r="HG38" s="17">
        <f>IF(AND(212&gt;=$B$13,212&lt;=$D$13),1,0)</f>
        <v/>
      </c>
      <c r="HH38" s="17">
        <f>IF(AND(213&gt;=$B$13,213&lt;=$D$13),1,0)</f>
        <v/>
      </c>
      <c r="HI38" s="17">
        <f>IF(AND(214&gt;=$B$13,214&lt;=$D$13),1,0)</f>
        <v/>
      </c>
      <c r="HJ38" s="17">
        <f>IF(AND(215&gt;=$B$13,215&lt;=$D$13),1,0)</f>
        <v/>
      </c>
      <c r="HK38" s="17">
        <f>IF(AND(216&gt;=$B$13,216&lt;=$D$13),1,0)</f>
        <v/>
      </c>
      <c r="HL38" s="17">
        <f>IF(AND(217&gt;=$B$13,217&lt;=$D$13),1,0)</f>
        <v/>
      </c>
      <c r="HM38" s="17">
        <f>IF(AND(218&gt;=$B$13,218&lt;=$D$13),1,0)</f>
        <v/>
      </c>
      <c r="HN38" s="17">
        <f>IF(AND(219&gt;=$B$13,219&lt;=$D$13),1,0)</f>
        <v/>
      </c>
      <c r="HO38" s="17">
        <f>IF(AND(220&gt;=$B$13,220&lt;=$D$13),1,0)</f>
        <v/>
      </c>
      <c r="HP38" s="17">
        <f>IF(AND(221&gt;=$B$13,221&lt;=$D$13),1,0)</f>
        <v/>
      </c>
      <c r="HQ38" s="17">
        <f>IF(AND(222&gt;=$B$13,222&lt;=$D$13),1,0)</f>
        <v/>
      </c>
      <c r="HR38" s="17">
        <f>IF(AND(223&gt;=$B$13,223&lt;=$D$13),1,0)</f>
        <v/>
      </c>
      <c r="HS38" s="17">
        <f>IF(AND(224&gt;=$B$13,224&lt;=$D$13),1,0)</f>
        <v/>
      </c>
      <c r="HT38" s="17">
        <f>IF(AND(225&gt;=$B$13,225&lt;=$D$13),1,0)</f>
        <v/>
      </c>
      <c r="HU38" s="17">
        <f>IF(AND(226&gt;=$B$13,226&lt;=$D$13),1,0)</f>
        <v/>
      </c>
      <c r="HV38" s="17">
        <f>IF(AND(227&gt;=$B$13,227&lt;=$D$13),1,0)</f>
        <v/>
      </c>
      <c r="HW38" s="17">
        <f>IF(AND(228&gt;=$B$13,228&lt;=$D$13),1,0)</f>
        <v/>
      </c>
      <c r="HX38" s="17">
        <f>IF(AND(229&gt;=$B$13,229&lt;=$D$13),1,0)</f>
        <v/>
      </c>
      <c r="HY38" s="17">
        <f>IF(AND(230&gt;=$B$13,230&lt;=$D$13),1,0)</f>
        <v/>
      </c>
      <c r="HZ38" s="17">
        <f>IF(AND(231&gt;=$B$13,231&lt;=$D$13),1,0)</f>
        <v/>
      </c>
      <c r="IA38" s="17">
        <f>IF(AND(232&gt;=$B$13,232&lt;=$D$13),1,0)</f>
        <v/>
      </c>
      <c r="IB38" s="17">
        <f>IF(AND(233&gt;=$B$13,233&lt;=$D$13),1,0)</f>
        <v/>
      </c>
      <c r="IC38" s="17">
        <f>IF(AND(234&gt;=$B$13,234&lt;=$D$13),1,0)</f>
        <v/>
      </c>
      <c r="ID38" s="17">
        <f>IF(AND(235&gt;=$B$13,235&lt;=$D$13),1,0)</f>
        <v/>
      </c>
      <c r="IE38" s="17">
        <f>IF(AND(236&gt;=$B$13,236&lt;=$D$13),1,0)</f>
        <v/>
      </c>
      <c r="IF38" s="17">
        <f>IF(AND(237&gt;=$B$13,237&lt;=$D$13),1,0)</f>
        <v/>
      </c>
      <c r="IG38" s="17">
        <f>IF(AND(238&gt;=$B$13,238&lt;=$D$13),1,0)</f>
        <v/>
      </c>
      <c r="IH38" s="17">
        <f>IF(AND(239&gt;=$B$13,239&lt;=$D$13),1,0)</f>
        <v/>
      </c>
      <c r="II38" s="17">
        <f>IF(AND(240&gt;=$B$13,240&lt;=$D$13),1,0)</f>
        <v/>
      </c>
      <c r="IJ38" s="17">
        <f>IF(AND(241&gt;=$B$13,241&lt;=$D$13),1,0)</f>
        <v/>
      </c>
      <c r="IK38" s="17">
        <f>IF(AND(242&gt;=$B$13,242&lt;=$D$13),1,0)</f>
        <v/>
      </c>
      <c r="IL38" s="17">
        <f>IF(AND(243&gt;=$B$13,243&lt;=$D$13),1,0)</f>
        <v/>
      </c>
      <c r="IM38" s="17">
        <f>IF(AND(244&gt;=$B$13,244&lt;=$D$13),1,0)</f>
        <v/>
      </c>
      <c r="IN38" s="17">
        <f>IF(AND(245&gt;=$B$13,245&lt;=$D$13),1,0)</f>
        <v/>
      </c>
      <c r="IO38" s="17">
        <f>IF(AND(246&gt;=$B$13,246&lt;=$D$13),1,0)</f>
        <v/>
      </c>
      <c r="IP38" s="17">
        <f>IF(AND(247&gt;=$B$13,247&lt;=$D$13),1,0)</f>
        <v/>
      </c>
      <c r="IQ38" s="17">
        <f>IF(AND(248&gt;=$B$13,248&lt;=$D$13),1,0)</f>
        <v/>
      </c>
      <c r="IR38" s="17">
        <f>IF(AND(249&gt;=$B$13,249&lt;=$D$13),1,0)</f>
        <v/>
      </c>
      <c r="IS38" s="17">
        <f>IF(AND(250&gt;=$B$13,250&lt;=$D$13),1,0)</f>
        <v/>
      </c>
      <c r="IT38" s="17">
        <f>IF(AND(251&gt;=$B$13,251&lt;=$D$13),1,0)</f>
        <v/>
      </c>
      <c r="IU38" s="17">
        <f>IF(AND(252&gt;=$B$13,252&lt;=$D$13),1,0)</f>
        <v/>
      </c>
      <c r="IV38" s="17">
        <f>IF(AND(253&gt;=$B$13,253&lt;=$D$13),1,0)</f>
        <v/>
      </c>
      <c r="IW38" s="17">
        <f>IF(AND(254&gt;=$B$13,254&lt;=$D$13),1,0)</f>
        <v/>
      </c>
      <c r="IX38" s="17">
        <f>IF(AND(255&gt;=$B$13,255&lt;=$D$13),1,0)</f>
        <v/>
      </c>
      <c r="IY38" s="17">
        <f>IF(AND(256&gt;=$B$13,256&lt;=$D$13),1,0)</f>
        <v/>
      </c>
      <c r="IZ38" s="17">
        <f>IF(AND(257&gt;=$B$13,257&lt;=$D$13),1,0)</f>
        <v/>
      </c>
      <c r="JA38" s="17">
        <f>IF(AND(258&gt;=$B$13,258&lt;=$D$13),1,0)</f>
        <v/>
      </c>
      <c r="JB38" s="17">
        <f>IF(AND(259&gt;=$B$13,259&lt;=$D$13),1,0)</f>
        <v/>
      </c>
      <c r="JC38" s="17">
        <f>IF(AND(260&gt;=$B$13,260&lt;=$D$13),1,0)</f>
        <v/>
      </c>
      <c r="JD38" s="17">
        <f>IF(AND(261&gt;=$B$13,261&lt;=$D$13),1,0)</f>
        <v/>
      </c>
      <c r="JE38" s="17">
        <f>IF(AND(262&gt;=$B$13,262&lt;=$D$13),1,0)</f>
        <v/>
      </c>
      <c r="JF38" s="17">
        <f>IF(AND(263&gt;=$B$13,263&lt;=$D$13),1,0)</f>
        <v/>
      </c>
      <c r="JG38" s="17">
        <f>IF(AND(264&gt;=$B$13,264&lt;=$D$13),1,0)</f>
        <v/>
      </c>
      <c r="JH38" s="17">
        <f>IF(AND(265&gt;=$B$13,265&lt;=$D$13),1,0)</f>
        <v/>
      </c>
      <c r="JI38" s="17">
        <f>IF(AND(266&gt;=$B$13,266&lt;=$D$13),1,0)</f>
        <v/>
      </c>
      <c r="JJ38" s="17">
        <f>IF(AND(267&gt;=$B$13,267&lt;=$D$13),1,0)</f>
        <v/>
      </c>
      <c r="JK38" s="17">
        <f>IF(AND(268&gt;=$B$13,268&lt;=$D$13),1,0)</f>
        <v/>
      </c>
      <c r="JL38" s="17">
        <f>IF(AND(269&gt;=$B$13,269&lt;=$D$13),1,0)</f>
        <v/>
      </c>
      <c r="JM38" s="17">
        <f>IF(AND(270&gt;=$B$13,270&lt;=$D$13),1,0)</f>
        <v/>
      </c>
      <c r="JN38" s="17">
        <f>IF(AND(271&gt;=$B$13,271&lt;=$D$13),1,0)</f>
        <v/>
      </c>
      <c r="JO38" s="17">
        <f>IF(AND(272&gt;=$B$13,272&lt;=$D$13),1,0)</f>
        <v/>
      </c>
      <c r="JP38" s="17">
        <f>IF(AND(273&gt;=$B$13,273&lt;=$D$13),1,0)</f>
        <v/>
      </c>
      <c r="JQ38" s="17">
        <f>IF(AND(274&gt;=$B$13,274&lt;=$D$13),1,0)</f>
        <v/>
      </c>
      <c r="JR38" s="17">
        <f>IF(AND(275&gt;=$B$13,275&lt;=$D$13),1,0)</f>
        <v/>
      </c>
      <c r="JS38" s="17">
        <f>IF(AND(276&gt;=$B$13,276&lt;=$D$13),1,0)</f>
        <v/>
      </c>
      <c r="JT38" s="17">
        <f>IF(AND(277&gt;=$B$13,277&lt;=$D$13),1,0)</f>
        <v/>
      </c>
      <c r="JU38" s="17">
        <f>IF(AND(278&gt;=$B$13,278&lt;=$D$13),1,0)</f>
        <v/>
      </c>
      <c r="JV38" s="17">
        <f>IF(AND(279&gt;=$B$13,279&lt;=$D$13),1,0)</f>
        <v/>
      </c>
      <c r="JW38" s="17">
        <f>IF(AND(280&gt;=$B$13,280&lt;=$D$13),1,0)</f>
        <v/>
      </c>
      <c r="JX38" s="17">
        <f>IF(AND(281&gt;=$B$13,281&lt;=$D$13),1,0)</f>
        <v/>
      </c>
      <c r="JY38" s="17">
        <f>IF(AND(282&gt;=$B$13,282&lt;=$D$13),1,0)</f>
        <v/>
      </c>
      <c r="JZ38" s="17">
        <f>IF(AND(283&gt;=$B$13,283&lt;=$D$13),1,0)</f>
        <v/>
      </c>
      <c r="KA38" s="17">
        <f>IF(AND(284&gt;=$B$13,284&lt;=$D$13),1,0)</f>
        <v/>
      </c>
      <c r="KB38" s="17">
        <f>IF(AND(285&gt;=$B$13,285&lt;=$D$13),1,0)</f>
        <v/>
      </c>
      <c r="KC38" s="17">
        <f>IF(AND(286&gt;=$B$13,286&lt;=$D$13),1,0)</f>
        <v/>
      </c>
      <c r="KD38" s="17">
        <f>IF(AND(287&gt;=$B$13,287&lt;=$D$13),1,0)</f>
        <v/>
      </c>
      <c r="KE38" s="17">
        <f>IF(AND(288&gt;=$B$13,288&lt;=$D$13),1,0)</f>
        <v/>
      </c>
      <c r="KF38" s="17">
        <f>IF(AND(289&gt;=$B$13,289&lt;=$D$13),1,0)</f>
        <v/>
      </c>
      <c r="KG38" s="17">
        <f>IF(AND(290&gt;=$B$13,290&lt;=$D$13),1,0)</f>
        <v/>
      </c>
      <c r="KH38" s="17">
        <f>IF(AND(291&gt;=$B$13,291&lt;=$D$13),1,0)</f>
        <v/>
      </c>
      <c r="KI38" s="17">
        <f>IF(AND(292&gt;=$B$13,292&lt;=$D$13),1,0)</f>
        <v/>
      </c>
      <c r="KJ38" s="17">
        <f>IF(AND(293&gt;=$B$13,293&lt;=$D$13),1,0)</f>
        <v/>
      </c>
      <c r="KK38" s="17">
        <f>IF(AND(294&gt;=$B$13,294&lt;=$D$13),1,0)</f>
        <v/>
      </c>
      <c r="KL38" s="17">
        <f>IF(AND(295&gt;=$B$13,295&lt;=$D$13),1,0)</f>
        <v/>
      </c>
      <c r="KM38" s="17">
        <f>IF(AND(296&gt;=$B$13,296&lt;=$D$13),1,0)</f>
        <v/>
      </c>
      <c r="KN38" s="17">
        <f>IF(AND(297&gt;=$B$13,297&lt;=$D$13),1,0)</f>
        <v/>
      </c>
      <c r="KO38" s="17">
        <f>IF(AND(298&gt;=$B$13,298&lt;=$D$13),1,0)</f>
        <v/>
      </c>
      <c r="KP38" s="17">
        <f>IF(AND(299&gt;=$B$13,299&lt;=$D$13),1,0)</f>
        <v/>
      </c>
      <c r="KQ38" s="17">
        <f>IF(AND(300&gt;=$B$13,300&lt;=$D$13),1,0)</f>
        <v/>
      </c>
      <c r="KR38" s="17">
        <f>IF(AND(301&gt;=$B$13,301&lt;=$D$13),1,0)</f>
        <v/>
      </c>
      <c r="KS38" s="17">
        <f>IF(AND(302&gt;=$B$13,302&lt;=$D$13),1,0)</f>
        <v/>
      </c>
      <c r="KT38" s="17">
        <f>IF(AND(303&gt;=$B$13,303&lt;=$D$13),1,0)</f>
        <v/>
      </c>
      <c r="KU38" s="17">
        <f>IF(AND(304&gt;=$B$13,304&lt;=$D$13),1,0)</f>
        <v/>
      </c>
      <c r="KV38" s="17">
        <f>IF(AND(305&gt;=$B$13,305&lt;=$D$13),1,0)</f>
        <v/>
      </c>
      <c r="KW38" s="17">
        <f>IF(AND(306&gt;=$B$13,306&lt;=$D$13),1,0)</f>
        <v/>
      </c>
      <c r="KX38" s="17">
        <f>IF(AND(307&gt;=$B$13,307&lt;=$D$13),1,0)</f>
        <v/>
      </c>
      <c r="KY38" s="17">
        <f>IF(AND(308&gt;=$B$13,308&lt;=$D$13),1,0)</f>
        <v/>
      </c>
      <c r="KZ38" s="17">
        <f>IF(AND(309&gt;=$B$13,309&lt;=$D$13),1,0)</f>
        <v/>
      </c>
      <c r="LA38" s="17">
        <f>IF(AND(310&gt;=$B$13,310&lt;=$D$13),1,0)</f>
        <v/>
      </c>
      <c r="LB38" s="17">
        <f>IF(AND(311&gt;=$B$13,311&lt;=$D$13),1,0)</f>
        <v/>
      </c>
      <c r="LC38" s="17">
        <f>IF(AND(312&gt;=$B$13,312&lt;=$D$13),1,0)</f>
        <v/>
      </c>
      <c r="LD38" s="17">
        <f>IF(AND(313&gt;=$B$13,313&lt;=$D$13),1,0)</f>
        <v/>
      </c>
      <c r="LE38" s="17">
        <f>IF(AND(314&gt;=$B$13,314&lt;=$D$13),1,0)</f>
        <v/>
      </c>
      <c r="LF38" s="17">
        <f>IF(AND(315&gt;=$B$13,315&lt;=$D$13),1,0)</f>
        <v/>
      </c>
      <c r="LG38" s="17">
        <f>IF(AND(316&gt;=$B$13,316&lt;=$D$13),1,0)</f>
        <v/>
      </c>
      <c r="LH38" s="17">
        <f>IF(AND(317&gt;=$B$13,317&lt;=$D$13),1,0)</f>
        <v/>
      </c>
      <c r="LI38" s="17">
        <f>IF(AND(318&gt;=$B$13,318&lt;=$D$13),1,0)</f>
        <v/>
      </c>
      <c r="LJ38" s="17">
        <f>IF(AND(319&gt;=$B$13,319&lt;=$D$13),1,0)</f>
        <v/>
      </c>
      <c r="LK38" s="17">
        <f>IF(AND(320&gt;=$B$13,320&lt;=$D$13),1,0)</f>
        <v/>
      </c>
      <c r="LL38" s="17">
        <f>IF(AND(321&gt;=$B$13,321&lt;=$D$13),1,0)</f>
        <v/>
      </c>
      <c r="LM38" s="17">
        <f>IF(AND(322&gt;=$B$13,322&lt;=$D$13),1,0)</f>
        <v/>
      </c>
      <c r="LN38" s="17">
        <f>IF(AND(323&gt;=$B$13,323&lt;=$D$13),1,0)</f>
        <v/>
      </c>
      <c r="LO38" s="17">
        <f>IF(AND(324&gt;=$B$13,324&lt;=$D$13),1,0)</f>
        <v/>
      </c>
      <c r="LP38" s="17">
        <f>IF(AND(325&gt;=$B$13,325&lt;=$D$13),1,0)</f>
        <v/>
      </c>
      <c r="LQ38" s="17">
        <f>IF(AND(326&gt;=$B$13,326&lt;=$D$13),1,0)</f>
        <v/>
      </c>
      <c r="LR38" s="17">
        <f>IF(AND(327&gt;=$B$13,327&lt;=$D$13),1,0)</f>
        <v/>
      </c>
      <c r="LS38" s="17">
        <f>IF(AND(328&gt;=$B$13,328&lt;=$D$13),1,0)</f>
        <v/>
      </c>
      <c r="LT38" s="17">
        <f>IF(AND(329&gt;=$B$13,329&lt;=$D$13),1,0)</f>
        <v/>
      </c>
      <c r="LU38" s="17">
        <f>IF(AND(330&gt;=$B$13,330&lt;=$D$13),1,0)</f>
        <v/>
      </c>
      <c r="LV38" s="17">
        <f>IF(AND(331&gt;=$B$13,331&lt;=$D$13),1,0)</f>
        <v/>
      </c>
      <c r="LW38" s="17">
        <f>IF(AND(332&gt;=$B$13,332&lt;=$D$13),1,0)</f>
        <v/>
      </c>
      <c r="LX38" s="17">
        <f>IF(AND(333&gt;=$B$13,333&lt;=$D$13),1,0)</f>
        <v/>
      </c>
      <c r="LY38" s="17">
        <f>IF(AND(334&gt;=$B$13,334&lt;=$D$13),1,0)</f>
        <v/>
      </c>
      <c r="LZ38" s="17">
        <f>IF(AND(335&gt;=$B$13,335&lt;=$D$13),1,0)</f>
        <v/>
      </c>
      <c r="MA38" s="17">
        <f>IF(AND(336&gt;=$B$13,336&lt;=$D$13),1,0)</f>
        <v/>
      </c>
      <c r="MB38" s="17">
        <f>IF(AND(337&gt;=$B$13,337&lt;=$D$13),1,0)</f>
        <v/>
      </c>
      <c r="MC38" s="17">
        <f>IF(AND(338&gt;=$B$13,338&lt;=$D$13),1,0)</f>
        <v/>
      </c>
      <c r="MD38" s="17">
        <f>IF(AND(339&gt;=$B$13,339&lt;=$D$13),1,0)</f>
        <v/>
      </c>
      <c r="ME38" s="17">
        <f>IF(AND(340&gt;=$B$13,340&lt;=$D$13),1,0)</f>
        <v/>
      </c>
      <c r="MF38" s="17">
        <f>IF(AND(341&gt;=$B$13,341&lt;=$D$13),1,0)</f>
        <v/>
      </c>
      <c r="MG38" s="17">
        <f>IF(AND(342&gt;=$B$13,342&lt;=$D$13),1,0)</f>
        <v/>
      </c>
      <c r="MH38" s="17">
        <f>IF(AND(343&gt;=$B$13,343&lt;=$D$13),1,0)</f>
        <v/>
      </c>
      <c r="MI38" s="17">
        <f>IF(AND(344&gt;=$B$13,344&lt;=$D$13),1,0)</f>
        <v/>
      </c>
      <c r="MJ38" s="17">
        <f>IF(AND(345&gt;=$B$13,345&lt;=$D$13),1,0)</f>
        <v/>
      </c>
      <c r="MK38" s="17">
        <f>IF(AND(346&gt;=$B$13,346&lt;=$D$13),1,0)</f>
        <v/>
      </c>
      <c r="ML38" s="17">
        <f>IF(AND(347&gt;=$B$13,347&lt;=$D$13),1,0)</f>
        <v/>
      </c>
      <c r="MM38" s="17">
        <f>IF(AND(348&gt;=$B$13,348&lt;=$D$13),1,0)</f>
        <v/>
      </c>
      <c r="MN38" s="17">
        <f>IF(AND(349&gt;=$B$13,349&lt;=$D$13),1,0)</f>
        <v/>
      </c>
      <c r="MO38" s="17">
        <f>IF(AND(350&gt;=$B$13,350&lt;=$D$13),1,0)</f>
        <v/>
      </c>
      <c r="MP38" s="17">
        <f>IF(AND(351&gt;=$B$13,351&lt;=$D$13),1,0)</f>
        <v/>
      </c>
      <c r="MQ38" s="17">
        <f>IF(AND(352&gt;=$B$13,352&lt;=$D$13),1,0)</f>
        <v/>
      </c>
      <c r="MR38" s="17">
        <f>IF(AND(353&gt;=$B$13,353&lt;=$D$13),1,0)</f>
        <v/>
      </c>
      <c r="MS38" s="17">
        <f>IF(AND(354&gt;=$B$13,354&lt;=$D$13),1,0)</f>
        <v/>
      </c>
      <c r="MT38" s="17">
        <f>IF(AND(355&gt;=$B$13,355&lt;=$D$13),1,0)</f>
        <v/>
      </c>
      <c r="MU38" s="17">
        <f>IF(AND(356&gt;=$B$13,356&lt;=$D$13),1,0)</f>
        <v/>
      </c>
      <c r="MV38" s="17">
        <f>IF(AND(357&gt;=$B$13,357&lt;=$D$13),1,0)</f>
        <v/>
      </c>
      <c r="MW38" s="17">
        <f>IF(AND(358&gt;=$B$13,358&lt;=$D$13),1,0)</f>
        <v/>
      </c>
      <c r="MX38" s="17">
        <f>IF(AND(359&gt;=$B$13,359&lt;=$D$13),1,0)</f>
        <v/>
      </c>
      <c r="MY38" s="17">
        <f>IF(AND(360&gt;=$B$13,360&lt;=$D$13),1,0)</f>
        <v/>
      </c>
      <c r="MZ38" s="17">
        <f>IF(AND(361&gt;=$B$13,361&lt;=$D$13),1,0)</f>
        <v/>
      </c>
      <c r="NA38" s="17">
        <f>IF(AND(362&gt;=$B$13,362&lt;=$D$13),1,0)</f>
        <v/>
      </c>
      <c r="NB38" s="17">
        <f>IF(AND(363&gt;=$B$13,363&lt;=$D$13),1,0)</f>
        <v/>
      </c>
      <c r="NC38" s="17">
        <f>IF(AND(364&gt;=$B$13,364&lt;=$D$13),1,0)</f>
        <v/>
      </c>
      <c r="ND38" s="17">
        <f>IF(AND(365&gt;=$B$13,365&lt;=$D$13),1,0)</f>
        <v/>
      </c>
      <c r="NE38" s="17">
        <f>IF(AND(366&gt;=$B$13,366&lt;=$D$13),1,0)</f>
        <v/>
      </c>
      <c r="NF38" s="17">
        <f>IF(AND(367&gt;=$B$13,367&lt;=$D$13),1,0)</f>
        <v/>
      </c>
      <c r="NG38" s="17">
        <f>IF(AND(368&gt;=$B$13,368&lt;=$D$13),1,0)</f>
        <v/>
      </c>
      <c r="NH38" s="17">
        <f>IF(AND(369&gt;=$B$13,369&lt;=$D$13),1,0)</f>
        <v/>
      </c>
      <c r="NI38" s="17">
        <f>IF(AND(370&gt;=$B$13,370&lt;=$D$13),1,0)</f>
        <v/>
      </c>
      <c r="NJ38" s="17">
        <f>IF(AND(371&gt;=$B$13,371&lt;=$D$13),1,0)</f>
        <v/>
      </c>
      <c r="NK38" s="17">
        <f>IF(AND(372&gt;=$B$13,372&lt;=$D$13),1,0)</f>
        <v/>
      </c>
    </row>
    <row r="39">
      <c r="A39" s="5" t="inlineStr">
        <is>
          <t>Flag: Disposition</t>
        </is>
      </c>
      <c r="C39" s="40" t="n"/>
      <c r="D39" s="17">
        <f>IF(AND(1&gt;=$B$14,1&lt;=$D$14),1,0)</f>
        <v/>
      </c>
      <c r="E39" s="17">
        <f>IF(AND(2&gt;=$B$14,2&lt;=$D$14),1,0)</f>
        <v/>
      </c>
      <c r="F39" s="17">
        <f>IF(AND(3&gt;=$B$14,3&lt;=$D$14),1,0)</f>
        <v/>
      </c>
      <c r="G39" s="17">
        <f>IF(AND(4&gt;=$B$14,4&lt;=$D$14),1,0)</f>
        <v/>
      </c>
      <c r="H39" s="17">
        <f>IF(AND(5&gt;=$B$14,5&lt;=$D$14),1,0)</f>
        <v/>
      </c>
      <c r="I39" s="17">
        <f>IF(AND(6&gt;=$B$14,6&lt;=$D$14),1,0)</f>
        <v/>
      </c>
      <c r="J39" s="17">
        <f>IF(AND(7&gt;=$B$14,7&lt;=$D$14),1,0)</f>
        <v/>
      </c>
      <c r="K39" s="17">
        <f>IF(AND(8&gt;=$B$14,8&lt;=$D$14),1,0)</f>
        <v/>
      </c>
      <c r="L39" s="17">
        <f>IF(AND(9&gt;=$B$14,9&lt;=$D$14),1,0)</f>
        <v/>
      </c>
      <c r="M39" s="17">
        <f>IF(AND(10&gt;=$B$14,10&lt;=$D$14),1,0)</f>
        <v/>
      </c>
      <c r="N39" s="17">
        <f>IF(AND(11&gt;=$B$14,11&lt;=$D$14),1,0)</f>
        <v/>
      </c>
      <c r="O39" s="17">
        <f>IF(AND(12&gt;=$B$14,12&lt;=$D$14),1,0)</f>
        <v/>
      </c>
      <c r="P39" s="17">
        <f>IF(AND(13&gt;=$B$14,13&lt;=$D$14),1,0)</f>
        <v/>
      </c>
      <c r="Q39" s="17">
        <f>IF(AND(14&gt;=$B$14,14&lt;=$D$14),1,0)</f>
        <v/>
      </c>
      <c r="R39" s="17">
        <f>IF(AND(15&gt;=$B$14,15&lt;=$D$14),1,0)</f>
        <v/>
      </c>
      <c r="S39" s="17">
        <f>IF(AND(16&gt;=$B$14,16&lt;=$D$14),1,0)</f>
        <v/>
      </c>
      <c r="T39" s="17">
        <f>IF(AND(17&gt;=$B$14,17&lt;=$D$14),1,0)</f>
        <v/>
      </c>
      <c r="U39" s="17">
        <f>IF(AND(18&gt;=$B$14,18&lt;=$D$14),1,0)</f>
        <v/>
      </c>
      <c r="V39" s="17">
        <f>IF(AND(19&gt;=$B$14,19&lt;=$D$14),1,0)</f>
        <v/>
      </c>
      <c r="W39" s="17">
        <f>IF(AND(20&gt;=$B$14,20&lt;=$D$14),1,0)</f>
        <v/>
      </c>
      <c r="X39" s="17">
        <f>IF(AND(21&gt;=$B$14,21&lt;=$D$14),1,0)</f>
        <v/>
      </c>
      <c r="Y39" s="17">
        <f>IF(AND(22&gt;=$B$14,22&lt;=$D$14),1,0)</f>
        <v/>
      </c>
      <c r="Z39" s="17">
        <f>IF(AND(23&gt;=$B$14,23&lt;=$D$14),1,0)</f>
        <v/>
      </c>
      <c r="AA39" s="17">
        <f>IF(AND(24&gt;=$B$14,24&lt;=$D$14),1,0)</f>
        <v/>
      </c>
      <c r="AB39" s="17">
        <f>IF(AND(25&gt;=$B$14,25&lt;=$D$14),1,0)</f>
        <v/>
      </c>
      <c r="AC39" s="17">
        <f>IF(AND(26&gt;=$B$14,26&lt;=$D$14),1,0)</f>
        <v/>
      </c>
      <c r="AD39" s="17">
        <f>IF(AND(27&gt;=$B$14,27&lt;=$D$14),1,0)</f>
        <v/>
      </c>
      <c r="AE39" s="17">
        <f>IF(AND(28&gt;=$B$14,28&lt;=$D$14),1,0)</f>
        <v/>
      </c>
      <c r="AF39" s="17">
        <f>IF(AND(29&gt;=$B$14,29&lt;=$D$14),1,0)</f>
        <v/>
      </c>
      <c r="AG39" s="17">
        <f>IF(AND(30&gt;=$B$14,30&lt;=$D$14),1,0)</f>
        <v/>
      </c>
      <c r="AH39" s="17">
        <f>IF(AND(31&gt;=$B$14,31&lt;=$D$14),1,0)</f>
        <v/>
      </c>
      <c r="AI39" s="17">
        <f>IF(AND(32&gt;=$B$14,32&lt;=$D$14),1,0)</f>
        <v/>
      </c>
      <c r="AJ39" s="17">
        <f>IF(AND(33&gt;=$B$14,33&lt;=$D$14),1,0)</f>
        <v/>
      </c>
      <c r="AK39" s="17">
        <f>IF(AND(34&gt;=$B$14,34&lt;=$D$14),1,0)</f>
        <v/>
      </c>
      <c r="AL39" s="17">
        <f>IF(AND(35&gt;=$B$14,35&lt;=$D$14),1,0)</f>
        <v/>
      </c>
      <c r="AM39" s="17">
        <f>IF(AND(36&gt;=$B$14,36&lt;=$D$14),1,0)</f>
        <v/>
      </c>
      <c r="AN39" s="17">
        <f>IF(AND(37&gt;=$B$14,37&lt;=$D$14),1,0)</f>
        <v/>
      </c>
      <c r="AO39" s="17">
        <f>IF(AND(38&gt;=$B$14,38&lt;=$D$14),1,0)</f>
        <v/>
      </c>
      <c r="AP39" s="17">
        <f>IF(AND(39&gt;=$B$14,39&lt;=$D$14),1,0)</f>
        <v/>
      </c>
      <c r="AQ39" s="17">
        <f>IF(AND(40&gt;=$B$14,40&lt;=$D$14),1,0)</f>
        <v/>
      </c>
      <c r="AR39" s="17">
        <f>IF(AND(41&gt;=$B$14,41&lt;=$D$14),1,0)</f>
        <v/>
      </c>
      <c r="AS39" s="17">
        <f>IF(AND(42&gt;=$B$14,42&lt;=$D$14),1,0)</f>
        <v/>
      </c>
      <c r="AT39" s="17">
        <f>IF(AND(43&gt;=$B$14,43&lt;=$D$14),1,0)</f>
        <v/>
      </c>
      <c r="AU39" s="17">
        <f>IF(AND(44&gt;=$B$14,44&lt;=$D$14),1,0)</f>
        <v/>
      </c>
      <c r="AV39" s="17">
        <f>IF(AND(45&gt;=$B$14,45&lt;=$D$14),1,0)</f>
        <v/>
      </c>
      <c r="AW39" s="17">
        <f>IF(AND(46&gt;=$B$14,46&lt;=$D$14),1,0)</f>
        <v/>
      </c>
      <c r="AX39" s="17">
        <f>IF(AND(47&gt;=$B$14,47&lt;=$D$14),1,0)</f>
        <v/>
      </c>
      <c r="AY39" s="17">
        <f>IF(AND(48&gt;=$B$14,48&lt;=$D$14),1,0)</f>
        <v/>
      </c>
      <c r="AZ39" s="17">
        <f>IF(AND(49&gt;=$B$14,49&lt;=$D$14),1,0)</f>
        <v/>
      </c>
      <c r="BA39" s="17">
        <f>IF(AND(50&gt;=$B$14,50&lt;=$D$14),1,0)</f>
        <v/>
      </c>
      <c r="BB39" s="17">
        <f>IF(AND(51&gt;=$B$14,51&lt;=$D$14),1,0)</f>
        <v/>
      </c>
      <c r="BC39" s="17">
        <f>IF(AND(52&gt;=$B$14,52&lt;=$D$14),1,0)</f>
        <v/>
      </c>
      <c r="BD39" s="17">
        <f>IF(AND(53&gt;=$B$14,53&lt;=$D$14),1,0)</f>
        <v/>
      </c>
      <c r="BE39" s="17">
        <f>IF(AND(54&gt;=$B$14,54&lt;=$D$14),1,0)</f>
        <v/>
      </c>
      <c r="BF39" s="17">
        <f>IF(AND(55&gt;=$B$14,55&lt;=$D$14),1,0)</f>
        <v/>
      </c>
      <c r="BG39" s="17">
        <f>IF(AND(56&gt;=$B$14,56&lt;=$D$14),1,0)</f>
        <v/>
      </c>
      <c r="BH39" s="17">
        <f>IF(AND(57&gt;=$B$14,57&lt;=$D$14),1,0)</f>
        <v/>
      </c>
      <c r="BI39" s="17">
        <f>IF(AND(58&gt;=$B$14,58&lt;=$D$14),1,0)</f>
        <v/>
      </c>
      <c r="BJ39" s="17">
        <f>IF(AND(59&gt;=$B$14,59&lt;=$D$14),1,0)</f>
        <v/>
      </c>
      <c r="BK39" s="17">
        <f>IF(AND(60&gt;=$B$14,60&lt;=$D$14),1,0)</f>
        <v/>
      </c>
      <c r="BL39" s="17">
        <f>IF(AND(61&gt;=$B$14,61&lt;=$D$14),1,0)</f>
        <v/>
      </c>
      <c r="BM39" s="17">
        <f>IF(AND(62&gt;=$B$14,62&lt;=$D$14),1,0)</f>
        <v/>
      </c>
      <c r="BN39" s="17">
        <f>IF(AND(63&gt;=$B$14,63&lt;=$D$14),1,0)</f>
        <v/>
      </c>
      <c r="BO39" s="17">
        <f>IF(AND(64&gt;=$B$14,64&lt;=$D$14),1,0)</f>
        <v/>
      </c>
      <c r="BP39" s="17">
        <f>IF(AND(65&gt;=$B$14,65&lt;=$D$14),1,0)</f>
        <v/>
      </c>
      <c r="BQ39" s="17">
        <f>IF(AND(66&gt;=$B$14,66&lt;=$D$14),1,0)</f>
        <v/>
      </c>
      <c r="BR39" s="17">
        <f>IF(AND(67&gt;=$B$14,67&lt;=$D$14),1,0)</f>
        <v/>
      </c>
      <c r="BS39" s="17">
        <f>IF(AND(68&gt;=$B$14,68&lt;=$D$14),1,0)</f>
        <v/>
      </c>
      <c r="BT39" s="17">
        <f>IF(AND(69&gt;=$B$14,69&lt;=$D$14),1,0)</f>
        <v/>
      </c>
      <c r="BU39" s="17">
        <f>IF(AND(70&gt;=$B$14,70&lt;=$D$14),1,0)</f>
        <v/>
      </c>
      <c r="BV39" s="17">
        <f>IF(AND(71&gt;=$B$14,71&lt;=$D$14),1,0)</f>
        <v/>
      </c>
      <c r="BW39" s="17">
        <f>IF(AND(72&gt;=$B$14,72&lt;=$D$14),1,0)</f>
        <v/>
      </c>
      <c r="BX39" s="17">
        <f>IF(AND(73&gt;=$B$14,73&lt;=$D$14),1,0)</f>
        <v/>
      </c>
      <c r="BY39" s="17">
        <f>IF(AND(74&gt;=$B$14,74&lt;=$D$14),1,0)</f>
        <v/>
      </c>
      <c r="BZ39" s="17">
        <f>IF(AND(75&gt;=$B$14,75&lt;=$D$14),1,0)</f>
        <v/>
      </c>
      <c r="CA39" s="17">
        <f>IF(AND(76&gt;=$B$14,76&lt;=$D$14),1,0)</f>
        <v/>
      </c>
      <c r="CB39" s="17">
        <f>IF(AND(77&gt;=$B$14,77&lt;=$D$14),1,0)</f>
        <v/>
      </c>
      <c r="CC39" s="17">
        <f>IF(AND(78&gt;=$B$14,78&lt;=$D$14),1,0)</f>
        <v/>
      </c>
      <c r="CD39" s="17">
        <f>IF(AND(79&gt;=$B$14,79&lt;=$D$14),1,0)</f>
        <v/>
      </c>
      <c r="CE39" s="17">
        <f>IF(AND(80&gt;=$B$14,80&lt;=$D$14),1,0)</f>
        <v/>
      </c>
      <c r="CF39" s="17">
        <f>IF(AND(81&gt;=$B$14,81&lt;=$D$14),1,0)</f>
        <v/>
      </c>
      <c r="CG39" s="17">
        <f>IF(AND(82&gt;=$B$14,82&lt;=$D$14),1,0)</f>
        <v/>
      </c>
      <c r="CH39" s="17">
        <f>IF(AND(83&gt;=$B$14,83&lt;=$D$14),1,0)</f>
        <v/>
      </c>
      <c r="CI39" s="17">
        <f>IF(AND(84&gt;=$B$14,84&lt;=$D$14),1,0)</f>
        <v/>
      </c>
      <c r="CJ39" s="17">
        <f>IF(AND(85&gt;=$B$14,85&lt;=$D$14),1,0)</f>
        <v/>
      </c>
      <c r="CK39" s="17">
        <f>IF(AND(86&gt;=$B$14,86&lt;=$D$14),1,0)</f>
        <v/>
      </c>
      <c r="CL39" s="17">
        <f>IF(AND(87&gt;=$B$14,87&lt;=$D$14),1,0)</f>
        <v/>
      </c>
      <c r="CM39" s="17">
        <f>IF(AND(88&gt;=$B$14,88&lt;=$D$14),1,0)</f>
        <v/>
      </c>
      <c r="CN39" s="17">
        <f>IF(AND(89&gt;=$B$14,89&lt;=$D$14),1,0)</f>
        <v/>
      </c>
      <c r="CO39" s="17">
        <f>IF(AND(90&gt;=$B$14,90&lt;=$D$14),1,0)</f>
        <v/>
      </c>
      <c r="CP39" s="17">
        <f>IF(AND(91&gt;=$B$14,91&lt;=$D$14),1,0)</f>
        <v/>
      </c>
      <c r="CQ39" s="17">
        <f>IF(AND(92&gt;=$B$14,92&lt;=$D$14),1,0)</f>
        <v/>
      </c>
      <c r="CR39" s="17">
        <f>IF(AND(93&gt;=$B$14,93&lt;=$D$14),1,0)</f>
        <v/>
      </c>
      <c r="CS39" s="17">
        <f>IF(AND(94&gt;=$B$14,94&lt;=$D$14),1,0)</f>
        <v/>
      </c>
      <c r="CT39" s="17">
        <f>IF(AND(95&gt;=$B$14,95&lt;=$D$14),1,0)</f>
        <v/>
      </c>
      <c r="CU39" s="17">
        <f>IF(AND(96&gt;=$B$14,96&lt;=$D$14),1,0)</f>
        <v/>
      </c>
      <c r="CV39" s="17">
        <f>IF(AND(97&gt;=$B$14,97&lt;=$D$14),1,0)</f>
        <v/>
      </c>
      <c r="CW39" s="17">
        <f>IF(AND(98&gt;=$B$14,98&lt;=$D$14),1,0)</f>
        <v/>
      </c>
      <c r="CX39" s="17">
        <f>IF(AND(99&gt;=$B$14,99&lt;=$D$14),1,0)</f>
        <v/>
      </c>
      <c r="CY39" s="17">
        <f>IF(AND(100&gt;=$B$14,100&lt;=$D$14),1,0)</f>
        <v/>
      </c>
      <c r="CZ39" s="17">
        <f>IF(AND(101&gt;=$B$14,101&lt;=$D$14),1,0)</f>
        <v/>
      </c>
      <c r="DA39" s="17">
        <f>IF(AND(102&gt;=$B$14,102&lt;=$D$14),1,0)</f>
        <v/>
      </c>
      <c r="DB39" s="17">
        <f>IF(AND(103&gt;=$B$14,103&lt;=$D$14),1,0)</f>
        <v/>
      </c>
      <c r="DC39" s="17">
        <f>IF(AND(104&gt;=$B$14,104&lt;=$D$14),1,0)</f>
        <v/>
      </c>
      <c r="DD39" s="17">
        <f>IF(AND(105&gt;=$B$14,105&lt;=$D$14),1,0)</f>
        <v/>
      </c>
      <c r="DE39" s="17">
        <f>IF(AND(106&gt;=$B$14,106&lt;=$D$14),1,0)</f>
        <v/>
      </c>
      <c r="DF39" s="17">
        <f>IF(AND(107&gt;=$B$14,107&lt;=$D$14),1,0)</f>
        <v/>
      </c>
      <c r="DG39" s="17">
        <f>IF(AND(108&gt;=$B$14,108&lt;=$D$14),1,0)</f>
        <v/>
      </c>
      <c r="DH39" s="17">
        <f>IF(AND(109&gt;=$B$14,109&lt;=$D$14),1,0)</f>
        <v/>
      </c>
      <c r="DI39" s="17">
        <f>IF(AND(110&gt;=$B$14,110&lt;=$D$14),1,0)</f>
        <v/>
      </c>
      <c r="DJ39" s="17">
        <f>IF(AND(111&gt;=$B$14,111&lt;=$D$14),1,0)</f>
        <v/>
      </c>
      <c r="DK39" s="17">
        <f>IF(AND(112&gt;=$B$14,112&lt;=$D$14),1,0)</f>
        <v/>
      </c>
      <c r="DL39" s="17">
        <f>IF(AND(113&gt;=$B$14,113&lt;=$D$14),1,0)</f>
        <v/>
      </c>
      <c r="DM39" s="17">
        <f>IF(AND(114&gt;=$B$14,114&lt;=$D$14),1,0)</f>
        <v/>
      </c>
      <c r="DN39" s="17">
        <f>IF(AND(115&gt;=$B$14,115&lt;=$D$14),1,0)</f>
        <v/>
      </c>
      <c r="DO39" s="17">
        <f>IF(AND(116&gt;=$B$14,116&lt;=$D$14),1,0)</f>
        <v/>
      </c>
      <c r="DP39" s="17">
        <f>IF(AND(117&gt;=$B$14,117&lt;=$D$14),1,0)</f>
        <v/>
      </c>
      <c r="DQ39" s="17">
        <f>IF(AND(118&gt;=$B$14,118&lt;=$D$14),1,0)</f>
        <v/>
      </c>
      <c r="DR39" s="17">
        <f>IF(AND(119&gt;=$B$14,119&lt;=$D$14),1,0)</f>
        <v/>
      </c>
      <c r="DS39" s="17">
        <f>IF(AND(120&gt;=$B$14,120&lt;=$D$14),1,0)</f>
        <v/>
      </c>
      <c r="DT39" s="17">
        <f>IF(AND(121&gt;=$B$14,121&lt;=$D$14),1,0)</f>
        <v/>
      </c>
      <c r="DU39" s="17">
        <f>IF(AND(122&gt;=$B$14,122&lt;=$D$14),1,0)</f>
        <v/>
      </c>
      <c r="DV39" s="17">
        <f>IF(AND(123&gt;=$B$14,123&lt;=$D$14),1,0)</f>
        <v/>
      </c>
      <c r="DW39" s="17">
        <f>IF(AND(124&gt;=$B$14,124&lt;=$D$14),1,0)</f>
        <v/>
      </c>
      <c r="DX39" s="17">
        <f>IF(AND(125&gt;=$B$14,125&lt;=$D$14),1,0)</f>
        <v/>
      </c>
      <c r="DY39" s="17">
        <f>IF(AND(126&gt;=$B$14,126&lt;=$D$14),1,0)</f>
        <v/>
      </c>
      <c r="DZ39" s="17">
        <f>IF(AND(127&gt;=$B$14,127&lt;=$D$14),1,0)</f>
        <v/>
      </c>
      <c r="EA39" s="17">
        <f>IF(AND(128&gt;=$B$14,128&lt;=$D$14),1,0)</f>
        <v/>
      </c>
      <c r="EB39" s="17">
        <f>IF(AND(129&gt;=$B$14,129&lt;=$D$14),1,0)</f>
        <v/>
      </c>
      <c r="EC39" s="17">
        <f>IF(AND(130&gt;=$B$14,130&lt;=$D$14),1,0)</f>
        <v/>
      </c>
      <c r="ED39" s="17">
        <f>IF(AND(131&gt;=$B$14,131&lt;=$D$14),1,0)</f>
        <v/>
      </c>
      <c r="EE39" s="17">
        <f>IF(AND(132&gt;=$B$14,132&lt;=$D$14),1,0)</f>
        <v/>
      </c>
      <c r="EF39" s="17">
        <f>IF(AND(133&gt;=$B$14,133&lt;=$D$14),1,0)</f>
        <v/>
      </c>
      <c r="EG39" s="17">
        <f>IF(AND(134&gt;=$B$14,134&lt;=$D$14),1,0)</f>
        <v/>
      </c>
      <c r="EH39" s="17">
        <f>IF(AND(135&gt;=$B$14,135&lt;=$D$14),1,0)</f>
        <v/>
      </c>
      <c r="EI39" s="17">
        <f>IF(AND(136&gt;=$B$14,136&lt;=$D$14),1,0)</f>
        <v/>
      </c>
      <c r="EJ39" s="17">
        <f>IF(AND(137&gt;=$B$14,137&lt;=$D$14),1,0)</f>
        <v/>
      </c>
      <c r="EK39" s="17">
        <f>IF(AND(138&gt;=$B$14,138&lt;=$D$14),1,0)</f>
        <v/>
      </c>
      <c r="EL39" s="17">
        <f>IF(AND(139&gt;=$B$14,139&lt;=$D$14),1,0)</f>
        <v/>
      </c>
      <c r="EM39" s="17">
        <f>IF(AND(140&gt;=$B$14,140&lt;=$D$14),1,0)</f>
        <v/>
      </c>
      <c r="EN39" s="17">
        <f>IF(AND(141&gt;=$B$14,141&lt;=$D$14),1,0)</f>
        <v/>
      </c>
      <c r="EO39" s="17">
        <f>IF(AND(142&gt;=$B$14,142&lt;=$D$14),1,0)</f>
        <v/>
      </c>
      <c r="EP39" s="17">
        <f>IF(AND(143&gt;=$B$14,143&lt;=$D$14),1,0)</f>
        <v/>
      </c>
      <c r="EQ39" s="17">
        <f>IF(AND(144&gt;=$B$14,144&lt;=$D$14),1,0)</f>
        <v/>
      </c>
      <c r="ER39" s="17">
        <f>IF(AND(145&gt;=$B$14,145&lt;=$D$14),1,0)</f>
        <v/>
      </c>
      <c r="ES39" s="17">
        <f>IF(AND(146&gt;=$B$14,146&lt;=$D$14),1,0)</f>
        <v/>
      </c>
      <c r="ET39" s="17">
        <f>IF(AND(147&gt;=$B$14,147&lt;=$D$14),1,0)</f>
        <v/>
      </c>
      <c r="EU39" s="17">
        <f>IF(AND(148&gt;=$B$14,148&lt;=$D$14),1,0)</f>
        <v/>
      </c>
      <c r="EV39" s="17">
        <f>IF(AND(149&gt;=$B$14,149&lt;=$D$14),1,0)</f>
        <v/>
      </c>
      <c r="EW39" s="17">
        <f>IF(AND(150&gt;=$B$14,150&lt;=$D$14),1,0)</f>
        <v/>
      </c>
      <c r="EX39" s="17">
        <f>IF(AND(151&gt;=$B$14,151&lt;=$D$14),1,0)</f>
        <v/>
      </c>
      <c r="EY39" s="17">
        <f>IF(AND(152&gt;=$B$14,152&lt;=$D$14),1,0)</f>
        <v/>
      </c>
      <c r="EZ39" s="17">
        <f>IF(AND(153&gt;=$B$14,153&lt;=$D$14),1,0)</f>
        <v/>
      </c>
      <c r="FA39" s="17">
        <f>IF(AND(154&gt;=$B$14,154&lt;=$D$14),1,0)</f>
        <v/>
      </c>
      <c r="FB39" s="17">
        <f>IF(AND(155&gt;=$B$14,155&lt;=$D$14),1,0)</f>
        <v/>
      </c>
      <c r="FC39" s="17">
        <f>IF(AND(156&gt;=$B$14,156&lt;=$D$14),1,0)</f>
        <v/>
      </c>
      <c r="FD39" s="17">
        <f>IF(AND(157&gt;=$B$14,157&lt;=$D$14),1,0)</f>
        <v/>
      </c>
      <c r="FE39" s="17">
        <f>IF(AND(158&gt;=$B$14,158&lt;=$D$14),1,0)</f>
        <v/>
      </c>
      <c r="FF39" s="17">
        <f>IF(AND(159&gt;=$B$14,159&lt;=$D$14),1,0)</f>
        <v/>
      </c>
      <c r="FG39" s="17">
        <f>IF(AND(160&gt;=$B$14,160&lt;=$D$14),1,0)</f>
        <v/>
      </c>
      <c r="FH39" s="17">
        <f>IF(AND(161&gt;=$B$14,161&lt;=$D$14),1,0)</f>
        <v/>
      </c>
      <c r="FI39" s="17">
        <f>IF(AND(162&gt;=$B$14,162&lt;=$D$14),1,0)</f>
        <v/>
      </c>
      <c r="FJ39" s="17">
        <f>IF(AND(163&gt;=$B$14,163&lt;=$D$14),1,0)</f>
        <v/>
      </c>
      <c r="FK39" s="17">
        <f>IF(AND(164&gt;=$B$14,164&lt;=$D$14),1,0)</f>
        <v/>
      </c>
      <c r="FL39" s="17">
        <f>IF(AND(165&gt;=$B$14,165&lt;=$D$14),1,0)</f>
        <v/>
      </c>
      <c r="FM39" s="17">
        <f>IF(AND(166&gt;=$B$14,166&lt;=$D$14),1,0)</f>
        <v/>
      </c>
      <c r="FN39" s="17">
        <f>IF(AND(167&gt;=$B$14,167&lt;=$D$14),1,0)</f>
        <v/>
      </c>
      <c r="FO39" s="17">
        <f>IF(AND(168&gt;=$B$14,168&lt;=$D$14),1,0)</f>
        <v/>
      </c>
      <c r="FP39" s="17">
        <f>IF(AND(169&gt;=$B$14,169&lt;=$D$14),1,0)</f>
        <v/>
      </c>
      <c r="FQ39" s="17">
        <f>IF(AND(170&gt;=$B$14,170&lt;=$D$14),1,0)</f>
        <v/>
      </c>
      <c r="FR39" s="17">
        <f>IF(AND(171&gt;=$B$14,171&lt;=$D$14),1,0)</f>
        <v/>
      </c>
      <c r="FS39" s="17">
        <f>IF(AND(172&gt;=$B$14,172&lt;=$D$14),1,0)</f>
        <v/>
      </c>
      <c r="FT39" s="17">
        <f>IF(AND(173&gt;=$B$14,173&lt;=$D$14),1,0)</f>
        <v/>
      </c>
      <c r="FU39" s="17">
        <f>IF(AND(174&gt;=$B$14,174&lt;=$D$14),1,0)</f>
        <v/>
      </c>
      <c r="FV39" s="17">
        <f>IF(AND(175&gt;=$B$14,175&lt;=$D$14),1,0)</f>
        <v/>
      </c>
      <c r="FW39" s="17">
        <f>IF(AND(176&gt;=$B$14,176&lt;=$D$14),1,0)</f>
        <v/>
      </c>
      <c r="FX39" s="17">
        <f>IF(AND(177&gt;=$B$14,177&lt;=$D$14),1,0)</f>
        <v/>
      </c>
      <c r="FY39" s="17">
        <f>IF(AND(178&gt;=$B$14,178&lt;=$D$14),1,0)</f>
        <v/>
      </c>
      <c r="FZ39" s="17">
        <f>IF(AND(179&gt;=$B$14,179&lt;=$D$14),1,0)</f>
        <v/>
      </c>
      <c r="GA39" s="17">
        <f>IF(AND(180&gt;=$B$14,180&lt;=$D$14),1,0)</f>
        <v/>
      </c>
      <c r="GB39" s="17">
        <f>IF(AND(181&gt;=$B$14,181&lt;=$D$14),1,0)</f>
        <v/>
      </c>
      <c r="GC39" s="17">
        <f>IF(AND(182&gt;=$B$14,182&lt;=$D$14),1,0)</f>
        <v/>
      </c>
      <c r="GD39" s="17">
        <f>IF(AND(183&gt;=$B$14,183&lt;=$D$14),1,0)</f>
        <v/>
      </c>
      <c r="GE39" s="17">
        <f>IF(AND(184&gt;=$B$14,184&lt;=$D$14),1,0)</f>
        <v/>
      </c>
      <c r="GF39" s="17">
        <f>IF(AND(185&gt;=$B$14,185&lt;=$D$14),1,0)</f>
        <v/>
      </c>
      <c r="GG39" s="17">
        <f>IF(AND(186&gt;=$B$14,186&lt;=$D$14),1,0)</f>
        <v/>
      </c>
      <c r="GH39" s="17">
        <f>IF(AND(187&gt;=$B$14,187&lt;=$D$14),1,0)</f>
        <v/>
      </c>
      <c r="GI39" s="17">
        <f>IF(AND(188&gt;=$B$14,188&lt;=$D$14),1,0)</f>
        <v/>
      </c>
      <c r="GJ39" s="17">
        <f>IF(AND(189&gt;=$B$14,189&lt;=$D$14),1,0)</f>
        <v/>
      </c>
      <c r="GK39" s="17">
        <f>IF(AND(190&gt;=$B$14,190&lt;=$D$14),1,0)</f>
        <v/>
      </c>
      <c r="GL39" s="17">
        <f>IF(AND(191&gt;=$B$14,191&lt;=$D$14),1,0)</f>
        <v/>
      </c>
      <c r="GM39" s="17">
        <f>IF(AND(192&gt;=$B$14,192&lt;=$D$14),1,0)</f>
        <v/>
      </c>
      <c r="GN39" s="17">
        <f>IF(AND(193&gt;=$B$14,193&lt;=$D$14),1,0)</f>
        <v/>
      </c>
      <c r="GO39" s="17">
        <f>IF(AND(194&gt;=$B$14,194&lt;=$D$14),1,0)</f>
        <v/>
      </c>
      <c r="GP39" s="17">
        <f>IF(AND(195&gt;=$B$14,195&lt;=$D$14),1,0)</f>
        <v/>
      </c>
      <c r="GQ39" s="17">
        <f>IF(AND(196&gt;=$B$14,196&lt;=$D$14),1,0)</f>
        <v/>
      </c>
      <c r="GR39" s="17">
        <f>IF(AND(197&gt;=$B$14,197&lt;=$D$14),1,0)</f>
        <v/>
      </c>
      <c r="GS39" s="17">
        <f>IF(AND(198&gt;=$B$14,198&lt;=$D$14),1,0)</f>
        <v/>
      </c>
      <c r="GT39" s="17">
        <f>IF(AND(199&gt;=$B$14,199&lt;=$D$14),1,0)</f>
        <v/>
      </c>
      <c r="GU39" s="17">
        <f>IF(AND(200&gt;=$B$14,200&lt;=$D$14),1,0)</f>
        <v/>
      </c>
      <c r="GV39" s="17">
        <f>IF(AND(201&gt;=$B$14,201&lt;=$D$14),1,0)</f>
        <v/>
      </c>
      <c r="GW39" s="17">
        <f>IF(AND(202&gt;=$B$14,202&lt;=$D$14),1,0)</f>
        <v/>
      </c>
      <c r="GX39" s="17">
        <f>IF(AND(203&gt;=$B$14,203&lt;=$D$14),1,0)</f>
        <v/>
      </c>
      <c r="GY39" s="17">
        <f>IF(AND(204&gt;=$B$14,204&lt;=$D$14),1,0)</f>
        <v/>
      </c>
      <c r="GZ39" s="17">
        <f>IF(AND(205&gt;=$B$14,205&lt;=$D$14),1,0)</f>
        <v/>
      </c>
      <c r="HA39" s="17">
        <f>IF(AND(206&gt;=$B$14,206&lt;=$D$14),1,0)</f>
        <v/>
      </c>
      <c r="HB39" s="17">
        <f>IF(AND(207&gt;=$B$14,207&lt;=$D$14),1,0)</f>
        <v/>
      </c>
      <c r="HC39" s="17">
        <f>IF(AND(208&gt;=$B$14,208&lt;=$D$14),1,0)</f>
        <v/>
      </c>
      <c r="HD39" s="17">
        <f>IF(AND(209&gt;=$B$14,209&lt;=$D$14),1,0)</f>
        <v/>
      </c>
      <c r="HE39" s="17">
        <f>IF(AND(210&gt;=$B$14,210&lt;=$D$14),1,0)</f>
        <v/>
      </c>
      <c r="HF39" s="17">
        <f>IF(AND(211&gt;=$B$14,211&lt;=$D$14),1,0)</f>
        <v/>
      </c>
      <c r="HG39" s="17">
        <f>IF(AND(212&gt;=$B$14,212&lt;=$D$14),1,0)</f>
        <v/>
      </c>
      <c r="HH39" s="17">
        <f>IF(AND(213&gt;=$B$14,213&lt;=$D$14),1,0)</f>
        <v/>
      </c>
      <c r="HI39" s="17">
        <f>IF(AND(214&gt;=$B$14,214&lt;=$D$14),1,0)</f>
        <v/>
      </c>
      <c r="HJ39" s="17">
        <f>IF(AND(215&gt;=$B$14,215&lt;=$D$14),1,0)</f>
        <v/>
      </c>
      <c r="HK39" s="17">
        <f>IF(AND(216&gt;=$B$14,216&lt;=$D$14),1,0)</f>
        <v/>
      </c>
      <c r="HL39" s="17">
        <f>IF(AND(217&gt;=$B$14,217&lt;=$D$14),1,0)</f>
        <v/>
      </c>
      <c r="HM39" s="17">
        <f>IF(AND(218&gt;=$B$14,218&lt;=$D$14),1,0)</f>
        <v/>
      </c>
      <c r="HN39" s="17">
        <f>IF(AND(219&gt;=$B$14,219&lt;=$D$14),1,0)</f>
        <v/>
      </c>
      <c r="HO39" s="17">
        <f>IF(AND(220&gt;=$B$14,220&lt;=$D$14),1,0)</f>
        <v/>
      </c>
      <c r="HP39" s="17">
        <f>IF(AND(221&gt;=$B$14,221&lt;=$D$14),1,0)</f>
        <v/>
      </c>
      <c r="HQ39" s="17">
        <f>IF(AND(222&gt;=$B$14,222&lt;=$D$14),1,0)</f>
        <v/>
      </c>
      <c r="HR39" s="17">
        <f>IF(AND(223&gt;=$B$14,223&lt;=$D$14),1,0)</f>
        <v/>
      </c>
      <c r="HS39" s="17">
        <f>IF(AND(224&gt;=$B$14,224&lt;=$D$14),1,0)</f>
        <v/>
      </c>
      <c r="HT39" s="17">
        <f>IF(AND(225&gt;=$B$14,225&lt;=$D$14),1,0)</f>
        <v/>
      </c>
      <c r="HU39" s="17">
        <f>IF(AND(226&gt;=$B$14,226&lt;=$D$14),1,0)</f>
        <v/>
      </c>
      <c r="HV39" s="17">
        <f>IF(AND(227&gt;=$B$14,227&lt;=$D$14),1,0)</f>
        <v/>
      </c>
      <c r="HW39" s="17">
        <f>IF(AND(228&gt;=$B$14,228&lt;=$D$14),1,0)</f>
        <v/>
      </c>
      <c r="HX39" s="17">
        <f>IF(AND(229&gt;=$B$14,229&lt;=$D$14),1,0)</f>
        <v/>
      </c>
      <c r="HY39" s="17">
        <f>IF(AND(230&gt;=$B$14,230&lt;=$D$14),1,0)</f>
        <v/>
      </c>
      <c r="HZ39" s="17">
        <f>IF(AND(231&gt;=$B$14,231&lt;=$D$14),1,0)</f>
        <v/>
      </c>
      <c r="IA39" s="17">
        <f>IF(AND(232&gt;=$B$14,232&lt;=$D$14),1,0)</f>
        <v/>
      </c>
      <c r="IB39" s="17">
        <f>IF(AND(233&gt;=$B$14,233&lt;=$D$14),1,0)</f>
        <v/>
      </c>
      <c r="IC39" s="17">
        <f>IF(AND(234&gt;=$B$14,234&lt;=$D$14),1,0)</f>
        <v/>
      </c>
      <c r="ID39" s="17">
        <f>IF(AND(235&gt;=$B$14,235&lt;=$D$14),1,0)</f>
        <v/>
      </c>
      <c r="IE39" s="17">
        <f>IF(AND(236&gt;=$B$14,236&lt;=$D$14),1,0)</f>
        <v/>
      </c>
      <c r="IF39" s="17">
        <f>IF(AND(237&gt;=$B$14,237&lt;=$D$14),1,0)</f>
        <v/>
      </c>
      <c r="IG39" s="17">
        <f>IF(AND(238&gt;=$B$14,238&lt;=$D$14),1,0)</f>
        <v/>
      </c>
      <c r="IH39" s="17">
        <f>IF(AND(239&gt;=$B$14,239&lt;=$D$14),1,0)</f>
        <v/>
      </c>
      <c r="II39" s="17">
        <f>IF(AND(240&gt;=$B$14,240&lt;=$D$14),1,0)</f>
        <v/>
      </c>
      <c r="IJ39" s="17">
        <f>IF(AND(241&gt;=$B$14,241&lt;=$D$14),1,0)</f>
        <v/>
      </c>
      <c r="IK39" s="17">
        <f>IF(AND(242&gt;=$B$14,242&lt;=$D$14),1,0)</f>
        <v/>
      </c>
      <c r="IL39" s="17">
        <f>IF(AND(243&gt;=$B$14,243&lt;=$D$14),1,0)</f>
        <v/>
      </c>
      <c r="IM39" s="17">
        <f>IF(AND(244&gt;=$B$14,244&lt;=$D$14),1,0)</f>
        <v/>
      </c>
      <c r="IN39" s="17">
        <f>IF(AND(245&gt;=$B$14,245&lt;=$D$14),1,0)</f>
        <v/>
      </c>
      <c r="IO39" s="17">
        <f>IF(AND(246&gt;=$B$14,246&lt;=$D$14),1,0)</f>
        <v/>
      </c>
      <c r="IP39" s="17">
        <f>IF(AND(247&gt;=$B$14,247&lt;=$D$14),1,0)</f>
        <v/>
      </c>
      <c r="IQ39" s="17">
        <f>IF(AND(248&gt;=$B$14,248&lt;=$D$14),1,0)</f>
        <v/>
      </c>
      <c r="IR39" s="17">
        <f>IF(AND(249&gt;=$B$14,249&lt;=$D$14),1,0)</f>
        <v/>
      </c>
      <c r="IS39" s="17">
        <f>IF(AND(250&gt;=$B$14,250&lt;=$D$14),1,0)</f>
        <v/>
      </c>
      <c r="IT39" s="17">
        <f>IF(AND(251&gt;=$B$14,251&lt;=$D$14),1,0)</f>
        <v/>
      </c>
      <c r="IU39" s="17">
        <f>IF(AND(252&gt;=$B$14,252&lt;=$D$14),1,0)</f>
        <v/>
      </c>
      <c r="IV39" s="17">
        <f>IF(AND(253&gt;=$B$14,253&lt;=$D$14),1,0)</f>
        <v/>
      </c>
      <c r="IW39" s="17">
        <f>IF(AND(254&gt;=$B$14,254&lt;=$D$14),1,0)</f>
        <v/>
      </c>
      <c r="IX39" s="17">
        <f>IF(AND(255&gt;=$B$14,255&lt;=$D$14),1,0)</f>
        <v/>
      </c>
      <c r="IY39" s="17">
        <f>IF(AND(256&gt;=$B$14,256&lt;=$D$14),1,0)</f>
        <v/>
      </c>
      <c r="IZ39" s="17">
        <f>IF(AND(257&gt;=$B$14,257&lt;=$D$14),1,0)</f>
        <v/>
      </c>
      <c r="JA39" s="17">
        <f>IF(AND(258&gt;=$B$14,258&lt;=$D$14),1,0)</f>
        <v/>
      </c>
      <c r="JB39" s="17">
        <f>IF(AND(259&gt;=$B$14,259&lt;=$D$14),1,0)</f>
        <v/>
      </c>
      <c r="JC39" s="17">
        <f>IF(AND(260&gt;=$B$14,260&lt;=$D$14),1,0)</f>
        <v/>
      </c>
      <c r="JD39" s="17">
        <f>IF(AND(261&gt;=$B$14,261&lt;=$D$14),1,0)</f>
        <v/>
      </c>
      <c r="JE39" s="17">
        <f>IF(AND(262&gt;=$B$14,262&lt;=$D$14),1,0)</f>
        <v/>
      </c>
      <c r="JF39" s="17">
        <f>IF(AND(263&gt;=$B$14,263&lt;=$D$14),1,0)</f>
        <v/>
      </c>
      <c r="JG39" s="17">
        <f>IF(AND(264&gt;=$B$14,264&lt;=$D$14),1,0)</f>
        <v/>
      </c>
      <c r="JH39" s="17">
        <f>IF(AND(265&gt;=$B$14,265&lt;=$D$14),1,0)</f>
        <v/>
      </c>
      <c r="JI39" s="17">
        <f>IF(AND(266&gt;=$B$14,266&lt;=$D$14),1,0)</f>
        <v/>
      </c>
      <c r="JJ39" s="17">
        <f>IF(AND(267&gt;=$B$14,267&lt;=$D$14),1,0)</f>
        <v/>
      </c>
      <c r="JK39" s="17">
        <f>IF(AND(268&gt;=$B$14,268&lt;=$D$14),1,0)</f>
        <v/>
      </c>
      <c r="JL39" s="17">
        <f>IF(AND(269&gt;=$B$14,269&lt;=$D$14),1,0)</f>
        <v/>
      </c>
      <c r="JM39" s="17">
        <f>IF(AND(270&gt;=$B$14,270&lt;=$D$14),1,0)</f>
        <v/>
      </c>
      <c r="JN39" s="17">
        <f>IF(AND(271&gt;=$B$14,271&lt;=$D$14),1,0)</f>
        <v/>
      </c>
      <c r="JO39" s="17">
        <f>IF(AND(272&gt;=$B$14,272&lt;=$D$14),1,0)</f>
        <v/>
      </c>
      <c r="JP39" s="17">
        <f>IF(AND(273&gt;=$B$14,273&lt;=$D$14),1,0)</f>
        <v/>
      </c>
      <c r="JQ39" s="17">
        <f>IF(AND(274&gt;=$B$14,274&lt;=$D$14),1,0)</f>
        <v/>
      </c>
      <c r="JR39" s="17">
        <f>IF(AND(275&gt;=$B$14,275&lt;=$D$14),1,0)</f>
        <v/>
      </c>
      <c r="JS39" s="17">
        <f>IF(AND(276&gt;=$B$14,276&lt;=$D$14),1,0)</f>
        <v/>
      </c>
      <c r="JT39" s="17">
        <f>IF(AND(277&gt;=$B$14,277&lt;=$D$14),1,0)</f>
        <v/>
      </c>
      <c r="JU39" s="17">
        <f>IF(AND(278&gt;=$B$14,278&lt;=$D$14),1,0)</f>
        <v/>
      </c>
      <c r="JV39" s="17">
        <f>IF(AND(279&gt;=$B$14,279&lt;=$D$14),1,0)</f>
        <v/>
      </c>
      <c r="JW39" s="17">
        <f>IF(AND(280&gt;=$B$14,280&lt;=$D$14),1,0)</f>
        <v/>
      </c>
      <c r="JX39" s="17">
        <f>IF(AND(281&gt;=$B$14,281&lt;=$D$14),1,0)</f>
        <v/>
      </c>
      <c r="JY39" s="17">
        <f>IF(AND(282&gt;=$B$14,282&lt;=$D$14),1,0)</f>
        <v/>
      </c>
      <c r="JZ39" s="17">
        <f>IF(AND(283&gt;=$B$14,283&lt;=$D$14),1,0)</f>
        <v/>
      </c>
      <c r="KA39" s="17">
        <f>IF(AND(284&gt;=$B$14,284&lt;=$D$14),1,0)</f>
        <v/>
      </c>
      <c r="KB39" s="17">
        <f>IF(AND(285&gt;=$B$14,285&lt;=$D$14),1,0)</f>
        <v/>
      </c>
      <c r="KC39" s="17">
        <f>IF(AND(286&gt;=$B$14,286&lt;=$D$14),1,0)</f>
        <v/>
      </c>
      <c r="KD39" s="17">
        <f>IF(AND(287&gt;=$B$14,287&lt;=$D$14),1,0)</f>
        <v/>
      </c>
      <c r="KE39" s="17">
        <f>IF(AND(288&gt;=$B$14,288&lt;=$D$14),1,0)</f>
        <v/>
      </c>
      <c r="KF39" s="17">
        <f>IF(AND(289&gt;=$B$14,289&lt;=$D$14),1,0)</f>
        <v/>
      </c>
      <c r="KG39" s="17">
        <f>IF(AND(290&gt;=$B$14,290&lt;=$D$14),1,0)</f>
        <v/>
      </c>
      <c r="KH39" s="17">
        <f>IF(AND(291&gt;=$B$14,291&lt;=$D$14),1,0)</f>
        <v/>
      </c>
      <c r="KI39" s="17">
        <f>IF(AND(292&gt;=$B$14,292&lt;=$D$14),1,0)</f>
        <v/>
      </c>
      <c r="KJ39" s="17">
        <f>IF(AND(293&gt;=$B$14,293&lt;=$D$14),1,0)</f>
        <v/>
      </c>
      <c r="KK39" s="17">
        <f>IF(AND(294&gt;=$B$14,294&lt;=$D$14),1,0)</f>
        <v/>
      </c>
      <c r="KL39" s="17">
        <f>IF(AND(295&gt;=$B$14,295&lt;=$D$14),1,0)</f>
        <v/>
      </c>
      <c r="KM39" s="17">
        <f>IF(AND(296&gt;=$B$14,296&lt;=$D$14),1,0)</f>
        <v/>
      </c>
      <c r="KN39" s="17">
        <f>IF(AND(297&gt;=$B$14,297&lt;=$D$14),1,0)</f>
        <v/>
      </c>
      <c r="KO39" s="17">
        <f>IF(AND(298&gt;=$B$14,298&lt;=$D$14),1,0)</f>
        <v/>
      </c>
      <c r="KP39" s="17">
        <f>IF(AND(299&gt;=$B$14,299&lt;=$D$14),1,0)</f>
        <v/>
      </c>
      <c r="KQ39" s="17">
        <f>IF(AND(300&gt;=$B$14,300&lt;=$D$14),1,0)</f>
        <v/>
      </c>
      <c r="KR39" s="17">
        <f>IF(AND(301&gt;=$B$14,301&lt;=$D$14),1,0)</f>
        <v/>
      </c>
      <c r="KS39" s="17">
        <f>IF(AND(302&gt;=$B$14,302&lt;=$D$14),1,0)</f>
        <v/>
      </c>
      <c r="KT39" s="17">
        <f>IF(AND(303&gt;=$B$14,303&lt;=$D$14),1,0)</f>
        <v/>
      </c>
      <c r="KU39" s="17">
        <f>IF(AND(304&gt;=$B$14,304&lt;=$D$14),1,0)</f>
        <v/>
      </c>
      <c r="KV39" s="17">
        <f>IF(AND(305&gt;=$B$14,305&lt;=$D$14),1,0)</f>
        <v/>
      </c>
      <c r="KW39" s="17">
        <f>IF(AND(306&gt;=$B$14,306&lt;=$D$14),1,0)</f>
        <v/>
      </c>
      <c r="KX39" s="17">
        <f>IF(AND(307&gt;=$B$14,307&lt;=$D$14),1,0)</f>
        <v/>
      </c>
      <c r="KY39" s="17">
        <f>IF(AND(308&gt;=$B$14,308&lt;=$D$14),1,0)</f>
        <v/>
      </c>
      <c r="KZ39" s="17">
        <f>IF(AND(309&gt;=$B$14,309&lt;=$D$14),1,0)</f>
        <v/>
      </c>
      <c r="LA39" s="17">
        <f>IF(AND(310&gt;=$B$14,310&lt;=$D$14),1,0)</f>
        <v/>
      </c>
      <c r="LB39" s="17">
        <f>IF(AND(311&gt;=$B$14,311&lt;=$D$14),1,0)</f>
        <v/>
      </c>
      <c r="LC39" s="17">
        <f>IF(AND(312&gt;=$B$14,312&lt;=$D$14),1,0)</f>
        <v/>
      </c>
      <c r="LD39" s="17">
        <f>IF(AND(313&gt;=$B$14,313&lt;=$D$14),1,0)</f>
        <v/>
      </c>
      <c r="LE39" s="17">
        <f>IF(AND(314&gt;=$B$14,314&lt;=$D$14),1,0)</f>
        <v/>
      </c>
      <c r="LF39" s="17">
        <f>IF(AND(315&gt;=$B$14,315&lt;=$D$14),1,0)</f>
        <v/>
      </c>
      <c r="LG39" s="17">
        <f>IF(AND(316&gt;=$B$14,316&lt;=$D$14),1,0)</f>
        <v/>
      </c>
      <c r="LH39" s="17">
        <f>IF(AND(317&gt;=$B$14,317&lt;=$D$14),1,0)</f>
        <v/>
      </c>
      <c r="LI39" s="17">
        <f>IF(AND(318&gt;=$B$14,318&lt;=$D$14),1,0)</f>
        <v/>
      </c>
      <c r="LJ39" s="17">
        <f>IF(AND(319&gt;=$B$14,319&lt;=$D$14),1,0)</f>
        <v/>
      </c>
      <c r="LK39" s="17">
        <f>IF(AND(320&gt;=$B$14,320&lt;=$D$14),1,0)</f>
        <v/>
      </c>
      <c r="LL39" s="17">
        <f>IF(AND(321&gt;=$B$14,321&lt;=$D$14),1,0)</f>
        <v/>
      </c>
      <c r="LM39" s="17">
        <f>IF(AND(322&gt;=$B$14,322&lt;=$D$14),1,0)</f>
        <v/>
      </c>
      <c r="LN39" s="17">
        <f>IF(AND(323&gt;=$B$14,323&lt;=$D$14),1,0)</f>
        <v/>
      </c>
      <c r="LO39" s="17">
        <f>IF(AND(324&gt;=$B$14,324&lt;=$D$14),1,0)</f>
        <v/>
      </c>
      <c r="LP39" s="17">
        <f>IF(AND(325&gt;=$B$14,325&lt;=$D$14),1,0)</f>
        <v/>
      </c>
      <c r="LQ39" s="17">
        <f>IF(AND(326&gt;=$B$14,326&lt;=$D$14),1,0)</f>
        <v/>
      </c>
      <c r="LR39" s="17">
        <f>IF(AND(327&gt;=$B$14,327&lt;=$D$14),1,0)</f>
        <v/>
      </c>
      <c r="LS39" s="17">
        <f>IF(AND(328&gt;=$B$14,328&lt;=$D$14),1,0)</f>
        <v/>
      </c>
      <c r="LT39" s="17">
        <f>IF(AND(329&gt;=$B$14,329&lt;=$D$14),1,0)</f>
        <v/>
      </c>
      <c r="LU39" s="17">
        <f>IF(AND(330&gt;=$B$14,330&lt;=$D$14),1,0)</f>
        <v/>
      </c>
      <c r="LV39" s="17">
        <f>IF(AND(331&gt;=$B$14,331&lt;=$D$14),1,0)</f>
        <v/>
      </c>
      <c r="LW39" s="17">
        <f>IF(AND(332&gt;=$B$14,332&lt;=$D$14),1,0)</f>
        <v/>
      </c>
      <c r="LX39" s="17">
        <f>IF(AND(333&gt;=$B$14,333&lt;=$D$14),1,0)</f>
        <v/>
      </c>
      <c r="LY39" s="17">
        <f>IF(AND(334&gt;=$B$14,334&lt;=$D$14),1,0)</f>
        <v/>
      </c>
      <c r="LZ39" s="17">
        <f>IF(AND(335&gt;=$B$14,335&lt;=$D$14),1,0)</f>
        <v/>
      </c>
      <c r="MA39" s="17">
        <f>IF(AND(336&gt;=$B$14,336&lt;=$D$14),1,0)</f>
        <v/>
      </c>
      <c r="MB39" s="17">
        <f>IF(AND(337&gt;=$B$14,337&lt;=$D$14),1,0)</f>
        <v/>
      </c>
      <c r="MC39" s="17">
        <f>IF(AND(338&gt;=$B$14,338&lt;=$D$14),1,0)</f>
        <v/>
      </c>
      <c r="MD39" s="17">
        <f>IF(AND(339&gt;=$B$14,339&lt;=$D$14),1,0)</f>
        <v/>
      </c>
      <c r="ME39" s="17">
        <f>IF(AND(340&gt;=$B$14,340&lt;=$D$14),1,0)</f>
        <v/>
      </c>
      <c r="MF39" s="17">
        <f>IF(AND(341&gt;=$B$14,341&lt;=$D$14),1,0)</f>
        <v/>
      </c>
      <c r="MG39" s="17">
        <f>IF(AND(342&gt;=$B$14,342&lt;=$D$14),1,0)</f>
        <v/>
      </c>
      <c r="MH39" s="17">
        <f>IF(AND(343&gt;=$B$14,343&lt;=$D$14),1,0)</f>
        <v/>
      </c>
      <c r="MI39" s="17">
        <f>IF(AND(344&gt;=$B$14,344&lt;=$D$14),1,0)</f>
        <v/>
      </c>
      <c r="MJ39" s="17">
        <f>IF(AND(345&gt;=$B$14,345&lt;=$D$14),1,0)</f>
        <v/>
      </c>
      <c r="MK39" s="17">
        <f>IF(AND(346&gt;=$B$14,346&lt;=$D$14),1,0)</f>
        <v/>
      </c>
      <c r="ML39" s="17">
        <f>IF(AND(347&gt;=$B$14,347&lt;=$D$14),1,0)</f>
        <v/>
      </c>
      <c r="MM39" s="17">
        <f>IF(AND(348&gt;=$B$14,348&lt;=$D$14),1,0)</f>
        <v/>
      </c>
      <c r="MN39" s="17">
        <f>IF(AND(349&gt;=$B$14,349&lt;=$D$14),1,0)</f>
        <v/>
      </c>
      <c r="MO39" s="17">
        <f>IF(AND(350&gt;=$B$14,350&lt;=$D$14),1,0)</f>
        <v/>
      </c>
      <c r="MP39" s="17">
        <f>IF(AND(351&gt;=$B$14,351&lt;=$D$14),1,0)</f>
        <v/>
      </c>
      <c r="MQ39" s="17">
        <f>IF(AND(352&gt;=$B$14,352&lt;=$D$14),1,0)</f>
        <v/>
      </c>
      <c r="MR39" s="17">
        <f>IF(AND(353&gt;=$B$14,353&lt;=$D$14),1,0)</f>
        <v/>
      </c>
      <c r="MS39" s="17">
        <f>IF(AND(354&gt;=$B$14,354&lt;=$D$14),1,0)</f>
        <v/>
      </c>
      <c r="MT39" s="17">
        <f>IF(AND(355&gt;=$B$14,355&lt;=$D$14),1,0)</f>
        <v/>
      </c>
      <c r="MU39" s="17">
        <f>IF(AND(356&gt;=$B$14,356&lt;=$D$14),1,0)</f>
        <v/>
      </c>
      <c r="MV39" s="17">
        <f>IF(AND(357&gt;=$B$14,357&lt;=$D$14),1,0)</f>
        <v/>
      </c>
      <c r="MW39" s="17">
        <f>IF(AND(358&gt;=$B$14,358&lt;=$D$14),1,0)</f>
        <v/>
      </c>
      <c r="MX39" s="17">
        <f>IF(AND(359&gt;=$B$14,359&lt;=$D$14),1,0)</f>
        <v/>
      </c>
      <c r="MY39" s="17">
        <f>IF(AND(360&gt;=$B$14,360&lt;=$D$14),1,0)</f>
        <v/>
      </c>
      <c r="MZ39" s="17">
        <f>IF(AND(361&gt;=$B$14,361&lt;=$D$14),1,0)</f>
        <v/>
      </c>
      <c r="NA39" s="17">
        <f>IF(AND(362&gt;=$B$14,362&lt;=$D$14),1,0)</f>
        <v/>
      </c>
      <c r="NB39" s="17">
        <f>IF(AND(363&gt;=$B$14,363&lt;=$D$14),1,0)</f>
        <v/>
      </c>
      <c r="NC39" s="17">
        <f>IF(AND(364&gt;=$B$14,364&lt;=$D$14),1,0)</f>
        <v/>
      </c>
      <c r="ND39" s="17">
        <f>IF(AND(365&gt;=$B$14,365&lt;=$D$14),1,0)</f>
        <v/>
      </c>
      <c r="NE39" s="17">
        <f>IF(AND(366&gt;=$B$14,366&lt;=$D$14),1,0)</f>
        <v/>
      </c>
      <c r="NF39" s="17">
        <f>IF(AND(367&gt;=$B$14,367&lt;=$D$14),1,0)</f>
        <v/>
      </c>
      <c r="NG39" s="17">
        <f>IF(AND(368&gt;=$B$14,368&lt;=$D$14),1,0)</f>
        <v/>
      </c>
      <c r="NH39" s="17">
        <f>IF(AND(369&gt;=$B$14,369&lt;=$D$14),1,0)</f>
        <v/>
      </c>
      <c r="NI39" s="17">
        <f>IF(AND(370&gt;=$B$14,370&lt;=$D$14),1,0)</f>
        <v/>
      </c>
      <c r="NJ39" s="17">
        <f>IF(AND(371&gt;=$B$14,371&lt;=$D$14),1,0)</f>
        <v/>
      </c>
      <c r="NK39" s="17">
        <f>IF(AND(372&gt;=$B$14,372&lt;=$D$14),1,0)</f>
        <v/>
      </c>
    </row>
    <row r="40">
      <c r="A40" s="5" t="inlineStr">
        <is>
          <t>Flag: Operations Active</t>
        </is>
      </c>
      <c r="C40" s="40" t="n"/>
      <c r="D40" s="17">
        <f>IF(AND(1&gt;=DeliverStart,1&lt;=DispoMonth),1,0)</f>
        <v/>
      </c>
      <c r="E40" s="17">
        <f>IF(AND(2&gt;=DeliverStart,2&lt;=DispoMonth),1,0)</f>
        <v/>
      </c>
      <c r="F40" s="17">
        <f>IF(AND(3&gt;=DeliverStart,3&lt;=DispoMonth),1,0)</f>
        <v/>
      </c>
      <c r="G40" s="17">
        <f>IF(AND(4&gt;=DeliverStart,4&lt;=DispoMonth),1,0)</f>
        <v/>
      </c>
      <c r="H40" s="17">
        <f>IF(AND(5&gt;=DeliverStart,5&lt;=DispoMonth),1,0)</f>
        <v/>
      </c>
      <c r="I40" s="17">
        <f>IF(AND(6&gt;=DeliverStart,6&lt;=DispoMonth),1,0)</f>
        <v/>
      </c>
      <c r="J40" s="17">
        <f>IF(AND(7&gt;=DeliverStart,7&lt;=DispoMonth),1,0)</f>
        <v/>
      </c>
      <c r="K40" s="17">
        <f>IF(AND(8&gt;=DeliverStart,8&lt;=DispoMonth),1,0)</f>
        <v/>
      </c>
      <c r="L40" s="17">
        <f>IF(AND(9&gt;=DeliverStart,9&lt;=DispoMonth),1,0)</f>
        <v/>
      </c>
      <c r="M40" s="17">
        <f>IF(AND(10&gt;=DeliverStart,10&lt;=DispoMonth),1,0)</f>
        <v/>
      </c>
      <c r="N40" s="17">
        <f>IF(AND(11&gt;=DeliverStart,11&lt;=DispoMonth),1,0)</f>
        <v/>
      </c>
      <c r="O40" s="17">
        <f>IF(AND(12&gt;=DeliverStart,12&lt;=DispoMonth),1,0)</f>
        <v/>
      </c>
      <c r="P40" s="17">
        <f>IF(AND(13&gt;=DeliverStart,13&lt;=DispoMonth),1,0)</f>
        <v/>
      </c>
      <c r="Q40" s="17">
        <f>IF(AND(14&gt;=DeliverStart,14&lt;=DispoMonth),1,0)</f>
        <v/>
      </c>
      <c r="R40" s="17">
        <f>IF(AND(15&gt;=DeliverStart,15&lt;=DispoMonth),1,0)</f>
        <v/>
      </c>
      <c r="S40" s="17">
        <f>IF(AND(16&gt;=DeliverStart,16&lt;=DispoMonth),1,0)</f>
        <v/>
      </c>
      <c r="T40" s="17">
        <f>IF(AND(17&gt;=DeliverStart,17&lt;=DispoMonth),1,0)</f>
        <v/>
      </c>
      <c r="U40" s="17">
        <f>IF(AND(18&gt;=DeliverStart,18&lt;=DispoMonth),1,0)</f>
        <v/>
      </c>
      <c r="V40" s="17">
        <f>IF(AND(19&gt;=DeliverStart,19&lt;=DispoMonth),1,0)</f>
        <v/>
      </c>
      <c r="W40" s="17">
        <f>IF(AND(20&gt;=DeliverStart,20&lt;=DispoMonth),1,0)</f>
        <v/>
      </c>
      <c r="X40" s="17">
        <f>IF(AND(21&gt;=DeliverStart,21&lt;=DispoMonth),1,0)</f>
        <v/>
      </c>
      <c r="Y40" s="17">
        <f>IF(AND(22&gt;=DeliverStart,22&lt;=DispoMonth),1,0)</f>
        <v/>
      </c>
      <c r="Z40" s="17">
        <f>IF(AND(23&gt;=DeliverStart,23&lt;=DispoMonth),1,0)</f>
        <v/>
      </c>
      <c r="AA40" s="17">
        <f>IF(AND(24&gt;=DeliverStart,24&lt;=DispoMonth),1,0)</f>
        <v/>
      </c>
      <c r="AB40" s="17">
        <f>IF(AND(25&gt;=DeliverStart,25&lt;=DispoMonth),1,0)</f>
        <v/>
      </c>
      <c r="AC40" s="17">
        <f>IF(AND(26&gt;=DeliverStart,26&lt;=DispoMonth),1,0)</f>
        <v/>
      </c>
      <c r="AD40" s="17">
        <f>IF(AND(27&gt;=DeliverStart,27&lt;=DispoMonth),1,0)</f>
        <v/>
      </c>
      <c r="AE40" s="17">
        <f>IF(AND(28&gt;=DeliverStart,28&lt;=DispoMonth),1,0)</f>
        <v/>
      </c>
      <c r="AF40" s="17">
        <f>IF(AND(29&gt;=DeliverStart,29&lt;=DispoMonth),1,0)</f>
        <v/>
      </c>
      <c r="AG40" s="17">
        <f>IF(AND(30&gt;=DeliverStart,30&lt;=DispoMonth),1,0)</f>
        <v/>
      </c>
      <c r="AH40" s="17">
        <f>IF(AND(31&gt;=DeliverStart,31&lt;=DispoMonth),1,0)</f>
        <v/>
      </c>
      <c r="AI40" s="17">
        <f>IF(AND(32&gt;=DeliverStart,32&lt;=DispoMonth),1,0)</f>
        <v/>
      </c>
      <c r="AJ40" s="17">
        <f>IF(AND(33&gt;=DeliverStart,33&lt;=DispoMonth),1,0)</f>
        <v/>
      </c>
      <c r="AK40" s="17">
        <f>IF(AND(34&gt;=DeliverStart,34&lt;=DispoMonth),1,0)</f>
        <v/>
      </c>
      <c r="AL40" s="17">
        <f>IF(AND(35&gt;=DeliverStart,35&lt;=DispoMonth),1,0)</f>
        <v/>
      </c>
      <c r="AM40" s="17">
        <f>IF(AND(36&gt;=DeliverStart,36&lt;=DispoMonth),1,0)</f>
        <v/>
      </c>
      <c r="AN40" s="17">
        <f>IF(AND(37&gt;=DeliverStart,37&lt;=DispoMonth),1,0)</f>
        <v/>
      </c>
      <c r="AO40" s="17">
        <f>IF(AND(38&gt;=DeliverStart,38&lt;=DispoMonth),1,0)</f>
        <v/>
      </c>
      <c r="AP40" s="17">
        <f>IF(AND(39&gt;=DeliverStart,39&lt;=DispoMonth),1,0)</f>
        <v/>
      </c>
      <c r="AQ40" s="17">
        <f>IF(AND(40&gt;=DeliverStart,40&lt;=DispoMonth),1,0)</f>
        <v/>
      </c>
      <c r="AR40" s="17">
        <f>IF(AND(41&gt;=DeliverStart,41&lt;=DispoMonth),1,0)</f>
        <v/>
      </c>
      <c r="AS40" s="17">
        <f>IF(AND(42&gt;=DeliverStart,42&lt;=DispoMonth),1,0)</f>
        <v/>
      </c>
      <c r="AT40" s="17">
        <f>IF(AND(43&gt;=DeliverStart,43&lt;=DispoMonth),1,0)</f>
        <v/>
      </c>
      <c r="AU40" s="17">
        <f>IF(AND(44&gt;=DeliverStart,44&lt;=DispoMonth),1,0)</f>
        <v/>
      </c>
      <c r="AV40" s="17">
        <f>IF(AND(45&gt;=DeliverStart,45&lt;=DispoMonth),1,0)</f>
        <v/>
      </c>
      <c r="AW40" s="17">
        <f>IF(AND(46&gt;=DeliverStart,46&lt;=DispoMonth),1,0)</f>
        <v/>
      </c>
      <c r="AX40" s="17">
        <f>IF(AND(47&gt;=DeliverStart,47&lt;=DispoMonth),1,0)</f>
        <v/>
      </c>
      <c r="AY40" s="17">
        <f>IF(AND(48&gt;=DeliverStart,48&lt;=DispoMonth),1,0)</f>
        <v/>
      </c>
      <c r="AZ40" s="17">
        <f>IF(AND(49&gt;=DeliverStart,49&lt;=DispoMonth),1,0)</f>
        <v/>
      </c>
      <c r="BA40" s="17">
        <f>IF(AND(50&gt;=DeliverStart,50&lt;=DispoMonth),1,0)</f>
        <v/>
      </c>
      <c r="BB40" s="17">
        <f>IF(AND(51&gt;=DeliverStart,51&lt;=DispoMonth),1,0)</f>
        <v/>
      </c>
      <c r="BC40" s="17">
        <f>IF(AND(52&gt;=DeliverStart,52&lt;=DispoMonth),1,0)</f>
        <v/>
      </c>
      <c r="BD40" s="17">
        <f>IF(AND(53&gt;=DeliverStart,53&lt;=DispoMonth),1,0)</f>
        <v/>
      </c>
      <c r="BE40" s="17">
        <f>IF(AND(54&gt;=DeliverStart,54&lt;=DispoMonth),1,0)</f>
        <v/>
      </c>
      <c r="BF40" s="17">
        <f>IF(AND(55&gt;=DeliverStart,55&lt;=DispoMonth),1,0)</f>
        <v/>
      </c>
      <c r="BG40" s="17">
        <f>IF(AND(56&gt;=DeliverStart,56&lt;=DispoMonth),1,0)</f>
        <v/>
      </c>
      <c r="BH40" s="17">
        <f>IF(AND(57&gt;=DeliverStart,57&lt;=DispoMonth),1,0)</f>
        <v/>
      </c>
      <c r="BI40" s="17">
        <f>IF(AND(58&gt;=DeliverStart,58&lt;=DispoMonth),1,0)</f>
        <v/>
      </c>
      <c r="BJ40" s="17">
        <f>IF(AND(59&gt;=DeliverStart,59&lt;=DispoMonth),1,0)</f>
        <v/>
      </c>
      <c r="BK40" s="17">
        <f>IF(AND(60&gt;=DeliverStart,60&lt;=DispoMonth),1,0)</f>
        <v/>
      </c>
      <c r="BL40" s="17">
        <f>IF(AND(61&gt;=DeliverStart,61&lt;=DispoMonth),1,0)</f>
        <v/>
      </c>
      <c r="BM40" s="17">
        <f>IF(AND(62&gt;=DeliverStart,62&lt;=DispoMonth),1,0)</f>
        <v/>
      </c>
      <c r="BN40" s="17">
        <f>IF(AND(63&gt;=DeliverStart,63&lt;=DispoMonth),1,0)</f>
        <v/>
      </c>
      <c r="BO40" s="17">
        <f>IF(AND(64&gt;=DeliverStart,64&lt;=DispoMonth),1,0)</f>
        <v/>
      </c>
      <c r="BP40" s="17">
        <f>IF(AND(65&gt;=DeliverStart,65&lt;=DispoMonth),1,0)</f>
        <v/>
      </c>
      <c r="BQ40" s="17">
        <f>IF(AND(66&gt;=DeliverStart,66&lt;=DispoMonth),1,0)</f>
        <v/>
      </c>
      <c r="BR40" s="17">
        <f>IF(AND(67&gt;=DeliverStart,67&lt;=DispoMonth),1,0)</f>
        <v/>
      </c>
      <c r="BS40" s="17">
        <f>IF(AND(68&gt;=DeliverStart,68&lt;=DispoMonth),1,0)</f>
        <v/>
      </c>
      <c r="BT40" s="17">
        <f>IF(AND(69&gt;=DeliverStart,69&lt;=DispoMonth),1,0)</f>
        <v/>
      </c>
      <c r="BU40" s="17">
        <f>IF(AND(70&gt;=DeliverStart,70&lt;=DispoMonth),1,0)</f>
        <v/>
      </c>
      <c r="BV40" s="17">
        <f>IF(AND(71&gt;=DeliverStart,71&lt;=DispoMonth),1,0)</f>
        <v/>
      </c>
      <c r="BW40" s="17">
        <f>IF(AND(72&gt;=DeliverStart,72&lt;=DispoMonth),1,0)</f>
        <v/>
      </c>
      <c r="BX40" s="17">
        <f>IF(AND(73&gt;=DeliverStart,73&lt;=DispoMonth),1,0)</f>
        <v/>
      </c>
      <c r="BY40" s="17">
        <f>IF(AND(74&gt;=DeliverStart,74&lt;=DispoMonth),1,0)</f>
        <v/>
      </c>
      <c r="BZ40" s="17">
        <f>IF(AND(75&gt;=DeliverStart,75&lt;=DispoMonth),1,0)</f>
        <v/>
      </c>
      <c r="CA40" s="17">
        <f>IF(AND(76&gt;=DeliverStart,76&lt;=DispoMonth),1,0)</f>
        <v/>
      </c>
      <c r="CB40" s="17">
        <f>IF(AND(77&gt;=DeliverStart,77&lt;=DispoMonth),1,0)</f>
        <v/>
      </c>
      <c r="CC40" s="17">
        <f>IF(AND(78&gt;=DeliverStart,78&lt;=DispoMonth),1,0)</f>
        <v/>
      </c>
      <c r="CD40" s="17">
        <f>IF(AND(79&gt;=DeliverStart,79&lt;=DispoMonth),1,0)</f>
        <v/>
      </c>
      <c r="CE40" s="17">
        <f>IF(AND(80&gt;=DeliverStart,80&lt;=DispoMonth),1,0)</f>
        <v/>
      </c>
      <c r="CF40" s="17">
        <f>IF(AND(81&gt;=DeliverStart,81&lt;=DispoMonth),1,0)</f>
        <v/>
      </c>
      <c r="CG40" s="17">
        <f>IF(AND(82&gt;=DeliverStart,82&lt;=DispoMonth),1,0)</f>
        <v/>
      </c>
      <c r="CH40" s="17">
        <f>IF(AND(83&gt;=DeliverStart,83&lt;=DispoMonth),1,0)</f>
        <v/>
      </c>
      <c r="CI40" s="17">
        <f>IF(AND(84&gt;=DeliverStart,84&lt;=DispoMonth),1,0)</f>
        <v/>
      </c>
      <c r="CJ40" s="17">
        <f>IF(AND(85&gt;=DeliverStart,85&lt;=DispoMonth),1,0)</f>
        <v/>
      </c>
      <c r="CK40" s="17">
        <f>IF(AND(86&gt;=DeliverStart,86&lt;=DispoMonth),1,0)</f>
        <v/>
      </c>
      <c r="CL40" s="17">
        <f>IF(AND(87&gt;=DeliverStart,87&lt;=DispoMonth),1,0)</f>
        <v/>
      </c>
      <c r="CM40" s="17">
        <f>IF(AND(88&gt;=DeliverStart,88&lt;=DispoMonth),1,0)</f>
        <v/>
      </c>
      <c r="CN40" s="17">
        <f>IF(AND(89&gt;=DeliverStart,89&lt;=DispoMonth),1,0)</f>
        <v/>
      </c>
      <c r="CO40" s="17">
        <f>IF(AND(90&gt;=DeliverStart,90&lt;=DispoMonth),1,0)</f>
        <v/>
      </c>
      <c r="CP40" s="17">
        <f>IF(AND(91&gt;=DeliverStart,91&lt;=DispoMonth),1,0)</f>
        <v/>
      </c>
      <c r="CQ40" s="17">
        <f>IF(AND(92&gt;=DeliverStart,92&lt;=DispoMonth),1,0)</f>
        <v/>
      </c>
      <c r="CR40" s="17">
        <f>IF(AND(93&gt;=DeliverStart,93&lt;=DispoMonth),1,0)</f>
        <v/>
      </c>
      <c r="CS40" s="17">
        <f>IF(AND(94&gt;=DeliverStart,94&lt;=DispoMonth),1,0)</f>
        <v/>
      </c>
      <c r="CT40" s="17">
        <f>IF(AND(95&gt;=DeliverStart,95&lt;=DispoMonth),1,0)</f>
        <v/>
      </c>
      <c r="CU40" s="17">
        <f>IF(AND(96&gt;=DeliverStart,96&lt;=DispoMonth),1,0)</f>
        <v/>
      </c>
      <c r="CV40" s="17">
        <f>IF(AND(97&gt;=DeliverStart,97&lt;=DispoMonth),1,0)</f>
        <v/>
      </c>
      <c r="CW40" s="17">
        <f>IF(AND(98&gt;=DeliverStart,98&lt;=DispoMonth),1,0)</f>
        <v/>
      </c>
      <c r="CX40" s="17">
        <f>IF(AND(99&gt;=DeliverStart,99&lt;=DispoMonth),1,0)</f>
        <v/>
      </c>
      <c r="CY40" s="17">
        <f>IF(AND(100&gt;=DeliverStart,100&lt;=DispoMonth),1,0)</f>
        <v/>
      </c>
      <c r="CZ40" s="17">
        <f>IF(AND(101&gt;=DeliverStart,101&lt;=DispoMonth),1,0)</f>
        <v/>
      </c>
      <c r="DA40" s="17">
        <f>IF(AND(102&gt;=DeliverStart,102&lt;=DispoMonth),1,0)</f>
        <v/>
      </c>
      <c r="DB40" s="17">
        <f>IF(AND(103&gt;=DeliverStart,103&lt;=DispoMonth),1,0)</f>
        <v/>
      </c>
      <c r="DC40" s="17">
        <f>IF(AND(104&gt;=DeliverStart,104&lt;=DispoMonth),1,0)</f>
        <v/>
      </c>
      <c r="DD40" s="17">
        <f>IF(AND(105&gt;=DeliverStart,105&lt;=DispoMonth),1,0)</f>
        <v/>
      </c>
      <c r="DE40" s="17">
        <f>IF(AND(106&gt;=DeliverStart,106&lt;=DispoMonth),1,0)</f>
        <v/>
      </c>
      <c r="DF40" s="17">
        <f>IF(AND(107&gt;=DeliverStart,107&lt;=DispoMonth),1,0)</f>
        <v/>
      </c>
      <c r="DG40" s="17">
        <f>IF(AND(108&gt;=DeliverStart,108&lt;=DispoMonth),1,0)</f>
        <v/>
      </c>
      <c r="DH40" s="17">
        <f>IF(AND(109&gt;=DeliverStart,109&lt;=DispoMonth),1,0)</f>
        <v/>
      </c>
      <c r="DI40" s="17">
        <f>IF(AND(110&gt;=DeliverStart,110&lt;=DispoMonth),1,0)</f>
        <v/>
      </c>
      <c r="DJ40" s="17">
        <f>IF(AND(111&gt;=DeliverStart,111&lt;=DispoMonth),1,0)</f>
        <v/>
      </c>
      <c r="DK40" s="17">
        <f>IF(AND(112&gt;=DeliverStart,112&lt;=DispoMonth),1,0)</f>
        <v/>
      </c>
      <c r="DL40" s="17">
        <f>IF(AND(113&gt;=DeliverStart,113&lt;=DispoMonth),1,0)</f>
        <v/>
      </c>
      <c r="DM40" s="17">
        <f>IF(AND(114&gt;=DeliverStart,114&lt;=DispoMonth),1,0)</f>
        <v/>
      </c>
      <c r="DN40" s="17">
        <f>IF(AND(115&gt;=DeliverStart,115&lt;=DispoMonth),1,0)</f>
        <v/>
      </c>
      <c r="DO40" s="17">
        <f>IF(AND(116&gt;=DeliverStart,116&lt;=DispoMonth),1,0)</f>
        <v/>
      </c>
      <c r="DP40" s="17">
        <f>IF(AND(117&gt;=DeliverStart,117&lt;=DispoMonth),1,0)</f>
        <v/>
      </c>
      <c r="DQ40" s="17">
        <f>IF(AND(118&gt;=DeliverStart,118&lt;=DispoMonth),1,0)</f>
        <v/>
      </c>
      <c r="DR40" s="17">
        <f>IF(AND(119&gt;=DeliverStart,119&lt;=DispoMonth),1,0)</f>
        <v/>
      </c>
      <c r="DS40" s="17">
        <f>IF(AND(120&gt;=DeliverStart,120&lt;=DispoMonth),1,0)</f>
        <v/>
      </c>
      <c r="DT40" s="17">
        <f>IF(AND(121&gt;=DeliverStart,121&lt;=DispoMonth),1,0)</f>
        <v/>
      </c>
      <c r="DU40" s="17">
        <f>IF(AND(122&gt;=DeliverStart,122&lt;=DispoMonth),1,0)</f>
        <v/>
      </c>
      <c r="DV40" s="17">
        <f>IF(AND(123&gt;=DeliverStart,123&lt;=DispoMonth),1,0)</f>
        <v/>
      </c>
      <c r="DW40" s="17">
        <f>IF(AND(124&gt;=DeliverStart,124&lt;=DispoMonth),1,0)</f>
        <v/>
      </c>
      <c r="DX40" s="17">
        <f>IF(AND(125&gt;=DeliverStart,125&lt;=DispoMonth),1,0)</f>
        <v/>
      </c>
      <c r="DY40" s="17">
        <f>IF(AND(126&gt;=DeliverStart,126&lt;=DispoMonth),1,0)</f>
        <v/>
      </c>
      <c r="DZ40" s="17">
        <f>IF(AND(127&gt;=DeliverStart,127&lt;=DispoMonth),1,0)</f>
        <v/>
      </c>
      <c r="EA40" s="17">
        <f>IF(AND(128&gt;=DeliverStart,128&lt;=DispoMonth),1,0)</f>
        <v/>
      </c>
      <c r="EB40" s="17">
        <f>IF(AND(129&gt;=DeliverStart,129&lt;=DispoMonth),1,0)</f>
        <v/>
      </c>
      <c r="EC40" s="17">
        <f>IF(AND(130&gt;=DeliverStart,130&lt;=DispoMonth),1,0)</f>
        <v/>
      </c>
      <c r="ED40" s="17">
        <f>IF(AND(131&gt;=DeliverStart,131&lt;=DispoMonth),1,0)</f>
        <v/>
      </c>
      <c r="EE40" s="17">
        <f>IF(AND(132&gt;=DeliverStart,132&lt;=DispoMonth),1,0)</f>
        <v/>
      </c>
      <c r="EF40" s="17">
        <f>IF(AND(133&gt;=DeliverStart,133&lt;=DispoMonth),1,0)</f>
        <v/>
      </c>
      <c r="EG40" s="17">
        <f>IF(AND(134&gt;=DeliverStart,134&lt;=DispoMonth),1,0)</f>
        <v/>
      </c>
      <c r="EH40" s="17">
        <f>IF(AND(135&gt;=DeliverStart,135&lt;=DispoMonth),1,0)</f>
        <v/>
      </c>
      <c r="EI40" s="17">
        <f>IF(AND(136&gt;=DeliverStart,136&lt;=DispoMonth),1,0)</f>
        <v/>
      </c>
      <c r="EJ40" s="17">
        <f>IF(AND(137&gt;=DeliverStart,137&lt;=DispoMonth),1,0)</f>
        <v/>
      </c>
      <c r="EK40" s="17">
        <f>IF(AND(138&gt;=DeliverStart,138&lt;=DispoMonth),1,0)</f>
        <v/>
      </c>
      <c r="EL40" s="17">
        <f>IF(AND(139&gt;=DeliverStart,139&lt;=DispoMonth),1,0)</f>
        <v/>
      </c>
      <c r="EM40" s="17">
        <f>IF(AND(140&gt;=DeliverStart,140&lt;=DispoMonth),1,0)</f>
        <v/>
      </c>
      <c r="EN40" s="17">
        <f>IF(AND(141&gt;=DeliverStart,141&lt;=DispoMonth),1,0)</f>
        <v/>
      </c>
      <c r="EO40" s="17">
        <f>IF(AND(142&gt;=DeliverStart,142&lt;=DispoMonth),1,0)</f>
        <v/>
      </c>
      <c r="EP40" s="17">
        <f>IF(AND(143&gt;=DeliverStart,143&lt;=DispoMonth),1,0)</f>
        <v/>
      </c>
      <c r="EQ40" s="17">
        <f>IF(AND(144&gt;=DeliverStart,144&lt;=DispoMonth),1,0)</f>
        <v/>
      </c>
      <c r="ER40" s="17">
        <f>IF(AND(145&gt;=DeliverStart,145&lt;=DispoMonth),1,0)</f>
        <v/>
      </c>
      <c r="ES40" s="17">
        <f>IF(AND(146&gt;=DeliverStart,146&lt;=DispoMonth),1,0)</f>
        <v/>
      </c>
      <c r="ET40" s="17">
        <f>IF(AND(147&gt;=DeliverStart,147&lt;=DispoMonth),1,0)</f>
        <v/>
      </c>
      <c r="EU40" s="17">
        <f>IF(AND(148&gt;=DeliverStart,148&lt;=DispoMonth),1,0)</f>
        <v/>
      </c>
      <c r="EV40" s="17">
        <f>IF(AND(149&gt;=DeliverStart,149&lt;=DispoMonth),1,0)</f>
        <v/>
      </c>
      <c r="EW40" s="17">
        <f>IF(AND(150&gt;=DeliverStart,150&lt;=DispoMonth),1,0)</f>
        <v/>
      </c>
      <c r="EX40" s="17">
        <f>IF(AND(151&gt;=DeliverStart,151&lt;=DispoMonth),1,0)</f>
        <v/>
      </c>
      <c r="EY40" s="17">
        <f>IF(AND(152&gt;=DeliverStart,152&lt;=DispoMonth),1,0)</f>
        <v/>
      </c>
      <c r="EZ40" s="17">
        <f>IF(AND(153&gt;=DeliverStart,153&lt;=DispoMonth),1,0)</f>
        <v/>
      </c>
      <c r="FA40" s="17">
        <f>IF(AND(154&gt;=DeliverStart,154&lt;=DispoMonth),1,0)</f>
        <v/>
      </c>
      <c r="FB40" s="17">
        <f>IF(AND(155&gt;=DeliverStart,155&lt;=DispoMonth),1,0)</f>
        <v/>
      </c>
      <c r="FC40" s="17">
        <f>IF(AND(156&gt;=DeliverStart,156&lt;=DispoMonth),1,0)</f>
        <v/>
      </c>
      <c r="FD40" s="17">
        <f>IF(AND(157&gt;=DeliverStart,157&lt;=DispoMonth),1,0)</f>
        <v/>
      </c>
      <c r="FE40" s="17">
        <f>IF(AND(158&gt;=DeliverStart,158&lt;=DispoMonth),1,0)</f>
        <v/>
      </c>
      <c r="FF40" s="17">
        <f>IF(AND(159&gt;=DeliverStart,159&lt;=DispoMonth),1,0)</f>
        <v/>
      </c>
      <c r="FG40" s="17">
        <f>IF(AND(160&gt;=DeliverStart,160&lt;=DispoMonth),1,0)</f>
        <v/>
      </c>
      <c r="FH40" s="17">
        <f>IF(AND(161&gt;=DeliverStart,161&lt;=DispoMonth),1,0)</f>
        <v/>
      </c>
      <c r="FI40" s="17">
        <f>IF(AND(162&gt;=DeliverStart,162&lt;=DispoMonth),1,0)</f>
        <v/>
      </c>
      <c r="FJ40" s="17">
        <f>IF(AND(163&gt;=DeliverStart,163&lt;=DispoMonth),1,0)</f>
        <v/>
      </c>
      <c r="FK40" s="17">
        <f>IF(AND(164&gt;=DeliverStart,164&lt;=DispoMonth),1,0)</f>
        <v/>
      </c>
      <c r="FL40" s="17">
        <f>IF(AND(165&gt;=DeliverStart,165&lt;=DispoMonth),1,0)</f>
        <v/>
      </c>
      <c r="FM40" s="17">
        <f>IF(AND(166&gt;=DeliverStart,166&lt;=DispoMonth),1,0)</f>
        <v/>
      </c>
      <c r="FN40" s="17">
        <f>IF(AND(167&gt;=DeliverStart,167&lt;=DispoMonth),1,0)</f>
        <v/>
      </c>
      <c r="FO40" s="17">
        <f>IF(AND(168&gt;=DeliverStart,168&lt;=DispoMonth),1,0)</f>
        <v/>
      </c>
      <c r="FP40" s="17">
        <f>IF(AND(169&gt;=DeliverStart,169&lt;=DispoMonth),1,0)</f>
        <v/>
      </c>
      <c r="FQ40" s="17">
        <f>IF(AND(170&gt;=DeliverStart,170&lt;=DispoMonth),1,0)</f>
        <v/>
      </c>
      <c r="FR40" s="17">
        <f>IF(AND(171&gt;=DeliverStart,171&lt;=DispoMonth),1,0)</f>
        <v/>
      </c>
      <c r="FS40" s="17">
        <f>IF(AND(172&gt;=DeliverStart,172&lt;=DispoMonth),1,0)</f>
        <v/>
      </c>
      <c r="FT40" s="17">
        <f>IF(AND(173&gt;=DeliverStart,173&lt;=DispoMonth),1,0)</f>
        <v/>
      </c>
      <c r="FU40" s="17">
        <f>IF(AND(174&gt;=DeliverStart,174&lt;=DispoMonth),1,0)</f>
        <v/>
      </c>
      <c r="FV40" s="17">
        <f>IF(AND(175&gt;=DeliverStart,175&lt;=DispoMonth),1,0)</f>
        <v/>
      </c>
      <c r="FW40" s="17">
        <f>IF(AND(176&gt;=DeliverStart,176&lt;=DispoMonth),1,0)</f>
        <v/>
      </c>
      <c r="FX40" s="17">
        <f>IF(AND(177&gt;=DeliverStart,177&lt;=DispoMonth),1,0)</f>
        <v/>
      </c>
      <c r="FY40" s="17">
        <f>IF(AND(178&gt;=DeliverStart,178&lt;=DispoMonth),1,0)</f>
        <v/>
      </c>
      <c r="FZ40" s="17">
        <f>IF(AND(179&gt;=DeliverStart,179&lt;=DispoMonth),1,0)</f>
        <v/>
      </c>
      <c r="GA40" s="17">
        <f>IF(AND(180&gt;=DeliverStart,180&lt;=DispoMonth),1,0)</f>
        <v/>
      </c>
      <c r="GB40" s="17">
        <f>IF(AND(181&gt;=DeliverStart,181&lt;=DispoMonth),1,0)</f>
        <v/>
      </c>
      <c r="GC40" s="17">
        <f>IF(AND(182&gt;=DeliverStart,182&lt;=DispoMonth),1,0)</f>
        <v/>
      </c>
      <c r="GD40" s="17">
        <f>IF(AND(183&gt;=DeliverStart,183&lt;=DispoMonth),1,0)</f>
        <v/>
      </c>
      <c r="GE40" s="17">
        <f>IF(AND(184&gt;=DeliverStart,184&lt;=DispoMonth),1,0)</f>
        <v/>
      </c>
      <c r="GF40" s="17">
        <f>IF(AND(185&gt;=DeliverStart,185&lt;=DispoMonth),1,0)</f>
        <v/>
      </c>
      <c r="GG40" s="17">
        <f>IF(AND(186&gt;=DeliverStart,186&lt;=DispoMonth),1,0)</f>
        <v/>
      </c>
      <c r="GH40" s="17">
        <f>IF(AND(187&gt;=DeliverStart,187&lt;=DispoMonth),1,0)</f>
        <v/>
      </c>
      <c r="GI40" s="17">
        <f>IF(AND(188&gt;=DeliverStart,188&lt;=DispoMonth),1,0)</f>
        <v/>
      </c>
      <c r="GJ40" s="17">
        <f>IF(AND(189&gt;=DeliverStart,189&lt;=DispoMonth),1,0)</f>
        <v/>
      </c>
      <c r="GK40" s="17">
        <f>IF(AND(190&gt;=DeliverStart,190&lt;=DispoMonth),1,0)</f>
        <v/>
      </c>
      <c r="GL40" s="17">
        <f>IF(AND(191&gt;=DeliverStart,191&lt;=DispoMonth),1,0)</f>
        <v/>
      </c>
      <c r="GM40" s="17">
        <f>IF(AND(192&gt;=DeliverStart,192&lt;=DispoMonth),1,0)</f>
        <v/>
      </c>
      <c r="GN40" s="17">
        <f>IF(AND(193&gt;=DeliverStart,193&lt;=DispoMonth),1,0)</f>
        <v/>
      </c>
      <c r="GO40" s="17">
        <f>IF(AND(194&gt;=DeliverStart,194&lt;=DispoMonth),1,0)</f>
        <v/>
      </c>
      <c r="GP40" s="17">
        <f>IF(AND(195&gt;=DeliverStart,195&lt;=DispoMonth),1,0)</f>
        <v/>
      </c>
      <c r="GQ40" s="17">
        <f>IF(AND(196&gt;=DeliverStart,196&lt;=DispoMonth),1,0)</f>
        <v/>
      </c>
      <c r="GR40" s="17">
        <f>IF(AND(197&gt;=DeliverStart,197&lt;=DispoMonth),1,0)</f>
        <v/>
      </c>
      <c r="GS40" s="17">
        <f>IF(AND(198&gt;=DeliverStart,198&lt;=DispoMonth),1,0)</f>
        <v/>
      </c>
      <c r="GT40" s="17">
        <f>IF(AND(199&gt;=DeliverStart,199&lt;=DispoMonth),1,0)</f>
        <v/>
      </c>
      <c r="GU40" s="17">
        <f>IF(AND(200&gt;=DeliverStart,200&lt;=DispoMonth),1,0)</f>
        <v/>
      </c>
      <c r="GV40" s="17">
        <f>IF(AND(201&gt;=DeliverStart,201&lt;=DispoMonth),1,0)</f>
        <v/>
      </c>
      <c r="GW40" s="17">
        <f>IF(AND(202&gt;=DeliverStart,202&lt;=DispoMonth),1,0)</f>
        <v/>
      </c>
      <c r="GX40" s="17">
        <f>IF(AND(203&gt;=DeliverStart,203&lt;=DispoMonth),1,0)</f>
        <v/>
      </c>
      <c r="GY40" s="17">
        <f>IF(AND(204&gt;=DeliverStart,204&lt;=DispoMonth),1,0)</f>
        <v/>
      </c>
      <c r="GZ40" s="17">
        <f>IF(AND(205&gt;=DeliverStart,205&lt;=DispoMonth),1,0)</f>
        <v/>
      </c>
      <c r="HA40" s="17">
        <f>IF(AND(206&gt;=DeliverStart,206&lt;=DispoMonth),1,0)</f>
        <v/>
      </c>
      <c r="HB40" s="17">
        <f>IF(AND(207&gt;=DeliverStart,207&lt;=DispoMonth),1,0)</f>
        <v/>
      </c>
      <c r="HC40" s="17">
        <f>IF(AND(208&gt;=DeliverStart,208&lt;=DispoMonth),1,0)</f>
        <v/>
      </c>
      <c r="HD40" s="17">
        <f>IF(AND(209&gt;=DeliverStart,209&lt;=DispoMonth),1,0)</f>
        <v/>
      </c>
      <c r="HE40" s="17">
        <f>IF(AND(210&gt;=DeliverStart,210&lt;=DispoMonth),1,0)</f>
        <v/>
      </c>
      <c r="HF40" s="17">
        <f>IF(AND(211&gt;=DeliverStart,211&lt;=DispoMonth),1,0)</f>
        <v/>
      </c>
      <c r="HG40" s="17">
        <f>IF(AND(212&gt;=DeliverStart,212&lt;=DispoMonth),1,0)</f>
        <v/>
      </c>
      <c r="HH40" s="17">
        <f>IF(AND(213&gt;=DeliverStart,213&lt;=DispoMonth),1,0)</f>
        <v/>
      </c>
      <c r="HI40" s="17">
        <f>IF(AND(214&gt;=DeliverStart,214&lt;=DispoMonth),1,0)</f>
        <v/>
      </c>
      <c r="HJ40" s="17">
        <f>IF(AND(215&gt;=DeliverStart,215&lt;=DispoMonth),1,0)</f>
        <v/>
      </c>
      <c r="HK40" s="17">
        <f>IF(AND(216&gt;=DeliverStart,216&lt;=DispoMonth),1,0)</f>
        <v/>
      </c>
      <c r="HL40" s="17">
        <f>IF(AND(217&gt;=DeliverStart,217&lt;=DispoMonth),1,0)</f>
        <v/>
      </c>
      <c r="HM40" s="17">
        <f>IF(AND(218&gt;=DeliverStart,218&lt;=DispoMonth),1,0)</f>
        <v/>
      </c>
      <c r="HN40" s="17">
        <f>IF(AND(219&gt;=DeliverStart,219&lt;=DispoMonth),1,0)</f>
        <v/>
      </c>
      <c r="HO40" s="17">
        <f>IF(AND(220&gt;=DeliverStart,220&lt;=DispoMonth),1,0)</f>
        <v/>
      </c>
      <c r="HP40" s="17">
        <f>IF(AND(221&gt;=DeliverStart,221&lt;=DispoMonth),1,0)</f>
        <v/>
      </c>
      <c r="HQ40" s="17">
        <f>IF(AND(222&gt;=DeliverStart,222&lt;=DispoMonth),1,0)</f>
        <v/>
      </c>
      <c r="HR40" s="17">
        <f>IF(AND(223&gt;=DeliverStart,223&lt;=DispoMonth),1,0)</f>
        <v/>
      </c>
      <c r="HS40" s="17">
        <f>IF(AND(224&gt;=DeliverStart,224&lt;=DispoMonth),1,0)</f>
        <v/>
      </c>
      <c r="HT40" s="17">
        <f>IF(AND(225&gt;=DeliverStart,225&lt;=DispoMonth),1,0)</f>
        <v/>
      </c>
      <c r="HU40" s="17">
        <f>IF(AND(226&gt;=DeliverStart,226&lt;=DispoMonth),1,0)</f>
        <v/>
      </c>
      <c r="HV40" s="17">
        <f>IF(AND(227&gt;=DeliverStart,227&lt;=DispoMonth),1,0)</f>
        <v/>
      </c>
      <c r="HW40" s="17">
        <f>IF(AND(228&gt;=DeliverStart,228&lt;=DispoMonth),1,0)</f>
        <v/>
      </c>
      <c r="HX40" s="17">
        <f>IF(AND(229&gt;=DeliverStart,229&lt;=DispoMonth),1,0)</f>
        <v/>
      </c>
      <c r="HY40" s="17">
        <f>IF(AND(230&gt;=DeliverStart,230&lt;=DispoMonth),1,0)</f>
        <v/>
      </c>
      <c r="HZ40" s="17">
        <f>IF(AND(231&gt;=DeliverStart,231&lt;=DispoMonth),1,0)</f>
        <v/>
      </c>
      <c r="IA40" s="17">
        <f>IF(AND(232&gt;=DeliverStart,232&lt;=DispoMonth),1,0)</f>
        <v/>
      </c>
      <c r="IB40" s="17">
        <f>IF(AND(233&gt;=DeliverStart,233&lt;=DispoMonth),1,0)</f>
        <v/>
      </c>
      <c r="IC40" s="17">
        <f>IF(AND(234&gt;=DeliverStart,234&lt;=DispoMonth),1,0)</f>
        <v/>
      </c>
      <c r="ID40" s="17">
        <f>IF(AND(235&gt;=DeliverStart,235&lt;=DispoMonth),1,0)</f>
        <v/>
      </c>
      <c r="IE40" s="17">
        <f>IF(AND(236&gt;=DeliverStart,236&lt;=DispoMonth),1,0)</f>
        <v/>
      </c>
      <c r="IF40" s="17">
        <f>IF(AND(237&gt;=DeliverStart,237&lt;=DispoMonth),1,0)</f>
        <v/>
      </c>
      <c r="IG40" s="17">
        <f>IF(AND(238&gt;=DeliverStart,238&lt;=DispoMonth),1,0)</f>
        <v/>
      </c>
      <c r="IH40" s="17">
        <f>IF(AND(239&gt;=DeliverStart,239&lt;=DispoMonth),1,0)</f>
        <v/>
      </c>
      <c r="II40" s="17">
        <f>IF(AND(240&gt;=DeliverStart,240&lt;=DispoMonth),1,0)</f>
        <v/>
      </c>
      <c r="IJ40" s="17">
        <f>IF(AND(241&gt;=DeliverStart,241&lt;=DispoMonth),1,0)</f>
        <v/>
      </c>
      <c r="IK40" s="17">
        <f>IF(AND(242&gt;=DeliverStart,242&lt;=DispoMonth),1,0)</f>
        <v/>
      </c>
      <c r="IL40" s="17">
        <f>IF(AND(243&gt;=DeliverStart,243&lt;=DispoMonth),1,0)</f>
        <v/>
      </c>
      <c r="IM40" s="17">
        <f>IF(AND(244&gt;=DeliverStart,244&lt;=DispoMonth),1,0)</f>
        <v/>
      </c>
      <c r="IN40" s="17">
        <f>IF(AND(245&gt;=DeliverStart,245&lt;=DispoMonth),1,0)</f>
        <v/>
      </c>
      <c r="IO40" s="17">
        <f>IF(AND(246&gt;=DeliverStart,246&lt;=DispoMonth),1,0)</f>
        <v/>
      </c>
      <c r="IP40" s="17">
        <f>IF(AND(247&gt;=DeliverStart,247&lt;=DispoMonth),1,0)</f>
        <v/>
      </c>
      <c r="IQ40" s="17">
        <f>IF(AND(248&gt;=DeliverStart,248&lt;=DispoMonth),1,0)</f>
        <v/>
      </c>
      <c r="IR40" s="17">
        <f>IF(AND(249&gt;=DeliverStart,249&lt;=DispoMonth),1,0)</f>
        <v/>
      </c>
      <c r="IS40" s="17">
        <f>IF(AND(250&gt;=DeliverStart,250&lt;=DispoMonth),1,0)</f>
        <v/>
      </c>
      <c r="IT40" s="17">
        <f>IF(AND(251&gt;=DeliverStart,251&lt;=DispoMonth),1,0)</f>
        <v/>
      </c>
      <c r="IU40" s="17">
        <f>IF(AND(252&gt;=DeliverStart,252&lt;=DispoMonth),1,0)</f>
        <v/>
      </c>
      <c r="IV40" s="17">
        <f>IF(AND(253&gt;=DeliverStart,253&lt;=DispoMonth),1,0)</f>
        <v/>
      </c>
      <c r="IW40" s="17">
        <f>IF(AND(254&gt;=DeliverStart,254&lt;=DispoMonth),1,0)</f>
        <v/>
      </c>
      <c r="IX40" s="17">
        <f>IF(AND(255&gt;=DeliverStart,255&lt;=DispoMonth),1,0)</f>
        <v/>
      </c>
      <c r="IY40" s="17">
        <f>IF(AND(256&gt;=DeliverStart,256&lt;=DispoMonth),1,0)</f>
        <v/>
      </c>
      <c r="IZ40" s="17">
        <f>IF(AND(257&gt;=DeliverStart,257&lt;=DispoMonth),1,0)</f>
        <v/>
      </c>
      <c r="JA40" s="17">
        <f>IF(AND(258&gt;=DeliverStart,258&lt;=DispoMonth),1,0)</f>
        <v/>
      </c>
      <c r="JB40" s="17">
        <f>IF(AND(259&gt;=DeliverStart,259&lt;=DispoMonth),1,0)</f>
        <v/>
      </c>
      <c r="JC40" s="17">
        <f>IF(AND(260&gt;=DeliverStart,260&lt;=DispoMonth),1,0)</f>
        <v/>
      </c>
      <c r="JD40" s="17">
        <f>IF(AND(261&gt;=DeliverStart,261&lt;=DispoMonth),1,0)</f>
        <v/>
      </c>
      <c r="JE40" s="17">
        <f>IF(AND(262&gt;=DeliverStart,262&lt;=DispoMonth),1,0)</f>
        <v/>
      </c>
      <c r="JF40" s="17">
        <f>IF(AND(263&gt;=DeliverStart,263&lt;=DispoMonth),1,0)</f>
        <v/>
      </c>
      <c r="JG40" s="17">
        <f>IF(AND(264&gt;=DeliverStart,264&lt;=DispoMonth),1,0)</f>
        <v/>
      </c>
      <c r="JH40" s="17">
        <f>IF(AND(265&gt;=DeliverStart,265&lt;=DispoMonth),1,0)</f>
        <v/>
      </c>
      <c r="JI40" s="17">
        <f>IF(AND(266&gt;=DeliverStart,266&lt;=DispoMonth),1,0)</f>
        <v/>
      </c>
      <c r="JJ40" s="17">
        <f>IF(AND(267&gt;=DeliverStart,267&lt;=DispoMonth),1,0)</f>
        <v/>
      </c>
      <c r="JK40" s="17">
        <f>IF(AND(268&gt;=DeliverStart,268&lt;=DispoMonth),1,0)</f>
        <v/>
      </c>
      <c r="JL40" s="17">
        <f>IF(AND(269&gt;=DeliverStart,269&lt;=DispoMonth),1,0)</f>
        <v/>
      </c>
      <c r="JM40" s="17">
        <f>IF(AND(270&gt;=DeliverStart,270&lt;=DispoMonth),1,0)</f>
        <v/>
      </c>
      <c r="JN40" s="17">
        <f>IF(AND(271&gt;=DeliverStart,271&lt;=DispoMonth),1,0)</f>
        <v/>
      </c>
      <c r="JO40" s="17">
        <f>IF(AND(272&gt;=DeliverStart,272&lt;=DispoMonth),1,0)</f>
        <v/>
      </c>
      <c r="JP40" s="17">
        <f>IF(AND(273&gt;=DeliverStart,273&lt;=DispoMonth),1,0)</f>
        <v/>
      </c>
      <c r="JQ40" s="17">
        <f>IF(AND(274&gt;=DeliverStart,274&lt;=DispoMonth),1,0)</f>
        <v/>
      </c>
      <c r="JR40" s="17">
        <f>IF(AND(275&gt;=DeliverStart,275&lt;=DispoMonth),1,0)</f>
        <v/>
      </c>
      <c r="JS40" s="17">
        <f>IF(AND(276&gt;=DeliverStart,276&lt;=DispoMonth),1,0)</f>
        <v/>
      </c>
      <c r="JT40" s="17">
        <f>IF(AND(277&gt;=DeliverStart,277&lt;=DispoMonth),1,0)</f>
        <v/>
      </c>
      <c r="JU40" s="17">
        <f>IF(AND(278&gt;=DeliverStart,278&lt;=DispoMonth),1,0)</f>
        <v/>
      </c>
      <c r="JV40" s="17">
        <f>IF(AND(279&gt;=DeliverStart,279&lt;=DispoMonth),1,0)</f>
        <v/>
      </c>
      <c r="JW40" s="17">
        <f>IF(AND(280&gt;=DeliverStart,280&lt;=DispoMonth),1,0)</f>
        <v/>
      </c>
      <c r="JX40" s="17">
        <f>IF(AND(281&gt;=DeliverStart,281&lt;=DispoMonth),1,0)</f>
        <v/>
      </c>
      <c r="JY40" s="17">
        <f>IF(AND(282&gt;=DeliverStart,282&lt;=DispoMonth),1,0)</f>
        <v/>
      </c>
      <c r="JZ40" s="17">
        <f>IF(AND(283&gt;=DeliverStart,283&lt;=DispoMonth),1,0)</f>
        <v/>
      </c>
      <c r="KA40" s="17">
        <f>IF(AND(284&gt;=DeliverStart,284&lt;=DispoMonth),1,0)</f>
        <v/>
      </c>
      <c r="KB40" s="17">
        <f>IF(AND(285&gt;=DeliverStart,285&lt;=DispoMonth),1,0)</f>
        <v/>
      </c>
      <c r="KC40" s="17">
        <f>IF(AND(286&gt;=DeliverStart,286&lt;=DispoMonth),1,0)</f>
        <v/>
      </c>
      <c r="KD40" s="17">
        <f>IF(AND(287&gt;=DeliverStart,287&lt;=DispoMonth),1,0)</f>
        <v/>
      </c>
      <c r="KE40" s="17">
        <f>IF(AND(288&gt;=DeliverStart,288&lt;=DispoMonth),1,0)</f>
        <v/>
      </c>
      <c r="KF40" s="17">
        <f>IF(AND(289&gt;=DeliverStart,289&lt;=DispoMonth),1,0)</f>
        <v/>
      </c>
      <c r="KG40" s="17">
        <f>IF(AND(290&gt;=DeliverStart,290&lt;=DispoMonth),1,0)</f>
        <v/>
      </c>
      <c r="KH40" s="17">
        <f>IF(AND(291&gt;=DeliverStart,291&lt;=DispoMonth),1,0)</f>
        <v/>
      </c>
      <c r="KI40" s="17">
        <f>IF(AND(292&gt;=DeliverStart,292&lt;=DispoMonth),1,0)</f>
        <v/>
      </c>
      <c r="KJ40" s="17">
        <f>IF(AND(293&gt;=DeliverStart,293&lt;=DispoMonth),1,0)</f>
        <v/>
      </c>
      <c r="KK40" s="17">
        <f>IF(AND(294&gt;=DeliverStart,294&lt;=DispoMonth),1,0)</f>
        <v/>
      </c>
      <c r="KL40" s="17">
        <f>IF(AND(295&gt;=DeliverStart,295&lt;=DispoMonth),1,0)</f>
        <v/>
      </c>
      <c r="KM40" s="17">
        <f>IF(AND(296&gt;=DeliverStart,296&lt;=DispoMonth),1,0)</f>
        <v/>
      </c>
      <c r="KN40" s="17">
        <f>IF(AND(297&gt;=DeliverStart,297&lt;=DispoMonth),1,0)</f>
        <v/>
      </c>
      <c r="KO40" s="17">
        <f>IF(AND(298&gt;=DeliverStart,298&lt;=DispoMonth),1,0)</f>
        <v/>
      </c>
      <c r="KP40" s="17">
        <f>IF(AND(299&gt;=DeliverStart,299&lt;=DispoMonth),1,0)</f>
        <v/>
      </c>
      <c r="KQ40" s="17">
        <f>IF(AND(300&gt;=DeliverStart,300&lt;=DispoMonth),1,0)</f>
        <v/>
      </c>
      <c r="KR40" s="17">
        <f>IF(AND(301&gt;=DeliverStart,301&lt;=DispoMonth),1,0)</f>
        <v/>
      </c>
      <c r="KS40" s="17">
        <f>IF(AND(302&gt;=DeliverStart,302&lt;=DispoMonth),1,0)</f>
        <v/>
      </c>
      <c r="KT40" s="17">
        <f>IF(AND(303&gt;=DeliverStart,303&lt;=DispoMonth),1,0)</f>
        <v/>
      </c>
      <c r="KU40" s="17">
        <f>IF(AND(304&gt;=DeliverStart,304&lt;=DispoMonth),1,0)</f>
        <v/>
      </c>
      <c r="KV40" s="17">
        <f>IF(AND(305&gt;=DeliverStart,305&lt;=DispoMonth),1,0)</f>
        <v/>
      </c>
      <c r="KW40" s="17">
        <f>IF(AND(306&gt;=DeliverStart,306&lt;=DispoMonth),1,0)</f>
        <v/>
      </c>
      <c r="KX40" s="17">
        <f>IF(AND(307&gt;=DeliverStart,307&lt;=DispoMonth),1,0)</f>
        <v/>
      </c>
      <c r="KY40" s="17">
        <f>IF(AND(308&gt;=DeliverStart,308&lt;=DispoMonth),1,0)</f>
        <v/>
      </c>
      <c r="KZ40" s="17">
        <f>IF(AND(309&gt;=DeliverStart,309&lt;=DispoMonth),1,0)</f>
        <v/>
      </c>
      <c r="LA40" s="17">
        <f>IF(AND(310&gt;=DeliverStart,310&lt;=DispoMonth),1,0)</f>
        <v/>
      </c>
      <c r="LB40" s="17">
        <f>IF(AND(311&gt;=DeliverStart,311&lt;=DispoMonth),1,0)</f>
        <v/>
      </c>
      <c r="LC40" s="17">
        <f>IF(AND(312&gt;=DeliverStart,312&lt;=DispoMonth),1,0)</f>
        <v/>
      </c>
      <c r="LD40" s="17">
        <f>IF(AND(313&gt;=DeliverStart,313&lt;=DispoMonth),1,0)</f>
        <v/>
      </c>
      <c r="LE40" s="17">
        <f>IF(AND(314&gt;=DeliverStart,314&lt;=DispoMonth),1,0)</f>
        <v/>
      </c>
      <c r="LF40" s="17">
        <f>IF(AND(315&gt;=DeliverStart,315&lt;=DispoMonth),1,0)</f>
        <v/>
      </c>
      <c r="LG40" s="17">
        <f>IF(AND(316&gt;=DeliverStart,316&lt;=DispoMonth),1,0)</f>
        <v/>
      </c>
      <c r="LH40" s="17">
        <f>IF(AND(317&gt;=DeliverStart,317&lt;=DispoMonth),1,0)</f>
        <v/>
      </c>
      <c r="LI40" s="17">
        <f>IF(AND(318&gt;=DeliverStart,318&lt;=DispoMonth),1,0)</f>
        <v/>
      </c>
      <c r="LJ40" s="17">
        <f>IF(AND(319&gt;=DeliverStart,319&lt;=DispoMonth),1,0)</f>
        <v/>
      </c>
      <c r="LK40" s="17">
        <f>IF(AND(320&gt;=DeliverStart,320&lt;=DispoMonth),1,0)</f>
        <v/>
      </c>
      <c r="LL40" s="17">
        <f>IF(AND(321&gt;=DeliverStart,321&lt;=DispoMonth),1,0)</f>
        <v/>
      </c>
      <c r="LM40" s="17">
        <f>IF(AND(322&gt;=DeliverStart,322&lt;=DispoMonth),1,0)</f>
        <v/>
      </c>
      <c r="LN40" s="17">
        <f>IF(AND(323&gt;=DeliverStart,323&lt;=DispoMonth),1,0)</f>
        <v/>
      </c>
      <c r="LO40" s="17">
        <f>IF(AND(324&gt;=DeliverStart,324&lt;=DispoMonth),1,0)</f>
        <v/>
      </c>
      <c r="LP40" s="17">
        <f>IF(AND(325&gt;=DeliverStart,325&lt;=DispoMonth),1,0)</f>
        <v/>
      </c>
      <c r="LQ40" s="17">
        <f>IF(AND(326&gt;=DeliverStart,326&lt;=DispoMonth),1,0)</f>
        <v/>
      </c>
      <c r="LR40" s="17">
        <f>IF(AND(327&gt;=DeliverStart,327&lt;=DispoMonth),1,0)</f>
        <v/>
      </c>
      <c r="LS40" s="17">
        <f>IF(AND(328&gt;=DeliverStart,328&lt;=DispoMonth),1,0)</f>
        <v/>
      </c>
      <c r="LT40" s="17">
        <f>IF(AND(329&gt;=DeliverStart,329&lt;=DispoMonth),1,0)</f>
        <v/>
      </c>
      <c r="LU40" s="17">
        <f>IF(AND(330&gt;=DeliverStart,330&lt;=DispoMonth),1,0)</f>
        <v/>
      </c>
      <c r="LV40" s="17">
        <f>IF(AND(331&gt;=DeliverStart,331&lt;=DispoMonth),1,0)</f>
        <v/>
      </c>
      <c r="LW40" s="17">
        <f>IF(AND(332&gt;=DeliverStart,332&lt;=DispoMonth),1,0)</f>
        <v/>
      </c>
      <c r="LX40" s="17">
        <f>IF(AND(333&gt;=DeliverStart,333&lt;=DispoMonth),1,0)</f>
        <v/>
      </c>
      <c r="LY40" s="17">
        <f>IF(AND(334&gt;=DeliverStart,334&lt;=DispoMonth),1,0)</f>
        <v/>
      </c>
      <c r="LZ40" s="17">
        <f>IF(AND(335&gt;=DeliverStart,335&lt;=DispoMonth),1,0)</f>
        <v/>
      </c>
      <c r="MA40" s="17">
        <f>IF(AND(336&gt;=DeliverStart,336&lt;=DispoMonth),1,0)</f>
        <v/>
      </c>
      <c r="MB40" s="17">
        <f>IF(AND(337&gt;=DeliverStart,337&lt;=DispoMonth),1,0)</f>
        <v/>
      </c>
      <c r="MC40" s="17">
        <f>IF(AND(338&gt;=DeliverStart,338&lt;=DispoMonth),1,0)</f>
        <v/>
      </c>
      <c r="MD40" s="17">
        <f>IF(AND(339&gt;=DeliverStart,339&lt;=DispoMonth),1,0)</f>
        <v/>
      </c>
      <c r="ME40" s="17">
        <f>IF(AND(340&gt;=DeliverStart,340&lt;=DispoMonth),1,0)</f>
        <v/>
      </c>
      <c r="MF40" s="17">
        <f>IF(AND(341&gt;=DeliverStart,341&lt;=DispoMonth),1,0)</f>
        <v/>
      </c>
      <c r="MG40" s="17">
        <f>IF(AND(342&gt;=DeliverStart,342&lt;=DispoMonth),1,0)</f>
        <v/>
      </c>
      <c r="MH40" s="17">
        <f>IF(AND(343&gt;=DeliverStart,343&lt;=DispoMonth),1,0)</f>
        <v/>
      </c>
      <c r="MI40" s="17">
        <f>IF(AND(344&gt;=DeliverStart,344&lt;=DispoMonth),1,0)</f>
        <v/>
      </c>
      <c r="MJ40" s="17">
        <f>IF(AND(345&gt;=DeliverStart,345&lt;=DispoMonth),1,0)</f>
        <v/>
      </c>
      <c r="MK40" s="17">
        <f>IF(AND(346&gt;=DeliverStart,346&lt;=DispoMonth),1,0)</f>
        <v/>
      </c>
      <c r="ML40" s="17">
        <f>IF(AND(347&gt;=DeliverStart,347&lt;=DispoMonth),1,0)</f>
        <v/>
      </c>
      <c r="MM40" s="17">
        <f>IF(AND(348&gt;=DeliverStart,348&lt;=DispoMonth),1,0)</f>
        <v/>
      </c>
      <c r="MN40" s="17">
        <f>IF(AND(349&gt;=DeliverStart,349&lt;=DispoMonth),1,0)</f>
        <v/>
      </c>
      <c r="MO40" s="17">
        <f>IF(AND(350&gt;=DeliverStart,350&lt;=DispoMonth),1,0)</f>
        <v/>
      </c>
      <c r="MP40" s="17">
        <f>IF(AND(351&gt;=DeliverStart,351&lt;=DispoMonth),1,0)</f>
        <v/>
      </c>
      <c r="MQ40" s="17">
        <f>IF(AND(352&gt;=DeliverStart,352&lt;=DispoMonth),1,0)</f>
        <v/>
      </c>
      <c r="MR40" s="17">
        <f>IF(AND(353&gt;=DeliverStart,353&lt;=DispoMonth),1,0)</f>
        <v/>
      </c>
      <c r="MS40" s="17">
        <f>IF(AND(354&gt;=DeliverStart,354&lt;=DispoMonth),1,0)</f>
        <v/>
      </c>
      <c r="MT40" s="17">
        <f>IF(AND(355&gt;=DeliverStart,355&lt;=DispoMonth),1,0)</f>
        <v/>
      </c>
      <c r="MU40" s="17">
        <f>IF(AND(356&gt;=DeliverStart,356&lt;=DispoMonth),1,0)</f>
        <v/>
      </c>
      <c r="MV40" s="17">
        <f>IF(AND(357&gt;=DeliverStart,357&lt;=DispoMonth),1,0)</f>
        <v/>
      </c>
      <c r="MW40" s="17">
        <f>IF(AND(358&gt;=DeliverStart,358&lt;=DispoMonth),1,0)</f>
        <v/>
      </c>
      <c r="MX40" s="17">
        <f>IF(AND(359&gt;=DeliverStart,359&lt;=DispoMonth),1,0)</f>
        <v/>
      </c>
      <c r="MY40" s="17">
        <f>IF(AND(360&gt;=DeliverStart,360&lt;=DispoMonth),1,0)</f>
        <v/>
      </c>
      <c r="MZ40" s="17">
        <f>IF(AND(361&gt;=DeliverStart,361&lt;=DispoMonth),1,0)</f>
        <v/>
      </c>
      <c r="NA40" s="17">
        <f>IF(AND(362&gt;=DeliverStart,362&lt;=DispoMonth),1,0)</f>
        <v/>
      </c>
      <c r="NB40" s="17">
        <f>IF(AND(363&gt;=DeliverStart,363&lt;=DispoMonth),1,0)</f>
        <v/>
      </c>
      <c r="NC40" s="17">
        <f>IF(AND(364&gt;=DeliverStart,364&lt;=DispoMonth),1,0)</f>
        <v/>
      </c>
      <c r="ND40" s="17">
        <f>IF(AND(365&gt;=DeliverStart,365&lt;=DispoMonth),1,0)</f>
        <v/>
      </c>
      <c r="NE40" s="17">
        <f>IF(AND(366&gt;=DeliverStart,366&lt;=DispoMonth),1,0)</f>
        <v/>
      </c>
      <c r="NF40" s="17">
        <f>IF(AND(367&gt;=DeliverStart,367&lt;=DispoMonth),1,0)</f>
        <v/>
      </c>
      <c r="NG40" s="17">
        <f>IF(AND(368&gt;=DeliverStart,368&lt;=DispoMonth),1,0)</f>
        <v/>
      </c>
      <c r="NH40" s="17">
        <f>IF(AND(369&gt;=DeliverStart,369&lt;=DispoMonth),1,0)</f>
        <v/>
      </c>
      <c r="NI40" s="17">
        <f>IF(AND(370&gt;=DeliverStart,370&lt;=DispoMonth),1,0)</f>
        <v/>
      </c>
      <c r="NJ40" s="17">
        <f>IF(AND(371&gt;=DeliverStart,371&lt;=DispoMonth),1,0)</f>
        <v/>
      </c>
      <c r="NK40" s="17">
        <f>IF(AND(372&gt;=DeliverStart,372&lt;=DispoMonth),1,0)</f>
        <v/>
      </c>
    </row>
    <row r="41">
      <c r="A41" s="5" t="inlineStr">
        <is>
          <t>Flag: Con Loan Active</t>
        </is>
      </c>
      <c r="C41" s="40" t="n"/>
      <c r="D41" s="17">
        <f>IF(AND(1&gt;=ConStart,1&lt;=ConPayoffMonth),1,0)</f>
        <v/>
      </c>
      <c r="E41" s="17">
        <f>IF(AND(2&gt;=ConStart,2&lt;=ConPayoffMonth),1,0)</f>
        <v/>
      </c>
      <c r="F41" s="17">
        <f>IF(AND(3&gt;=ConStart,3&lt;=ConPayoffMonth),1,0)</f>
        <v/>
      </c>
      <c r="G41" s="17">
        <f>IF(AND(4&gt;=ConStart,4&lt;=ConPayoffMonth),1,0)</f>
        <v/>
      </c>
      <c r="H41" s="17">
        <f>IF(AND(5&gt;=ConStart,5&lt;=ConPayoffMonth),1,0)</f>
        <v/>
      </c>
      <c r="I41" s="17">
        <f>IF(AND(6&gt;=ConStart,6&lt;=ConPayoffMonth),1,0)</f>
        <v/>
      </c>
      <c r="J41" s="17">
        <f>IF(AND(7&gt;=ConStart,7&lt;=ConPayoffMonth),1,0)</f>
        <v/>
      </c>
      <c r="K41" s="17">
        <f>IF(AND(8&gt;=ConStart,8&lt;=ConPayoffMonth),1,0)</f>
        <v/>
      </c>
      <c r="L41" s="17">
        <f>IF(AND(9&gt;=ConStart,9&lt;=ConPayoffMonth),1,0)</f>
        <v/>
      </c>
      <c r="M41" s="17">
        <f>IF(AND(10&gt;=ConStart,10&lt;=ConPayoffMonth),1,0)</f>
        <v/>
      </c>
      <c r="N41" s="17">
        <f>IF(AND(11&gt;=ConStart,11&lt;=ConPayoffMonth),1,0)</f>
        <v/>
      </c>
      <c r="O41" s="17">
        <f>IF(AND(12&gt;=ConStart,12&lt;=ConPayoffMonth),1,0)</f>
        <v/>
      </c>
      <c r="P41" s="17">
        <f>IF(AND(13&gt;=ConStart,13&lt;=ConPayoffMonth),1,0)</f>
        <v/>
      </c>
      <c r="Q41" s="17">
        <f>IF(AND(14&gt;=ConStart,14&lt;=ConPayoffMonth),1,0)</f>
        <v/>
      </c>
      <c r="R41" s="17">
        <f>IF(AND(15&gt;=ConStart,15&lt;=ConPayoffMonth),1,0)</f>
        <v/>
      </c>
      <c r="S41" s="17">
        <f>IF(AND(16&gt;=ConStart,16&lt;=ConPayoffMonth),1,0)</f>
        <v/>
      </c>
      <c r="T41" s="17">
        <f>IF(AND(17&gt;=ConStart,17&lt;=ConPayoffMonth),1,0)</f>
        <v/>
      </c>
      <c r="U41" s="17">
        <f>IF(AND(18&gt;=ConStart,18&lt;=ConPayoffMonth),1,0)</f>
        <v/>
      </c>
      <c r="V41" s="17">
        <f>IF(AND(19&gt;=ConStart,19&lt;=ConPayoffMonth),1,0)</f>
        <v/>
      </c>
      <c r="W41" s="17">
        <f>IF(AND(20&gt;=ConStart,20&lt;=ConPayoffMonth),1,0)</f>
        <v/>
      </c>
      <c r="X41" s="17">
        <f>IF(AND(21&gt;=ConStart,21&lt;=ConPayoffMonth),1,0)</f>
        <v/>
      </c>
      <c r="Y41" s="17">
        <f>IF(AND(22&gt;=ConStart,22&lt;=ConPayoffMonth),1,0)</f>
        <v/>
      </c>
      <c r="Z41" s="17">
        <f>IF(AND(23&gt;=ConStart,23&lt;=ConPayoffMonth),1,0)</f>
        <v/>
      </c>
      <c r="AA41" s="17">
        <f>IF(AND(24&gt;=ConStart,24&lt;=ConPayoffMonth),1,0)</f>
        <v/>
      </c>
      <c r="AB41" s="17">
        <f>IF(AND(25&gt;=ConStart,25&lt;=ConPayoffMonth),1,0)</f>
        <v/>
      </c>
      <c r="AC41" s="17">
        <f>IF(AND(26&gt;=ConStart,26&lt;=ConPayoffMonth),1,0)</f>
        <v/>
      </c>
      <c r="AD41" s="17">
        <f>IF(AND(27&gt;=ConStart,27&lt;=ConPayoffMonth),1,0)</f>
        <v/>
      </c>
      <c r="AE41" s="17">
        <f>IF(AND(28&gt;=ConStart,28&lt;=ConPayoffMonth),1,0)</f>
        <v/>
      </c>
      <c r="AF41" s="17">
        <f>IF(AND(29&gt;=ConStart,29&lt;=ConPayoffMonth),1,0)</f>
        <v/>
      </c>
      <c r="AG41" s="17">
        <f>IF(AND(30&gt;=ConStart,30&lt;=ConPayoffMonth),1,0)</f>
        <v/>
      </c>
      <c r="AH41" s="17">
        <f>IF(AND(31&gt;=ConStart,31&lt;=ConPayoffMonth),1,0)</f>
        <v/>
      </c>
      <c r="AI41" s="17">
        <f>IF(AND(32&gt;=ConStart,32&lt;=ConPayoffMonth),1,0)</f>
        <v/>
      </c>
      <c r="AJ41" s="17">
        <f>IF(AND(33&gt;=ConStart,33&lt;=ConPayoffMonth),1,0)</f>
        <v/>
      </c>
      <c r="AK41" s="17">
        <f>IF(AND(34&gt;=ConStart,34&lt;=ConPayoffMonth),1,0)</f>
        <v/>
      </c>
      <c r="AL41" s="17">
        <f>IF(AND(35&gt;=ConStart,35&lt;=ConPayoffMonth),1,0)</f>
        <v/>
      </c>
      <c r="AM41" s="17">
        <f>IF(AND(36&gt;=ConStart,36&lt;=ConPayoffMonth),1,0)</f>
        <v/>
      </c>
      <c r="AN41" s="17">
        <f>IF(AND(37&gt;=ConStart,37&lt;=ConPayoffMonth),1,0)</f>
        <v/>
      </c>
      <c r="AO41" s="17">
        <f>IF(AND(38&gt;=ConStart,38&lt;=ConPayoffMonth),1,0)</f>
        <v/>
      </c>
      <c r="AP41" s="17">
        <f>IF(AND(39&gt;=ConStart,39&lt;=ConPayoffMonth),1,0)</f>
        <v/>
      </c>
      <c r="AQ41" s="17">
        <f>IF(AND(40&gt;=ConStart,40&lt;=ConPayoffMonth),1,0)</f>
        <v/>
      </c>
      <c r="AR41" s="17">
        <f>IF(AND(41&gt;=ConStart,41&lt;=ConPayoffMonth),1,0)</f>
        <v/>
      </c>
      <c r="AS41" s="17">
        <f>IF(AND(42&gt;=ConStart,42&lt;=ConPayoffMonth),1,0)</f>
        <v/>
      </c>
      <c r="AT41" s="17">
        <f>IF(AND(43&gt;=ConStart,43&lt;=ConPayoffMonth),1,0)</f>
        <v/>
      </c>
      <c r="AU41" s="17">
        <f>IF(AND(44&gt;=ConStart,44&lt;=ConPayoffMonth),1,0)</f>
        <v/>
      </c>
      <c r="AV41" s="17">
        <f>IF(AND(45&gt;=ConStart,45&lt;=ConPayoffMonth),1,0)</f>
        <v/>
      </c>
      <c r="AW41" s="17">
        <f>IF(AND(46&gt;=ConStart,46&lt;=ConPayoffMonth),1,0)</f>
        <v/>
      </c>
      <c r="AX41" s="17">
        <f>IF(AND(47&gt;=ConStart,47&lt;=ConPayoffMonth),1,0)</f>
        <v/>
      </c>
      <c r="AY41" s="17">
        <f>IF(AND(48&gt;=ConStart,48&lt;=ConPayoffMonth),1,0)</f>
        <v/>
      </c>
      <c r="AZ41" s="17">
        <f>IF(AND(49&gt;=ConStart,49&lt;=ConPayoffMonth),1,0)</f>
        <v/>
      </c>
      <c r="BA41" s="17">
        <f>IF(AND(50&gt;=ConStart,50&lt;=ConPayoffMonth),1,0)</f>
        <v/>
      </c>
      <c r="BB41" s="17">
        <f>IF(AND(51&gt;=ConStart,51&lt;=ConPayoffMonth),1,0)</f>
        <v/>
      </c>
      <c r="BC41" s="17">
        <f>IF(AND(52&gt;=ConStart,52&lt;=ConPayoffMonth),1,0)</f>
        <v/>
      </c>
      <c r="BD41" s="17">
        <f>IF(AND(53&gt;=ConStart,53&lt;=ConPayoffMonth),1,0)</f>
        <v/>
      </c>
      <c r="BE41" s="17">
        <f>IF(AND(54&gt;=ConStart,54&lt;=ConPayoffMonth),1,0)</f>
        <v/>
      </c>
      <c r="BF41" s="17">
        <f>IF(AND(55&gt;=ConStart,55&lt;=ConPayoffMonth),1,0)</f>
        <v/>
      </c>
      <c r="BG41" s="17">
        <f>IF(AND(56&gt;=ConStart,56&lt;=ConPayoffMonth),1,0)</f>
        <v/>
      </c>
      <c r="BH41" s="17">
        <f>IF(AND(57&gt;=ConStart,57&lt;=ConPayoffMonth),1,0)</f>
        <v/>
      </c>
      <c r="BI41" s="17">
        <f>IF(AND(58&gt;=ConStart,58&lt;=ConPayoffMonth),1,0)</f>
        <v/>
      </c>
      <c r="BJ41" s="17">
        <f>IF(AND(59&gt;=ConStart,59&lt;=ConPayoffMonth),1,0)</f>
        <v/>
      </c>
      <c r="BK41" s="17">
        <f>IF(AND(60&gt;=ConStart,60&lt;=ConPayoffMonth),1,0)</f>
        <v/>
      </c>
      <c r="BL41" s="17">
        <f>IF(AND(61&gt;=ConStart,61&lt;=ConPayoffMonth),1,0)</f>
        <v/>
      </c>
      <c r="BM41" s="17">
        <f>IF(AND(62&gt;=ConStart,62&lt;=ConPayoffMonth),1,0)</f>
        <v/>
      </c>
      <c r="BN41" s="17">
        <f>IF(AND(63&gt;=ConStart,63&lt;=ConPayoffMonth),1,0)</f>
        <v/>
      </c>
      <c r="BO41" s="17">
        <f>IF(AND(64&gt;=ConStart,64&lt;=ConPayoffMonth),1,0)</f>
        <v/>
      </c>
      <c r="BP41" s="17">
        <f>IF(AND(65&gt;=ConStart,65&lt;=ConPayoffMonth),1,0)</f>
        <v/>
      </c>
      <c r="BQ41" s="17">
        <f>IF(AND(66&gt;=ConStart,66&lt;=ConPayoffMonth),1,0)</f>
        <v/>
      </c>
      <c r="BR41" s="17">
        <f>IF(AND(67&gt;=ConStart,67&lt;=ConPayoffMonth),1,0)</f>
        <v/>
      </c>
      <c r="BS41" s="17">
        <f>IF(AND(68&gt;=ConStart,68&lt;=ConPayoffMonth),1,0)</f>
        <v/>
      </c>
      <c r="BT41" s="17">
        <f>IF(AND(69&gt;=ConStart,69&lt;=ConPayoffMonth),1,0)</f>
        <v/>
      </c>
      <c r="BU41" s="17">
        <f>IF(AND(70&gt;=ConStart,70&lt;=ConPayoffMonth),1,0)</f>
        <v/>
      </c>
      <c r="BV41" s="17">
        <f>IF(AND(71&gt;=ConStart,71&lt;=ConPayoffMonth),1,0)</f>
        <v/>
      </c>
      <c r="BW41" s="17">
        <f>IF(AND(72&gt;=ConStart,72&lt;=ConPayoffMonth),1,0)</f>
        <v/>
      </c>
      <c r="BX41" s="17">
        <f>IF(AND(73&gt;=ConStart,73&lt;=ConPayoffMonth),1,0)</f>
        <v/>
      </c>
      <c r="BY41" s="17">
        <f>IF(AND(74&gt;=ConStart,74&lt;=ConPayoffMonth),1,0)</f>
        <v/>
      </c>
      <c r="BZ41" s="17">
        <f>IF(AND(75&gt;=ConStart,75&lt;=ConPayoffMonth),1,0)</f>
        <v/>
      </c>
      <c r="CA41" s="17">
        <f>IF(AND(76&gt;=ConStart,76&lt;=ConPayoffMonth),1,0)</f>
        <v/>
      </c>
      <c r="CB41" s="17">
        <f>IF(AND(77&gt;=ConStart,77&lt;=ConPayoffMonth),1,0)</f>
        <v/>
      </c>
      <c r="CC41" s="17">
        <f>IF(AND(78&gt;=ConStart,78&lt;=ConPayoffMonth),1,0)</f>
        <v/>
      </c>
      <c r="CD41" s="17">
        <f>IF(AND(79&gt;=ConStart,79&lt;=ConPayoffMonth),1,0)</f>
        <v/>
      </c>
      <c r="CE41" s="17">
        <f>IF(AND(80&gt;=ConStart,80&lt;=ConPayoffMonth),1,0)</f>
        <v/>
      </c>
      <c r="CF41" s="17">
        <f>IF(AND(81&gt;=ConStart,81&lt;=ConPayoffMonth),1,0)</f>
        <v/>
      </c>
      <c r="CG41" s="17">
        <f>IF(AND(82&gt;=ConStart,82&lt;=ConPayoffMonth),1,0)</f>
        <v/>
      </c>
      <c r="CH41" s="17">
        <f>IF(AND(83&gt;=ConStart,83&lt;=ConPayoffMonth),1,0)</f>
        <v/>
      </c>
      <c r="CI41" s="17">
        <f>IF(AND(84&gt;=ConStart,84&lt;=ConPayoffMonth),1,0)</f>
        <v/>
      </c>
      <c r="CJ41" s="17">
        <f>IF(AND(85&gt;=ConStart,85&lt;=ConPayoffMonth),1,0)</f>
        <v/>
      </c>
      <c r="CK41" s="17">
        <f>IF(AND(86&gt;=ConStart,86&lt;=ConPayoffMonth),1,0)</f>
        <v/>
      </c>
      <c r="CL41" s="17">
        <f>IF(AND(87&gt;=ConStart,87&lt;=ConPayoffMonth),1,0)</f>
        <v/>
      </c>
      <c r="CM41" s="17">
        <f>IF(AND(88&gt;=ConStart,88&lt;=ConPayoffMonth),1,0)</f>
        <v/>
      </c>
      <c r="CN41" s="17">
        <f>IF(AND(89&gt;=ConStart,89&lt;=ConPayoffMonth),1,0)</f>
        <v/>
      </c>
      <c r="CO41" s="17">
        <f>IF(AND(90&gt;=ConStart,90&lt;=ConPayoffMonth),1,0)</f>
        <v/>
      </c>
      <c r="CP41" s="17">
        <f>IF(AND(91&gt;=ConStart,91&lt;=ConPayoffMonth),1,0)</f>
        <v/>
      </c>
      <c r="CQ41" s="17">
        <f>IF(AND(92&gt;=ConStart,92&lt;=ConPayoffMonth),1,0)</f>
        <v/>
      </c>
      <c r="CR41" s="17">
        <f>IF(AND(93&gt;=ConStart,93&lt;=ConPayoffMonth),1,0)</f>
        <v/>
      </c>
      <c r="CS41" s="17">
        <f>IF(AND(94&gt;=ConStart,94&lt;=ConPayoffMonth),1,0)</f>
        <v/>
      </c>
      <c r="CT41" s="17">
        <f>IF(AND(95&gt;=ConStart,95&lt;=ConPayoffMonth),1,0)</f>
        <v/>
      </c>
      <c r="CU41" s="17">
        <f>IF(AND(96&gt;=ConStart,96&lt;=ConPayoffMonth),1,0)</f>
        <v/>
      </c>
      <c r="CV41" s="17">
        <f>IF(AND(97&gt;=ConStart,97&lt;=ConPayoffMonth),1,0)</f>
        <v/>
      </c>
      <c r="CW41" s="17">
        <f>IF(AND(98&gt;=ConStart,98&lt;=ConPayoffMonth),1,0)</f>
        <v/>
      </c>
      <c r="CX41" s="17">
        <f>IF(AND(99&gt;=ConStart,99&lt;=ConPayoffMonth),1,0)</f>
        <v/>
      </c>
      <c r="CY41" s="17">
        <f>IF(AND(100&gt;=ConStart,100&lt;=ConPayoffMonth),1,0)</f>
        <v/>
      </c>
      <c r="CZ41" s="17">
        <f>IF(AND(101&gt;=ConStart,101&lt;=ConPayoffMonth),1,0)</f>
        <v/>
      </c>
      <c r="DA41" s="17">
        <f>IF(AND(102&gt;=ConStart,102&lt;=ConPayoffMonth),1,0)</f>
        <v/>
      </c>
      <c r="DB41" s="17">
        <f>IF(AND(103&gt;=ConStart,103&lt;=ConPayoffMonth),1,0)</f>
        <v/>
      </c>
      <c r="DC41" s="17">
        <f>IF(AND(104&gt;=ConStart,104&lt;=ConPayoffMonth),1,0)</f>
        <v/>
      </c>
      <c r="DD41" s="17">
        <f>IF(AND(105&gt;=ConStart,105&lt;=ConPayoffMonth),1,0)</f>
        <v/>
      </c>
      <c r="DE41" s="17">
        <f>IF(AND(106&gt;=ConStart,106&lt;=ConPayoffMonth),1,0)</f>
        <v/>
      </c>
      <c r="DF41" s="17">
        <f>IF(AND(107&gt;=ConStart,107&lt;=ConPayoffMonth),1,0)</f>
        <v/>
      </c>
      <c r="DG41" s="17">
        <f>IF(AND(108&gt;=ConStart,108&lt;=ConPayoffMonth),1,0)</f>
        <v/>
      </c>
      <c r="DH41" s="17">
        <f>IF(AND(109&gt;=ConStart,109&lt;=ConPayoffMonth),1,0)</f>
        <v/>
      </c>
      <c r="DI41" s="17">
        <f>IF(AND(110&gt;=ConStart,110&lt;=ConPayoffMonth),1,0)</f>
        <v/>
      </c>
      <c r="DJ41" s="17">
        <f>IF(AND(111&gt;=ConStart,111&lt;=ConPayoffMonth),1,0)</f>
        <v/>
      </c>
      <c r="DK41" s="17">
        <f>IF(AND(112&gt;=ConStart,112&lt;=ConPayoffMonth),1,0)</f>
        <v/>
      </c>
      <c r="DL41" s="17">
        <f>IF(AND(113&gt;=ConStart,113&lt;=ConPayoffMonth),1,0)</f>
        <v/>
      </c>
      <c r="DM41" s="17">
        <f>IF(AND(114&gt;=ConStart,114&lt;=ConPayoffMonth),1,0)</f>
        <v/>
      </c>
      <c r="DN41" s="17">
        <f>IF(AND(115&gt;=ConStart,115&lt;=ConPayoffMonth),1,0)</f>
        <v/>
      </c>
      <c r="DO41" s="17">
        <f>IF(AND(116&gt;=ConStart,116&lt;=ConPayoffMonth),1,0)</f>
        <v/>
      </c>
      <c r="DP41" s="17">
        <f>IF(AND(117&gt;=ConStart,117&lt;=ConPayoffMonth),1,0)</f>
        <v/>
      </c>
      <c r="DQ41" s="17">
        <f>IF(AND(118&gt;=ConStart,118&lt;=ConPayoffMonth),1,0)</f>
        <v/>
      </c>
      <c r="DR41" s="17">
        <f>IF(AND(119&gt;=ConStart,119&lt;=ConPayoffMonth),1,0)</f>
        <v/>
      </c>
      <c r="DS41" s="17">
        <f>IF(AND(120&gt;=ConStart,120&lt;=ConPayoffMonth),1,0)</f>
        <v/>
      </c>
      <c r="DT41" s="17">
        <f>IF(AND(121&gt;=ConStart,121&lt;=ConPayoffMonth),1,0)</f>
        <v/>
      </c>
      <c r="DU41" s="17">
        <f>IF(AND(122&gt;=ConStart,122&lt;=ConPayoffMonth),1,0)</f>
        <v/>
      </c>
      <c r="DV41" s="17">
        <f>IF(AND(123&gt;=ConStart,123&lt;=ConPayoffMonth),1,0)</f>
        <v/>
      </c>
      <c r="DW41" s="17">
        <f>IF(AND(124&gt;=ConStart,124&lt;=ConPayoffMonth),1,0)</f>
        <v/>
      </c>
      <c r="DX41" s="17">
        <f>IF(AND(125&gt;=ConStart,125&lt;=ConPayoffMonth),1,0)</f>
        <v/>
      </c>
      <c r="DY41" s="17">
        <f>IF(AND(126&gt;=ConStart,126&lt;=ConPayoffMonth),1,0)</f>
        <v/>
      </c>
      <c r="DZ41" s="17">
        <f>IF(AND(127&gt;=ConStart,127&lt;=ConPayoffMonth),1,0)</f>
        <v/>
      </c>
      <c r="EA41" s="17">
        <f>IF(AND(128&gt;=ConStart,128&lt;=ConPayoffMonth),1,0)</f>
        <v/>
      </c>
      <c r="EB41" s="17">
        <f>IF(AND(129&gt;=ConStart,129&lt;=ConPayoffMonth),1,0)</f>
        <v/>
      </c>
      <c r="EC41" s="17">
        <f>IF(AND(130&gt;=ConStart,130&lt;=ConPayoffMonth),1,0)</f>
        <v/>
      </c>
      <c r="ED41" s="17">
        <f>IF(AND(131&gt;=ConStart,131&lt;=ConPayoffMonth),1,0)</f>
        <v/>
      </c>
      <c r="EE41" s="17">
        <f>IF(AND(132&gt;=ConStart,132&lt;=ConPayoffMonth),1,0)</f>
        <v/>
      </c>
      <c r="EF41" s="17">
        <f>IF(AND(133&gt;=ConStart,133&lt;=ConPayoffMonth),1,0)</f>
        <v/>
      </c>
      <c r="EG41" s="17">
        <f>IF(AND(134&gt;=ConStart,134&lt;=ConPayoffMonth),1,0)</f>
        <v/>
      </c>
      <c r="EH41" s="17">
        <f>IF(AND(135&gt;=ConStart,135&lt;=ConPayoffMonth),1,0)</f>
        <v/>
      </c>
      <c r="EI41" s="17">
        <f>IF(AND(136&gt;=ConStart,136&lt;=ConPayoffMonth),1,0)</f>
        <v/>
      </c>
      <c r="EJ41" s="17">
        <f>IF(AND(137&gt;=ConStart,137&lt;=ConPayoffMonth),1,0)</f>
        <v/>
      </c>
      <c r="EK41" s="17">
        <f>IF(AND(138&gt;=ConStart,138&lt;=ConPayoffMonth),1,0)</f>
        <v/>
      </c>
      <c r="EL41" s="17">
        <f>IF(AND(139&gt;=ConStart,139&lt;=ConPayoffMonth),1,0)</f>
        <v/>
      </c>
      <c r="EM41" s="17">
        <f>IF(AND(140&gt;=ConStart,140&lt;=ConPayoffMonth),1,0)</f>
        <v/>
      </c>
      <c r="EN41" s="17">
        <f>IF(AND(141&gt;=ConStart,141&lt;=ConPayoffMonth),1,0)</f>
        <v/>
      </c>
      <c r="EO41" s="17">
        <f>IF(AND(142&gt;=ConStart,142&lt;=ConPayoffMonth),1,0)</f>
        <v/>
      </c>
      <c r="EP41" s="17">
        <f>IF(AND(143&gt;=ConStart,143&lt;=ConPayoffMonth),1,0)</f>
        <v/>
      </c>
      <c r="EQ41" s="17">
        <f>IF(AND(144&gt;=ConStart,144&lt;=ConPayoffMonth),1,0)</f>
        <v/>
      </c>
      <c r="ER41" s="17">
        <f>IF(AND(145&gt;=ConStart,145&lt;=ConPayoffMonth),1,0)</f>
        <v/>
      </c>
      <c r="ES41" s="17">
        <f>IF(AND(146&gt;=ConStart,146&lt;=ConPayoffMonth),1,0)</f>
        <v/>
      </c>
      <c r="ET41" s="17">
        <f>IF(AND(147&gt;=ConStart,147&lt;=ConPayoffMonth),1,0)</f>
        <v/>
      </c>
      <c r="EU41" s="17">
        <f>IF(AND(148&gt;=ConStart,148&lt;=ConPayoffMonth),1,0)</f>
        <v/>
      </c>
      <c r="EV41" s="17">
        <f>IF(AND(149&gt;=ConStart,149&lt;=ConPayoffMonth),1,0)</f>
        <v/>
      </c>
      <c r="EW41" s="17">
        <f>IF(AND(150&gt;=ConStart,150&lt;=ConPayoffMonth),1,0)</f>
        <v/>
      </c>
      <c r="EX41" s="17">
        <f>IF(AND(151&gt;=ConStart,151&lt;=ConPayoffMonth),1,0)</f>
        <v/>
      </c>
      <c r="EY41" s="17">
        <f>IF(AND(152&gt;=ConStart,152&lt;=ConPayoffMonth),1,0)</f>
        <v/>
      </c>
      <c r="EZ41" s="17">
        <f>IF(AND(153&gt;=ConStart,153&lt;=ConPayoffMonth),1,0)</f>
        <v/>
      </c>
      <c r="FA41" s="17">
        <f>IF(AND(154&gt;=ConStart,154&lt;=ConPayoffMonth),1,0)</f>
        <v/>
      </c>
      <c r="FB41" s="17">
        <f>IF(AND(155&gt;=ConStart,155&lt;=ConPayoffMonth),1,0)</f>
        <v/>
      </c>
      <c r="FC41" s="17">
        <f>IF(AND(156&gt;=ConStart,156&lt;=ConPayoffMonth),1,0)</f>
        <v/>
      </c>
      <c r="FD41" s="17">
        <f>IF(AND(157&gt;=ConStart,157&lt;=ConPayoffMonth),1,0)</f>
        <v/>
      </c>
      <c r="FE41" s="17">
        <f>IF(AND(158&gt;=ConStart,158&lt;=ConPayoffMonth),1,0)</f>
        <v/>
      </c>
      <c r="FF41" s="17">
        <f>IF(AND(159&gt;=ConStart,159&lt;=ConPayoffMonth),1,0)</f>
        <v/>
      </c>
      <c r="FG41" s="17">
        <f>IF(AND(160&gt;=ConStart,160&lt;=ConPayoffMonth),1,0)</f>
        <v/>
      </c>
      <c r="FH41" s="17">
        <f>IF(AND(161&gt;=ConStart,161&lt;=ConPayoffMonth),1,0)</f>
        <v/>
      </c>
      <c r="FI41" s="17">
        <f>IF(AND(162&gt;=ConStart,162&lt;=ConPayoffMonth),1,0)</f>
        <v/>
      </c>
      <c r="FJ41" s="17">
        <f>IF(AND(163&gt;=ConStart,163&lt;=ConPayoffMonth),1,0)</f>
        <v/>
      </c>
      <c r="FK41" s="17">
        <f>IF(AND(164&gt;=ConStart,164&lt;=ConPayoffMonth),1,0)</f>
        <v/>
      </c>
      <c r="FL41" s="17">
        <f>IF(AND(165&gt;=ConStart,165&lt;=ConPayoffMonth),1,0)</f>
        <v/>
      </c>
      <c r="FM41" s="17">
        <f>IF(AND(166&gt;=ConStart,166&lt;=ConPayoffMonth),1,0)</f>
        <v/>
      </c>
      <c r="FN41" s="17">
        <f>IF(AND(167&gt;=ConStart,167&lt;=ConPayoffMonth),1,0)</f>
        <v/>
      </c>
      <c r="FO41" s="17">
        <f>IF(AND(168&gt;=ConStart,168&lt;=ConPayoffMonth),1,0)</f>
        <v/>
      </c>
      <c r="FP41" s="17">
        <f>IF(AND(169&gt;=ConStart,169&lt;=ConPayoffMonth),1,0)</f>
        <v/>
      </c>
      <c r="FQ41" s="17">
        <f>IF(AND(170&gt;=ConStart,170&lt;=ConPayoffMonth),1,0)</f>
        <v/>
      </c>
      <c r="FR41" s="17">
        <f>IF(AND(171&gt;=ConStart,171&lt;=ConPayoffMonth),1,0)</f>
        <v/>
      </c>
      <c r="FS41" s="17">
        <f>IF(AND(172&gt;=ConStart,172&lt;=ConPayoffMonth),1,0)</f>
        <v/>
      </c>
      <c r="FT41" s="17">
        <f>IF(AND(173&gt;=ConStart,173&lt;=ConPayoffMonth),1,0)</f>
        <v/>
      </c>
      <c r="FU41" s="17">
        <f>IF(AND(174&gt;=ConStart,174&lt;=ConPayoffMonth),1,0)</f>
        <v/>
      </c>
      <c r="FV41" s="17">
        <f>IF(AND(175&gt;=ConStart,175&lt;=ConPayoffMonth),1,0)</f>
        <v/>
      </c>
      <c r="FW41" s="17">
        <f>IF(AND(176&gt;=ConStart,176&lt;=ConPayoffMonth),1,0)</f>
        <v/>
      </c>
      <c r="FX41" s="17">
        <f>IF(AND(177&gt;=ConStart,177&lt;=ConPayoffMonth),1,0)</f>
        <v/>
      </c>
      <c r="FY41" s="17">
        <f>IF(AND(178&gt;=ConStart,178&lt;=ConPayoffMonth),1,0)</f>
        <v/>
      </c>
      <c r="FZ41" s="17">
        <f>IF(AND(179&gt;=ConStart,179&lt;=ConPayoffMonth),1,0)</f>
        <v/>
      </c>
      <c r="GA41" s="17">
        <f>IF(AND(180&gt;=ConStart,180&lt;=ConPayoffMonth),1,0)</f>
        <v/>
      </c>
      <c r="GB41" s="17">
        <f>IF(AND(181&gt;=ConStart,181&lt;=ConPayoffMonth),1,0)</f>
        <v/>
      </c>
      <c r="GC41" s="17">
        <f>IF(AND(182&gt;=ConStart,182&lt;=ConPayoffMonth),1,0)</f>
        <v/>
      </c>
      <c r="GD41" s="17">
        <f>IF(AND(183&gt;=ConStart,183&lt;=ConPayoffMonth),1,0)</f>
        <v/>
      </c>
      <c r="GE41" s="17">
        <f>IF(AND(184&gt;=ConStart,184&lt;=ConPayoffMonth),1,0)</f>
        <v/>
      </c>
      <c r="GF41" s="17">
        <f>IF(AND(185&gt;=ConStart,185&lt;=ConPayoffMonth),1,0)</f>
        <v/>
      </c>
      <c r="GG41" s="17">
        <f>IF(AND(186&gt;=ConStart,186&lt;=ConPayoffMonth),1,0)</f>
        <v/>
      </c>
      <c r="GH41" s="17">
        <f>IF(AND(187&gt;=ConStart,187&lt;=ConPayoffMonth),1,0)</f>
        <v/>
      </c>
      <c r="GI41" s="17">
        <f>IF(AND(188&gt;=ConStart,188&lt;=ConPayoffMonth),1,0)</f>
        <v/>
      </c>
      <c r="GJ41" s="17">
        <f>IF(AND(189&gt;=ConStart,189&lt;=ConPayoffMonth),1,0)</f>
        <v/>
      </c>
      <c r="GK41" s="17">
        <f>IF(AND(190&gt;=ConStart,190&lt;=ConPayoffMonth),1,0)</f>
        <v/>
      </c>
      <c r="GL41" s="17">
        <f>IF(AND(191&gt;=ConStart,191&lt;=ConPayoffMonth),1,0)</f>
        <v/>
      </c>
      <c r="GM41" s="17">
        <f>IF(AND(192&gt;=ConStart,192&lt;=ConPayoffMonth),1,0)</f>
        <v/>
      </c>
      <c r="GN41" s="17">
        <f>IF(AND(193&gt;=ConStart,193&lt;=ConPayoffMonth),1,0)</f>
        <v/>
      </c>
      <c r="GO41" s="17">
        <f>IF(AND(194&gt;=ConStart,194&lt;=ConPayoffMonth),1,0)</f>
        <v/>
      </c>
      <c r="GP41" s="17">
        <f>IF(AND(195&gt;=ConStart,195&lt;=ConPayoffMonth),1,0)</f>
        <v/>
      </c>
      <c r="GQ41" s="17">
        <f>IF(AND(196&gt;=ConStart,196&lt;=ConPayoffMonth),1,0)</f>
        <v/>
      </c>
      <c r="GR41" s="17">
        <f>IF(AND(197&gt;=ConStart,197&lt;=ConPayoffMonth),1,0)</f>
        <v/>
      </c>
      <c r="GS41" s="17">
        <f>IF(AND(198&gt;=ConStart,198&lt;=ConPayoffMonth),1,0)</f>
        <v/>
      </c>
      <c r="GT41" s="17">
        <f>IF(AND(199&gt;=ConStart,199&lt;=ConPayoffMonth),1,0)</f>
        <v/>
      </c>
      <c r="GU41" s="17">
        <f>IF(AND(200&gt;=ConStart,200&lt;=ConPayoffMonth),1,0)</f>
        <v/>
      </c>
      <c r="GV41" s="17">
        <f>IF(AND(201&gt;=ConStart,201&lt;=ConPayoffMonth),1,0)</f>
        <v/>
      </c>
      <c r="GW41" s="17">
        <f>IF(AND(202&gt;=ConStart,202&lt;=ConPayoffMonth),1,0)</f>
        <v/>
      </c>
      <c r="GX41" s="17">
        <f>IF(AND(203&gt;=ConStart,203&lt;=ConPayoffMonth),1,0)</f>
        <v/>
      </c>
      <c r="GY41" s="17">
        <f>IF(AND(204&gt;=ConStart,204&lt;=ConPayoffMonth),1,0)</f>
        <v/>
      </c>
      <c r="GZ41" s="17">
        <f>IF(AND(205&gt;=ConStart,205&lt;=ConPayoffMonth),1,0)</f>
        <v/>
      </c>
      <c r="HA41" s="17">
        <f>IF(AND(206&gt;=ConStart,206&lt;=ConPayoffMonth),1,0)</f>
        <v/>
      </c>
      <c r="HB41" s="17">
        <f>IF(AND(207&gt;=ConStart,207&lt;=ConPayoffMonth),1,0)</f>
        <v/>
      </c>
      <c r="HC41" s="17">
        <f>IF(AND(208&gt;=ConStart,208&lt;=ConPayoffMonth),1,0)</f>
        <v/>
      </c>
      <c r="HD41" s="17">
        <f>IF(AND(209&gt;=ConStart,209&lt;=ConPayoffMonth),1,0)</f>
        <v/>
      </c>
      <c r="HE41" s="17">
        <f>IF(AND(210&gt;=ConStart,210&lt;=ConPayoffMonth),1,0)</f>
        <v/>
      </c>
      <c r="HF41" s="17">
        <f>IF(AND(211&gt;=ConStart,211&lt;=ConPayoffMonth),1,0)</f>
        <v/>
      </c>
      <c r="HG41" s="17">
        <f>IF(AND(212&gt;=ConStart,212&lt;=ConPayoffMonth),1,0)</f>
        <v/>
      </c>
      <c r="HH41" s="17">
        <f>IF(AND(213&gt;=ConStart,213&lt;=ConPayoffMonth),1,0)</f>
        <v/>
      </c>
      <c r="HI41" s="17">
        <f>IF(AND(214&gt;=ConStart,214&lt;=ConPayoffMonth),1,0)</f>
        <v/>
      </c>
      <c r="HJ41" s="17">
        <f>IF(AND(215&gt;=ConStart,215&lt;=ConPayoffMonth),1,0)</f>
        <v/>
      </c>
      <c r="HK41" s="17">
        <f>IF(AND(216&gt;=ConStart,216&lt;=ConPayoffMonth),1,0)</f>
        <v/>
      </c>
      <c r="HL41" s="17">
        <f>IF(AND(217&gt;=ConStart,217&lt;=ConPayoffMonth),1,0)</f>
        <v/>
      </c>
      <c r="HM41" s="17">
        <f>IF(AND(218&gt;=ConStart,218&lt;=ConPayoffMonth),1,0)</f>
        <v/>
      </c>
      <c r="HN41" s="17">
        <f>IF(AND(219&gt;=ConStart,219&lt;=ConPayoffMonth),1,0)</f>
        <v/>
      </c>
      <c r="HO41" s="17">
        <f>IF(AND(220&gt;=ConStart,220&lt;=ConPayoffMonth),1,0)</f>
        <v/>
      </c>
      <c r="HP41" s="17">
        <f>IF(AND(221&gt;=ConStart,221&lt;=ConPayoffMonth),1,0)</f>
        <v/>
      </c>
      <c r="HQ41" s="17">
        <f>IF(AND(222&gt;=ConStart,222&lt;=ConPayoffMonth),1,0)</f>
        <v/>
      </c>
      <c r="HR41" s="17">
        <f>IF(AND(223&gt;=ConStart,223&lt;=ConPayoffMonth),1,0)</f>
        <v/>
      </c>
      <c r="HS41" s="17">
        <f>IF(AND(224&gt;=ConStart,224&lt;=ConPayoffMonth),1,0)</f>
        <v/>
      </c>
      <c r="HT41" s="17">
        <f>IF(AND(225&gt;=ConStart,225&lt;=ConPayoffMonth),1,0)</f>
        <v/>
      </c>
      <c r="HU41" s="17">
        <f>IF(AND(226&gt;=ConStart,226&lt;=ConPayoffMonth),1,0)</f>
        <v/>
      </c>
      <c r="HV41" s="17">
        <f>IF(AND(227&gt;=ConStart,227&lt;=ConPayoffMonth),1,0)</f>
        <v/>
      </c>
      <c r="HW41" s="17">
        <f>IF(AND(228&gt;=ConStart,228&lt;=ConPayoffMonth),1,0)</f>
        <v/>
      </c>
      <c r="HX41" s="17">
        <f>IF(AND(229&gt;=ConStart,229&lt;=ConPayoffMonth),1,0)</f>
        <v/>
      </c>
      <c r="HY41" s="17">
        <f>IF(AND(230&gt;=ConStart,230&lt;=ConPayoffMonth),1,0)</f>
        <v/>
      </c>
      <c r="HZ41" s="17">
        <f>IF(AND(231&gt;=ConStart,231&lt;=ConPayoffMonth),1,0)</f>
        <v/>
      </c>
      <c r="IA41" s="17">
        <f>IF(AND(232&gt;=ConStart,232&lt;=ConPayoffMonth),1,0)</f>
        <v/>
      </c>
      <c r="IB41" s="17">
        <f>IF(AND(233&gt;=ConStart,233&lt;=ConPayoffMonth),1,0)</f>
        <v/>
      </c>
      <c r="IC41" s="17">
        <f>IF(AND(234&gt;=ConStart,234&lt;=ConPayoffMonth),1,0)</f>
        <v/>
      </c>
      <c r="ID41" s="17">
        <f>IF(AND(235&gt;=ConStart,235&lt;=ConPayoffMonth),1,0)</f>
        <v/>
      </c>
      <c r="IE41" s="17">
        <f>IF(AND(236&gt;=ConStart,236&lt;=ConPayoffMonth),1,0)</f>
        <v/>
      </c>
      <c r="IF41" s="17">
        <f>IF(AND(237&gt;=ConStart,237&lt;=ConPayoffMonth),1,0)</f>
        <v/>
      </c>
      <c r="IG41" s="17">
        <f>IF(AND(238&gt;=ConStart,238&lt;=ConPayoffMonth),1,0)</f>
        <v/>
      </c>
      <c r="IH41" s="17">
        <f>IF(AND(239&gt;=ConStart,239&lt;=ConPayoffMonth),1,0)</f>
        <v/>
      </c>
      <c r="II41" s="17">
        <f>IF(AND(240&gt;=ConStart,240&lt;=ConPayoffMonth),1,0)</f>
        <v/>
      </c>
      <c r="IJ41" s="17">
        <f>IF(AND(241&gt;=ConStart,241&lt;=ConPayoffMonth),1,0)</f>
        <v/>
      </c>
      <c r="IK41" s="17">
        <f>IF(AND(242&gt;=ConStart,242&lt;=ConPayoffMonth),1,0)</f>
        <v/>
      </c>
      <c r="IL41" s="17">
        <f>IF(AND(243&gt;=ConStart,243&lt;=ConPayoffMonth),1,0)</f>
        <v/>
      </c>
      <c r="IM41" s="17">
        <f>IF(AND(244&gt;=ConStart,244&lt;=ConPayoffMonth),1,0)</f>
        <v/>
      </c>
      <c r="IN41" s="17">
        <f>IF(AND(245&gt;=ConStart,245&lt;=ConPayoffMonth),1,0)</f>
        <v/>
      </c>
      <c r="IO41" s="17">
        <f>IF(AND(246&gt;=ConStart,246&lt;=ConPayoffMonth),1,0)</f>
        <v/>
      </c>
      <c r="IP41" s="17">
        <f>IF(AND(247&gt;=ConStart,247&lt;=ConPayoffMonth),1,0)</f>
        <v/>
      </c>
      <c r="IQ41" s="17">
        <f>IF(AND(248&gt;=ConStart,248&lt;=ConPayoffMonth),1,0)</f>
        <v/>
      </c>
      <c r="IR41" s="17">
        <f>IF(AND(249&gt;=ConStart,249&lt;=ConPayoffMonth),1,0)</f>
        <v/>
      </c>
      <c r="IS41" s="17">
        <f>IF(AND(250&gt;=ConStart,250&lt;=ConPayoffMonth),1,0)</f>
        <v/>
      </c>
      <c r="IT41" s="17">
        <f>IF(AND(251&gt;=ConStart,251&lt;=ConPayoffMonth),1,0)</f>
        <v/>
      </c>
      <c r="IU41" s="17">
        <f>IF(AND(252&gt;=ConStart,252&lt;=ConPayoffMonth),1,0)</f>
        <v/>
      </c>
      <c r="IV41" s="17">
        <f>IF(AND(253&gt;=ConStart,253&lt;=ConPayoffMonth),1,0)</f>
        <v/>
      </c>
      <c r="IW41" s="17">
        <f>IF(AND(254&gt;=ConStart,254&lt;=ConPayoffMonth),1,0)</f>
        <v/>
      </c>
      <c r="IX41" s="17">
        <f>IF(AND(255&gt;=ConStart,255&lt;=ConPayoffMonth),1,0)</f>
        <v/>
      </c>
      <c r="IY41" s="17">
        <f>IF(AND(256&gt;=ConStart,256&lt;=ConPayoffMonth),1,0)</f>
        <v/>
      </c>
      <c r="IZ41" s="17">
        <f>IF(AND(257&gt;=ConStart,257&lt;=ConPayoffMonth),1,0)</f>
        <v/>
      </c>
      <c r="JA41" s="17">
        <f>IF(AND(258&gt;=ConStart,258&lt;=ConPayoffMonth),1,0)</f>
        <v/>
      </c>
      <c r="JB41" s="17">
        <f>IF(AND(259&gt;=ConStart,259&lt;=ConPayoffMonth),1,0)</f>
        <v/>
      </c>
      <c r="JC41" s="17">
        <f>IF(AND(260&gt;=ConStart,260&lt;=ConPayoffMonth),1,0)</f>
        <v/>
      </c>
      <c r="JD41" s="17">
        <f>IF(AND(261&gt;=ConStart,261&lt;=ConPayoffMonth),1,0)</f>
        <v/>
      </c>
      <c r="JE41" s="17">
        <f>IF(AND(262&gt;=ConStart,262&lt;=ConPayoffMonth),1,0)</f>
        <v/>
      </c>
      <c r="JF41" s="17">
        <f>IF(AND(263&gt;=ConStart,263&lt;=ConPayoffMonth),1,0)</f>
        <v/>
      </c>
      <c r="JG41" s="17">
        <f>IF(AND(264&gt;=ConStart,264&lt;=ConPayoffMonth),1,0)</f>
        <v/>
      </c>
      <c r="JH41" s="17">
        <f>IF(AND(265&gt;=ConStart,265&lt;=ConPayoffMonth),1,0)</f>
        <v/>
      </c>
      <c r="JI41" s="17">
        <f>IF(AND(266&gt;=ConStart,266&lt;=ConPayoffMonth),1,0)</f>
        <v/>
      </c>
      <c r="JJ41" s="17">
        <f>IF(AND(267&gt;=ConStart,267&lt;=ConPayoffMonth),1,0)</f>
        <v/>
      </c>
      <c r="JK41" s="17">
        <f>IF(AND(268&gt;=ConStart,268&lt;=ConPayoffMonth),1,0)</f>
        <v/>
      </c>
      <c r="JL41" s="17">
        <f>IF(AND(269&gt;=ConStart,269&lt;=ConPayoffMonth),1,0)</f>
        <v/>
      </c>
      <c r="JM41" s="17">
        <f>IF(AND(270&gt;=ConStart,270&lt;=ConPayoffMonth),1,0)</f>
        <v/>
      </c>
      <c r="JN41" s="17">
        <f>IF(AND(271&gt;=ConStart,271&lt;=ConPayoffMonth),1,0)</f>
        <v/>
      </c>
      <c r="JO41" s="17">
        <f>IF(AND(272&gt;=ConStart,272&lt;=ConPayoffMonth),1,0)</f>
        <v/>
      </c>
      <c r="JP41" s="17">
        <f>IF(AND(273&gt;=ConStart,273&lt;=ConPayoffMonth),1,0)</f>
        <v/>
      </c>
      <c r="JQ41" s="17">
        <f>IF(AND(274&gt;=ConStart,274&lt;=ConPayoffMonth),1,0)</f>
        <v/>
      </c>
      <c r="JR41" s="17">
        <f>IF(AND(275&gt;=ConStart,275&lt;=ConPayoffMonth),1,0)</f>
        <v/>
      </c>
      <c r="JS41" s="17">
        <f>IF(AND(276&gt;=ConStart,276&lt;=ConPayoffMonth),1,0)</f>
        <v/>
      </c>
      <c r="JT41" s="17">
        <f>IF(AND(277&gt;=ConStart,277&lt;=ConPayoffMonth),1,0)</f>
        <v/>
      </c>
      <c r="JU41" s="17">
        <f>IF(AND(278&gt;=ConStart,278&lt;=ConPayoffMonth),1,0)</f>
        <v/>
      </c>
      <c r="JV41" s="17">
        <f>IF(AND(279&gt;=ConStart,279&lt;=ConPayoffMonth),1,0)</f>
        <v/>
      </c>
      <c r="JW41" s="17">
        <f>IF(AND(280&gt;=ConStart,280&lt;=ConPayoffMonth),1,0)</f>
        <v/>
      </c>
      <c r="JX41" s="17">
        <f>IF(AND(281&gt;=ConStart,281&lt;=ConPayoffMonth),1,0)</f>
        <v/>
      </c>
      <c r="JY41" s="17">
        <f>IF(AND(282&gt;=ConStart,282&lt;=ConPayoffMonth),1,0)</f>
        <v/>
      </c>
      <c r="JZ41" s="17">
        <f>IF(AND(283&gt;=ConStart,283&lt;=ConPayoffMonth),1,0)</f>
        <v/>
      </c>
      <c r="KA41" s="17">
        <f>IF(AND(284&gt;=ConStart,284&lt;=ConPayoffMonth),1,0)</f>
        <v/>
      </c>
      <c r="KB41" s="17">
        <f>IF(AND(285&gt;=ConStart,285&lt;=ConPayoffMonth),1,0)</f>
        <v/>
      </c>
      <c r="KC41" s="17">
        <f>IF(AND(286&gt;=ConStart,286&lt;=ConPayoffMonth),1,0)</f>
        <v/>
      </c>
      <c r="KD41" s="17">
        <f>IF(AND(287&gt;=ConStart,287&lt;=ConPayoffMonth),1,0)</f>
        <v/>
      </c>
      <c r="KE41" s="17">
        <f>IF(AND(288&gt;=ConStart,288&lt;=ConPayoffMonth),1,0)</f>
        <v/>
      </c>
      <c r="KF41" s="17">
        <f>IF(AND(289&gt;=ConStart,289&lt;=ConPayoffMonth),1,0)</f>
        <v/>
      </c>
      <c r="KG41" s="17">
        <f>IF(AND(290&gt;=ConStart,290&lt;=ConPayoffMonth),1,0)</f>
        <v/>
      </c>
      <c r="KH41" s="17">
        <f>IF(AND(291&gt;=ConStart,291&lt;=ConPayoffMonth),1,0)</f>
        <v/>
      </c>
      <c r="KI41" s="17">
        <f>IF(AND(292&gt;=ConStart,292&lt;=ConPayoffMonth),1,0)</f>
        <v/>
      </c>
      <c r="KJ41" s="17">
        <f>IF(AND(293&gt;=ConStart,293&lt;=ConPayoffMonth),1,0)</f>
        <v/>
      </c>
      <c r="KK41" s="17">
        <f>IF(AND(294&gt;=ConStart,294&lt;=ConPayoffMonth),1,0)</f>
        <v/>
      </c>
      <c r="KL41" s="17">
        <f>IF(AND(295&gt;=ConStart,295&lt;=ConPayoffMonth),1,0)</f>
        <v/>
      </c>
      <c r="KM41" s="17">
        <f>IF(AND(296&gt;=ConStart,296&lt;=ConPayoffMonth),1,0)</f>
        <v/>
      </c>
      <c r="KN41" s="17">
        <f>IF(AND(297&gt;=ConStart,297&lt;=ConPayoffMonth),1,0)</f>
        <v/>
      </c>
      <c r="KO41" s="17">
        <f>IF(AND(298&gt;=ConStart,298&lt;=ConPayoffMonth),1,0)</f>
        <v/>
      </c>
      <c r="KP41" s="17">
        <f>IF(AND(299&gt;=ConStart,299&lt;=ConPayoffMonth),1,0)</f>
        <v/>
      </c>
      <c r="KQ41" s="17">
        <f>IF(AND(300&gt;=ConStart,300&lt;=ConPayoffMonth),1,0)</f>
        <v/>
      </c>
      <c r="KR41" s="17">
        <f>IF(AND(301&gt;=ConStart,301&lt;=ConPayoffMonth),1,0)</f>
        <v/>
      </c>
      <c r="KS41" s="17">
        <f>IF(AND(302&gt;=ConStart,302&lt;=ConPayoffMonth),1,0)</f>
        <v/>
      </c>
      <c r="KT41" s="17">
        <f>IF(AND(303&gt;=ConStart,303&lt;=ConPayoffMonth),1,0)</f>
        <v/>
      </c>
      <c r="KU41" s="17">
        <f>IF(AND(304&gt;=ConStart,304&lt;=ConPayoffMonth),1,0)</f>
        <v/>
      </c>
      <c r="KV41" s="17">
        <f>IF(AND(305&gt;=ConStart,305&lt;=ConPayoffMonth),1,0)</f>
        <v/>
      </c>
      <c r="KW41" s="17">
        <f>IF(AND(306&gt;=ConStart,306&lt;=ConPayoffMonth),1,0)</f>
        <v/>
      </c>
      <c r="KX41" s="17">
        <f>IF(AND(307&gt;=ConStart,307&lt;=ConPayoffMonth),1,0)</f>
        <v/>
      </c>
      <c r="KY41" s="17">
        <f>IF(AND(308&gt;=ConStart,308&lt;=ConPayoffMonth),1,0)</f>
        <v/>
      </c>
      <c r="KZ41" s="17">
        <f>IF(AND(309&gt;=ConStart,309&lt;=ConPayoffMonth),1,0)</f>
        <v/>
      </c>
      <c r="LA41" s="17">
        <f>IF(AND(310&gt;=ConStart,310&lt;=ConPayoffMonth),1,0)</f>
        <v/>
      </c>
      <c r="LB41" s="17">
        <f>IF(AND(311&gt;=ConStart,311&lt;=ConPayoffMonth),1,0)</f>
        <v/>
      </c>
      <c r="LC41" s="17">
        <f>IF(AND(312&gt;=ConStart,312&lt;=ConPayoffMonth),1,0)</f>
        <v/>
      </c>
      <c r="LD41" s="17">
        <f>IF(AND(313&gt;=ConStart,313&lt;=ConPayoffMonth),1,0)</f>
        <v/>
      </c>
      <c r="LE41" s="17">
        <f>IF(AND(314&gt;=ConStart,314&lt;=ConPayoffMonth),1,0)</f>
        <v/>
      </c>
      <c r="LF41" s="17">
        <f>IF(AND(315&gt;=ConStart,315&lt;=ConPayoffMonth),1,0)</f>
        <v/>
      </c>
      <c r="LG41" s="17">
        <f>IF(AND(316&gt;=ConStart,316&lt;=ConPayoffMonth),1,0)</f>
        <v/>
      </c>
      <c r="LH41" s="17">
        <f>IF(AND(317&gt;=ConStart,317&lt;=ConPayoffMonth),1,0)</f>
        <v/>
      </c>
      <c r="LI41" s="17">
        <f>IF(AND(318&gt;=ConStart,318&lt;=ConPayoffMonth),1,0)</f>
        <v/>
      </c>
      <c r="LJ41" s="17">
        <f>IF(AND(319&gt;=ConStart,319&lt;=ConPayoffMonth),1,0)</f>
        <v/>
      </c>
      <c r="LK41" s="17">
        <f>IF(AND(320&gt;=ConStart,320&lt;=ConPayoffMonth),1,0)</f>
        <v/>
      </c>
      <c r="LL41" s="17">
        <f>IF(AND(321&gt;=ConStart,321&lt;=ConPayoffMonth),1,0)</f>
        <v/>
      </c>
      <c r="LM41" s="17">
        <f>IF(AND(322&gt;=ConStart,322&lt;=ConPayoffMonth),1,0)</f>
        <v/>
      </c>
      <c r="LN41" s="17">
        <f>IF(AND(323&gt;=ConStart,323&lt;=ConPayoffMonth),1,0)</f>
        <v/>
      </c>
      <c r="LO41" s="17">
        <f>IF(AND(324&gt;=ConStart,324&lt;=ConPayoffMonth),1,0)</f>
        <v/>
      </c>
      <c r="LP41" s="17">
        <f>IF(AND(325&gt;=ConStart,325&lt;=ConPayoffMonth),1,0)</f>
        <v/>
      </c>
      <c r="LQ41" s="17">
        <f>IF(AND(326&gt;=ConStart,326&lt;=ConPayoffMonth),1,0)</f>
        <v/>
      </c>
      <c r="LR41" s="17">
        <f>IF(AND(327&gt;=ConStart,327&lt;=ConPayoffMonth),1,0)</f>
        <v/>
      </c>
      <c r="LS41" s="17">
        <f>IF(AND(328&gt;=ConStart,328&lt;=ConPayoffMonth),1,0)</f>
        <v/>
      </c>
      <c r="LT41" s="17">
        <f>IF(AND(329&gt;=ConStart,329&lt;=ConPayoffMonth),1,0)</f>
        <v/>
      </c>
      <c r="LU41" s="17">
        <f>IF(AND(330&gt;=ConStart,330&lt;=ConPayoffMonth),1,0)</f>
        <v/>
      </c>
      <c r="LV41" s="17">
        <f>IF(AND(331&gt;=ConStart,331&lt;=ConPayoffMonth),1,0)</f>
        <v/>
      </c>
      <c r="LW41" s="17">
        <f>IF(AND(332&gt;=ConStart,332&lt;=ConPayoffMonth),1,0)</f>
        <v/>
      </c>
      <c r="LX41" s="17">
        <f>IF(AND(333&gt;=ConStart,333&lt;=ConPayoffMonth),1,0)</f>
        <v/>
      </c>
      <c r="LY41" s="17">
        <f>IF(AND(334&gt;=ConStart,334&lt;=ConPayoffMonth),1,0)</f>
        <v/>
      </c>
      <c r="LZ41" s="17">
        <f>IF(AND(335&gt;=ConStart,335&lt;=ConPayoffMonth),1,0)</f>
        <v/>
      </c>
      <c r="MA41" s="17">
        <f>IF(AND(336&gt;=ConStart,336&lt;=ConPayoffMonth),1,0)</f>
        <v/>
      </c>
      <c r="MB41" s="17">
        <f>IF(AND(337&gt;=ConStart,337&lt;=ConPayoffMonth),1,0)</f>
        <v/>
      </c>
      <c r="MC41" s="17">
        <f>IF(AND(338&gt;=ConStart,338&lt;=ConPayoffMonth),1,0)</f>
        <v/>
      </c>
      <c r="MD41" s="17">
        <f>IF(AND(339&gt;=ConStart,339&lt;=ConPayoffMonth),1,0)</f>
        <v/>
      </c>
      <c r="ME41" s="17">
        <f>IF(AND(340&gt;=ConStart,340&lt;=ConPayoffMonth),1,0)</f>
        <v/>
      </c>
      <c r="MF41" s="17">
        <f>IF(AND(341&gt;=ConStart,341&lt;=ConPayoffMonth),1,0)</f>
        <v/>
      </c>
      <c r="MG41" s="17">
        <f>IF(AND(342&gt;=ConStart,342&lt;=ConPayoffMonth),1,0)</f>
        <v/>
      </c>
      <c r="MH41" s="17">
        <f>IF(AND(343&gt;=ConStart,343&lt;=ConPayoffMonth),1,0)</f>
        <v/>
      </c>
      <c r="MI41" s="17">
        <f>IF(AND(344&gt;=ConStart,344&lt;=ConPayoffMonth),1,0)</f>
        <v/>
      </c>
      <c r="MJ41" s="17">
        <f>IF(AND(345&gt;=ConStart,345&lt;=ConPayoffMonth),1,0)</f>
        <v/>
      </c>
      <c r="MK41" s="17">
        <f>IF(AND(346&gt;=ConStart,346&lt;=ConPayoffMonth),1,0)</f>
        <v/>
      </c>
      <c r="ML41" s="17">
        <f>IF(AND(347&gt;=ConStart,347&lt;=ConPayoffMonth),1,0)</f>
        <v/>
      </c>
      <c r="MM41" s="17">
        <f>IF(AND(348&gt;=ConStart,348&lt;=ConPayoffMonth),1,0)</f>
        <v/>
      </c>
      <c r="MN41" s="17">
        <f>IF(AND(349&gt;=ConStart,349&lt;=ConPayoffMonth),1,0)</f>
        <v/>
      </c>
      <c r="MO41" s="17">
        <f>IF(AND(350&gt;=ConStart,350&lt;=ConPayoffMonth),1,0)</f>
        <v/>
      </c>
      <c r="MP41" s="17">
        <f>IF(AND(351&gt;=ConStart,351&lt;=ConPayoffMonth),1,0)</f>
        <v/>
      </c>
      <c r="MQ41" s="17">
        <f>IF(AND(352&gt;=ConStart,352&lt;=ConPayoffMonth),1,0)</f>
        <v/>
      </c>
      <c r="MR41" s="17">
        <f>IF(AND(353&gt;=ConStart,353&lt;=ConPayoffMonth),1,0)</f>
        <v/>
      </c>
      <c r="MS41" s="17">
        <f>IF(AND(354&gt;=ConStart,354&lt;=ConPayoffMonth),1,0)</f>
        <v/>
      </c>
      <c r="MT41" s="17">
        <f>IF(AND(355&gt;=ConStart,355&lt;=ConPayoffMonth),1,0)</f>
        <v/>
      </c>
      <c r="MU41" s="17">
        <f>IF(AND(356&gt;=ConStart,356&lt;=ConPayoffMonth),1,0)</f>
        <v/>
      </c>
      <c r="MV41" s="17">
        <f>IF(AND(357&gt;=ConStart,357&lt;=ConPayoffMonth),1,0)</f>
        <v/>
      </c>
      <c r="MW41" s="17">
        <f>IF(AND(358&gt;=ConStart,358&lt;=ConPayoffMonth),1,0)</f>
        <v/>
      </c>
      <c r="MX41" s="17">
        <f>IF(AND(359&gt;=ConStart,359&lt;=ConPayoffMonth),1,0)</f>
        <v/>
      </c>
      <c r="MY41" s="17">
        <f>IF(AND(360&gt;=ConStart,360&lt;=ConPayoffMonth),1,0)</f>
        <v/>
      </c>
      <c r="MZ41" s="17">
        <f>IF(AND(361&gt;=ConStart,361&lt;=ConPayoffMonth),1,0)</f>
        <v/>
      </c>
      <c r="NA41" s="17">
        <f>IF(AND(362&gt;=ConStart,362&lt;=ConPayoffMonth),1,0)</f>
        <v/>
      </c>
      <c r="NB41" s="17">
        <f>IF(AND(363&gt;=ConStart,363&lt;=ConPayoffMonth),1,0)</f>
        <v/>
      </c>
      <c r="NC41" s="17">
        <f>IF(AND(364&gt;=ConStart,364&lt;=ConPayoffMonth),1,0)</f>
        <v/>
      </c>
      <c r="ND41" s="17">
        <f>IF(AND(365&gt;=ConStart,365&lt;=ConPayoffMonth),1,0)</f>
        <v/>
      </c>
      <c r="NE41" s="17">
        <f>IF(AND(366&gt;=ConStart,366&lt;=ConPayoffMonth),1,0)</f>
        <v/>
      </c>
      <c r="NF41" s="17">
        <f>IF(AND(367&gt;=ConStart,367&lt;=ConPayoffMonth),1,0)</f>
        <v/>
      </c>
      <c r="NG41" s="17">
        <f>IF(AND(368&gt;=ConStart,368&lt;=ConPayoffMonth),1,0)</f>
        <v/>
      </c>
      <c r="NH41" s="17">
        <f>IF(AND(369&gt;=ConStart,369&lt;=ConPayoffMonth),1,0)</f>
        <v/>
      </c>
      <c r="NI41" s="17">
        <f>IF(AND(370&gt;=ConStart,370&lt;=ConPayoffMonth),1,0)</f>
        <v/>
      </c>
      <c r="NJ41" s="17">
        <f>IF(AND(371&gt;=ConStart,371&lt;=ConPayoffMonth),1,0)</f>
        <v/>
      </c>
      <c r="NK41" s="17">
        <f>IF(AND(372&gt;=ConStart,372&lt;=ConPayoffMonth),1,0)</f>
        <v/>
      </c>
    </row>
    <row r="42">
      <c r="A42" s="5" t="inlineStr">
        <is>
          <t>Flag: Perm Loan Active</t>
        </is>
      </c>
      <c r="C42" s="40" t="n"/>
      <c r="D42" s="17">
        <f>IF(AND(RefiFlag=1,1&gt;RefiMonth,1&lt;=DispoMonth),1,0)</f>
        <v/>
      </c>
      <c r="E42" s="17">
        <f>IF(AND(RefiFlag=1,2&gt;RefiMonth,2&lt;=DispoMonth),1,0)</f>
        <v/>
      </c>
      <c r="F42" s="17">
        <f>IF(AND(RefiFlag=1,3&gt;RefiMonth,3&lt;=DispoMonth),1,0)</f>
        <v/>
      </c>
      <c r="G42" s="17">
        <f>IF(AND(RefiFlag=1,4&gt;RefiMonth,4&lt;=DispoMonth),1,0)</f>
        <v/>
      </c>
      <c r="H42" s="17">
        <f>IF(AND(RefiFlag=1,5&gt;RefiMonth,5&lt;=DispoMonth),1,0)</f>
        <v/>
      </c>
      <c r="I42" s="17">
        <f>IF(AND(RefiFlag=1,6&gt;RefiMonth,6&lt;=DispoMonth),1,0)</f>
        <v/>
      </c>
      <c r="J42" s="17">
        <f>IF(AND(RefiFlag=1,7&gt;RefiMonth,7&lt;=DispoMonth),1,0)</f>
        <v/>
      </c>
      <c r="K42" s="17">
        <f>IF(AND(RefiFlag=1,8&gt;RefiMonth,8&lt;=DispoMonth),1,0)</f>
        <v/>
      </c>
      <c r="L42" s="17">
        <f>IF(AND(RefiFlag=1,9&gt;RefiMonth,9&lt;=DispoMonth),1,0)</f>
        <v/>
      </c>
      <c r="M42" s="17">
        <f>IF(AND(RefiFlag=1,10&gt;RefiMonth,10&lt;=DispoMonth),1,0)</f>
        <v/>
      </c>
      <c r="N42" s="17">
        <f>IF(AND(RefiFlag=1,11&gt;RefiMonth,11&lt;=DispoMonth),1,0)</f>
        <v/>
      </c>
      <c r="O42" s="17">
        <f>IF(AND(RefiFlag=1,12&gt;RefiMonth,12&lt;=DispoMonth),1,0)</f>
        <v/>
      </c>
      <c r="P42" s="17">
        <f>IF(AND(RefiFlag=1,13&gt;RefiMonth,13&lt;=DispoMonth),1,0)</f>
        <v/>
      </c>
      <c r="Q42" s="17">
        <f>IF(AND(RefiFlag=1,14&gt;RefiMonth,14&lt;=DispoMonth),1,0)</f>
        <v/>
      </c>
      <c r="R42" s="17">
        <f>IF(AND(RefiFlag=1,15&gt;RefiMonth,15&lt;=DispoMonth),1,0)</f>
        <v/>
      </c>
      <c r="S42" s="17">
        <f>IF(AND(RefiFlag=1,16&gt;RefiMonth,16&lt;=DispoMonth),1,0)</f>
        <v/>
      </c>
      <c r="T42" s="17">
        <f>IF(AND(RefiFlag=1,17&gt;RefiMonth,17&lt;=DispoMonth),1,0)</f>
        <v/>
      </c>
      <c r="U42" s="17">
        <f>IF(AND(RefiFlag=1,18&gt;RefiMonth,18&lt;=DispoMonth),1,0)</f>
        <v/>
      </c>
      <c r="V42" s="17">
        <f>IF(AND(RefiFlag=1,19&gt;RefiMonth,19&lt;=DispoMonth),1,0)</f>
        <v/>
      </c>
      <c r="W42" s="17">
        <f>IF(AND(RefiFlag=1,20&gt;RefiMonth,20&lt;=DispoMonth),1,0)</f>
        <v/>
      </c>
      <c r="X42" s="17">
        <f>IF(AND(RefiFlag=1,21&gt;RefiMonth,21&lt;=DispoMonth),1,0)</f>
        <v/>
      </c>
      <c r="Y42" s="17">
        <f>IF(AND(RefiFlag=1,22&gt;RefiMonth,22&lt;=DispoMonth),1,0)</f>
        <v/>
      </c>
      <c r="Z42" s="17">
        <f>IF(AND(RefiFlag=1,23&gt;RefiMonth,23&lt;=DispoMonth),1,0)</f>
        <v/>
      </c>
      <c r="AA42" s="17">
        <f>IF(AND(RefiFlag=1,24&gt;RefiMonth,24&lt;=DispoMonth),1,0)</f>
        <v/>
      </c>
      <c r="AB42" s="17">
        <f>IF(AND(RefiFlag=1,25&gt;RefiMonth,25&lt;=DispoMonth),1,0)</f>
        <v/>
      </c>
      <c r="AC42" s="17">
        <f>IF(AND(RefiFlag=1,26&gt;RefiMonth,26&lt;=DispoMonth),1,0)</f>
        <v/>
      </c>
      <c r="AD42" s="17">
        <f>IF(AND(RefiFlag=1,27&gt;RefiMonth,27&lt;=DispoMonth),1,0)</f>
        <v/>
      </c>
      <c r="AE42" s="17">
        <f>IF(AND(RefiFlag=1,28&gt;RefiMonth,28&lt;=DispoMonth),1,0)</f>
        <v/>
      </c>
      <c r="AF42" s="17">
        <f>IF(AND(RefiFlag=1,29&gt;RefiMonth,29&lt;=DispoMonth),1,0)</f>
        <v/>
      </c>
      <c r="AG42" s="17">
        <f>IF(AND(RefiFlag=1,30&gt;RefiMonth,30&lt;=DispoMonth),1,0)</f>
        <v/>
      </c>
      <c r="AH42" s="17">
        <f>IF(AND(RefiFlag=1,31&gt;RefiMonth,31&lt;=DispoMonth),1,0)</f>
        <v/>
      </c>
      <c r="AI42" s="17">
        <f>IF(AND(RefiFlag=1,32&gt;RefiMonth,32&lt;=DispoMonth),1,0)</f>
        <v/>
      </c>
      <c r="AJ42" s="17">
        <f>IF(AND(RefiFlag=1,33&gt;RefiMonth,33&lt;=DispoMonth),1,0)</f>
        <v/>
      </c>
      <c r="AK42" s="17">
        <f>IF(AND(RefiFlag=1,34&gt;RefiMonth,34&lt;=DispoMonth),1,0)</f>
        <v/>
      </c>
      <c r="AL42" s="17">
        <f>IF(AND(RefiFlag=1,35&gt;RefiMonth,35&lt;=DispoMonth),1,0)</f>
        <v/>
      </c>
      <c r="AM42" s="17">
        <f>IF(AND(RefiFlag=1,36&gt;RefiMonth,36&lt;=DispoMonth),1,0)</f>
        <v/>
      </c>
      <c r="AN42" s="17">
        <f>IF(AND(RefiFlag=1,37&gt;RefiMonth,37&lt;=DispoMonth),1,0)</f>
        <v/>
      </c>
      <c r="AO42" s="17">
        <f>IF(AND(RefiFlag=1,38&gt;RefiMonth,38&lt;=DispoMonth),1,0)</f>
        <v/>
      </c>
      <c r="AP42" s="17">
        <f>IF(AND(RefiFlag=1,39&gt;RefiMonth,39&lt;=DispoMonth),1,0)</f>
        <v/>
      </c>
      <c r="AQ42" s="17">
        <f>IF(AND(RefiFlag=1,40&gt;RefiMonth,40&lt;=DispoMonth),1,0)</f>
        <v/>
      </c>
      <c r="AR42" s="17">
        <f>IF(AND(RefiFlag=1,41&gt;RefiMonth,41&lt;=DispoMonth),1,0)</f>
        <v/>
      </c>
      <c r="AS42" s="17">
        <f>IF(AND(RefiFlag=1,42&gt;RefiMonth,42&lt;=DispoMonth),1,0)</f>
        <v/>
      </c>
      <c r="AT42" s="17">
        <f>IF(AND(RefiFlag=1,43&gt;RefiMonth,43&lt;=DispoMonth),1,0)</f>
        <v/>
      </c>
      <c r="AU42" s="17">
        <f>IF(AND(RefiFlag=1,44&gt;RefiMonth,44&lt;=DispoMonth),1,0)</f>
        <v/>
      </c>
      <c r="AV42" s="17">
        <f>IF(AND(RefiFlag=1,45&gt;RefiMonth,45&lt;=DispoMonth),1,0)</f>
        <v/>
      </c>
      <c r="AW42" s="17">
        <f>IF(AND(RefiFlag=1,46&gt;RefiMonth,46&lt;=DispoMonth),1,0)</f>
        <v/>
      </c>
      <c r="AX42" s="17">
        <f>IF(AND(RefiFlag=1,47&gt;RefiMonth,47&lt;=DispoMonth),1,0)</f>
        <v/>
      </c>
      <c r="AY42" s="17">
        <f>IF(AND(RefiFlag=1,48&gt;RefiMonth,48&lt;=DispoMonth),1,0)</f>
        <v/>
      </c>
      <c r="AZ42" s="17">
        <f>IF(AND(RefiFlag=1,49&gt;RefiMonth,49&lt;=DispoMonth),1,0)</f>
        <v/>
      </c>
      <c r="BA42" s="17">
        <f>IF(AND(RefiFlag=1,50&gt;RefiMonth,50&lt;=DispoMonth),1,0)</f>
        <v/>
      </c>
      <c r="BB42" s="17">
        <f>IF(AND(RefiFlag=1,51&gt;RefiMonth,51&lt;=DispoMonth),1,0)</f>
        <v/>
      </c>
      <c r="BC42" s="17">
        <f>IF(AND(RefiFlag=1,52&gt;RefiMonth,52&lt;=DispoMonth),1,0)</f>
        <v/>
      </c>
      <c r="BD42" s="17">
        <f>IF(AND(RefiFlag=1,53&gt;RefiMonth,53&lt;=DispoMonth),1,0)</f>
        <v/>
      </c>
      <c r="BE42" s="17">
        <f>IF(AND(RefiFlag=1,54&gt;RefiMonth,54&lt;=DispoMonth),1,0)</f>
        <v/>
      </c>
      <c r="BF42" s="17">
        <f>IF(AND(RefiFlag=1,55&gt;RefiMonth,55&lt;=DispoMonth),1,0)</f>
        <v/>
      </c>
      <c r="BG42" s="17">
        <f>IF(AND(RefiFlag=1,56&gt;RefiMonth,56&lt;=DispoMonth),1,0)</f>
        <v/>
      </c>
      <c r="BH42" s="17">
        <f>IF(AND(RefiFlag=1,57&gt;RefiMonth,57&lt;=DispoMonth),1,0)</f>
        <v/>
      </c>
      <c r="BI42" s="17">
        <f>IF(AND(RefiFlag=1,58&gt;RefiMonth,58&lt;=DispoMonth),1,0)</f>
        <v/>
      </c>
      <c r="BJ42" s="17">
        <f>IF(AND(RefiFlag=1,59&gt;RefiMonth,59&lt;=DispoMonth),1,0)</f>
        <v/>
      </c>
      <c r="BK42" s="17">
        <f>IF(AND(RefiFlag=1,60&gt;RefiMonth,60&lt;=DispoMonth),1,0)</f>
        <v/>
      </c>
      <c r="BL42" s="17">
        <f>IF(AND(RefiFlag=1,61&gt;RefiMonth,61&lt;=DispoMonth),1,0)</f>
        <v/>
      </c>
      <c r="BM42" s="17">
        <f>IF(AND(RefiFlag=1,62&gt;RefiMonth,62&lt;=DispoMonth),1,0)</f>
        <v/>
      </c>
      <c r="BN42" s="17">
        <f>IF(AND(RefiFlag=1,63&gt;RefiMonth,63&lt;=DispoMonth),1,0)</f>
        <v/>
      </c>
      <c r="BO42" s="17">
        <f>IF(AND(RefiFlag=1,64&gt;RefiMonth,64&lt;=DispoMonth),1,0)</f>
        <v/>
      </c>
      <c r="BP42" s="17">
        <f>IF(AND(RefiFlag=1,65&gt;RefiMonth,65&lt;=DispoMonth),1,0)</f>
        <v/>
      </c>
      <c r="BQ42" s="17">
        <f>IF(AND(RefiFlag=1,66&gt;RefiMonth,66&lt;=DispoMonth),1,0)</f>
        <v/>
      </c>
      <c r="BR42" s="17">
        <f>IF(AND(RefiFlag=1,67&gt;RefiMonth,67&lt;=DispoMonth),1,0)</f>
        <v/>
      </c>
      <c r="BS42" s="17">
        <f>IF(AND(RefiFlag=1,68&gt;RefiMonth,68&lt;=DispoMonth),1,0)</f>
        <v/>
      </c>
      <c r="BT42" s="17">
        <f>IF(AND(RefiFlag=1,69&gt;RefiMonth,69&lt;=DispoMonth),1,0)</f>
        <v/>
      </c>
      <c r="BU42" s="17">
        <f>IF(AND(RefiFlag=1,70&gt;RefiMonth,70&lt;=DispoMonth),1,0)</f>
        <v/>
      </c>
      <c r="BV42" s="17">
        <f>IF(AND(RefiFlag=1,71&gt;RefiMonth,71&lt;=DispoMonth),1,0)</f>
        <v/>
      </c>
      <c r="BW42" s="17">
        <f>IF(AND(RefiFlag=1,72&gt;RefiMonth,72&lt;=DispoMonth),1,0)</f>
        <v/>
      </c>
      <c r="BX42" s="17">
        <f>IF(AND(RefiFlag=1,73&gt;RefiMonth,73&lt;=DispoMonth),1,0)</f>
        <v/>
      </c>
      <c r="BY42" s="17">
        <f>IF(AND(RefiFlag=1,74&gt;RefiMonth,74&lt;=DispoMonth),1,0)</f>
        <v/>
      </c>
      <c r="BZ42" s="17">
        <f>IF(AND(RefiFlag=1,75&gt;RefiMonth,75&lt;=DispoMonth),1,0)</f>
        <v/>
      </c>
      <c r="CA42" s="17">
        <f>IF(AND(RefiFlag=1,76&gt;RefiMonth,76&lt;=DispoMonth),1,0)</f>
        <v/>
      </c>
      <c r="CB42" s="17">
        <f>IF(AND(RefiFlag=1,77&gt;RefiMonth,77&lt;=DispoMonth),1,0)</f>
        <v/>
      </c>
      <c r="CC42" s="17">
        <f>IF(AND(RefiFlag=1,78&gt;RefiMonth,78&lt;=DispoMonth),1,0)</f>
        <v/>
      </c>
      <c r="CD42" s="17">
        <f>IF(AND(RefiFlag=1,79&gt;RefiMonth,79&lt;=DispoMonth),1,0)</f>
        <v/>
      </c>
      <c r="CE42" s="17">
        <f>IF(AND(RefiFlag=1,80&gt;RefiMonth,80&lt;=DispoMonth),1,0)</f>
        <v/>
      </c>
      <c r="CF42" s="17">
        <f>IF(AND(RefiFlag=1,81&gt;RefiMonth,81&lt;=DispoMonth),1,0)</f>
        <v/>
      </c>
      <c r="CG42" s="17">
        <f>IF(AND(RefiFlag=1,82&gt;RefiMonth,82&lt;=DispoMonth),1,0)</f>
        <v/>
      </c>
      <c r="CH42" s="17">
        <f>IF(AND(RefiFlag=1,83&gt;RefiMonth,83&lt;=DispoMonth),1,0)</f>
        <v/>
      </c>
      <c r="CI42" s="17">
        <f>IF(AND(RefiFlag=1,84&gt;RefiMonth,84&lt;=DispoMonth),1,0)</f>
        <v/>
      </c>
      <c r="CJ42" s="17">
        <f>IF(AND(RefiFlag=1,85&gt;RefiMonth,85&lt;=DispoMonth),1,0)</f>
        <v/>
      </c>
      <c r="CK42" s="17">
        <f>IF(AND(RefiFlag=1,86&gt;RefiMonth,86&lt;=DispoMonth),1,0)</f>
        <v/>
      </c>
      <c r="CL42" s="17">
        <f>IF(AND(RefiFlag=1,87&gt;RefiMonth,87&lt;=DispoMonth),1,0)</f>
        <v/>
      </c>
      <c r="CM42" s="17">
        <f>IF(AND(RefiFlag=1,88&gt;RefiMonth,88&lt;=DispoMonth),1,0)</f>
        <v/>
      </c>
      <c r="CN42" s="17">
        <f>IF(AND(RefiFlag=1,89&gt;RefiMonth,89&lt;=DispoMonth),1,0)</f>
        <v/>
      </c>
      <c r="CO42" s="17">
        <f>IF(AND(RefiFlag=1,90&gt;RefiMonth,90&lt;=DispoMonth),1,0)</f>
        <v/>
      </c>
      <c r="CP42" s="17">
        <f>IF(AND(RefiFlag=1,91&gt;RefiMonth,91&lt;=DispoMonth),1,0)</f>
        <v/>
      </c>
      <c r="CQ42" s="17">
        <f>IF(AND(RefiFlag=1,92&gt;RefiMonth,92&lt;=DispoMonth),1,0)</f>
        <v/>
      </c>
      <c r="CR42" s="17">
        <f>IF(AND(RefiFlag=1,93&gt;RefiMonth,93&lt;=DispoMonth),1,0)</f>
        <v/>
      </c>
      <c r="CS42" s="17">
        <f>IF(AND(RefiFlag=1,94&gt;RefiMonth,94&lt;=DispoMonth),1,0)</f>
        <v/>
      </c>
      <c r="CT42" s="17">
        <f>IF(AND(RefiFlag=1,95&gt;RefiMonth,95&lt;=DispoMonth),1,0)</f>
        <v/>
      </c>
      <c r="CU42" s="17">
        <f>IF(AND(RefiFlag=1,96&gt;RefiMonth,96&lt;=DispoMonth),1,0)</f>
        <v/>
      </c>
      <c r="CV42" s="17">
        <f>IF(AND(RefiFlag=1,97&gt;RefiMonth,97&lt;=DispoMonth),1,0)</f>
        <v/>
      </c>
      <c r="CW42" s="17">
        <f>IF(AND(RefiFlag=1,98&gt;RefiMonth,98&lt;=DispoMonth),1,0)</f>
        <v/>
      </c>
      <c r="CX42" s="17">
        <f>IF(AND(RefiFlag=1,99&gt;RefiMonth,99&lt;=DispoMonth),1,0)</f>
        <v/>
      </c>
      <c r="CY42" s="17">
        <f>IF(AND(RefiFlag=1,100&gt;RefiMonth,100&lt;=DispoMonth),1,0)</f>
        <v/>
      </c>
      <c r="CZ42" s="17">
        <f>IF(AND(RefiFlag=1,101&gt;RefiMonth,101&lt;=DispoMonth),1,0)</f>
        <v/>
      </c>
      <c r="DA42" s="17">
        <f>IF(AND(RefiFlag=1,102&gt;RefiMonth,102&lt;=DispoMonth),1,0)</f>
        <v/>
      </c>
      <c r="DB42" s="17">
        <f>IF(AND(RefiFlag=1,103&gt;RefiMonth,103&lt;=DispoMonth),1,0)</f>
        <v/>
      </c>
      <c r="DC42" s="17">
        <f>IF(AND(RefiFlag=1,104&gt;RefiMonth,104&lt;=DispoMonth),1,0)</f>
        <v/>
      </c>
      <c r="DD42" s="17">
        <f>IF(AND(RefiFlag=1,105&gt;RefiMonth,105&lt;=DispoMonth),1,0)</f>
        <v/>
      </c>
      <c r="DE42" s="17">
        <f>IF(AND(RefiFlag=1,106&gt;RefiMonth,106&lt;=DispoMonth),1,0)</f>
        <v/>
      </c>
      <c r="DF42" s="17">
        <f>IF(AND(RefiFlag=1,107&gt;RefiMonth,107&lt;=DispoMonth),1,0)</f>
        <v/>
      </c>
      <c r="DG42" s="17">
        <f>IF(AND(RefiFlag=1,108&gt;RefiMonth,108&lt;=DispoMonth),1,0)</f>
        <v/>
      </c>
      <c r="DH42" s="17">
        <f>IF(AND(RefiFlag=1,109&gt;RefiMonth,109&lt;=DispoMonth),1,0)</f>
        <v/>
      </c>
      <c r="DI42" s="17">
        <f>IF(AND(RefiFlag=1,110&gt;RefiMonth,110&lt;=DispoMonth),1,0)</f>
        <v/>
      </c>
      <c r="DJ42" s="17">
        <f>IF(AND(RefiFlag=1,111&gt;RefiMonth,111&lt;=DispoMonth),1,0)</f>
        <v/>
      </c>
      <c r="DK42" s="17">
        <f>IF(AND(RefiFlag=1,112&gt;RefiMonth,112&lt;=DispoMonth),1,0)</f>
        <v/>
      </c>
      <c r="DL42" s="17">
        <f>IF(AND(RefiFlag=1,113&gt;RefiMonth,113&lt;=DispoMonth),1,0)</f>
        <v/>
      </c>
      <c r="DM42" s="17">
        <f>IF(AND(RefiFlag=1,114&gt;RefiMonth,114&lt;=DispoMonth),1,0)</f>
        <v/>
      </c>
      <c r="DN42" s="17">
        <f>IF(AND(RefiFlag=1,115&gt;RefiMonth,115&lt;=DispoMonth),1,0)</f>
        <v/>
      </c>
      <c r="DO42" s="17">
        <f>IF(AND(RefiFlag=1,116&gt;RefiMonth,116&lt;=DispoMonth),1,0)</f>
        <v/>
      </c>
      <c r="DP42" s="17">
        <f>IF(AND(RefiFlag=1,117&gt;RefiMonth,117&lt;=DispoMonth),1,0)</f>
        <v/>
      </c>
      <c r="DQ42" s="17">
        <f>IF(AND(RefiFlag=1,118&gt;RefiMonth,118&lt;=DispoMonth),1,0)</f>
        <v/>
      </c>
      <c r="DR42" s="17">
        <f>IF(AND(RefiFlag=1,119&gt;RefiMonth,119&lt;=DispoMonth),1,0)</f>
        <v/>
      </c>
      <c r="DS42" s="17">
        <f>IF(AND(RefiFlag=1,120&gt;RefiMonth,120&lt;=DispoMonth),1,0)</f>
        <v/>
      </c>
      <c r="DT42" s="17">
        <f>IF(AND(RefiFlag=1,121&gt;RefiMonth,121&lt;=DispoMonth),1,0)</f>
        <v/>
      </c>
      <c r="DU42" s="17">
        <f>IF(AND(RefiFlag=1,122&gt;RefiMonth,122&lt;=DispoMonth),1,0)</f>
        <v/>
      </c>
      <c r="DV42" s="17">
        <f>IF(AND(RefiFlag=1,123&gt;RefiMonth,123&lt;=DispoMonth),1,0)</f>
        <v/>
      </c>
      <c r="DW42" s="17">
        <f>IF(AND(RefiFlag=1,124&gt;RefiMonth,124&lt;=DispoMonth),1,0)</f>
        <v/>
      </c>
      <c r="DX42" s="17">
        <f>IF(AND(RefiFlag=1,125&gt;RefiMonth,125&lt;=DispoMonth),1,0)</f>
        <v/>
      </c>
      <c r="DY42" s="17">
        <f>IF(AND(RefiFlag=1,126&gt;RefiMonth,126&lt;=DispoMonth),1,0)</f>
        <v/>
      </c>
      <c r="DZ42" s="17">
        <f>IF(AND(RefiFlag=1,127&gt;RefiMonth,127&lt;=DispoMonth),1,0)</f>
        <v/>
      </c>
      <c r="EA42" s="17">
        <f>IF(AND(RefiFlag=1,128&gt;RefiMonth,128&lt;=DispoMonth),1,0)</f>
        <v/>
      </c>
      <c r="EB42" s="17">
        <f>IF(AND(RefiFlag=1,129&gt;RefiMonth,129&lt;=DispoMonth),1,0)</f>
        <v/>
      </c>
      <c r="EC42" s="17">
        <f>IF(AND(RefiFlag=1,130&gt;RefiMonth,130&lt;=DispoMonth),1,0)</f>
        <v/>
      </c>
      <c r="ED42" s="17">
        <f>IF(AND(RefiFlag=1,131&gt;RefiMonth,131&lt;=DispoMonth),1,0)</f>
        <v/>
      </c>
      <c r="EE42" s="17">
        <f>IF(AND(RefiFlag=1,132&gt;RefiMonth,132&lt;=DispoMonth),1,0)</f>
        <v/>
      </c>
      <c r="EF42" s="17">
        <f>IF(AND(RefiFlag=1,133&gt;RefiMonth,133&lt;=DispoMonth),1,0)</f>
        <v/>
      </c>
      <c r="EG42" s="17">
        <f>IF(AND(RefiFlag=1,134&gt;RefiMonth,134&lt;=DispoMonth),1,0)</f>
        <v/>
      </c>
      <c r="EH42" s="17">
        <f>IF(AND(RefiFlag=1,135&gt;RefiMonth,135&lt;=DispoMonth),1,0)</f>
        <v/>
      </c>
      <c r="EI42" s="17">
        <f>IF(AND(RefiFlag=1,136&gt;RefiMonth,136&lt;=DispoMonth),1,0)</f>
        <v/>
      </c>
      <c r="EJ42" s="17">
        <f>IF(AND(RefiFlag=1,137&gt;RefiMonth,137&lt;=DispoMonth),1,0)</f>
        <v/>
      </c>
      <c r="EK42" s="17">
        <f>IF(AND(RefiFlag=1,138&gt;RefiMonth,138&lt;=DispoMonth),1,0)</f>
        <v/>
      </c>
      <c r="EL42" s="17">
        <f>IF(AND(RefiFlag=1,139&gt;RefiMonth,139&lt;=DispoMonth),1,0)</f>
        <v/>
      </c>
      <c r="EM42" s="17">
        <f>IF(AND(RefiFlag=1,140&gt;RefiMonth,140&lt;=DispoMonth),1,0)</f>
        <v/>
      </c>
      <c r="EN42" s="17">
        <f>IF(AND(RefiFlag=1,141&gt;RefiMonth,141&lt;=DispoMonth),1,0)</f>
        <v/>
      </c>
      <c r="EO42" s="17">
        <f>IF(AND(RefiFlag=1,142&gt;RefiMonth,142&lt;=DispoMonth),1,0)</f>
        <v/>
      </c>
      <c r="EP42" s="17">
        <f>IF(AND(RefiFlag=1,143&gt;RefiMonth,143&lt;=DispoMonth),1,0)</f>
        <v/>
      </c>
      <c r="EQ42" s="17">
        <f>IF(AND(RefiFlag=1,144&gt;RefiMonth,144&lt;=DispoMonth),1,0)</f>
        <v/>
      </c>
      <c r="ER42" s="17">
        <f>IF(AND(RefiFlag=1,145&gt;RefiMonth,145&lt;=DispoMonth),1,0)</f>
        <v/>
      </c>
      <c r="ES42" s="17">
        <f>IF(AND(RefiFlag=1,146&gt;RefiMonth,146&lt;=DispoMonth),1,0)</f>
        <v/>
      </c>
      <c r="ET42" s="17">
        <f>IF(AND(RefiFlag=1,147&gt;RefiMonth,147&lt;=DispoMonth),1,0)</f>
        <v/>
      </c>
      <c r="EU42" s="17">
        <f>IF(AND(RefiFlag=1,148&gt;RefiMonth,148&lt;=DispoMonth),1,0)</f>
        <v/>
      </c>
      <c r="EV42" s="17">
        <f>IF(AND(RefiFlag=1,149&gt;RefiMonth,149&lt;=DispoMonth),1,0)</f>
        <v/>
      </c>
      <c r="EW42" s="17">
        <f>IF(AND(RefiFlag=1,150&gt;RefiMonth,150&lt;=DispoMonth),1,0)</f>
        <v/>
      </c>
      <c r="EX42" s="17">
        <f>IF(AND(RefiFlag=1,151&gt;RefiMonth,151&lt;=DispoMonth),1,0)</f>
        <v/>
      </c>
      <c r="EY42" s="17">
        <f>IF(AND(RefiFlag=1,152&gt;RefiMonth,152&lt;=DispoMonth),1,0)</f>
        <v/>
      </c>
      <c r="EZ42" s="17">
        <f>IF(AND(RefiFlag=1,153&gt;RefiMonth,153&lt;=DispoMonth),1,0)</f>
        <v/>
      </c>
      <c r="FA42" s="17">
        <f>IF(AND(RefiFlag=1,154&gt;RefiMonth,154&lt;=DispoMonth),1,0)</f>
        <v/>
      </c>
      <c r="FB42" s="17">
        <f>IF(AND(RefiFlag=1,155&gt;RefiMonth,155&lt;=DispoMonth),1,0)</f>
        <v/>
      </c>
      <c r="FC42" s="17">
        <f>IF(AND(RefiFlag=1,156&gt;RefiMonth,156&lt;=DispoMonth),1,0)</f>
        <v/>
      </c>
      <c r="FD42" s="17">
        <f>IF(AND(RefiFlag=1,157&gt;RefiMonth,157&lt;=DispoMonth),1,0)</f>
        <v/>
      </c>
      <c r="FE42" s="17">
        <f>IF(AND(RefiFlag=1,158&gt;RefiMonth,158&lt;=DispoMonth),1,0)</f>
        <v/>
      </c>
      <c r="FF42" s="17">
        <f>IF(AND(RefiFlag=1,159&gt;RefiMonth,159&lt;=DispoMonth),1,0)</f>
        <v/>
      </c>
      <c r="FG42" s="17">
        <f>IF(AND(RefiFlag=1,160&gt;RefiMonth,160&lt;=DispoMonth),1,0)</f>
        <v/>
      </c>
      <c r="FH42" s="17">
        <f>IF(AND(RefiFlag=1,161&gt;RefiMonth,161&lt;=DispoMonth),1,0)</f>
        <v/>
      </c>
      <c r="FI42" s="17">
        <f>IF(AND(RefiFlag=1,162&gt;RefiMonth,162&lt;=DispoMonth),1,0)</f>
        <v/>
      </c>
      <c r="FJ42" s="17">
        <f>IF(AND(RefiFlag=1,163&gt;RefiMonth,163&lt;=DispoMonth),1,0)</f>
        <v/>
      </c>
      <c r="FK42" s="17">
        <f>IF(AND(RefiFlag=1,164&gt;RefiMonth,164&lt;=DispoMonth),1,0)</f>
        <v/>
      </c>
      <c r="FL42" s="17">
        <f>IF(AND(RefiFlag=1,165&gt;RefiMonth,165&lt;=DispoMonth),1,0)</f>
        <v/>
      </c>
      <c r="FM42" s="17">
        <f>IF(AND(RefiFlag=1,166&gt;RefiMonth,166&lt;=DispoMonth),1,0)</f>
        <v/>
      </c>
      <c r="FN42" s="17">
        <f>IF(AND(RefiFlag=1,167&gt;RefiMonth,167&lt;=DispoMonth),1,0)</f>
        <v/>
      </c>
      <c r="FO42" s="17">
        <f>IF(AND(RefiFlag=1,168&gt;RefiMonth,168&lt;=DispoMonth),1,0)</f>
        <v/>
      </c>
      <c r="FP42" s="17">
        <f>IF(AND(RefiFlag=1,169&gt;RefiMonth,169&lt;=DispoMonth),1,0)</f>
        <v/>
      </c>
      <c r="FQ42" s="17">
        <f>IF(AND(RefiFlag=1,170&gt;RefiMonth,170&lt;=DispoMonth),1,0)</f>
        <v/>
      </c>
      <c r="FR42" s="17">
        <f>IF(AND(RefiFlag=1,171&gt;RefiMonth,171&lt;=DispoMonth),1,0)</f>
        <v/>
      </c>
      <c r="FS42" s="17">
        <f>IF(AND(RefiFlag=1,172&gt;RefiMonth,172&lt;=DispoMonth),1,0)</f>
        <v/>
      </c>
      <c r="FT42" s="17">
        <f>IF(AND(RefiFlag=1,173&gt;RefiMonth,173&lt;=DispoMonth),1,0)</f>
        <v/>
      </c>
      <c r="FU42" s="17">
        <f>IF(AND(RefiFlag=1,174&gt;RefiMonth,174&lt;=DispoMonth),1,0)</f>
        <v/>
      </c>
      <c r="FV42" s="17">
        <f>IF(AND(RefiFlag=1,175&gt;RefiMonth,175&lt;=DispoMonth),1,0)</f>
        <v/>
      </c>
      <c r="FW42" s="17">
        <f>IF(AND(RefiFlag=1,176&gt;RefiMonth,176&lt;=DispoMonth),1,0)</f>
        <v/>
      </c>
      <c r="FX42" s="17">
        <f>IF(AND(RefiFlag=1,177&gt;RefiMonth,177&lt;=DispoMonth),1,0)</f>
        <v/>
      </c>
      <c r="FY42" s="17">
        <f>IF(AND(RefiFlag=1,178&gt;RefiMonth,178&lt;=DispoMonth),1,0)</f>
        <v/>
      </c>
      <c r="FZ42" s="17">
        <f>IF(AND(RefiFlag=1,179&gt;RefiMonth,179&lt;=DispoMonth),1,0)</f>
        <v/>
      </c>
      <c r="GA42" s="17">
        <f>IF(AND(RefiFlag=1,180&gt;RefiMonth,180&lt;=DispoMonth),1,0)</f>
        <v/>
      </c>
      <c r="GB42" s="17">
        <f>IF(AND(RefiFlag=1,181&gt;RefiMonth,181&lt;=DispoMonth),1,0)</f>
        <v/>
      </c>
      <c r="GC42" s="17">
        <f>IF(AND(RefiFlag=1,182&gt;RefiMonth,182&lt;=DispoMonth),1,0)</f>
        <v/>
      </c>
      <c r="GD42" s="17">
        <f>IF(AND(RefiFlag=1,183&gt;RefiMonth,183&lt;=DispoMonth),1,0)</f>
        <v/>
      </c>
      <c r="GE42" s="17">
        <f>IF(AND(RefiFlag=1,184&gt;RefiMonth,184&lt;=DispoMonth),1,0)</f>
        <v/>
      </c>
      <c r="GF42" s="17">
        <f>IF(AND(RefiFlag=1,185&gt;RefiMonth,185&lt;=DispoMonth),1,0)</f>
        <v/>
      </c>
      <c r="GG42" s="17">
        <f>IF(AND(RefiFlag=1,186&gt;RefiMonth,186&lt;=DispoMonth),1,0)</f>
        <v/>
      </c>
      <c r="GH42" s="17">
        <f>IF(AND(RefiFlag=1,187&gt;RefiMonth,187&lt;=DispoMonth),1,0)</f>
        <v/>
      </c>
      <c r="GI42" s="17">
        <f>IF(AND(RefiFlag=1,188&gt;RefiMonth,188&lt;=DispoMonth),1,0)</f>
        <v/>
      </c>
      <c r="GJ42" s="17">
        <f>IF(AND(RefiFlag=1,189&gt;RefiMonth,189&lt;=DispoMonth),1,0)</f>
        <v/>
      </c>
      <c r="GK42" s="17">
        <f>IF(AND(RefiFlag=1,190&gt;RefiMonth,190&lt;=DispoMonth),1,0)</f>
        <v/>
      </c>
      <c r="GL42" s="17">
        <f>IF(AND(RefiFlag=1,191&gt;RefiMonth,191&lt;=DispoMonth),1,0)</f>
        <v/>
      </c>
      <c r="GM42" s="17">
        <f>IF(AND(RefiFlag=1,192&gt;RefiMonth,192&lt;=DispoMonth),1,0)</f>
        <v/>
      </c>
      <c r="GN42" s="17">
        <f>IF(AND(RefiFlag=1,193&gt;RefiMonth,193&lt;=DispoMonth),1,0)</f>
        <v/>
      </c>
      <c r="GO42" s="17">
        <f>IF(AND(RefiFlag=1,194&gt;RefiMonth,194&lt;=DispoMonth),1,0)</f>
        <v/>
      </c>
      <c r="GP42" s="17">
        <f>IF(AND(RefiFlag=1,195&gt;RefiMonth,195&lt;=DispoMonth),1,0)</f>
        <v/>
      </c>
      <c r="GQ42" s="17">
        <f>IF(AND(RefiFlag=1,196&gt;RefiMonth,196&lt;=DispoMonth),1,0)</f>
        <v/>
      </c>
      <c r="GR42" s="17">
        <f>IF(AND(RefiFlag=1,197&gt;RefiMonth,197&lt;=DispoMonth),1,0)</f>
        <v/>
      </c>
      <c r="GS42" s="17">
        <f>IF(AND(RefiFlag=1,198&gt;RefiMonth,198&lt;=DispoMonth),1,0)</f>
        <v/>
      </c>
      <c r="GT42" s="17">
        <f>IF(AND(RefiFlag=1,199&gt;RefiMonth,199&lt;=DispoMonth),1,0)</f>
        <v/>
      </c>
      <c r="GU42" s="17">
        <f>IF(AND(RefiFlag=1,200&gt;RefiMonth,200&lt;=DispoMonth),1,0)</f>
        <v/>
      </c>
      <c r="GV42" s="17">
        <f>IF(AND(RefiFlag=1,201&gt;RefiMonth,201&lt;=DispoMonth),1,0)</f>
        <v/>
      </c>
      <c r="GW42" s="17">
        <f>IF(AND(RefiFlag=1,202&gt;RefiMonth,202&lt;=DispoMonth),1,0)</f>
        <v/>
      </c>
      <c r="GX42" s="17">
        <f>IF(AND(RefiFlag=1,203&gt;RefiMonth,203&lt;=DispoMonth),1,0)</f>
        <v/>
      </c>
      <c r="GY42" s="17">
        <f>IF(AND(RefiFlag=1,204&gt;RefiMonth,204&lt;=DispoMonth),1,0)</f>
        <v/>
      </c>
      <c r="GZ42" s="17">
        <f>IF(AND(RefiFlag=1,205&gt;RefiMonth,205&lt;=DispoMonth),1,0)</f>
        <v/>
      </c>
      <c r="HA42" s="17">
        <f>IF(AND(RefiFlag=1,206&gt;RefiMonth,206&lt;=DispoMonth),1,0)</f>
        <v/>
      </c>
      <c r="HB42" s="17">
        <f>IF(AND(RefiFlag=1,207&gt;RefiMonth,207&lt;=DispoMonth),1,0)</f>
        <v/>
      </c>
      <c r="HC42" s="17">
        <f>IF(AND(RefiFlag=1,208&gt;RefiMonth,208&lt;=DispoMonth),1,0)</f>
        <v/>
      </c>
      <c r="HD42" s="17">
        <f>IF(AND(RefiFlag=1,209&gt;RefiMonth,209&lt;=DispoMonth),1,0)</f>
        <v/>
      </c>
      <c r="HE42" s="17">
        <f>IF(AND(RefiFlag=1,210&gt;RefiMonth,210&lt;=DispoMonth),1,0)</f>
        <v/>
      </c>
      <c r="HF42" s="17">
        <f>IF(AND(RefiFlag=1,211&gt;RefiMonth,211&lt;=DispoMonth),1,0)</f>
        <v/>
      </c>
      <c r="HG42" s="17">
        <f>IF(AND(RefiFlag=1,212&gt;RefiMonth,212&lt;=DispoMonth),1,0)</f>
        <v/>
      </c>
      <c r="HH42" s="17">
        <f>IF(AND(RefiFlag=1,213&gt;RefiMonth,213&lt;=DispoMonth),1,0)</f>
        <v/>
      </c>
      <c r="HI42" s="17">
        <f>IF(AND(RefiFlag=1,214&gt;RefiMonth,214&lt;=DispoMonth),1,0)</f>
        <v/>
      </c>
      <c r="HJ42" s="17">
        <f>IF(AND(RefiFlag=1,215&gt;RefiMonth,215&lt;=DispoMonth),1,0)</f>
        <v/>
      </c>
      <c r="HK42" s="17">
        <f>IF(AND(RefiFlag=1,216&gt;RefiMonth,216&lt;=DispoMonth),1,0)</f>
        <v/>
      </c>
      <c r="HL42" s="17">
        <f>IF(AND(RefiFlag=1,217&gt;RefiMonth,217&lt;=DispoMonth),1,0)</f>
        <v/>
      </c>
      <c r="HM42" s="17">
        <f>IF(AND(RefiFlag=1,218&gt;RefiMonth,218&lt;=DispoMonth),1,0)</f>
        <v/>
      </c>
      <c r="HN42" s="17">
        <f>IF(AND(RefiFlag=1,219&gt;RefiMonth,219&lt;=DispoMonth),1,0)</f>
        <v/>
      </c>
      <c r="HO42" s="17">
        <f>IF(AND(RefiFlag=1,220&gt;RefiMonth,220&lt;=DispoMonth),1,0)</f>
        <v/>
      </c>
      <c r="HP42" s="17">
        <f>IF(AND(RefiFlag=1,221&gt;RefiMonth,221&lt;=DispoMonth),1,0)</f>
        <v/>
      </c>
      <c r="HQ42" s="17">
        <f>IF(AND(RefiFlag=1,222&gt;RefiMonth,222&lt;=DispoMonth),1,0)</f>
        <v/>
      </c>
      <c r="HR42" s="17">
        <f>IF(AND(RefiFlag=1,223&gt;RefiMonth,223&lt;=DispoMonth),1,0)</f>
        <v/>
      </c>
      <c r="HS42" s="17">
        <f>IF(AND(RefiFlag=1,224&gt;RefiMonth,224&lt;=DispoMonth),1,0)</f>
        <v/>
      </c>
      <c r="HT42" s="17">
        <f>IF(AND(RefiFlag=1,225&gt;RefiMonth,225&lt;=DispoMonth),1,0)</f>
        <v/>
      </c>
      <c r="HU42" s="17">
        <f>IF(AND(RefiFlag=1,226&gt;RefiMonth,226&lt;=DispoMonth),1,0)</f>
        <v/>
      </c>
      <c r="HV42" s="17">
        <f>IF(AND(RefiFlag=1,227&gt;RefiMonth,227&lt;=DispoMonth),1,0)</f>
        <v/>
      </c>
      <c r="HW42" s="17">
        <f>IF(AND(RefiFlag=1,228&gt;RefiMonth,228&lt;=DispoMonth),1,0)</f>
        <v/>
      </c>
      <c r="HX42" s="17">
        <f>IF(AND(RefiFlag=1,229&gt;RefiMonth,229&lt;=DispoMonth),1,0)</f>
        <v/>
      </c>
      <c r="HY42" s="17">
        <f>IF(AND(RefiFlag=1,230&gt;RefiMonth,230&lt;=DispoMonth),1,0)</f>
        <v/>
      </c>
      <c r="HZ42" s="17">
        <f>IF(AND(RefiFlag=1,231&gt;RefiMonth,231&lt;=DispoMonth),1,0)</f>
        <v/>
      </c>
      <c r="IA42" s="17">
        <f>IF(AND(RefiFlag=1,232&gt;RefiMonth,232&lt;=DispoMonth),1,0)</f>
        <v/>
      </c>
      <c r="IB42" s="17">
        <f>IF(AND(RefiFlag=1,233&gt;RefiMonth,233&lt;=DispoMonth),1,0)</f>
        <v/>
      </c>
      <c r="IC42" s="17">
        <f>IF(AND(RefiFlag=1,234&gt;RefiMonth,234&lt;=DispoMonth),1,0)</f>
        <v/>
      </c>
      <c r="ID42" s="17">
        <f>IF(AND(RefiFlag=1,235&gt;RefiMonth,235&lt;=DispoMonth),1,0)</f>
        <v/>
      </c>
      <c r="IE42" s="17">
        <f>IF(AND(RefiFlag=1,236&gt;RefiMonth,236&lt;=DispoMonth),1,0)</f>
        <v/>
      </c>
      <c r="IF42" s="17">
        <f>IF(AND(RefiFlag=1,237&gt;RefiMonth,237&lt;=DispoMonth),1,0)</f>
        <v/>
      </c>
      <c r="IG42" s="17">
        <f>IF(AND(RefiFlag=1,238&gt;RefiMonth,238&lt;=DispoMonth),1,0)</f>
        <v/>
      </c>
      <c r="IH42" s="17">
        <f>IF(AND(RefiFlag=1,239&gt;RefiMonth,239&lt;=DispoMonth),1,0)</f>
        <v/>
      </c>
      <c r="II42" s="17">
        <f>IF(AND(RefiFlag=1,240&gt;RefiMonth,240&lt;=DispoMonth),1,0)</f>
        <v/>
      </c>
      <c r="IJ42" s="17">
        <f>IF(AND(RefiFlag=1,241&gt;RefiMonth,241&lt;=DispoMonth),1,0)</f>
        <v/>
      </c>
      <c r="IK42" s="17">
        <f>IF(AND(RefiFlag=1,242&gt;RefiMonth,242&lt;=DispoMonth),1,0)</f>
        <v/>
      </c>
      <c r="IL42" s="17">
        <f>IF(AND(RefiFlag=1,243&gt;RefiMonth,243&lt;=DispoMonth),1,0)</f>
        <v/>
      </c>
      <c r="IM42" s="17">
        <f>IF(AND(RefiFlag=1,244&gt;RefiMonth,244&lt;=DispoMonth),1,0)</f>
        <v/>
      </c>
      <c r="IN42" s="17">
        <f>IF(AND(RefiFlag=1,245&gt;RefiMonth,245&lt;=DispoMonth),1,0)</f>
        <v/>
      </c>
      <c r="IO42" s="17">
        <f>IF(AND(RefiFlag=1,246&gt;RefiMonth,246&lt;=DispoMonth),1,0)</f>
        <v/>
      </c>
      <c r="IP42" s="17">
        <f>IF(AND(RefiFlag=1,247&gt;RefiMonth,247&lt;=DispoMonth),1,0)</f>
        <v/>
      </c>
      <c r="IQ42" s="17">
        <f>IF(AND(RefiFlag=1,248&gt;RefiMonth,248&lt;=DispoMonth),1,0)</f>
        <v/>
      </c>
      <c r="IR42" s="17">
        <f>IF(AND(RefiFlag=1,249&gt;RefiMonth,249&lt;=DispoMonth),1,0)</f>
        <v/>
      </c>
      <c r="IS42" s="17">
        <f>IF(AND(RefiFlag=1,250&gt;RefiMonth,250&lt;=DispoMonth),1,0)</f>
        <v/>
      </c>
      <c r="IT42" s="17">
        <f>IF(AND(RefiFlag=1,251&gt;RefiMonth,251&lt;=DispoMonth),1,0)</f>
        <v/>
      </c>
      <c r="IU42" s="17">
        <f>IF(AND(RefiFlag=1,252&gt;RefiMonth,252&lt;=DispoMonth),1,0)</f>
        <v/>
      </c>
      <c r="IV42" s="17">
        <f>IF(AND(RefiFlag=1,253&gt;RefiMonth,253&lt;=DispoMonth),1,0)</f>
        <v/>
      </c>
      <c r="IW42" s="17">
        <f>IF(AND(RefiFlag=1,254&gt;RefiMonth,254&lt;=DispoMonth),1,0)</f>
        <v/>
      </c>
      <c r="IX42" s="17">
        <f>IF(AND(RefiFlag=1,255&gt;RefiMonth,255&lt;=DispoMonth),1,0)</f>
        <v/>
      </c>
      <c r="IY42" s="17">
        <f>IF(AND(RefiFlag=1,256&gt;RefiMonth,256&lt;=DispoMonth),1,0)</f>
        <v/>
      </c>
      <c r="IZ42" s="17">
        <f>IF(AND(RefiFlag=1,257&gt;RefiMonth,257&lt;=DispoMonth),1,0)</f>
        <v/>
      </c>
      <c r="JA42" s="17">
        <f>IF(AND(RefiFlag=1,258&gt;RefiMonth,258&lt;=DispoMonth),1,0)</f>
        <v/>
      </c>
      <c r="JB42" s="17">
        <f>IF(AND(RefiFlag=1,259&gt;RefiMonth,259&lt;=DispoMonth),1,0)</f>
        <v/>
      </c>
      <c r="JC42" s="17">
        <f>IF(AND(RefiFlag=1,260&gt;RefiMonth,260&lt;=DispoMonth),1,0)</f>
        <v/>
      </c>
      <c r="JD42" s="17">
        <f>IF(AND(RefiFlag=1,261&gt;RefiMonth,261&lt;=DispoMonth),1,0)</f>
        <v/>
      </c>
      <c r="JE42" s="17">
        <f>IF(AND(RefiFlag=1,262&gt;RefiMonth,262&lt;=DispoMonth),1,0)</f>
        <v/>
      </c>
      <c r="JF42" s="17">
        <f>IF(AND(RefiFlag=1,263&gt;RefiMonth,263&lt;=DispoMonth),1,0)</f>
        <v/>
      </c>
      <c r="JG42" s="17">
        <f>IF(AND(RefiFlag=1,264&gt;RefiMonth,264&lt;=DispoMonth),1,0)</f>
        <v/>
      </c>
      <c r="JH42" s="17">
        <f>IF(AND(RefiFlag=1,265&gt;RefiMonth,265&lt;=DispoMonth),1,0)</f>
        <v/>
      </c>
      <c r="JI42" s="17">
        <f>IF(AND(RefiFlag=1,266&gt;RefiMonth,266&lt;=DispoMonth),1,0)</f>
        <v/>
      </c>
      <c r="JJ42" s="17">
        <f>IF(AND(RefiFlag=1,267&gt;RefiMonth,267&lt;=DispoMonth),1,0)</f>
        <v/>
      </c>
      <c r="JK42" s="17">
        <f>IF(AND(RefiFlag=1,268&gt;RefiMonth,268&lt;=DispoMonth),1,0)</f>
        <v/>
      </c>
      <c r="JL42" s="17">
        <f>IF(AND(RefiFlag=1,269&gt;RefiMonth,269&lt;=DispoMonth),1,0)</f>
        <v/>
      </c>
      <c r="JM42" s="17">
        <f>IF(AND(RefiFlag=1,270&gt;RefiMonth,270&lt;=DispoMonth),1,0)</f>
        <v/>
      </c>
      <c r="JN42" s="17">
        <f>IF(AND(RefiFlag=1,271&gt;RefiMonth,271&lt;=DispoMonth),1,0)</f>
        <v/>
      </c>
      <c r="JO42" s="17">
        <f>IF(AND(RefiFlag=1,272&gt;RefiMonth,272&lt;=DispoMonth),1,0)</f>
        <v/>
      </c>
      <c r="JP42" s="17">
        <f>IF(AND(RefiFlag=1,273&gt;RefiMonth,273&lt;=DispoMonth),1,0)</f>
        <v/>
      </c>
      <c r="JQ42" s="17">
        <f>IF(AND(RefiFlag=1,274&gt;RefiMonth,274&lt;=DispoMonth),1,0)</f>
        <v/>
      </c>
      <c r="JR42" s="17">
        <f>IF(AND(RefiFlag=1,275&gt;RefiMonth,275&lt;=DispoMonth),1,0)</f>
        <v/>
      </c>
      <c r="JS42" s="17">
        <f>IF(AND(RefiFlag=1,276&gt;RefiMonth,276&lt;=DispoMonth),1,0)</f>
        <v/>
      </c>
      <c r="JT42" s="17">
        <f>IF(AND(RefiFlag=1,277&gt;RefiMonth,277&lt;=DispoMonth),1,0)</f>
        <v/>
      </c>
      <c r="JU42" s="17">
        <f>IF(AND(RefiFlag=1,278&gt;RefiMonth,278&lt;=DispoMonth),1,0)</f>
        <v/>
      </c>
      <c r="JV42" s="17">
        <f>IF(AND(RefiFlag=1,279&gt;RefiMonth,279&lt;=DispoMonth),1,0)</f>
        <v/>
      </c>
      <c r="JW42" s="17">
        <f>IF(AND(RefiFlag=1,280&gt;RefiMonth,280&lt;=DispoMonth),1,0)</f>
        <v/>
      </c>
      <c r="JX42" s="17">
        <f>IF(AND(RefiFlag=1,281&gt;RefiMonth,281&lt;=DispoMonth),1,0)</f>
        <v/>
      </c>
      <c r="JY42" s="17">
        <f>IF(AND(RefiFlag=1,282&gt;RefiMonth,282&lt;=DispoMonth),1,0)</f>
        <v/>
      </c>
      <c r="JZ42" s="17">
        <f>IF(AND(RefiFlag=1,283&gt;RefiMonth,283&lt;=DispoMonth),1,0)</f>
        <v/>
      </c>
      <c r="KA42" s="17">
        <f>IF(AND(RefiFlag=1,284&gt;RefiMonth,284&lt;=DispoMonth),1,0)</f>
        <v/>
      </c>
      <c r="KB42" s="17">
        <f>IF(AND(RefiFlag=1,285&gt;RefiMonth,285&lt;=DispoMonth),1,0)</f>
        <v/>
      </c>
      <c r="KC42" s="17">
        <f>IF(AND(RefiFlag=1,286&gt;RefiMonth,286&lt;=DispoMonth),1,0)</f>
        <v/>
      </c>
      <c r="KD42" s="17">
        <f>IF(AND(RefiFlag=1,287&gt;RefiMonth,287&lt;=DispoMonth),1,0)</f>
        <v/>
      </c>
      <c r="KE42" s="17">
        <f>IF(AND(RefiFlag=1,288&gt;RefiMonth,288&lt;=DispoMonth),1,0)</f>
        <v/>
      </c>
      <c r="KF42" s="17">
        <f>IF(AND(RefiFlag=1,289&gt;RefiMonth,289&lt;=DispoMonth),1,0)</f>
        <v/>
      </c>
      <c r="KG42" s="17">
        <f>IF(AND(RefiFlag=1,290&gt;RefiMonth,290&lt;=DispoMonth),1,0)</f>
        <v/>
      </c>
      <c r="KH42" s="17">
        <f>IF(AND(RefiFlag=1,291&gt;RefiMonth,291&lt;=DispoMonth),1,0)</f>
        <v/>
      </c>
      <c r="KI42" s="17">
        <f>IF(AND(RefiFlag=1,292&gt;RefiMonth,292&lt;=DispoMonth),1,0)</f>
        <v/>
      </c>
      <c r="KJ42" s="17">
        <f>IF(AND(RefiFlag=1,293&gt;RefiMonth,293&lt;=DispoMonth),1,0)</f>
        <v/>
      </c>
      <c r="KK42" s="17">
        <f>IF(AND(RefiFlag=1,294&gt;RefiMonth,294&lt;=DispoMonth),1,0)</f>
        <v/>
      </c>
      <c r="KL42" s="17">
        <f>IF(AND(RefiFlag=1,295&gt;RefiMonth,295&lt;=DispoMonth),1,0)</f>
        <v/>
      </c>
      <c r="KM42" s="17">
        <f>IF(AND(RefiFlag=1,296&gt;RefiMonth,296&lt;=DispoMonth),1,0)</f>
        <v/>
      </c>
      <c r="KN42" s="17">
        <f>IF(AND(RefiFlag=1,297&gt;RefiMonth,297&lt;=DispoMonth),1,0)</f>
        <v/>
      </c>
      <c r="KO42" s="17">
        <f>IF(AND(RefiFlag=1,298&gt;RefiMonth,298&lt;=DispoMonth),1,0)</f>
        <v/>
      </c>
      <c r="KP42" s="17">
        <f>IF(AND(RefiFlag=1,299&gt;RefiMonth,299&lt;=DispoMonth),1,0)</f>
        <v/>
      </c>
      <c r="KQ42" s="17">
        <f>IF(AND(RefiFlag=1,300&gt;RefiMonth,300&lt;=DispoMonth),1,0)</f>
        <v/>
      </c>
      <c r="KR42" s="17">
        <f>IF(AND(RefiFlag=1,301&gt;RefiMonth,301&lt;=DispoMonth),1,0)</f>
        <v/>
      </c>
      <c r="KS42" s="17">
        <f>IF(AND(RefiFlag=1,302&gt;RefiMonth,302&lt;=DispoMonth),1,0)</f>
        <v/>
      </c>
      <c r="KT42" s="17">
        <f>IF(AND(RefiFlag=1,303&gt;RefiMonth,303&lt;=DispoMonth),1,0)</f>
        <v/>
      </c>
      <c r="KU42" s="17">
        <f>IF(AND(RefiFlag=1,304&gt;RefiMonth,304&lt;=DispoMonth),1,0)</f>
        <v/>
      </c>
      <c r="KV42" s="17">
        <f>IF(AND(RefiFlag=1,305&gt;RefiMonth,305&lt;=DispoMonth),1,0)</f>
        <v/>
      </c>
      <c r="KW42" s="17">
        <f>IF(AND(RefiFlag=1,306&gt;RefiMonth,306&lt;=DispoMonth),1,0)</f>
        <v/>
      </c>
      <c r="KX42" s="17">
        <f>IF(AND(RefiFlag=1,307&gt;RefiMonth,307&lt;=DispoMonth),1,0)</f>
        <v/>
      </c>
      <c r="KY42" s="17">
        <f>IF(AND(RefiFlag=1,308&gt;RefiMonth,308&lt;=DispoMonth),1,0)</f>
        <v/>
      </c>
      <c r="KZ42" s="17">
        <f>IF(AND(RefiFlag=1,309&gt;RefiMonth,309&lt;=DispoMonth),1,0)</f>
        <v/>
      </c>
      <c r="LA42" s="17">
        <f>IF(AND(RefiFlag=1,310&gt;RefiMonth,310&lt;=DispoMonth),1,0)</f>
        <v/>
      </c>
      <c r="LB42" s="17">
        <f>IF(AND(RefiFlag=1,311&gt;RefiMonth,311&lt;=DispoMonth),1,0)</f>
        <v/>
      </c>
      <c r="LC42" s="17">
        <f>IF(AND(RefiFlag=1,312&gt;RefiMonth,312&lt;=DispoMonth),1,0)</f>
        <v/>
      </c>
      <c r="LD42" s="17">
        <f>IF(AND(RefiFlag=1,313&gt;RefiMonth,313&lt;=DispoMonth),1,0)</f>
        <v/>
      </c>
      <c r="LE42" s="17">
        <f>IF(AND(RefiFlag=1,314&gt;RefiMonth,314&lt;=DispoMonth),1,0)</f>
        <v/>
      </c>
      <c r="LF42" s="17">
        <f>IF(AND(RefiFlag=1,315&gt;RefiMonth,315&lt;=DispoMonth),1,0)</f>
        <v/>
      </c>
      <c r="LG42" s="17">
        <f>IF(AND(RefiFlag=1,316&gt;RefiMonth,316&lt;=DispoMonth),1,0)</f>
        <v/>
      </c>
      <c r="LH42" s="17">
        <f>IF(AND(RefiFlag=1,317&gt;RefiMonth,317&lt;=DispoMonth),1,0)</f>
        <v/>
      </c>
      <c r="LI42" s="17">
        <f>IF(AND(RefiFlag=1,318&gt;RefiMonth,318&lt;=DispoMonth),1,0)</f>
        <v/>
      </c>
      <c r="LJ42" s="17">
        <f>IF(AND(RefiFlag=1,319&gt;RefiMonth,319&lt;=DispoMonth),1,0)</f>
        <v/>
      </c>
      <c r="LK42" s="17">
        <f>IF(AND(RefiFlag=1,320&gt;RefiMonth,320&lt;=DispoMonth),1,0)</f>
        <v/>
      </c>
      <c r="LL42" s="17">
        <f>IF(AND(RefiFlag=1,321&gt;RefiMonth,321&lt;=DispoMonth),1,0)</f>
        <v/>
      </c>
      <c r="LM42" s="17">
        <f>IF(AND(RefiFlag=1,322&gt;RefiMonth,322&lt;=DispoMonth),1,0)</f>
        <v/>
      </c>
      <c r="LN42" s="17">
        <f>IF(AND(RefiFlag=1,323&gt;RefiMonth,323&lt;=DispoMonth),1,0)</f>
        <v/>
      </c>
      <c r="LO42" s="17">
        <f>IF(AND(RefiFlag=1,324&gt;RefiMonth,324&lt;=DispoMonth),1,0)</f>
        <v/>
      </c>
      <c r="LP42" s="17">
        <f>IF(AND(RefiFlag=1,325&gt;RefiMonth,325&lt;=DispoMonth),1,0)</f>
        <v/>
      </c>
      <c r="LQ42" s="17">
        <f>IF(AND(RefiFlag=1,326&gt;RefiMonth,326&lt;=DispoMonth),1,0)</f>
        <v/>
      </c>
      <c r="LR42" s="17">
        <f>IF(AND(RefiFlag=1,327&gt;RefiMonth,327&lt;=DispoMonth),1,0)</f>
        <v/>
      </c>
      <c r="LS42" s="17">
        <f>IF(AND(RefiFlag=1,328&gt;RefiMonth,328&lt;=DispoMonth),1,0)</f>
        <v/>
      </c>
      <c r="LT42" s="17">
        <f>IF(AND(RefiFlag=1,329&gt;RefiMonth,329&lt;=DispoMonth),1,0)</f>
        <v/>
      </c>
      <c r="LU42" s="17">
        <f>IF(AND(RefiFlag=1,330&gt;RefiMonth,330&lt;=DispoMonth),1,0)</f>
        <v/>
      </c>
      <c r="LV42" s="17">
        <f>IF(AND(RefiFlag=1,331&gt;RefiMonth,331&lt;=DispoMonth),1,0)</f>
        <v/>
      </c>
      <c r="LW42" s="17">
        <f>IF(AND(RefiFlag=1,332&gt;RefiMonth,332&lt;=DispoMonth),1,0)</f>
        <v/>
      </c>
      <c r="LX42" s="17">
        <f>IF(AND(RefiFlag=1,333&gt;RefiMonth,333&lt;=DispoMonth),1,0)</f>
        <v/>
      </c>
      <c r="LY42" s="17">
        <f>IF(AND(RefiFlag=1,334&gt;RefiMonth,334&lt;=DispoMonth),1,0)</f>
        <v/>
      </c>
      <c r="LZ42" s="17">
        <f>IF(AND(RefiFlag=1,335&gt;RefiMonth,335&lt;=DispoMonth),1,0)</f>
        <v/>
      </c>
      <c r="MA42" s="17">
        <f>IF(AND(RefiFlag=1,336&gt;RefiMonth,336&lt;=DispoMonth),1,0)</f>
        <v/>
      </c>
      <c r="MB42" s="17">
        <f>IF(AND(RefiFlag=1,337&gt;RefiMonth,337&lt;=DispoMonth),1,0)</f>
        <v/>
      </c>
      <c r="MC42" s="17">
        <f>IF(AND(RefiFlag=1,338&gt;RefiMonth,338&lt;=DispoMonth),1,0)</f>
        <v/>
      </c>
      <c r="MD42" s="17">
        <f>IF(AND(RefiFlag=1,339&gt;RefiMonth,339&lt;=DispoMonth),1,0)</f>
        <v/>
      </c>
      <c r="ME42" s="17">
        <f>IF(AND(RefiFlag=1,340&gt;RefiMonth,340&lt;=DispoMonth),1,0)</f>
        <v/>
      </c>
      <c r="MF42" s="17">
        <f>IF(AND(RefiFlag=1,341&gt;RefiMonth,341&lt;=DispoMonth),1,0)</f>
        <v/>
      </c>
      <c r="MG42" s="17">
        <f>IF(AND(RefiFlag=1,342&gt;RefiMonth,342&lt;=DispoMonth),1,0)</f>
        <v/>
      </c>
      <c r="MH42" s="17">
        <f>IF(AND(RefiFlag=1,343&gt;RefiMonth,343&lt;=DispoMonth),1,0)</f>
        <v/>
      </c>
      <c r="MI42" s="17">
        <f>IF(AND(RefiFlag=1,344&gt;RefiMonth,344&lt;=DispoMonth),1,0)</f>
        <v/>
      </c>
      <c r="MJ42" s="17">
        <f>IF(AND(RefiFlag=1,345&gt;RefiMonth,345&lt;=DispoMonth),1,0)</f>
        <v/>
      </c>
      <c r="MK42" s="17">
        <f>IF(AND(RefiFlag=1,346&gt;RefiMonth,346&lt;=DispoMonth),1,0)</f>
        <v/>
      </c>
      <c r="ML42" s="17">
        <f>IF(AND(RefiFlag=1,347&gt;RefiMonth,347&lt;=DispoMonth),1,0)</f>
        <v/>
      </c>
      <c r="MM42" s="17">
        <f>IF(AND(RefiFlag=1,348&gt;RefiMonth,348&lt;=DispoMonth),1,0)</f>
        <v/>
      </c>
      <c r="MN42" s="17">
        <f>IF(AND(RefiFlag=1,349&gt;RefiMonth,349&lt;=DispoMonth),1,0)</f>
        <v/>
      </c>
      <c r="MO42" s="17">
        <f>IF(AND(RefiFlag=1,350&gt;RefiMonth,350&lt;=DispoMonth),1,0)</f>
        <v/>
      </c>
      <c r="MP42" s="17">
        <f>IF(AND(RefiFlag=1,351&gt;RefiMonth,351&lt;=DispoMonth),1,0)</f>
        <v/>
      </c>
      <c r="MQ42" s="17">
        <f>IF(AND(RefiFlag=1,352&gt;RefiMonth,352&lt;=DispoMonth),1,0)</f>
        <v/>
      </c>
      <c r="MR42" s="17">
        <f>IF(AND(RefiFlag=1,353&gt;RefiMonth,353&lt;=DispoMonth),1,0)</f>
        <v/>
      </c>
      <c r="MS42" s="17">
        <f>IF(AND(RefiFlag=1,354&gt;RefiMonth,354&lt;=DispoMonth),1,0)</f>
        <v/>
      </c>
      <c r="MT42" s="17">
        <f>IF(AND(RefiFlag=1,355&gt;RefiMonth,355&lt;=DispoMonth),1,0)</f>
        <v/>
      </c>
      <c r="MU42" s="17">
        <f>IF(AND(RefiFlag=1,356&gt;RefiMonth,356&lt;=DispoMonth),1,0)</f>
        <v/>
      </c>
      <c r="MV42" s="17">
        <f>IF(AND(RefiFlag=1,357&gt;RefiMonth,357&lt;=DispoMonth),1,0)</f>
        <v/>
      </c>
      <c r="MW42" s="17">
        <f>IF(AND(RefiFlag=1,358&gt;RefiMonth,358&lt;=DispoMonth),1,0)</f>
        <v/>
      </c>
      <c r="MX42" s="17">
        <f>IF(AND(RefiFlag=1,359&gt;RefiMonth,359&lt;=DispoMonth),1,0)</f>
        <v/>
      </c>
      <c r="MY42" s="17">
        <f>IF(AND(RefiFlag=1,360&gt;RefiMonth,360&lt;=DispoMonth),1,0)</f>
        <v/>
      </c>
      <c r="MZ42" s="17">
        <f>IF(AND(RefiFlag=1,361&gt;RefiMonth,361&lt;=DispoMonth),1,0)</f>
        <v/>
      </c>
      <c r="NA42" s="17">
        <f>IF(AND(RefiFlag=1,362&gt;RefiMonth,362&lt;=DispoMonth),1,0)</f>
        <v/>
      </c>
      <c r="NB42" s="17">
        <f>IF(AND(RefiFlag=1,363&gt;RefiMonth,363&lt;=DispoMonth),1,0)</f>
        <v/>
      </c>
      <c r="NC42" s="17">
        <f>IF(AND(RefiFlag=1,364&gt;RefiMonth,364&lt;=DispoMonth),1,0)</f>
        <v/>
      </c>
      <c r="ND42" s="17">
        <f>IF(AND(RefiFlag=1,365&gt;RefiMonth,365&lt;=DispoMonth),1,0)</f>
        <v/>
      </c>
      <c r="NE42" s="17">
        <f>IF(AND(RefiFlag=1,366&gt;RefiMonth,366&lt;=DispoMonth),1,0)</f>
        <v/>
      </c>
      <c r="NF42" s="17">
        <f>IF(AND(RefiFlag=1,367&gt;RefiMonth,367&lt;=DispoMonth),1,0)</f>
        <v/>
      </c>
      <c r="NG42" s="17">
        <f>IF(AND(RefiFlag=1,368&gt;RefiMonth,368&lt;=DispoMonth),1,0)</f>
        <v/>
      </c>
      <c r="NH42" s="17">
        <f>IF(AND(RefiFlag=1,369&gt;RefiMonth,369&lt;=DispoMonth),1,0)</f>
        <v/>
      </c>
      <c r="NI42" s="17">
        <f>IF(AND(RefiFlag=1,370&gt;RefiMonth,370&lt;=DispoMonth),1,0)</f>
        <v/>
      </c>
      <c r="NJ42" s="17">
        <f>IF(AND(RefiFlag=1,371&gt;RefiMonth,371&lt;=DispoMonth),1,0)</f>
        <v/>
      </c>
      <c r="NK42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5" t="inlineStr">
        <is>
          <t>Land Acquisition</t>
        </is>
      </c>
      <c r="C5" s="41">
        <f>SUM(D5:NK5)</f>
        <v/>
      </c>
      <c r="D5" s="18">
        <f>IF(AND(1&gt;=$NQ$5,1&lt;=$NR$5),IF($NO$5="Single_Point",IF(1=$NQ$5,$NM$5,0),IF($NO$5="Bell_Curve",$NM$5*(1-$NQ$5+1)*($NR$5-1+1)/$NT$5,$NM$5/$NS$5)),0)</f>
        <v/>
      </c>
      <c r="E5" s="18">
        <f>IF(AND(2&gt;=$NQ$5,2&lt;=$NR$5),IF($NO$5="Single_Point",IF(2=$NQ$5,$NM$5,0),IF($NO$5="Bell_Curve",$NM$5*(2-$NQ$5+1)*($NR$5-2+1)/$NT$5,$NM$5/$NS$5)),0)</f>
        <v/>
      </c>
      <c r="F5" s="18">
        <f>IF(AND(3&gt;=$NQ$5,3&lt;=$NR$5),IF($NO$5="Single_Point",IF(3=$NQ$5,$NM$5,0),IF($NO$5="Bell_Curve",$NM$5*(3-$NQ$5+1)*($NR$5-3+1)/$NT$5,$NM$5/$NS$5)),0)</f>
        <v/>
      </c>
      <c r="G5" s="18">
        <f>IF(AND(4&gt;=$NQ$5,4&lt;=$NR$5),IF($NO$5="Single_Point",IF(4=$NQ$5,$NM$5,0),IF($NO$5="Bell_Curve",$NM$5*(4-$NQ$5+1)*($NR$5-4+1)/$NT$5,$NM$5/$NS$5)),0)</f>
        <v/>
      </c>
      <c r="H5" s="18">
        <f>IF(AND(5&gt;=$NQ$5,5&lt;=$NR$5),IF($NO$5="Single_Point",IF(5=$NQ$5,$NM$5,0),IF($NO$5="Bell_Curve",$NM$5*(5-$NQ$5+1)*($NR$5-5+1)/$NT$5,$NM$5/$NS$5)),0)</f>
        <v/>
      </c>
      <c r="I5" s="18">
        <f>IF(AND(6&gt;=$NQ$5,6&lt;=$NR$5),IF($NO$5="Single_Point",IF(6=$NQ$5,$NM$5,0),IF($NO$5="Bell_Curve",$NM$5*(6-$NQ$5+1)*($NR$5-6+1)/$NT$5,$NM$5/$NS$5)),0)</f>
        <v/>
      </c>
      <c r="J5" s="18">
        <f>IF(AND(7&gt;=$NQ$5,7&lt;=$NR$5),IF($NO$5="Single_Point",IF(7=$NQ$5,$NM$5,0),IF($NO$5="Bell_Curve",$NM$5*(7-$NQ$5+1)*($NR$5-7+1)/$NT$5,$NM$5/$NS$5)),0)</f>
        <v/>
      </c>
      <c r="K5" s="18">
        <f>IF(AND(8&gt;=$NQ$5,8&lt;=$NR$5),IF($NO$5="Single_Point",IF(8=$NQ$5,$NM$5,0),IF($NO$5="Bell_Curve",$NM$5*(8-$NQ$5+1)*($NR$5-8+1)/$NT$5,$NM$5/$NS$5)),0)</f>
        <v/>
      </c>
      <c r="L5" s="18">
        <f>IF(AND(9&gt;=$NQ$5,9&lt;=$NR$5),IF($NO$5="Single_Point",IF(9=$NQ$5,$NM$5,0),IF($NO$5="Bell_Curve",$NM$5*(9-$NQ$5+1)*($NR$5-9+1)/$NT$5,$NM$5/$NS$5)),0)</f>
        <v/>
      </c>
      <c r="M5" s="18">
        <f>IF(AND(10&gt;=$NQ$5,10&lt;=$NR$5),IF($NO$5="Single_Point",IF(10=$NQ$5,$NM$5,0),IF($NO$5="Bell_Curve",$NM$5*(10-$NQ$5+1)*($NR$5-10+1)/$NT$5,$NM$5/$NS$5)),0)</f>
        <v/>
      </c>
      <c r="N5" s="18">
        <f>IF(AND(11&gt;=$NQ$5,11&lt;=$NR$5),IF($NO$5="Single_Point",IF(11=$NQ$5,$NM$5,0),IF($NO$5="Bell_Curve",$NM$5*(11-$NQ$5+1)*($NR$5-11+1)/$NT$5,$NM$5/$NS$5)),0)</f>
        <v/>
      </c>
      <c r="O5" s="18">
        <f>IF(AND(12&gt;=$NQ$5,12&lt;=$NR$5),IF($NO$5="Single_Point",IF(12=$NQ$5,$NM$5,0),IF($NO$5="Bell_Curve",$NM$5*(12-$NQ$5+1)*($NR$5-12+1)/$NT$5,$NM$5/$NS$5)),0)</f>
        <v/>
      </c>
      <c r="P5" s="18">
        <f>IF(AND(13&gt;=$NQ$5,13&lt;=$NR$5),IF($NO$5="Single_Point",IF(13=$NQ$5,$NM$5,0),IF($NO$5="Bell_Curve",$NM$5*(13-$NQ$5+1)*($NR$5-13+1)/$NT$5,$NM$5/$NS$5)),0)</f>
        <v/>
      </c>
      <c r="Q5" s="18">
        <f>IF(AND(14&gt;=$NQ$5,14&lt;=$NR$5),IF($NO$5="Single_Point",IF(14=$NQ$5,$NM$5,0),IF($NO$5="Bell_Curve",$NM$5*(14-$NQ$5+1)*($NR$5-14+1)/$NT$5,$NM$5/$NS$5)),0)</f>
        <v/>
      </c>
      <c r="R5" s="18">
        <f>IF(AND(15&gt;=$NQ$5,15&lt;=$NR$5),IF($NO$5="Single_Point",IF(15=$NQ$5,$NM$5,0),IF($NO$5="Bell_Curve",$NM$5*(15-$NQ$5+1)*($NR$5-15+1)/$NT$5,$NM$5/$NS$5)),0)</f>
        <v/>
      </c>
      <c r="S5" s="18">
        <f>IF(AND(16&gt;=$NQ$5,16&lt;=$NR$5),IF($NO$5="Single_Point",IF(16=$NQ$5,$NM$5,0),IF($NO$5="Bell_Curve",$NM$5*(16-$NQ$5+1)*($NR$5-16+1)/$NT$5,$NM$5/$NS$5)),0)</f>
        <v/>
      </c>
      <c r="T5" s="18">
        <f>IF(AND(17&gt;=$NQ$5,17&lt;=$NR$5),IF($NO$5="Single_Point",IF(17=$NQ$5,$NM$5,0),IF($NO$5="Bell_Curve",$NM$5*(17-$NQ$5+1)*($NR$5-17+1)/$NT$5,$NM$5/$NS$5)),0)</f>
        <v/>
      </c>
      <c r="U5" s="18">
        <f>IF(AND(18&gt;=$NQ$5,18&lt;=$NR$5),IF($NO$5="Single_Point",IF(18=$NQ$5,$NM$5,0),IF($NO$5="Bell_Curve",$NM$5*(18-$NQ$5+1)*($NR$5-18+1)/$NT$5,$NM$5/$NS$5)),0)</f>
        <v/>
      </c>
      <c r="V5" s="18">
        <f>IF(AND(19&gt;=$NQ$5,19&lt;=$NR$5),IF($NO$5="Single_Point",IF(19=$NQ$5,$NM$5,0),IF($NO$5="Bell_Curve",$NM$5*(19-$NQ$5+1)*($NR$5-19+1)/$NT$5,$NM$5/$NS$5)),0)</f>
        <v/>
      </c>
      <c r="W5" s="18">
        <f>IF(AND(20&gt;=$NQ$5,20&lt;=$NR$5),IF($NO$5="Single_Point",IF(20=$NQ$5,$NM$5,0),IF($NO$5="Bell_Curve",$NM$5*(20-$NQ$5+1)*($NR$5-20+1)/$NT$5,$NM$5/$NS$5)),0)</f>
        <v/>
      </c>
      <c r="X5" s="18">
        <f>IF(AND(21&gt;=$NQ$5,21&lt;=$NR$5),IF($NO$5="Single_Point",IF(21=$NQ$5,$NM$5,0),IF($NO$5="Bell_Curve",$NM$5*(21-$NQ$5+1)*($NR$5-21+1)/$NT$5,$NM$5/$NS$5)),0)</f>
        <v/>
      </c>
      <c r="Y5" s="18">
        <f>IF(AND(22&gt;=$NQ$5,22&lt;=$NR$5),IF($NO$5="Single_Point",IF(22=$NQ$5,$NM$5,0),IF($NO$5="Bell_Curve",$NM$5*(22-$NQ$5+1)*($NR$5-22+1)/$NT$5,$NM$5/$NS$5)),0)</f>
        <v/>
      </c>
      <c r="Z5" s="18">
        <f>IF(AND(23&gt;=$NQ$5,23&lt;=$NR$5),IF($NO$5="Single_Point",IF(23=$NQ$5,$NM$5,0),IF($NO$5="Bell_Curve",$NM$5*(23-$NQ$5+1)*($NR$5-23+1)/$NT$5,$NM$5/$NS$5)),0)</f>
        <v/>
      </c>
      <c r="AA5" s="18">
        <f>IF(AND(24&gt;=$NQ$5,24&lt;=$NR$5),IF($NO$5="Single_Point",IF(24=$NQ$5,$NM$5,0),IF($NO$5="Bell_Curve",$NM$5*(24-$NQ$5+1)*($NR$5-24+1)/$NT$5,$NM$5/$NS$5)),0)</f>
        <v/>
      </c>
      <c r="AB5" s="18">
        <f>IF(AND(25&gt;=$NQ$5,25&lt;=$NR$5),IF($NO$5="Single_Point",IF(25=$NQ$5,$NM$5,0),IF($NO$5="Bell_Curve",$NM$5*(25-$NQ$5+1)*($NR$5-25+1)/$NT$5,$NM$5/$NS$5)),0)</f>
        <v/>
      </c>
      <c r="AC5" s="18">
        <f>IF(AND(26&gt;=$NQ$5,26&lt;=$NR$5),IF($NO$5="Single_Point",IF(26=$NQ$5,$NM$5,0),IF($NO$5="Bell_Curve",$NM$5*(26-$NQ$5+1)*($NR$5-26+1)/$NT$5,$NM$5/$NS$5)),0)</f>
        <v/>
      </c>
      <c r="AD5" s="18">
        <f>IF(AND(27&gt;=$NQ$5,27&lt;=$NR$5),IF($NO$5="Single_Point",IF(27=$NQ$5,$NM$5,0),IF($NO$5="Bell_Curve",$NM$5*(27-$NQ$5+1)*($NR$5-27+1)/$NT$5,$NM$5/$NS$5)),0)</f>
        <v/>
      </c>
      <c r="AE5" s="18">
        <f>IF(AND(28&gt;=$NQ$5,28&lt;=$NR$5),IF($NO$5="Single_Point",IF(28=$NQ$5,$NM$5,0),IF($NO$5="Bell_Curve",$NM$5*(28-$NQ$5+1)*($NR$5-28+1)/$NT$5,$NM$5/$NS$5)),0)</f>
        <v/>
      </c>
      <c r="AF5" s="18">
        <f>IF(AND(29&gt;=$NQ$5,29&lt;=$NR$5),IF($NO$5="Single_Point",IF(29=$NQ$5,$NM$5,0),IF($NO$5="Bell_Curve",$NM$5*(29-$NQ$5+1)*($NR$5-29+1)/$NT$5,$NM$5/$NS$5)),0)</f>
        <v/>
      </c>
      <c r="AG5" s="18">
        <f>IF(AND(30&gt;=$NQ$5,30&lt;=$NR$5),IF($NO$5="Single_Point",IF(30=$NQ$5,$NM$5,0),IF($NO$5="Bell_Curve",$NM$5*(30-$NQ$5+1)*($NR$5-30+1)/$NT$5,$NM$5/$NS$5)),0)</f>
        <v/>
      </c>
      <c r="AH5" s="18">
        <f>IF(AND(31&gt;=$NQ$5,31&lt;=$NR$5),IF($NO$5="Single_Point",IF(31=$NQ$5,$NM$5,0),IF($NO$5="Bell_Curve",$NM$5*(31-$NQ$5+1)*($NR$5-31+1)/$NT$5,$NM$5/$NS$5)),0)</f>
        <v/>
      </c>
      <c r="AI5" s="18">
        <f>IF(AND(32&gt;=$NQ$5,32&lt;=$NR$5),IF($NO$5="Single_Point",IF(32=$NQ$5,$NM$5,0),IF($NO$5="Bell_Curve",$NM$5*(32-$NQ$5+1)*($NR$5-32+1)/$NT$5,$NM$5/$NS$5)),0)</f>
        <v/>
      </c>
      <c r="AJ5" s="18">
        <f>IF(AND(33&gt;=$NQ$5,33&lt;=$NR$5),IF($NO$5="Single_Point",IF(33=$NQ$5,$NM$5,0),IF($NO$5="Bell_Curve",$NM$5*(33-$NQ$5+1)*($NR$5-33+1)/$NT$5,$NM$5/$NS$5)),0)</f>
        <v/>
      </c>
      <c r="AK5" s="18">
        <f>IF(AND(34&gt;=$NQ$5,34&lt;=$NR$5),IF($NO$5="Single_Point",IF(34=$NQ$5,$NM$5,0),IF($NO$5="Bell_Curve",$NM$5*(34-$NQ$5+1)*($NR$5-34+1)/$NT$5,$NM$5/$NS$5)),0)</f>
        <v/>
      </c>
      <c r="AL5" s="18">
        <f>IF(AND(35&gt;=$NQ$5,35&lt;=$NR$5),IF($NO$5="Single_Point",IF(35=$NQ$5,$NM$5,0),IF($NO$5="Bell_Curve",$NM$5*(35-$NQ$5+1)*($NR$5-35+1)/$NT$5,$NM$5/$NS$5)),0)</f>
        <v/>
      </c>
      <c r="AM5" s="18">
        <f>IF(AND(36&gt;=$NQ$5,36&lt;=$NR$5),IF($NO$5="Single_Point",IF(36=$NQ$5,$NM$5,0),IF($NO$5="Bell_Curve",$NM$5*(36-$NQ$5+1)*($NR$5-36+1)/$NT$5,$NM$5/$NS$5)),0)</f>
        <v/>
      </c>
      <c r="AN5" s="18">
        <f>IF(AND(37&gt;=$NQ$5,37&lt;=$NR$5),IF($NO$5="Single_Point",IF(37=$NQ$5,$NM$5,0),IF($NO$5="Bell_Curve",$NM$5*(37-$NQ$5+1)*($NR$5-37+1)/$NT$5,$NM$5/$NS$5)),0)</f>
        <v/>
      </c>
      <c r="AO5" s="18">
        <f>IF(AND(38&gt;=$NQ$5,38&lt;=$NR$5),IF($NO$5="Single_Point",IF(38=$NQ$5,$NM$5,0),IF($NO$5="Bell_Curve",$NM$5*(38-$NQ$5+1)*($NR$5-38+1)/$NT$5,$NM$5/$NS$5)),0)</f>
        <v/>
      </c>
      <c r="AP5" s="18">
        <f>IF(AND(39&gt;=$NQ$5,39&lt;=$NR$5),IF($NO$5="Single_Point",IF(39=$NQ$5,$NM$5,0),IF($NO$5="Bell_Curve",$NM$5*(39-$NQ$5+1)*($NR$5-39+1)/$NT$5,$NM$5/$NS$5)),0)</f>
        <v/>
      </c>
      <c r="AQ5" s="18">
        <f>IF(AND(40&gt;=$NQ$5,40&lt;=$NR$5),IF($NO$5="Single_Point",IF(40=$NQ$5,$NM$5,0),IF($NO$5="Bell_Curve",$NM$5*(40-$NQ$5+1)*($NR$5-40+1)/$NT$5,$NM$5/$NS$5)),0)</f>
        <v/>
      </c>
      <c r="AR5" s="18">
        <f>IF(AND(41&gt;=$NQ$5,41&lt;=$NR$5),IF($NO$5="Single_Point",IF(41=$NQ$5,$NM$5,0),IF($NO$5="Bell_Curve",$NM$5*(41-$NQ$5+1)*($NR$5-41+1)/$NT$5,$NM$5/$NS$5)),0)</f>
        <v/>
      </c>
      <c r="AS5" s="18">
        <f>IF(AND(42&gt;=$NQ$5,42&lt;=$NR$5),IF($NO$5="Single_Point",IF(42=$NQ$5,$NM$5,0),IF($NO$5="Bell_Curve",$NM$5*(42-$NQ$5+1)*($NR$5-42+1)/$NT$5,$NM$5/$NS$5)),0)</f>
        <v/>
      </c>
      <c r="AT5" s="18">
        <f>IF(AND(43&gt;=$NQ$5,43&lt;=$NR$5),IF($NO$5="Single_Point",IF(43=$NQ$5,$NM$5,0),IF($NO$5="Bell_Curve",$NM$5*(43-$NQ$5+1)*($NR$5-43+1)/$NT$5,$NM$5/$NS$5)),0)</f>
        <v/>
      </c>
      <c r="AU5" s="18">
        <f>IF(AND(44&gt;=$NQ$5,44&lt;=$NR$5),IF($NO$5="Single_Point",IF(44=$NQ$5,$NM$5,0),IF($NO$5="Bell_Curve",$NM$5*(44-$NQ$5+1)*($NR$5-44+1)/$NT$5,$NM$5/$NS$5)),0)</f>
        <v/>
      </c>
      <c r="AV5" s="18">
        <f>IF(AND(45&gt;=$NQ$5,45&lt;=$NR$5),IF($NO$5="Single_Point",IF(45=$NQ$5,$NM$5,0),IF($NO$5="Bell_Curve",$NM$5*(45-$NQ$5+1)*($NR$5-45+1)/$NT$5,$NM$5/$NS$5)),0)</f>
        <v/>
      </c>
      <c r="AW5" s="18">
        <f>IF(AND(46&gt;=$NQ$5,46&lt;=$NR$5),IF($NO$5="Single_Point",IF(46=$NQ$5,$NM$5,0),IF($NO$5="Bell_Curve",$NM$5*(46-$NQ$5+1)*($NR$5-46+1)/$NT$5,$NM$5/$NS$5)),0)</f>
        <v/>
      </c>
      <c r="AX5" s="18">
        <f>IF(AND(47&gt;=$NQ$5,47&lt;=$NR$5),IF($NO$5="Single_Point",IF(47=$NQ$5,$NM$5,0),IF($NO$5="Bell_Curve",$NM$5*(47-$NQ$5+1)*($NR$5-47+1)/$NT$5,$NM$5/$NS$5)),0)</f>
        <v/>
      </c>
      <c r="AY5" s="18">
        <f>IF(AND(48&gt;=$NQ$5,48&lt;=$NR$5),IF($NO$5="Single_Point",IF(48=$NQ$5,$NM$5,0),IF($NO$5="Bell_Curve",$NM$5*(48-$NQ$5+1)*($NR$5-48+1)/$NT$5,$NM$5/$NS$5)),0)</f>
        <v/>
      </c>
      <c r="AZ5" s="18">
        <f>IF(AND(49&gt;=$NQ$5,49&lt;=$NR$5),IF($NO$5="Single_Point",IF(49=$NQ$5,$NM$5,0),IF($NO$5="Bell_Curve",$NM$5*(49-$NQ$5+1)*($NR$5-49+1)/$NT$5,$NM$5/$NS$5)),0)</f>
        <v/>
      </c>
      <c r="BA5" s="18">
        <f>IF(AND(50&gt;=$NQ$5,50&lt;=$NR$5),IF($NO$5="Single_Point",IF(50=$NQ$5,$NM$5,0),IF($NO$5="Bell_Curve",$NM$5*(50-$NQ$5+1)*($NR$5-50+1)/$NT$5,$NM$5/$NS$5)),0)</f>
        <v/>
      </c>
      <c r="BB5" s="18">
        <f>IF(AND(51&gt;=$NQ$5,51&lt;=$NR$5),IF($NO$5="Single_Point",IF(51=$NQ$5,$NM$5,0),IF($NO$5="Bell_Curve",$NM$5*(51-$NQ$5+1)*($NR$5-51+1)/$NT$5,$NM$5/$NS$5)),0)</f>
        <v/>
      </c>
      <c r="BC5" s="18">
        <f>IF(AND(52&gt;=$NQ$5,52&lt;=$NR$5),IF($NO$5="Single_Point",IF(52=$NQ$5,$NM$5,0),IF($NO$5="Bell_Curve",$NM$5*(52-$NQ$5+1)*($NR$5-52+1)/$NT$5,$NM$5/$NS$5)),0)</f>
        <v/>
      </c>
      <c r="BD5" s="18">
        <f>IF(AND(53&gt;=$NQ$5,53&lt;=$NR$5),IF($NO$5="Single_Point",IF(53=$NQ$5,$NM$5,0),IF($NO$5="Bell_Curve",$NM$5*(53-$NQ$5+1)*($NR$5-53+1)/$NT$5,$NM$5/$NS$5)),0)</f>
        <v/>
      </c>
      <c r="BE5" s="18">
        <f>IF(AND(54&gt;=$NQ$5,54&lt;=$NR$5),IF($NO$5="Single_Point",IF(54=$NQ$5,$NM$5,0),IF($NO$5="Bell_Curve",$NM$5*(54-$NQ$5+1)*($NR$5-54+1)/$NT$5,$NM$5/$NS$5)),0)</f>
        <v/>
      </c>
      <c r="BF5" s="18">
        <f>IF(AND(55&gt;=$NQ$5,55&lt;=$NR$5),IF($NO$5="Single_Point",IF(55=$NQ$5,$NM$5,0),IF($NO$5="Bell_Curve",$NM$5*(55-$NQ$5+1)*($NR$5-55+1)/$NT$5,$NM$5/$NS$5)),0)</f>
        <v/>
      </c>
      <c r="BG5" s="18">
        <f>IF(AND(56&gt;=$NQ$5,56&lt;=$NR$5),IF($NO$5="Single_Point",IF(56=$NQ$5,$NM$5,0),IF($NO$5="Bell_Curve",$NM$5*(56-$NQ$5+1)*($NR$5-56+1)/$NT$5,$NM$5/$NS$5)),0)</f>
        <v/>
      </c>
      <c r="BH5" s="18">
        <f>IF(AND(57&gt;=$NQ$5,57&lt;=$NR$5),IF($NO$5="Single_Point",IF(57=$NQ$5,$NM$5,0),IF($NO$5="Bell_Curve",$NM$5*(57-$NQ$5+1)*($NR$5-57+1)/$NT$5,$NM$5/$NS$5)),0)</f>
        <v/>
      </c>
      <c r="BI5" s="18">
        <f>IF(AND(58&gt;=$NQ$5,58&lt;=$NR$5),IF($NO$5="Single_Point",IF(58=$NQ$5,$NM$5,0),IF($NO$5="Bell_Curve",$NM$5*(58-$NQ$5+1)*($NR$5-58+1)/$NT$5,$NM$5/$NS$5)),0)</f>
        <v/>
      </c>
      <c r="BJ5" s="18">
        <f>IF(AND(59&gt;=$NQ$5,59&lt;=$NR$5),IF($NO$5="Single_Point",IF(59=$NQ$5,$NM$5,0),IF($NO$5="Bell_Curve",$NM$5*(59-$NQ$5+1)*($NR$5-59+1)/$NT$5,$NM$5/$NS$5)),0)</f>
        <v/>
      </c>
      <c r="BK5" s="18">
        <f>IF(AND(60&gt;=$NQ$5,60&lt;=$NR$5),IF($NO$5="Single_Point",IF(60=$NQ$5,$NM$5,0),IF($NO$5="Bell_Curve",$NM$5*(60-$NQ$5+1)*($NR$5-60+1)/$NT$5,$NM$5/$NS$5)),0)</f>
        <v/>
      </c>
      <c r="BL5" s="18">
        <f>IF(AND(61&gt;=$NQ$5,61&lt;=$NR$5),IF($NO$5="Single_Point",IF(61=$NQ$5,$NM$5,0),IF($NO$5="Bell_Curve",$NM$5*(61-$NQ$5+1)*($NR$5-61+1)/$NT$5,$NM$5/$NS$5)),0)</f>
        <v/>
      </c>
      <c r="BM5" s="18">
        <f>IF(AND(62&gt;=$NQ$5,62&lt;=$NR$5),IF($NO$5="Single_Point",IF(62=$NQ$5,$NM$5,0),IF($NO$5="Bell_Curve",$NM$5*(62-$NQ$5+1)*($NR$5-62+1)/$NT$5,$NM$5/$NS$5)),0)</f>
        <v/>
      </c>
      <c r="BN5" s="18">
        <f>IF(AND(63&gt;=$NQ$5,63&lt;=$NR$5),IF($NO$5="Single_Point",IF(63=$NQ$5,$NM$5,0),IF($NO$5="Bell_Curve",$NM$5*(63-$NQ$5+1)*($NR$5-63+1)/$NT$5,$NM$5/$NS$5)),0)</f>
        <v/>
      </c>
      <c r="BO5" s="18">
        <f>IF(AND(64&gt;=$NQ$5,64&lt;=$NR$5),IF($NO$5="Single_Point",IF(64=$NQ$5,$NM$5,0),IF($NO$5="Bell_Curve",$NM$5*(64-$NQ$5+1)*($NR$5-64+1)/$NT$5,$NM$5/$NS$5)),0)</f>
        <v/>
      </c>
      <c r="BP5" s="18">
        <f>IF(AND(65&gt;=$NQ$5,65&lt;=$NR$5),IF($NO$5="Single_Point",IF(65=$NQ$5,$NM$5,0),IF($NO$5="Bell_Curve",$NM$5*(65-$NQ$5+1)*($NR$5-65+1)/$NT$5,$NM$5/$NS$5)),0)</f>
        <v/>
      </c>
      <c r="BQ5" s="18">
        <f>IF(AND(66&gt;=$NQ$5,66&lt;=$NR$5),IF($NO$5="Single_Point",IF(66=$NQ$5,$NM$5,0),IF($NO$5="Bell_Curve",$NM$5*(66-$NQ$5+1)*($NR$5-66+1)/$NT$5,$NM$5/$NS$5)),0)</f>
        <v/>
      </c>
      <c r="BR5" s="18">
        <f>IF(AND(67&gt;=$NQ$5,67&lt;=$NR$5),IF($NO$5="Single_Point",IF(67=$NQ$5,$NM$5,0),IF($NO$5="Bell_Curve",$NM$5*(67-$NQ$5+1)*($NR$5-67+1)/$NT$5,$NM$5/$NS$5)),0)</f>
        <v/>
      </c>
      <c r="BS5" s="18">
        <f>IF(AND(68&gt;=$NQ$5,68&lt;=$NR$5),IF($NO$5="Single_Point",IF(68=$NQ$5,$NM$5,0),IF($NO$5="Bell_Curve",$NM$5*(68-$NQ$5+1)*($NR$5-68+1)/$NT$5,$NM$5/$NS$5)),0)</f>
        <v/>
      </c>
      <c r="BT5" s="18">
        <f>IF(AND(69&gt;=$NQ$5,69&lt;=$NR$5),IF($NO$5="Single_Point",IF(69=$NQ$5,$NM$5,0),IF($NO$5="Bell_Curve",$NM$5*(69-$NQ$5+1)*($NR$5-69+1)/$NT$5,$NM$5/$NS$5)),0)</f>
        <v/>
      </c>
      <c r="BU5" s="18">
        <f>IF(AND(70&gt;=$NQ$5,70&lt;=$NR$5),IF($NO$5="Single_Point",IF(70=$NQ$5,$NM$5,0),IF($NO$5="Bell_Curve",$NM$5*(70-$NQ$5+1)*($NR$5-70+1)/$NT$5,$NM$5/$NS$5)),0)</f>
        <v/>
      </c>
      <c r="BV5" s="18">
        <f>IF(AND(71&gt;=$NQ$5,71&lt;=$NR$5),IF($NO$5="Single_Point",IF(71=$NQ$5,$NM$5,0),IF($NO$5="Bell_Curve",$NM$5*(71-$NQ$5+1)*($NR$5-71+1)/$NT$5,$NM$5/$NS$5)),0)</f>
        <v/>
      </c>
      <c r="BW5" s="18">
        <f>IF(AND(72&gt;=$NQ$5,72&lt;=$NR$5),IF($NO$5="Single_Point",IF(72=$NQ$5,$NM$5,0),IF($NO$5="Bell_Curve",$NM$5*(72-$NQ$5+1)*($NR$5-72+1)/$NT$5,$NM$5/$NS$5)),0)</f>
        <v/>
      </c>
      <c r="BX5" s="18">
        <f>IF(AND(73&gt;=$NQ$5,73&lt;=$NR$5),IF($NO$5="Single_Point",IF(73=$NQ$5,$NM$5,0),IF($NO$5="Bell_Curve",$NM$5*(73-$NQ$5+1)*($NR$5-73+1)/$NT$5,$NM$5/$NS$5)),0)</f>
        <v/>
      </c>
      <c r="BY5" s="18">
        <f>IF(AND(74&gt;=$NQ$5,74&lt;=$NR$5),IF($NO$5="Single_Point",IF(74=$NQ$5,$NM$5,0),IF($NO$5="Bell_Curve",$NM$5*(74-$NQ$5+1)*($NR$5-74+1)/$NT$5,$NM$5/$NS$5)),0)</f>
        <v/>
      </c>
      <c r="BZ5" s="18">
        <f>IF(AND(75&gt;=$NQ$5,75&lt;=$NR$5),IF($NO$5="Single_Point",IF(75=$NQ$5,$NM$5,0),IF($NO$5="Bell_Curve",$NM$5*(75-$NQ$5+1)*($NR$5-75+1)/$NT$5,$NM$5/$NS$5)),0)</f>
        <v/>
      </c>
      <c r="CA5" s="18">
        <f>IF(AND(76&gt;=$NQ$5,76&lt;=$NR$5),IF($NO$5="Single_Point",IF(76=$NQ$5,$NM$5,0),IF($NO$5="Bell_Curve",$NM$5*(76-$NQ$5+1)*($NR$5-76+1)/$NT$5,$NM$5/$NS$5)),0)</f>
        <v/>
      </c>
      <c r="CB5" s="18">
        <f>IF(AND(77&gt;=$NQ$5,77&lt;=$NR$5),IF($NO$5="Single_Point",IF(77=$NQ$5,$NM$5,0),IF($NO$5="Bell_Curve",$NM$5*(77-$NQ$5+1)*($NR$5-77+1)/$NT$5,$NM$5/$NS$5)),0)</f>
        <v/>
      </c>
      <c r="CC5" s="18">
        <f>IF(AND(78&gt;=$NQ$5,78&lt;=$NR$5),IF($NO$5="Single_Point",IF(78=$NQ$5,$NM$5,0),IF($NO$5="Bell_Curve",$NM$5*(78-$NQ$5+1)*($NR$5-78+1)/$NT$5,$NM$5/$NS$5)),0)</f>
        <v/>
      </c>
      <c r="CD5" s="18">
        <f>IF(AND(79&gt;=$NQ$5,79&lt;=$NR$5),IF($NO$5="Single_Point",IF(79=$NQ$5,$NM$5,0),IF($NO$5="Bell_Curve",$NM$5*(79-$NQ$5+1)*($NR$5-79+1)/$NT$5,$NM$5/$NS$5)),0)</f>
        <v/>
      </c>
      <c r="CE5" s="18">
        <f>IF(AND(80&gt;=$NQ$5,80&lt;=$NR$5),IF($NO$5="Single_Point",IF(80=$NQ$5,$NM$5,0),IF($NO$5="Bell_Curve",$NM$5*(80-$NQ$5+1)*($NR$5-80+1)/$NT$5,$NM$5/$NS$5)),0)</f>
        <v/>
      </c>
      <c r="CF5" s="18">
        <f>IF(AND(81&gt;=$NQ$5,81&lt;=$NR$5),IF($NO$5="Single_Point",IF(81=$NQ$5,$NM$5,0),IF($NO$5="Bell_Curve",$NM$5*(81-$NQ$5+1)*($NR$5-81+1)/$NT$5,$NM$5/$NS$5)),0)</f>
        <v/>
      </c>
      <c r="CG5" s="18">
        <f>IF(AND(82&gt;=$NQ$5,82&lt;=$NR$5),IF($NO$5="Single_Point",IF(82=$NQ$5,$NM$5,0),IF($NO$5="Bell_Curve",$NM$5*(82-$NQ$5+1)*($NR$5-82+1)/$NT$5,$NM$5/$NS$5)),0)</f>
        <v/>
      </c>
      <c r="CH5" s="18">
        <f>IF(AND(83&gt;=$NQ$5,83&lt;=$NR$5),IF($NO$5="Single_Point",IF(83=$NQ$5,$NM$5,0),IF($NO$5="Bell_Curve",$NM$5*(83-$NQ$5+1)*($NR$5-83+1)/$NT$5,$NM$5/$NS$5)),0)</f>
        <v/>
      </c>
      <c r="CI5" s="18">
        <f>IF(AND(84&gt;=$NQ$5,84&lt;=$NR$5),IF($NO$5="Single_Point",IF(84=$NQ$5,$NM$5,0),IF($NO$5="Bell_Curve",$NM$5*(84-$NQ$5+1)*($NR$5-84+1)/$NT$5,$NM$5/$NS$5)),0)</f>
        <v/>
      </c>
      <c r="CJ5" s="18">
        <f>IF(AND(85&gt;=$NQ$5,85&lt;=$NR$5),IF($NO$5="Single_Point",IF(85=$NQ$5,$NM$5,0),IF($NO$5="Bell_Curve",$NM$5*(85-$NQ$5+1)*($NR$5-85+1)/$NT$5,$NM$5/$NS$5)),0)</f>
        <v/>
      </c>
      <c r="CK5" s="18">
        <f>IF(AND(86&gt;=$NQ$5,86&lt;=$NR$5),IF($NO$5="Single_Point",IF(86=$NQ$5,$NM$5,0),IF($NO$5="Bell_Curve",$NM$5*(86-$NQ$5+1)*($NR$5-86+1)/$NT$5,$NM$5/$NS$5)),0)</f>
        <v/>
      </c>
      <c r="CL5" s="18">
        <f>IF(AND(87&gt;=$NQ$5,87&lt;=$NR$5),IF($NO$5="Single_Point",IF(87=$NQ$5,$NM$5,0),IF($NO$5="Bell_Curve",$NM$5*(87-$NQ$5+1)*($NR$5-87+1)/$NT$5,$NM$5/$NS$5)),0)</f>
        <v/>
      </c>
      <c r="CM5" s="18">
        <f>IF(AND(88&gt;=$NQ$5,88&lt;=$NR$5),IF($NO$5="Single_Point",IF(88=$NQ$5,$NM$5,0),IF($NO$5="Bell_Curve",$NM$5*(88-$NQ$5+1)*($NR$5-88+1)/$NT$5,$NM$5/$NS$5)),0)</f>
        <v/>
      </c>
      <c r="CN5" s="18">
        <f>IF(AND(89&gt;=$NQ$5,89&lt;=$NR$5),IF($NO$5="Single_Point",IF(89=$NQ$5,$NM$5,0),IF($NO$5="Bell_Curve",$NM$5*(89-$NQ$5+1)*($NR$5-89+1)/$NT$5,$NM$5/$NS$5)),0)</f>
        <v/>
      </c>
      <c r="CO5" s="18">
        <f>IF(AND(90&gt;=$NQ$5,90&lt;=$NR$5),IF($NO$5="Single_Point",IF(90=$NQ$5,$NM$5,0),IF($NO$5="Bell_Curve",$NM$5*(90-$NQ$5+1)*($NR$5-90+1)/$NT$5,$NM$5/$NS$5)),0)</f>
        <v/>
      </c>
      <c r="CP5" s="18">
        <f>IF(AND(91&gt;=$NQ$5,91&lt;=$NR$5),IF($NO$5="Single_Point",IF(91=$NQ$5,$NM$5,0),IF($NO$5="Bell_Curve",$NM$5*(91-$NQ$5+1)*($NR$5-91+1)/$NT$5,$NM$5/$NS$5)),0)</f>
        <v/>
      </c>
      <c r="CQ5" s="18">
        <f>IF(AND(92&gt;=$NQ$5,92&lt;=$NR$5),IF($NO$5="Single_Point",IF(92=$NQ$5,$NM$5,0),IF($NO$5="Bell_Curve",$NM$5*(92-$NQ$5+1)*($NR$5-92+1)/$NT$5,$NM$5/$NS$5)),0)</f>
        <v/>
      </c>
      <c r="CR5" s="18">
        <f>IF(AND(93&gt;=$NQ$5,93&lt;=$NR$5),IF($NO$5="Single_Point",IF(93=$NQ$5,$NM$5,0),IF($NO$5="Bell_Curve",$NM$5*(93-$NQ$5+1)*($NR$5-93+1)/$NT$5,$NM$5/$NS$5)),0)</f>
        <v/>
      </c>
      <c r="CS5" s="18">
        <f>IF(AND(94&gt;=$NQ$5,94&lt;=$NR$5),IF($NO$5="Single_Point",IF(94=$NQ$5,$NM$5,0),IF($NO$5="Bell_Curve",$NM$5*(94-$NQ$5+1)*($NR$5-94+1)/$NT$5,$NM$5/$NS$5)),0)</f>
        <v/>
      </c>
      <c r="CT5" s="18">
        <f>IF(AND(95&gt;=$NQ$5,95&lt;=$NR$5),IF($NO$5="Single_Point",IF(95=$NQ$5,$NM$5,0),IF($NO$5="Bell_Curve",$NM$5*(95-$NQ$5+1)*($NR$5-95+1)/$NT$5,$NM$5/$NS$5)),0)</f>
        <v/>
      </c>
      <c r="CU5" s="18">
        <f>IF(AND(96&gt;=$NQ$5,96&lt;=$NR$5),IF($NO$5="Single_Point",IF(96=$NQ$5,$NM$5,0),IF($NO$5="Bell_Curve",$NM$5*(96-$NQ$5+1)*($NR$5-96+1)/$NT$5,$NM$5/$NS$5)),0)</f>
        <v/>
      </c>
      <c r="CV5" s="18">
        <f>IF(AND(97&gt;=$NQ$5,97&lt;=$NR$5),IF($NO$5="Single_Point",IF(97=$NQ$5,$NM$5,0),IF($NO$5="Bell_Curve",$NM$5*(97-$NQ$5+1)*($NR$5-97+1)/$NT$5,$NM$5/$NS$5)),0)</f>
        <v/>
      </c>
      <c r="CW5" s="18">
        <f>IF(AND(98&gt;=$NQ$5,98&lt;=$NR$5),IF($NO$5="Single_Point",IF(98=$NQ$5,$NM$5,0),IF($NO$5="Bell_Curve",$NM$5*(98-$NQ$5+1)*($NR$5-98+1)/$NT$5,$NM$5/$NS$5)),0)</f>
        <v/>
      </c>
      <c r="CX5" s="18">
        <f>IF(AND(99&gt;=$NQ$5,99&lt;=$NR$5),IF($NO$5="Single_Point",IF(99=$NQ$5,$NM$5,0),IF($NO$5="Bell_Curve",$NM$5*(99-$NQ$5+1)*($NR$5-99+1)/$NT$5,$NM$5/$NS$5)),0)</f>
        <v/>
      </c>
      <c r="CY5" s="18">
        <f>IF(AND(100&gt;=$NQ$5,100&lt;=$NR$5),IF($NO$5="Single_Point",IF(100=$NQ$5,$NM$5,0),IF($NO$5="Bell_Curve",$NM$5*(100-$NQ$5+1)*($NR$5-100+1)/$NT$5,$NM$5/$NS$5)),0)</f>
        <v/>
      </c>
      <c r="CZ5" s="18">
        <f>IF(AND(101&gt;=$NQ$5,101&lt;=$NR$5),IF($NO$5="Single_Point",IF(101=$NQ$5,$NM$5,0),IF($NO$5="Bell_Curve",$NM$5*(101-$NQ$5+1)*($NR$5-101+1)/$NT$5,$NM$5/$NS$5)),0)</f>
        <v/>
      </c>
      <c r="DA5" s="18">
        <f>IF(AND(102&gt;=$NQ$5,102&lt;=$NR$5),IF($NO$5="Single_Point",IF(102=$NQ$5,$NM$5,0),IF($NO$5="Bell_Curve",$NM$5*(102-$NQ$5+1)*($NR$5-102+1)/$NT$5,$NM$5/$NS$5)),0)</f>
        <v/>
      </c>
      <c r="DB5" s="18">
        <f>IF(AND(103&gt;=$NQ$5,103&lt;=$NR$5),IF($NO$5="Single_Point",IF(103=$NQ$5,$NM$5,0),IF($NO$5="Bell_Curve",$NM$5*(103-$NQ$5+1)*($NR$5-103+1)/$NT$5,$NM$5/$NS$5)),0)</f>
        <v/>
      </c>
      <c r="DC5" s="18">
        <f>IF(AND(104&gt;=$NQ$5,104&lt;=$NR$5),IF($NO$5="Single_Point",IF(104=$NQ$5,$NM$5,0),IF($NO$5="Bell_Curve",$NM$5*(104-$NQ$5+1)*($NR$5-104+1)/$NT$5,$NM$5/$NS$5)),0)</f>
        <v/>
      </c>
      <c r="DD5" s="18">
        <f>IF(AND(105&gt;=$NQ$5,105&lt;=$NR$5),IF($NO$5="Single_Point",IF(105=$NQ$5,$NM$5,0),IF($NO$5="Bell_Curve",$NM$5*(105-$NQ$5+1)*($NR$5-105+1)/$NT$5,$NM$5/$NS$5)),0)</f>
        <v/>
      </c>
      <c r="DE5" s="18">
        <f>IF(AND(106&gt;=$NQ$5,106&lt;=$NR$5),IF($NO$5="Single_Point",IF(106=$NQ$5,$NM$5,0),IF($NO$5="Bell_Curve",$NM$5*(106-$NQ$5+1)*($NR$5-106+1)/$NT$5,$NM$5/$NS$5)),0)</f>
        <v/>
      </c>
      <c r="DF5" s="18">
        <f>IF(AND(107&gt;=$NQ$5,107&lt;=$NR$5),IF($NO$5="Single_Point",IF(107=$NQ$5,$NM$5,0),IF($NO$5="Bell_Curve",$NM$5*(107-$NQ$5+1)*($NR$5-107+1)/$NT$5,$NM$5/$NS$5)),0)</f>
        <v/>
      </c>
      <c r="DG5" s="18">
        <f>IF(AND(108&gt;=$NQ$5,108&lt;=$NR$5),IF($NO$5="Single_Point",IF(108=$NQ$5,$NM$5,0),IF($NO$5="Bell_Curve",$NM$5*(108-$NQ$5+1)*($NR$5-108+1)/$NT$5,$NM$5/$NS$5)),0)</f>
        <v/>
      </c>
      <c r="DH5" s="18">
        <f>IF(AND(109&gt;=$NQ$5,109&lt;=$NR$5),IF($NO$5="Single_Point",IF(109=$NQ$5,$NM$5,0),IF($NO$5="Bell_Curve",$NM$5*(109-$NQ$5+1)*($NR$5-109+1)/$NT$5,$NM$5/$NS$5)),0)</f>
        <v/>
      </c>
      <c r="DI5" s="18">
        <f>IF(AND(110&gt;=$NQ$5,110&lt;=$NR$5),IF($NO$5="Single_Point",IF(110=$NQ$5,$NM$5,0),IF($NO$5="Bell_Curve",$NM$5*(110-$NQ$5+1)*($NR$5-110+1)/$NT$5,$NM$5/$NS$5)),0)</f>
        <v/>
      </c>
      <c r="DJ5" s="18">
        <f>IF(AND(111&gt;=$NQ$5,111&lt;=$NR$5),IF($NO$5="Single_Point",IF(111=$NQ$5,$NM$5,0),IF($NO$5="Bell_Curve",$NM$5*(111-$NQ$5+1)*($NR$5-111+1)/$NT$5,$NM$5/$NS$5)),0)</f>
        <v/>
      </c>
      <c r="DK5" s="18">
        <f>IF(AND(112&gt;=$NQ$5,112&lt;=$NR$5),IF($NO$5="Single_Point",IF(112=$NQ$5,$NM$5,0),IF($NO$5="Bell_Curve",$NM$5*(112-$NQ$5+1)*($NR$5-112+1)/$NT$5,$NM$5/$NS$5)),0)</f>
        <v/>
      </c>
      <c r="DL5" s="18">
        <f>IF(AND(113&gt;=$NQ$5,113&lt;=$NR$5),IF($NO$5="Single_Point",IF(113=$NQ$5,$NM$5,0),IF($NO$5="Bell_Curve",$NM$5*(113-$NQ$5+1)*($NR$5-113+1)/$NT$5,$NM$5/$NS$5)),0)</f>
        <v/>
      </c>
      <c r="DM5" s="18">
        <f>IF(AND(114&gt;=$NQ$5,114&lt;=$NR$5),IF($NO$5="Single_Point",IF(114=$NQ$5,$NM$5,0),IF($NO$5="Bell_Curve",$NM$5*(114-$NQ$5+1)*($NR$5-114+1)/$NT$5,$NM$5/$NS$5)),0)</f>
        <v/>
      </c>
      <c r="DN5" s="18">
        <f>IF(AND(115&gt;=$NQ$5,115&lt;=$NR$5),IF($NO$5="Single_Point",IF(115=$NQ$5,$NM$5,0),IF($NO$5="Bell_Curve",$NM$5*(115-$NQ$5+1)*($NR$5-115+1)/$NT$5,$NM$5/$NS$5)),0)</f>
        <v/>
      </c>
      <c r="DO5" s="18">
        <f>IF(AND(116&gt;=$NQ$5,116&lt;=$NR$5),IF($NO$5="Single_Point",IF(116=$NQ$5,$NM$5,0),IF($NO$5="Bell_Curve",$NM$5*(116-$NQ$5+1)*($NR$5-116+1)/$NT$5,$NM$5/$NS$5)),0)</f>
        <v/>
      </c>
      <c r="DP5" s="18">
        <f>IF(AND(117&gt;=$NQ$5,117&lt;=$NR$5),IF($NO$5="Single_Point",IF(117=$NQ$5,$NM$5,0),IF($NO$5="Bell_Curve",$NM$5*(117-$NQ$5+1)*($NR$5-117+1)/$NT$5,$NM$5/$NS$5)),0)</f>
        <v/>
      </c>
      <c r="DQ5" s="18">
        <f>IF(AND(118&gt;=$NQ$5,118&lt;=$NR$5),IF($NO$5="Single_Point",IF(118=$NQ$5,$NM$5,0),IF($NO$5="Bell_Curve",$NM$5*(118-$NQ$5+1)*($NR$5-118+1)/$NT$5,$NM$5/$NS$5)),0)</f>
        <v/>
      </c>
      <c r="DR5" s="18">
        <f>IF(AND(119&gt;=$NQ$5,119&lt;=$NR$5),IF($NO$5="Single_Point",IF(119=$NQ$5,$NM$5,0),IF($NO$5="Bell_Curve",$NM$5*(119-$NQ$5+1)*($NR$5-119+1)/$NT$5,$NM$5/$NS$5)),0)</f>
        <v/>
      </c>
      <c r="DS5" s="18">
        <f>IF(AND(120&gt;=$NQ$5,120&lt;=$NR$5),IF($NO$5="Single_Point",IF(120=$NQ$5,$NM$5,0),IF($NO$5="Bell_Curve",$NM$5*(120-$NQ$5+1)*($NR$5-120+1)/$NT$5,$NM$5/$NS$5)),0)</f>
        <v/>
      </c>
      <c r="DT5" s="18">
        <f>IF(AND(121&gt;=$NQ$5,121&lt;=$NR$5),IF($NO$5="Single_Point",IF(121=$NQ$5,$NM$5,0),IF($NO$5="Bell_Curve",$NM$5*(121-$NQ$5+1)*($NR$5-121+1)/$NT$5,$NM$5/$NS$5)),0)</f>
        <v/>
      </c>
      <c r="DU5" s="18">
        <f>IF(AND(122&gt;=$NQ$5,122&lt;=$NR$5),IF($NO$5="Single_Point",IF(122=$NQ$5,$NM$5,0),IF($NO$5="Bell_Curve",$NM$5*(122-$NQ$5+1)*($NR$5-122+1)/$NT$5,$NM$5/$NS$5)),0)</f>
        <v/>
      </c>
      <c r="DV5" s="18">
        <f>IF(AND(123&gt;=$NQ$5,123&lt;=$NR$5),IF($NO$5="Single_Point",IF(123=$NQ$5,$NM$5,0),IF($NO$5="Bell_Curve",$NM$5*(123-$NQ$5+1)*($NR$5-123+1)/$NT$5,$NM$5/$NS$5)),0)</f>
        <v/>
      </c>
      <c r="DW5" s="18">
        <f>IF(AND(124&gt;=$NQ$5,124&lt;=$NR$5),IF($NO$5="Single_Point",IF(124=$NQ$5,$NM$5,0),IF($NO$5="Bell_Curve",$NM$5*(124-$NQ$5+1)*($NR$5-124+1)/$NT$5,$NM$5/$NS$5)),0)</f>
        <v/>
      </c>
      <c r="DX5" s="18">
        <f>IF(AND(125&gt;=$NQ$5,125&lt;=$NR$5),IF($NO$5="Single_Point",IF(125=$NQ$5,$NM$5,0),IF($NO$5="Bell_Curve",$NM$5*(125-$NQ$5+1)*($NR$5-125+1)/$NT$5,$NM$5/$NS$5)),0)</f>
        <v/>
      </c>
      <c r="DY5" s="18">
        <f>IF(AND(126&gt;=$NQ$5,126&lt;=$NR$5),IF($NO$5="Single_Point",IF(126=$NQ$5,$NM$5,0),IF($NO$5="Bell_Curve",$NM$5*(126-$NQ$5+1)*($NR$5-126+1)/$NT$5,$NM$5/$NS$5)),0)</f>
        <v/>
      </c>
      <c r="DZ5" s="18">
        <f>IF(AND(127&gt;=$NQ$5,127&lt;=$NR$5),IF($NO$5="Single_Point",IF(127=$NQ$5,$NM$5,0),IF($NO$5="Bell_Curve",$NM$5*(127-$NQ$5+1)*($NR$5-127+1)/$NT$5,$NM$5/$NS$5)),0)</f>
        <v/>
      </c>
      <c r="EA5" s="18">
        <f>IF(AND(128&gt;=$NQ$5,128&lt;=$NR$5),IF($NO$5="Single_Point",IF(128=$NQ$5,$NM$5,0),IF($NO$5="Bell_Curve",$NM$5*(128-$NQ$5+1)*($NR$5-128+1)/$NT$5,$NM$5/$NS$5)),0)</f>
        <v/>
      </c>
      <c r="EB5" s="18">
        <f>IF(AND(129&gt;=$NQ$5,129&lt;=$NR$5),IF($NO$5="Single_Point",IF(129=$NQ$5,$NM$5,0),IF($NO$5="Bell_Curve",$NM$5*(129-$NQ$5+1)*($NR$5-129+1)/$NT$5,$NM$5/$NS$5)),0)</f>
        <v/>
      </c>
      <c r="EC5" s="18">
        <f>IF(AND(130&gt;=$NQ$5,130&lt;=$NR$5),IF($NO$5="Single_Point",IF(130=$NQ$5,$NM$5,0),IF($NO$5="Bell_Curve",$NM$5*(130-$NQ$5+1)*($NR$5-130+1)/$NT$5,$NM$5/$NS$5)),0)</f>
        <v/>
      </c>
      <c r="ED5" s="18">
        <f>IF(AND(131&gt;=$NQ$5,131&lt;=$NR$5),IF($NO$5="Single_Point",IF(131=$NQ$5,$NM$5,0),IF($NO$5="Bell_Curve",$NM$5*(131-$NQ$5+1)*($NR$5-131+1)/$NT$5,$NM$5/$NS$5)),0)</f>
        <v/>
      </c>
      <c r="EE5" s="18">
        <f>IF(AND(132&gt;=$NQ$5,132&lt;=$NR$5),IF($NO$5="Single_Point",IF(132=$NQ$5,$NM$5,0),IF($NO$5="Bell_Curve",$NM$5*(132-$NQ$5+1)*($NR$5-132+1)/$NT$5,$NM$5/$NS$5)),0)</f>
        <v/>
      </c>
      <c r="EF5" s="18">
        <f>IF(AND(133&gt;=$NQ$5,133&lt;=$NR$5),IF($NO$5="Single_Point",IF(133=$NQ$5,$NM$5,0),IF($NO$5="Bell_Curve",$NM$5*(133-$NQ$5+1)*($NR$5-133+1)/$NT$5,$NM$5/$NS$5)),0)</f>
        <v/>
      </c>
      <c r="EG5" s="18">
        <f>IF(AND(134&gt;=$NQ$5,134&lt;=$NR$5),IF($NO$5="Single_Point",IF(134=$NQ$5,$NM$5,0),IF($NO$5="Bell_Curve",$NM$5*(134-$NQ$5+1)*($NR$5-134+1)/$NT$5,$NM$5/$NS$5)),0)</f>
        <v/>
      </c>
      <c r="EH5" s="18">
        <f>IF(AND(135&gt;=$NQ$5,135&lt;=$NR$5),IF($NO$5="Single_Point",IF(135=$NQ$5,$NM$5,0),IF($NO$5="Bell_Curve",$NM$5*(135-$NQ$5+1)*($NR$5-135+1)/$NT$5,$NM$5/$NS$5)),0)</f>
        <v/>
      </c>
      <c r="EI5" s="18">
        <f>IF(AND(136&gt;=$NQ$5,136&lt;=$NR$5),IF($NO$5="Single_Point",IF(136=$NQ$5,$NM$5,0),IF($NO$5="Bell_Curve",$NM$5*(136-$NQ$5+1)*($NR$5-136+1)/$NT$5,$NM$5/$NS$5)),0)</f>
        <v/>
      </c>
      <c r="EJ5" s="18">
        <f>IF(AND(137&gt;=$NQ$5,137&lt;=$NR$5),IF($NO$5="Single_Point",IF(137=$NQ$5,$NM$5,0),IF($NO$5="Bell_Curve",$NM$5*(137-$NQ$5+1)*($NR$5-137+1)/$NT$5,$NM$5/$NS$5)),0)</f>
        <v/>
      </c>
      <c r="EK5" s="18">
        <f>IF(AND(138&gt;=$NQ$5,138&lt;=$NR$5),IF($NO$5="Single_Point",IF(138=$NQ$5,$NM$5,0),IF($NO$5="Bell_Curve",$NM$5*(138-$NQ$5+1)*($NR$5-138+1)/$NT$5,$NM$5/$NS$5)),0)</f>
        <v/>
      </c>
      <c r="EL5" s="18">
        <f>IF(AND(139&gt;=$NQ$5,139&lt;=$NR$5),IF($NO$5="Single_Point",IF(139=$NQ$5,$NM$5,0),IF($NO$5="Bell_Curve",$NM$5*(139-$NQ$5+1)*($NR$5-139+1)/$NT$5,$NM$5/$NS$5)),0)</f>
        <v/>
      </c>
      <c r="EM5" s="18">
        <f>IF(AND(140&gt;=$NQ$5,140&lt;=$NR$5),IF($NO$5="Single_Point",IF(140=$NQ$5,$NM$5,0),IF($NO$5="Bell_Curve",$NM$5*(140-$NQ$5+1)*($NR$5-140+1)/$NT$5,$NM$5/$NS$5)),0)</f>
        <v/>
      </c>
      <c r="EN5" s="18">
        <f>IF(AND(141&gt;=$NQ$5,141&lt;=$NR$5),IF($NO$5="Single_Point",IF(141=$NQ$5,$NM$5,0),IF($NO$5="Bell_Curve",$NM$5*(141-$NQ$5+1)*($NR$5-141+1)/$NT$5,$NM$5/$NS$5)),0)</f>
        <v/>
      </c>
      <c r="EO5" s="18">
        <f>IF(AND(142&gt;=$NQ$5,142&lt;=$NR$5),IF($NO$5="Single_Point",IF(142=$NQ$5,$NM$5,0),IF($NO$5="Bell_Curve",$NM$5*(142-$NQ$5+1)*($NR$5-142+1)/$NT$5,$NM$5/$NS$5)),0)</f>
        <v/>
      </c>
      <c r="EP5" s="18">
        <f>IF(AND(143&gt;=$NQ$5,143&lt;=$NR$5),IF($NO$5="Single_Point",IF(143=$NQ$5,$NM$5,0),IF($NO$5="Bell_Curve",$NM$5*(143-$NQ$5+1)*($NR$5-143+1)/$NT$5,$NM$5/$NS$5)),0)</f>
        <v/>
      </c>
      <c r="EQ5" s="18">
        <f>IF(AND(144&gt;=$NQ$5,144&lt;=$NR$5),IF($NO$5="Single_Point",IF(144=$NQ$5,$NM$5,0),IF($NO$5="Bell_Curve",$NM$5*(144-$NQ$5+1)*($NR$5-144+1)/$NT$5,$NM$5/$NS$5)),0)</f>
        <v/>
      </c>
      <c r="ER5" s="18">
        <f>IF(AND(145&gt;=$NQ$5,145&lt;=$NR$5),IF($NO$5="Single_Point",IF(145=$NQ$5,$NM$5,0),IF($NO$5="Bell_Curve",$NM$5*(145-$NQ$5+1)*($NR$5-145+1)/$NT$5,$NM$5/$NS$5)),0)</f>
        <v/>
      </c>
      <c r="ES5" s="18">
        <f>IF(AND(146&gt;=$NQ$5,146&lt;=$NR$5),IF($NO$5="Single_Point",IF(146=$NQ$5,$NM$5,0),IF($NO$5="Bell_Curve",$NM$5*(146-$NQ$5+1)*($NR$5-146+1)/$NT$5,$NM$5/$NS$5)),0)</f>
        <v/>
      </c>
      <c r="ET5" s="18">
        <f>IF(AND(147&gt;=$NQ$5,147&lt;=$NR$5),IF($NO$5="Single_Point",IF(147=$NQ$5,$NM$5,0),IF($NO$5="Bell_Curve",$NM$5*(147-$NQ$5+1)*($NR$5-147+1)/$NT$5,$NM$5/$NS$5)),0)</f>
        <v/>
      </c>
      <c r="EU5" s="18">
        <f>IF(AND(148&gt;=$NQ$5,148&lt;=$NR$5),IF($NO$5="Single_Point",IF(148=$NQ$5,$NM$5,0),IF($NO$5="Bell_Curve",$NM$5*(148-$NQ$5+1)*($NR$5-148+1)/$NT$5,$NM$5/$NS$5)),0)</f>
        <v/>
      </c>
      <c r="EV5" s="18">
        <f>IF(AND(149&gt;=$NQ$5,149&lt;=$NR$5),IF($NO$5="Single_Point",IF(149=$NQ$5,$NM$5,0),IF($NO$5="Bell_Curve",$NM$5*(149-$NQ$5+1)*($NR$5-149+1)/$NT$5,$NM$5/$NS$5)),0)</f>
        <v/>
      </c>
      <c r="EW5" s="18">
        <f>IF(AND(150&gt;=$NQ$5,150&lt;=$NR$5),IF($NO$5="Single_Point",IF(150=$NQ$5,$NM$5,0),IF($NO$5="Bell_Curve",$NM$5*(150-$NQ$5+1)*($NR$5-150+1)/$NT$5,$NM$5/$NS$5)),0)</f>
        <v/>
      </c>
      <c r="EX5" s="18">
        <f>IF(AND(151&gt;=$NQ$5,151&lt;=$NR$5),IF($NO$5="Single_Point",IF(151=$NQ$5,$NM$5,0),IF($NO$5="Bell_Curve",$NM$5*(151-$NQ$5+1)*($NR$5-151+1)/$NT$5,$NM$5/$NS$5)),0)</f>
        <v/>
      </c>
      <c r="EY5" s="18">
        <f>IF(AND(152&gt;=$NQ$5,152&lt;=$NR$5),IF($NO$5="Single_Point",IF(152=$NQ$5,$NM$5,0),IF($NO$5="Bell_Curve",$NM$5*(152-$NQ$5+1)*($NR$5-152+1)/$NT$5,$NM$5/$NS$5)),0)</f>
        <v/>
      </c>
      <c r="EZ5" s="18">
        <f>IF(AND(153&gt;=$NQ$5,153&lt;=$NR$5),IF($NO$5="Single_Point",IF(153=$NQ$5,$NM$5,0),IF($NO$5="Bell_Curve",$NM$5*(153-$NQ$5+1)*($NR$5-153+1)/$NT$5,$NM$5/$NS$5)),0)</f>
        <v/>
      </c>
      <c r="FA5" s="18">
        <f>IF(AND(154&gt;=$NQ$5,154&lt;=$NR$5),IF($NO$5="Single_Point",IF(154=$NQ$5,$NM$5,0),IF($NO$5="Bell_Curve",$NM$5*(154-$NQ$5+1)*($NR$5-154+1)/$NT$5,$NM$5/$NS$5)),0)</f>
        <v/>
      </c>
      <c r="FB5" s="18">
        <f>IF(AND(155&gt;=$NQ$5,155&lt;=$NR$5),IF($NO$5="Single_Point",IF(155=$NQ$5,$NM$5,0),IF($NO$5="Bell_Curve",$NM$5*(155-$NQ$5+1)*($NR$5-155+1)/$NT$5,$NM$5/$NS$5)),0)</f>
        <v/>
      </c>
      <c r="FC5" s="18">
        <f>IF(AND(156&gt;=$NQ$5,156&lt;=$NR$5),IF($NO$5="Single_Point",IF(156=$NQ$5,$NM$5,0),IF($NO$5="Bell_Curve",$NM$5*(156-$NQ$5+1)*($NR$5-156+1)/$NT$5,$NM$5/$NS$5)),0)</f>
        <v/>
      </c>
      <c r="FD5" s="18">
        <f>IF(AND(157&gt;=$NQ$5,157&lt;=$NR$5),IF($NO$5="Single_Point",IF(157=$NQ$5,$NM$5,0),IF($NO$5="Bell_Curve",$NM$5*(157-$NQ$5+1)*($NR$5-157+1)/$NT$5,$NM$5/$NS$5)),0)</f>
        <v/>
      </c>
      <c r="FE5" s="18">
        <f>IF(AND(158&gt;=$NQ$5,158&lt;=$NR$5),IF($NO$5="Single_Point",IF(158=$NQ$5,$NM$5,0),IF($NO$5="Bell_Curve",$NM$5*(158-$NQ$5+1)*($NR$5-158+1)/$NT$5,$NM$5/$NS$5)),0)</f>
        <v/>
      </c>
      <c r="FF5" s="18">
        <f>IF(AND(159&gt;=$NQ$5,159&lt;=$NR$5),IF($NO$5="Single_Point",IF(159=$NQ$5,$NM$5,0),IF($NO$5="Bell_Curve",$NM$5*(159-$NQ$5+1)*($NR$5-159+1)/$NT$5,$NM$5/$NS$5)),0)</f>
        <v/>
      </c>
      <c r="FG5" s="18">
        <f>IF(AND(160&gt;=$NQ$5,160&lt;=$NR$5),IF($NO$5="Single_Point",IF(160=$NQ$5,$NM$5,0),IF($NO$5="Bell_Curve",$NM$5*(160-$NQ$5+1)*($NR$5-160+1)/$NT$5,$NM$5/$NS$5)),0)</f>
        <v/>
      </c>
      <c r="FH5" s="18">
        <f>IF(AND(161&gt;=$NQ$5,161&lt;=$NR$5),IF($NO$5="Single_Point",IF(161=$NQ$5,$NM$5,0),IF($NO$5="Bell_Curve",$NM$5*(161-$NQ$5+1)*($NR$5-161+1)/$NT$5,$NM$5/$NS$5)),0)</f>
        <v/>
      </c>
      <c r="FI5" s="18">
        <f>IF(AND(162&gt;=$NQ$5,162&lt;=$NR$5),IF($NO$5="Single_Point",IF(162=$NQ$5,$NM$5,0),IF($NO$5="Bell_Curve",$NM$5*(162-$NQ$5+1)*($NR$5-162+1)/$NT$5,$NM$5/$NS$5)),0)</f>
        <v/>
      </c>
      <c r="FJ5" s="18">
        <f>IF(AND(163&gt;=$NQ$5,163&lt;=$NR$5),IF($NO$5="Single_Point",IF(163=$NQ$5,$NM$5,0),IF($NO$5="Bell_Curve",$NM$5*(163-$NQ$5+1)*($NR$5-163+1)/$NT$5,$NM$5/$NS$5)),0)</f>
        <v/>
      </c>
      <c r="FK5" s="18">
        <f>IF(AND(164&gt;=$NQ$5,164&lt;=$NR$5),IF($NO$5="Single_Point",IF(164=$NQ$5,$NM$5,0),IF($NO$5="Bell_Curve",$NM$5*(164-$NQ$5+1)*($NR$5-164+1)/$NT$5,$NM$5/$NS$5)),0)</f>
        <v/>
      </c>
      <c r="FL5" s="18">
        <f>IF(AND(165&gt;=$NQ$5,165&lt;=$NR$5),IF($NO$5="Single_Point",IF(165=$NQ$5,$NM$5,0),IF($NO$5="Bell_Curve",$NM$5*(165-$NQ$5+1)*($NR$5-165+1)/$NT$5,$NM$5/$NS$5)),0)</f>
        <v/>
      </c>
      <c r="FM5" s="18">
        <f>IF(AND(166&gt;=$NQ$5,166&lt;=$NR$5),IF($NO$5="Single_Point",IF(166=$NQ$5,$NM$5,0),IF($NO$5="Bell_Curve",$NM$5*(166-$NQ$5+1)*($NR$5-166+1)/$NT$5,$NM$5/$NS$5)),0)</f>
        <v/>
      </c>
      <c r="FN5" s="18">
        <f>IF(AND(167&gt;=$NQ$5,167&lt;=$NR$5),IF($NO$5="Single_Point",IF(167=$NQ$5,$NM$5,0),IF($NO$5="Bell_Curve",$NM$5*(167-$NQ$5+1)*($NR$5-167+1)/$NT$5,$NM$5/$NS$5)),0)</f>
        <v/>
      </c>
      <c r="FO5" s="18">
        <f>IF(AND(168&gt;=$NQ$5,168&lt;=$NR$5),IF($NO$5="Single_Point",IF(168=$NQ$5,$NM$5,0),IF($NO$5="Bell_Curve",$NM$5*(168-$NQ$5+1)*($NR$5-168+1)/$NT$5,$NM$5/$NS$5)),0)</f>
        <v/>
      </c>
      <c r="FP5" s="18">
        <f>IF(AND(169&gt;=$NQ$5,169&lt;=$NR$5),IF($NO$5="Single_Point",IF(169=$NQ$5,$NM$5,0),IF($NO$5="Bell_Curve",$NM$5*(169-$NQ$5+1)*($NR$5-169+1)/$NT$5,$NM$5/$NS$5)),0)</f>
        <v/>
      </c>
      <c r="FQ5" s="18">
        <f>IF(AND(170&gt;=$NQ$5,170&lt;=$NR$5),IF($NO$5="Single_Point",IF(170=$NQ$5,$NM$5,0),IF($NO$5="Bell_Curve",$NM$5*(170-$NQ$5+1)*($NR$5-170+1)/$NT$5,$NM$5/$NS$5)),0)</f>
        <v/>
      </c>
      <c r="FR5" s="18">
        <f>IF(AND(171&gt;=$NQ$5,171&lt;=$NR$5),IF($NO$5="Single_Point",IF(171=$NQ$5,$NM$5,0),IF($NO$5="Bell_Curve",$NM$5*(171-$NQ$5+1)*($NR$5-171+1)/$NT$5,$NM$5/$NS$5)),0)</f>
        <v/>
      </c>
      <c r="FS5" s="18">
        <f>IF(AND(172&gt;=$NQ$5,172&lt;=$NR$5),IF($NO$5="Single_Point",IF(172=$NQ$5,$NM$5,0),IF($NO$5="Bell_Curve",$NM$5*(172-$NQ$5+1)*($NR$5-172+1)/$NT$5,$NM$5/$NS$5)),0)</f>
        <v/>
      </c>
      <c r="FT5" s="18">
        <f>IF(AND(173&gt;=$NQ$5,173&lt;=$NR$5),IF($NO$5="Single_Point",IF(173=$NQ$5,$NM$5,0),IF($NO$5="Bell_Curve",$NM$5*(173-$NQ$5+1)*($NR$5-173+1)/$NT$5,$NM$5/$NS$5)),0)</f>
        <v/>
      </c>
      <c r="FU5" s="18">
        <f>IF(AND(174&gt;=$NQ$5,174&lt;=$NR$5),IF($NO$5="Single_Point",IF(174=$NQ$5,$NM$5,0),IF($NO$5="Bell_Curve",$NM$5*(174-$NQ$5+1)*($NR$5-174+1)/$NT$5,$NM$5/$NS$5)),0)</f>
        <v/>
      </c>
      <c r="FV5" s="18">
        <f>IF(AND(175&gt;=$NQ$5,175&lt;=$NR$5),IF($NO$5="Single_Point",IF(175=$NQ$5,$NM$5,0),IF($NO$5="Bell_Curve",$NM$5*(175-$NQ$5+1)*($NR$5-175+1)/$NT$5,$NM$5/$NS$5)),0)</f>
        <v/>
      </c>
      <c r="FW5" s="18">
        <f>IF(AND(176&gt;=$NQ$5,176&lt;=$NR$5),IF($NO$5="Single_Point",IF(176=$NQ$5,$NM$5,0),IF($NO$5="Bell_Curve",$NM$5*(176-$NQ$5+1)*($NR$5-176+1)/$NT$5,$NM$5/$NS$5)),0)</f>
        <v/>
      </c>
      <c r="FX5" s="18">
        <f>IF(AND(177&gt;=$NQ$5,177&lt;=$NR$5),IF($NO$5="Single_Point",IF(177=$NQ$5,$NM$5,0),IF($NO$5="Bell_Curve",$NM$5*(177-$NQ$5+1)*($NR$5-177+1)/$NT$5,$NM$5/$NS$5)),0)</f>
        <v/>
      </c>
      <c r="FY5" s="18">
        <f>IF(AND(178&gt;=$NQ$5,178&lt;=$NR$5),IF($NO$5="Single_Point",IF(178=$NQ$5,$NM$5,0),IF($NO$5="Bell_Curve",$NM$5*(178-$NQ$5+1)*($NR$5-178+1)/$NT$5,$NM$5/$NS$5)),0)</f>
        <v/>
      </c>
      <c r="FZ5" s="18">
        <f>IF(AND(179&gt;=$NQ$5,179&lt;=$NR$5),IF($NO$5="Single_Point",IF(179=$NQ$5,$NM$5,0),IF($NO$5="Bell_Curve",$NM$5*(179-$NQ$5+1)*($NR$5-179+1)/$NT$5,$NM$5/$NS$5)),0)</f>
        <v/>
      </c>
      <c r="GA5" s="18">
        <f>IF(AND(180&gt;=$NQ$5,180&lt;=$NR$5),IF($NO$5="Single_Point",IF(180=$NQ$5,$NM$5,0),IF($NO$5="Bell_Curve",$NM$5*(180-$NQ$5+1)*($NR$5-180+1)/$NT$5,$NM$5/$NS$5)),0)</f>
        <v/>
      </c>
      <c r="GB5" s="18">
        <f>IF(AND(181&gt;=$NQ$5,181&lt;=$NR$5),IF($NO$5="Single_Point",IF(181=$NQ$5,$NM$5,0),IF($NO$5="Bell_Curve",$NM$5*(181-$NQ$5+1)*($NR$5-181+1)/$NT$5,$NM$5/$NS$5)),0)</f>
        <v/>
      </c>
      <c r="GC5" s="18">
        <f>IF(AND(182&gt;=$NQ$5,182&lt;=$NR$5),IF($NO$5="Single_Point",IF(182=$NQ$5,$NM$5,0),IF($NO$5="Bell_Curve",$NM$5*(182-$NQ$5+1)*($NR$5-182+1)/$NT$5,$NM$5/$NS$5)),0)</f>
        <v/>
      </c>
      <c r="GD5" s="18">
        <f>IF(AND(183&gt;=$NQ$5,183&lt;=$NR$5),IF($NO$5="Single_Point",IF(183=$NQ$5,$NM$5,0),IF($NO$5="Bell_Curve",$NM$5*(183-$NQ$5+1)*($NR$5-183+1)/$NT$5,$NM$5/$NS$5)),0)</f>
        <v/>
      </c>
      <c r="GE5" s="18">
        <f>IF(AND(184&gt;=$NQ$5,184&lt;=$NR$5),IF($NO$5="Single_Point",IF(184=$NQ$5,$NM$5,0),IF($NO$5="Bell_Curve",$NM$5*(184-$NQ$5+1)*($NR$5-184+1)/$NT$5,$NM$5/$NS$5)),0)</f>
        <v/>
      </c>
      <c r="GF5" s="18">
        <f>IF(AND(185&gt;=$NQ$5,185&lt;=$NR$5),IF($NO$5="Single_Point",IF(185=$NQ$5,$NM$5,0),IF($NO$5="Bell_Curve",$NM$5*(185-$NQ$5+1)*($NR$5-185+1)/$NT$5,$NM$5/$NS$5)),0)</f>
        <v/>
      </c>
      <c r="GG5" s="18">
        <f>IF(AND(186&gt;=$NQ$5,186&lt;=$NR$5),IF($NO$5="Single_Point",IF(186=$NQ$5,$NM$5,0),IF($NO$5="Bell_Curve",$NM$5*(186-$NQ$5+1)*($NR$5-186+1)/$NT$5,$NM$5/$NS$5)),0)</f>
        <v/>
      </c>
      <c r="GH5" s="18">
        <f>IF(AND(187&gt;=$NQ$5,187&lt;=$NR$5),IF($NO$5="Single_Point",IF(187=$NQ$5,$NM$5,0),IF($NO$5="Bell_Curve",$NM$5*(187-$NQ$5+1)*($NR$5-187+1)/$NT$5,$NM$5/$NS$5)),0)</f>
        <v/>
      </c>
      <c r="GI5" s="18">
        <f>IF(AND(188&gt;=$NQ$5,188&lt;=$NR$5),IF($NO$5="Single_Point",IF(188=$NQ$5,$NM$5,0),IF($NO$5="Bell_Curve",$NM$5*(188-$NQ$5+1)*($NR$5-188+1)/$NT$5,$NM$5/$NS$5)),0)</f>
        <v/>
      </c>
      <c r="GJ5" s="18">
        <f>IF(AND(189&gt;=$NQ$5,189&lt;=$NR$5),IF($NO$5="Single_Point",IF(189=$NQ$5,$NM$5,0),IF($NO$5="Bell_Curve",$NM$5*(189-$NQ$5+1)*($NR$5-189+1)/$NT$5,$NM$5/$NS$5)),0)</f>
        <v/>
      </c>
      <c r="GK5" s="18">
        <f>IF(AND(190&gt;=$NQ$5,190&lt;=$NR$5),IF($NO$5="Single_Point",IF(190=$NQ$5,$NM$5,0),IF($NO$5="Bell_Curve",$NM$5*(190-$NQ$5+1)*($NR$5-190+1)/$NT$5,$NM$5/$NS$5)),0)</f>
        <v/>
      </c>
      <c r="GL5" s="18">
        <f>IF(AND(191&gt;=$NQ$5,191&lt;=$NR$5),IF($NO$5="Single_Point",IF(191=$NQ$5,$NM$5,0),IF($NO$5="Bell_Curve",$NM$5*(191-$NQ$5+1)*($NR$5-191+1)/$NT$5,$NM$5/$NS$5)),0)</f>
        <v/>
      </c>
      <c r="GM5" s="18">
        <f>IF(AND(192&gt;=$NQ$5,192&lt;=$NR$5),IF($NO$5="Single_Point",IF(192=$NQ$5,$NM$5,0),IF($NO$5="Bell_Curve",$NM$5*(192-$NQ$5+1)*($NR$5-192+1)/$NT$5,$NM$5/$NS$5)),0)</f>
        <v/>
      </c>
      <c r="GN5" s="18">
        <f>IF(AND(193&gt;=$NQ$5,193&lt;=$NR$5),IF($NO$5="Single_Point",IF(193=$NQ$5,$NM$5,0),IF($NO$5="Bell_Curve",$NM$5*(193-$NQ$5+1)*($NR$5-193+1)/$NT$5,$NM$5/$NS$5)),0)</f>
        <v/>
      </c>
      <c r="GO5" s="18">
        <f>IF(AND(194&gt;=$NQ$5,194&lt;=$NR$5),IF($NO$5="Single_Point",IF(194=$NQ$5,$NM$5,0),IF($NO$5="Bell_Curve",$NM$5*(194-$NQ$5+1)*($NR$5-194+1)/$NT$5,$NM$5/$NS$5)),0)</f>
        <v/>
      </c>
      <c r="GP5" s="18">
        <f>IF(AND(195&gt;=$NQ$5,195&lt;=$NR$5),IF($NO$5="Single_Point",IF(195=$NQ$5,$NM$5,0),IF($NO$5="Bell_Curve",$NM$5*(195-$NQ$5+1)*($NR$5-195+1)/$NT$5,$NM$5/$NS$5)),0)</f>
        <v/>
      </c>
      <c r="GQ5" s="18">
        <f>IF(AND(196&gt;=$NQ$5,196&lt;=$NR$5),IF($NO$5="Single_Point",IF(196=$NQ$5,$NM$5,0),IF($NO$5="Bell_Curve",$NM$5*(196-$NQ$5+1)*($NR$5-196+1)/$NT$5,$NM$5/$NS$5)),0)</f>
        <v/>
      </c>
      <c r="GR5" s="18">
        <f>IF(AND(197&gt;=$NQ$5,197&lt;=$NR$5),IF($NO$5="Single_Point",IF(197=$NQ$5,$NM$5,0),IF($NO$5="Bell_Curve",$NM$5*(197-$NQ$5+1)*($NR$5-197+1)/$NT$5,$NM$5/$NS$5)),0)</f>
        <v/>
      </c>
      <c r="GS5" s="18">
        <f>IF(AND(198&gt;=$NQ$5,198&lt;=$NR$5),IF($NO$5="Single_Point",IF(198=$NQ$5,$NM$5,0),IF($NO$5="Bell_Curve",$NM$5*(198-$NQ$5+1)*($NR$5-198+1)/$NT$5,$NM$5/$NS$5)),0)</f>
        <v/>
      </c>
      <c r="GT5" s="18">
        <f>IF(AND(199&gt;=$NQ$5,199&lt;=$NR$5),IF($NO$5="Single_Point",IF(199=$NQ$5,$NM$5,0),IF($NO$5="Bell_Curve",$NM$5*(199-$NQ$5+1)*($NR$5-199+1)/$NT$5,$NM$5/$NS$5)),0)</f>
        <v/>
      </c>
      <c r="GU5" s="18">
        <f>IF(AND(200&gt;=$NQ$5,200&lt;=$NR$5),IF($NO$5="Single_Point",IF(200=$NQ$5,$NM$5,0),IF($NO$5="Bell_Curve",$NM$5*(200-$NQ$5+1)*($NR$5-200+1)/$NT$5,$NM$5/$NS$5)),0)</f>
        <v/>
      </c>
      <c r="GV5" s="18">
        <f>IF(AND(201&gt;=$NQ$5,201&lt;=$NR$5),IF($NO$5="Single_Point",IF(201=$NQ$5,$NM$5,0),IF($NO$5="Bell_Curve",$NM$5*(201-$NQ$5+1)*($NR$5-201+1)/$NT$5,$NM$5/$NS$5)),0)</f>
        <v/>
      </c>
      <c r="GW5" s="18">
        <f>IF(AND(202&gt;=$NQ$5,202&lt;=$NR$5),IF($NO$5="Single_Point",IF(202=$NQ$5,$NM$5,0),IF($NO$5="Bell_Curve",$NM$5*(202-$NQ$5+1)*($NR$5-202+1)/$NT$5,$NM$5/$NS$5)),0)</f>
        <v/>
      </c>
      <c r="GX5" s="18">
        <f>IF(AND(203&gt;=$NQ$5,203&lt;=$NR$5),IF($NO$5="Single_Point",IF(203=$NQ$5,$NM$5,0),IF($NO$5="Bell_Curve",$NM$5*(203-$NQ$5+1)*($NR$5-203+1)/$NT$5,$NM$5/$NS$5)),0)</f>
        <v/>
      </c>
      <c r="GY5" s="18">
        <f>IF(AND(204&gt;=$NQ$5,204&lt;=$NR$5),IF($NO$5="Single_Point",IF(204=$NQ$5,$NM$5,0),IF($NO$5="Bell_Curve",$NM$5*(204-$NQ$5+1)*($NR$5-204+1)/$NT$5,$NM$5/$NS$5)),0)</f>
        <v/>
      </c>
      <c r="GZ5" s="18">
        <f>IF(AND(205&gt;=$NQ$5,205&lt;=$NR$5),IF($NO$5="Single_Point",IF(205=$NQ$5,$NM$5,0),IF($NO$5="Bell_Curve",$NM$5*(205-$NQ$5+1)*($NR$5-205+1)/$NT$5,$NM$5/$NS$5)),0)</f>
        <v/>
      </c>
      <c r="HA5" s="18">
        <f>IF(AND(206&gt;=$NQ$5,206&lt;=$NR$5),IF($NO$5="Single_Point",IF(206=$NQ$5,$NM$5,0),IF($NO$5="Bell_Curve",$NM$5*(206-$NQ$5+1)*($NR$5-206+1)/$NT$5,$NM$5/$NS$5)),0)</f>
        <v/>
      </c>
      <c r="HB5" s="18">
        <f>IF(AND(207&gt;=$NQ$5,207&lt;=$NR$5),IF($NO$5="Single_Point",IF(207=$NQ$5,$NM$5,0),IF($NO$5="Bell_Curve",$NM$5*(207-$NQ$5+1)*($NR$5-207+1)/$NT$5,$NM$5/$NS$5)),0)</f>
        <v/>
      </c>
      <c r="HC5" s="18">
        <f>IF(AND(208&gt;=$NQ$5,208&lt;=$NR$5),IF($NO$5="Single_Point",IF(208=$NQ$5,$NM$5,0),IF($NO$5="Bell_Curve",$NM$5*(208-$NQ$5+1)*($NR$5-208+1)/$NT$5,$NM$5/$NS$5)),0)</f>
        <v/>
      </c>
      <c r="HD5" s="18">
        <f>IF(AND(209&gt;=$NQ$5,209&lt;=$NR$5),IF($NO$5="Single_Point",IF(209=$NQ$5,$NM$5,0),IF($NO$5="Bell_Curve",$NM$5*(209-$NQ$5+1)*($NR$5-209+1)/$NT$5,$NM$5/$NS$5)),0)</f>
        <v/>
      </c>
      <c r="HE5" s="18">
        <f>IF(AND(210&gt;=$NQ$5,210&lt;=$NR$5),IF($NO$5="Single_Point",IF(210=$NQ$5,$NM$5,0),IF($NO$5="Bell_Curve",$NM$5*(210-$NQ$5+1)*($NR$5-210+1)/$NT$5,$NM$5/$NS$5)),0)</f>
        <v/>
      </c>
      <c r="HF5" s="18">
        <f>IF(AND(211&gt;=$NQ$5,211&lt;=$NR$5),IF($NO$5="Single_Point",IF(211=$NQ$5,$NM$5,0),IF($NO$5="Bell_Curve",$NM$5*(211-$NQ$5+1)*($NR$5-211+1)/$NT$5,$NM$5/$NS$5)),0)</f>
        <v/>
      </c>
      <c r="HG5" s="18">
        <f>IF(AND(212&gt;=$NQ$5,212&lt;=$NR$5),IF($NO$5="Single_Point",IF(212=$NQ$5,$NM$5,0),IF($NO$5="Bell_Curve",$NM$5*(212-$NQ$5+1)*($NR$5-212+1)/$NT$5,$NM$5/$NS$5)),0)</f>
        <v/>
      </c>
      <c r="HH5" s="18">
        <f>IF(AND(213&gt;=$NQ$5,213&lt;=$NR$5),IF($NO$5="Single_Point",IF(213=$NQ$5,$NM$5,0),IF($NO$5="Bell_Curve",$NM$5*(213-$NQ$5+1)*($NR$5-213+1)/$NT$5,$NM$5/$NS$5)),0)</f>
        <v/>
      </c>
      <c r="HI5" s="18">
        <f>IF(AND(214&gt;=$NQ$5,214&lt;=$NR$5),IF($NO$5="Single_Point",IF(214=$NQ$5,$NM$5,0),IF($NO$5="Bell_Curve",$NM$5*(214-$NQ$5+1)*($NR$5-214+1)/$NT$5,$NM$5/$NS$5)),0)</f>
        <v/>
      </c>
      <c r="HJ5" s="18">
        <f>IF(AND(215&gt;=$NQ$5,215&lt;=$NR$5),IF($NO$5="Single_Point",IF(215=$NQ$5,$NM$5,0),IF($NO$5="Bell_Curve",$NM$5*(215-$NQ$5+1)*($NR$5-215+1)/$NT$5,$NM$5/$NS$5)),0)</f>
        <v/>
      </c>
      <c r="HK5" s="18">
        <f>IF(AND(216&gt;=$NQ$5,216&lt;=$NR$5),IF($NO$5="Single_Point",IF(216=$NQ$5,$NM$5,0),IF($NO$5="Bell_Curve",$NM$5*(216-$NQ$5+1)*($NR$5-216+1)/$NT$5,$NM$5/$NS$5)),0)</f>
        <v/>
      </c>
      <c r="HL5" s="18">
        <f>IF(AND(217&gt;=$NQ$5,217&lt;=$NR$5),IF($NO$5="Single_Point",IF(217=$NQ$5,$NM$5,0),IF($NO$5="Bell_Curve",$NM$5*(217-$NQ$5+1)*($NR$5-217+1)/$NT$5,$NM$5/$NS$5)),0)</f>
        <v/>
      </c>
      <c r="HM5" s="18">
        <f>IF(AND(218&gt;=$NQ$5,218&lt;=$NR$5),IF($NO$5="Single_Point",IF(218=$NQ$5,$NM$5,0),IF($NO$5="Bell_Curve",$NM$5*(218-$NQ$5+1)*($NR$5-218+1)/$NT$5,$NM$5/$NS$5)),0)</f>
        <v/>
      </c>
      <c r="HN5" s="18">
        <f>IF(AND(219&gt;=$NQ$5,219&lt;=$NR$5),IF($NO$5="Single_Point",IF(219=$NQ$5,$NM$5,0),IF($NO$5="Bell_Curve",$NM$5*(219-$NQ$5+1)*($NR$5-219+1)/$NT$5,$NM$5/$NS$5)),0)</f>
        <v/>
      </c>
      <c r="HO5" s="18">
        <f>IF(AND(220&gt;=$NQ$5,220&lt;=$NR$5),IF($NO$5="Single_Point",IF(220=$NQ$5,$NM$5,0),IF($NO$5="Bell_Curve",$NM$5*(220-$NQ$5+1)*($NR$5-220+1)/$NT$5,$NM$5/$NS$5)),0)</f>
        <v/>
      </c>
      <c r="HP5" s="18">
        <f>IF(AND(221&gt;=$NQ$5,221&lt;=$NR$5),IF($NO$5="Single_Point",IF(221=$NQ$5,$NM$5,0),IF($NO$5="Bell_Curve",$NM$5*(221-$NQ$5+1)*($NR$5-221+1)/$NT$5,$NM$5/$NS$5)),0)</f>
        <v/>
      </c>
      <c r="HQ5" s="18">
        <f>IF(AND(222&gt;=$NQ$5,222&lt;=$NR$5),IF($NO$5="Single_Point",IF(222=$NQ$5,$NM$5,0),IF($NO$5="Bell_Curve",$NM$5*(222-$NQ$5+1)*($NR$5-222+1)/$NT$5,$NM$5/$NS$5)),0)</f>
        <v/>
      </c>
      <c r="HR5" s="18">
        <f>IF(AND(223&gt;=$NQ$5,223&lt;=$NR$5),IF($NO$5="Single_Point",IF(223=$NQ$5,$NM$5,0),IF($NO$5="Bell_Curve",$NM$5*(223-$NQ$5+1)*($NR$5-223+1)/$NT$5,$NM$5/$NS$5)),0)</f>
        <v/>
      </c>
      <c r="HS5" s="18">
        <f>IF(AND(224&gt;=$NQ$5,224&lt;=$NR$5),IF($NO$5="Single_Point",IF(224=$NQ$5,$NM$5,0),IF($NO$5="Bell_Curve",$NM$5*(224-$NQ$5+1)*($NR$5-224+1)/$NT$5,$NM$5/$NS$5)),0)</f>
        <v/>
      </c>
      <c r="HT5" s="18">
        <f>IF(AND(225&gt;=$NQ$5,225&lt;=$NR$5),IF($NO$5="Single_Point",IF(225=$NQ$5,$NM$5,0),IF($NO$5="Bell_Curve",$NM$5*(225-$NQ$5+1)*($NR$5-225+1)/$NT$5,$NM$5/$NS$5)),0)</f>
        <v/>
      </c>
      <c r="HU5" s="18">
        <f>IF(AND(226&gt;=$NQ$5,226&lt;=$NR$5),IF($NO$5="Single_Point",IF(226=$NQ$5,$NM$5,0),IF($NO$5="Bell_Curve",$NM$5*(226-$NQ$5+1)*($NR$5-226+1)/$NT$5,$NM$5/$NS$5)),0)</f>
        <v/>
      </c>
      <c r="HV5" s="18">
        <f>IF(AND(227&gt;=$NQ$5,227&lt;=$NR$5),IF($NO$5="Single_Point",IF(227=$NQ$5,$NM$5,0),IF($NO$5="Bell_Curve",$NM$5*(227-$NQ$5+1)*($NR$5-227+1)/$NT$5,$NM$5/$NS$5)),0)</f>
        <v/>
      </c>
      <c r="HW5" s="18">
        <f>IF(AND(228&gt;=$NQ$5,228&lt;=$NR$5),IF($NO$5="Single_Point",IF(228=$NQ$5,$NM$5,0),IF($NO$5="Bell_Curve",$NM$5*(228-$NQ$5+1)*($NR$5-228+1)/$NT$5,$NM$5/$NS$5)),0)</f>
        <v/>
      </c>
      <c r="HX5" s="18">
        <f>IF(AND(229&gt;=$NQ$5,229&lt;=$NR$5),IF($NO$5="Single_Point",IF(229=$NQ$5,$NM$5,0),IF($NO$5="Bell_Curve",$NM$5*(229-$NQ$5+1)*($NR$5-229+1)/$NT$5,$NM$5/$NS$5)),0)</f>
        <v/>
      </c>
      <c r="HY5" s="18">
        <f>IF(AND(230&gt;=$NQ$5,230&lt;=$NR$5),IF($NO$5="Single_Point",IF(230=$NQ$5,$NM$5,0),IF($NO$5="Bell_Curve",$NM$5*(230-$NQ$5+1)*($NR$5-230+1)/$NT$5,$NM$5/$NS$5)),0)</f>
        <v/>
      </c>
      <c r="HZ5" s="18">
        <f>IF(AND(231&gt;=$NQ$5,231&lt;=$NR$5),IF($NO$5="Single_Point",IF(231=$NQ$5,$NM$5,0),IF($NO$5="Bell_Curve",$NM$5*(231-$NQ$5+1)*($NR$5-231+1)/$NT$5,$NM$5/$NS$5)),0)</f>
        <v/>
      </c>
      <c r="IA5" s="18">
        <f>IF(AND(232&gt;=$NQ$5,232&lt;=$NR$5),IF($NO$5="Single_Point",IF(232=$NQ$5,$NM$5,0),IF($NO$5="Bell_Curve",$NM$5*(232-$NQ$5+1)*($NR$5-232+1)/$NT$5,$NM$5/$NS$5)),0)</f>
        <v/>
      </c>
      <c r="IB5" s="18">
        <f>IF(AND(233&gt;=$NQ$5,233&lt;=$NR$5),IF($NO$5="Single_Point",IF(233=$NQ$5,$NM$5,0),IF($NO$5="Bell_Curve",$NM$5*(233-$NQ$5+1)*($NR$5-233+1)/$NT$5,$NM$5/$NS$5)),0)</f>
        <v/>
      </c>
      <c r="IC5" s="18">
        <f>IF(AND(234&gt;=$NQ$5,234&lt;=$NR$5),IF($NO$5="Single_Point",IF(234=$NQ$5,$NM$5,0),IF($NO$5="Bell_Curve",$NM$5*(234-$NQ$5+1)*($NR$5-234+1)/$NT$5,$NM$5/$NS$5)),0)</f>
        <v/>
      </c>
      <c r="ID5" s="18">
        <f>IF(AND(235&gt;=$NQ$5,235&lt;=$NR$5),IF($NO$5="Single_Point",IF(235=$NQ$5,$NM$5,0),IF($NO$5="Bell_Curve",$NM$5*(235-$NQ$5+1)*($NR$5-235+1)/$NT$5,$NM$5/$NS$5)),0)</f>
        <v/>
      </c>
      <c r="IE5" s="18">
        <f>IF(AND(236&gt;=$NQ$5,236&lt;=$NR$5),IF($NO$5="Single_Point",IF(236=$NQ$5,$NM$5,0),IF($NO$5="Bell_Curve",$NM$5*(236-$NQ$5+1)*($NR$5-236+1)/$NT$5,$NM$5/$NS$5)),0)</f>
        <v/>
      </c>
      <c r="IF5" s="18">
        <f>IF(AND(237&gt;=$NQ$5,237&lt;=$NR$5),IF($NO$5="Single_Point",IF(237=$NQ$5,$NM$5,0),IF($NO$5="Bell_Curve",$NM$5*(237-$NQ$5+1)*($NR$5-237+1)/$NT$5,$NM$5/$NS$5)),0)</f>
        <v/>
      </c>
      <c r="IG5" s="18">
        <f>IF(AND(238&gt;=$NQ$5,238&lt;=$NR$5),IF($NO$5="Single_Point",IF(238=$NQ$5,$NM$5,0),IF($NO$5="Bell_Curve",$NM$5*(238-$NQ$5+1)*($NR$5-238+1)/$NT$5,$NM$5/$NS$5)),0)</f>
        <v/>
      </c>
      <c r="IH5" s="18">
        <f>IF(AND(239&gt;=$NQ$5,239&lt;=$NR$5),IF($NO$5="Single_Point",IF(239=$NQ$5,$NM$5,0),IF($NO$5="Bell_Curve",$NM$5*(239-$NQ$5+1)*($NR$5-239+1)/$NT$5,$NM$5/$NS$5)),0)</f>
        <v/>
      </c>
      <c r="II5" s="18">
        <f>IF(AND(240&gt;=$NQ$5,240&lt;=$NR$5),IF($NO$5="Single_Point",IF(240=$NQ$5,$NM$5,0),IF($NO$5="Bell_Curve",$NM$5*(240-$NQ$5+1)*($NR$5-240+1)/$NT$5,$NM$5/$NS$5)),0)</f>
        <v/>
      </c>
      <c r="IJ5" s="18">
        <f>IF(AND(241&gt;=$NQ$5,241&lt;=$NR$5),IF($NO$5="Single_Point",IF(241=$NQ$5,$NM$5,0),IF($NO$5="Bell_Curve",$NM$5*(241-$NQ$5+1)*($NR$5-241+1)/$NT$5,$NM$5/$NS$5)),0)</f>
        <v/>
      </c>
      <c r="IK5" s="18">
        <f>IF(AND(242&gt;=$NQ$5,242&lt;=$NR$5),IF($NO$5="Single_Point",IF(242=$NQ$5,$NM$5,0),IF($NO$5="Bell_Curve",$NM$5*(242-$NQ$5+1)*($NR$5-242+1)/$NT$5,$NM$5/$NS$5)),0)</f>
        <v/>
      </c>
      <c r="IL5" s="18">
        <f>IF(AND(243&gt;=$NQ$5,243&lt;=$NR$5),IF($NO$5="Single_Point",IF(243=$NQ$5,$NM$5,0),IF($NO$5="Bell_Curve",$NM$5*(243-$NQ$5+1)*($NR$5-243+1)/$NT$5,$NM$5/$NS$5)),0)</f>
        <v/>
      </c>
      <c r="IM5" s="18">
        <f>IF(AND(244&gt;=$NQ$5,244&lt;=$NR$5),IF($NO$5="Single_Point",IF(244=$NQ$5,$NM$5,0),IF($NO$5="Bell_Curve",$NM$5*(244-$NQ$5+1)*($NR$5-244+1)/$NT$5,$NM$5/$NS$5)),0)</f>
        <v/>
      </c>
      <c r="IN5" s="18">
        <f>IF(AND(245&gt;=$NQ$5,245&lt;=$NR$5),IF($NO$5="Single_Point",IF(245=$NQ$5,$NM$5,0),IF($NO$5="Bell_Curve",$NM$5*(245-$NQ$5+1)*($NR$5-245+1)/$NT$5,$NM$5/$NS$5)),0)</f>
        <v/>
      </c>
      <c r="IO5" s="18">
        <f>IF(AND(246&gt;=$NQ$5,246&lt;=$NR$5),IF($NO$5="Single_Point",IF(246=$NQ$5,$NM$5,0),IF($NO$5="Bell_Curve",$NM$5*(246-$NQ$5+1)*($NR$5-246+1)/$NT$5,$NM$5/$NS$5)),0)</f>
        <v/>
      </c>
      <c r="IP5" s="18">
        <f>IF(AND(247&gt;=$NQ$5,247&lt;=$NR$5),IF($NO$5="Single_Point",IF(247=$NQ$5,$NM$5,0),IF($NO$5="Bell_Curve",$NM$5*(247-$NQ$5+1)*($NR$5-247+1)/$NT$5,$NM$5/$NS$5)),0)</f>
        <v/>
      </c>
      <c r="IQ5" s="18">
        <f>IF(AND(248&gt;=$NQ$5,248&lt;=$NR$5),IF($NO$5="Single_Point",IF(248=$NQ$5,$NM$5,0),IF($NO$5="Bell_Curve",$NM$5*(248-$NQ$5+1)*($NR$5-248+1)/$NT$5,$NM$5/$NS$5)),0)</f>
        <v/>
      </c>
      <c r="IR5" s="18">
        <f>IF(AND(249&gt;=$NQ$5,249&lt;=$NR$5),IF($NO$5="Single_Point",IF(249=$NQ$5,$NM$5,0),IF($NO$5="Bell_Curve",$NM$5*(249-$NQ$5+1)*($NR$5-249+1)/$NT$5,$NM$5/$NS$5)),0)</f>
        <v/>
      </c>
      <c r="IS5" s="18">
        <f>IF(AND(250&gt;=$NQ$5,250&lt;=$NR$5),IF($NO$5="Single_Point",IF(250=$NQ$5,$NM$5,0),IF($NO$5="Bell_Curve",$NM$5*(250-$NQ$5+1)*($NR$5-250+1)/$NT$5,$NM$5/$NS$5)),0)</f>
        <v/>
      </c>
      <c r="IT5" s="18">
        <f>IF(AND(251&gt;=$NQ$5,251&lt;=$NR$5),IF($NO$5="Single_Point",IF(251=$NQ$5,$NM$5,0),IF($NO$5="Bell_Curve",$NM$5*(251-$NQ$5+1)*($NR$5-251+1)/$NT$5,$NM$5/$NS$5)),0)</f>
        <v/>
      </c>
      <c r="IU5" s="18">
        <f>IF(AND(252&gt;=$NQ$5,252&lt;=$NR$5),IF($NO$5="Single_Point",IF(252=$NQ$5,$NM$5,0),IF($NO$5="Bell_Curve",$NM$5*(252-$NQ$5+1)*($NR$5-252+1)/$NT$5,$NM$5/$NS$5)),0)</f>
        <v/>
      </c>
      <c r="IV5" s="18">
        <f>IF(AND(253&gt;=$NQ$5,253&lt;=$NR$5),IF($NO$5="Single_Point",IF(253=$NQ$5,$NM$5,0),IF($NO$5="Bell_Curve",$NM$5*(253-$NQ$5+1)*($NR$5-253+1)/$NT$5,$NM$5/$NS$5)),0)</f>
        <v/>
      </c>
      <c r="IW5" s="18">
        <f>IF(AND(254&gt;=$NQ$5,254&lt;=$NR$5),IF($NO$5="Single_Point",IF(254=$NQ$5,$NM$5,0),IF($NO$5="Bell_Curve",$NM$5*(254-$NQ$5+1)*($NR$5-254+1)/$NT$5,$NM$5/$NS$5)),0)</f>
        <v/>
      </c>
      <c r="IX5" s="18">
        <f>IF(AND(255&gt;=$NQ$5,255&lt;=$NR$5),IF($NO$5="Single_Point",IF(255=$NQ$5,$NM$5,0),IF($NO$5="Bell_Curve",$NM$5*(255-$NQ$5+1)*($NR$5-255+1)/$NT$5,$NM$5/$NS$5)),0)</f>
        <v/>
      </c>
      <c r="IY5" s="18">
        <f>IF(AND(256&gt;=$NQ$5,256&lt;=$NR$5),IF($NO$5="Single_Point",IF(256=$NQ$5,$NM$5,0),IF($NO$5="Bell_Curve",$NM$5*(256-$NQ$5+1)*($NR$5-256+1)/$NT$5,$NM$5/$NS$5)),0)</f>
        <v/>
      </c>
      <c r="IZ5" s="18">
        <f>IF(AND(257&gt;=$NQ$5,257&lt;=$NR$5),IF($NO$5="Single_Point",IF(257=$NQ$5,$NM$5,0),IF($NO$5="Bell_Curve",$NM$5*(257-$NQ$5+1)*($NR$5-257+1)/$NT$5,$NM$5/$NS$5)),0)</f>
        <v/>
      </c>
      <c r="JA5" s="18">
        <f>IF(AND(258&gt;=$NQ$5,258&lt;=$NR$5),IF($NO$5="Single_Point",IF(258=$NQ$5,$NM$5,0),IF($NO$5="Bell_Curve",$NM$5*(258-$NQ$5+1)*($NR$5-258+1)/$NT$5,$NM$5/$NS$5)),0)</f>
        <v/>
      </c>
      <c r="JB5" s="18">
        <f>IF(AND(259&gt;=$NQ$5,259&lt;=$NR$5),IF($NO$5="Single_Point",IF(259=$NQ$5,$NM$5,0),IF($NO$5="Bell_Curve",$NM$5*(259-$NQ$5+1)*($NR$5-259+1)/$NT$5,$NM$5/$NS$5)),0)</f>
        <v/>
      </c>
      <c r="JC5" s="18">
        <f>IF(AND(260&gt;=$NQ$5,260&lt;=$NR$5),IF($NO$5="Single_Point",IF(260=$NQ$5,$NM$5,0),IF($NO$5="Bell_Curve",$NM$5*(260-$NQ$5+1)*($NR$5-260+1)/$NT$5,$NM$5/$NS$5)),0)</f>
        <v/>
      </c>
      <c r="JD5" s="18">
        <f>IF(AND(261&gt;=$NQ$5,261&lt;=$NR$5),IF($NO$5="Single_Point",IF(261=$NQ$5,$NM$5,0),IF($NO$5="Bell_Curve",$NM$5*(261-$NQ$5+1)*($NR$5-261+1)/$NT$5,$NM$5/$NS$5)),0)</f>
        <v/>
      </c>
      <c r="JE5" s="18">
        <f>IF(AND(262&gt;=$NQ$5,262&lt;=$NR$5),IF($NO$5="Single_Point",IF(262=$NQ$5,$NM$5,0),IF($NO$5="Bell_Curve",$NM$5*(262-$NQ$5+1)*($NR$5-262+1)/$NT$5,$NM$5/$NS$5)),0)</f>
        <v/>
      </c>
      <c r="JF5" s="18">
        <f>IF(AND(263&gt;=$NQ$5,263&lt;=$NR$5),IF($NO$5="Single_Point",IF(263=$NQ$5,$NM$5,0),IF($NO$5="Bell_Curve",$NM$5*(263-$NQ$5+1)*($NR$5-263+1)/$NT$5,$NM$5/$NS$5)),0)</f>
        <v/>
      </c>
      <c r="JG5" s="18">
        <f>IF(AND(264&gt;=$NQ$5,264&lt;=$NR$5),IF($NO$5="Single_Point",IF(264=$NQ$5,$NM$5,0),IF($NO$5="Bell_Curve",$NM$5*(264-$NQ$5+1)*($NR$5-264+1)/$NT$5,$NM$5/$NS$5)),0)</f>
        <v/>
      </c>
      <c r="JH5" s="18">
        <f>IF(AND(265&gt;=$NQ$5,265&lt;=$NR$5),IF($NO$5="Single_Point",IF(265=$NQ$5,$NM$5,0),IF($NO$5="Bell_Curve",$NM$5*(265-$NQ$5+1)*($NR$5-265+1)/$NT$5,$NM$5/$NS$5)),0)</f>
        <v/>
      </c>
      <c r="JI5" s="18">
        <f>IF(AND(266&gt;=$NQ$5,266&lt;=$NR$5),IF($NO$5="Single_Point",IF(266=$NQ$5,$NM$5,0),IF($NO$5="Bell_Curve",$NM$5*(266-$NQ$5+1)*($NR$5-266+1)/$NT$5,$NM$5/$NS$5)),0)</f>
        <v/>
      </c>
      <c r="JJ5" s="18">
        <f>IF(AND(267&gt;=$NQ$5,267&lt;=$NR$5),IF($NO$5="Single_Point",IF(267=$NQ$5,$NM$5,0),IF($NO$5="Bell_Curve",$NM$5*(267-$NQ$5+1)*($NR$5-267+1)/$NT$5,$NM$5/$NS$5)),0)</f>
        <v/>
      </c>
      <c r="JK5" s="18">
        <f>IF(AND(268&gt;=$NQ$5,268&lt;=$NR$5),IF($NO$5="Single_Point",IF(268=$NQ$5,$NM$5,0),IF($NO$5="Bell_Curve",$NM$5*(268-$NQ$5+1)*($NR$5-268+1)/$NT$5,$NM$5/$NS$5)),0)</f>
        <v/>
      </c>
      <c r="JL5" s="18">
        <f>IF(AND(269&gt;=$NQ$5,269&lt;=$NR$5),IF($NO$5="Single_Point",IF(269=$NQ$5,$NM$5,0),IF($NO$5="Bell_Curve",$NM$5*(269-$NQ$5+1)*($NR$5-269+1)/$NT$5,$NM$5/$NS$5)),0)</f>
        <v/>
      </c>
      <c r="JM5" s="18">
        <f>IF(AND(270&gt;=$NQ$5,270&lt;=$NR$5),IF($NO$5="Single_Point",IF(270=$NQ$5,$NM$5,0),IF($NO$5="Bell_Curve",$NM$5*(270-$NQ$5+1)*($NR$5-270+1)/$NT$5,$NM$5/$NS$5)),0)</f>
        <v/>
      </c>
      <c r="JN5" s="18">
        <f>IF(AND(271&gt;=$NQ$5,271&lt;=$NR$5),IF($NO$5="Single_Point",IF(271=$NQ$5,$NM$5,0),IF($NO$5="Bell_Curve",$NM$5*(271-$NQ$5+1)*($NR$5-271+1)/$NT$5,$NM$5/$NS$5)),0)</f>
        <v/>
      </c>
      <c r="JO5" s="18">
        <f>IF(AND(272&gt;=$NQ$5,272&lt;=$NR$5),IF($NO$5="Single_Point",IF(272=$NQ$5,$NM$5,0),IF($NO$5="Bell_Curve",$NM$5*(272-$NQ$5+1)*($NR$5-272+1)/$NT$5,$NM$5/$NS$5)),0)</f>
        <v/>
      </c>
      <c r="JP5" s="18">
        <f>IF(AND(273&gt;=$NQ$5,273&lt;=$NR$5),IF($NO$5="Single_Point",IF(273=$NQ$5,$NM$5,0),IF($NO$5="Bell_Curve",$NM$5*(273-$NQ$5+1)*($NR$5-273+1)/$NT$5,$NM$5/$NS$5)),0)</f>
        <v/>
      </c>
      <c r="JQ5" s="18">
        <f>IF(AND(274&gt;=$NQ$5,274&lt;=$NR$5),IF($NO$5="Single_Point",IF(274=$NQ$5,$NM$5,0),IF($NO$5="Bell_Curve",$NM$5*(274-$NQ$5+1)*($NR$5-274+1)/$NT$5,$NM$5/$NS$5)),0)</f>
        <v/>
      </c>
      <c r="JR5" s="18">
        <f>IF(AND(275&gt;=$NQ$5,275&lt;=$NR$5),IF($NO$5="Single_Point",IF(275=$NQ$5,$NM$5,0),IF($NO$5="Bell_Curve",$NM$5*(275-$NQ$5+1)*($NR$5-275+1)/$NT$5,$NM$5/$NS$5)),0)</f>
        <v/>
      </c>
      <c r="JS5" s="18">
        <f>IF(AND(276&gt;=$NQ$5,276&lt;=$NR$5),IF($NO$5="Single_Point",IF(276=$NQ$5,$NM$5,0),IF($NO$5="Bell_Curve",$NM$5*(276-$NQ$5+1)*($NR$5-276+1)/$NT$5,$NM$5/$NS$5)),0)</f>
        <v/>
      </c>
      <c r="JT5" s="18">
        <f>IF(AND(277&gt;=$NQ$5,277&lt;=$NR$5),IF($NO$5="Single_Point",IF(277=$NQ$5,$NM$5,0),IF($NO$5="Bell_Curve",$NM$5*(277-$NQ$5+1)*($NR$5-277+1)/$NT$5,$NM$5/$NS$5)),0)</f>
        <v/>
      </c>
      <c r="JU5" s="18">
        <f>IF(AND(278&gt;=$NQ$5,278&lt;=$NR$5),IF($NO$5="Single_Point",IF(278=$NQ$5,$NM$5,0),IF($NO$5="Bell_Curve",$NM$5*(278-$NQ$5+1)*($NR$5-278+1)/$NT$5,$NM$5/$NS$5)),0)</f>
        <v/>
      </c>
      <c r="JV5" s="18">
        <f>IF(AND(279&gt;=$NQ$5,279&lt;=$NR$5),IF($NO$5="Single_Point",IF(279=$NQ$5,$NM$5,0),IF($NO$5="Bell_Curve",$NM$5*(279-$NQ$5+1)*($NR$5-279+1)/$NT$5,$NM$5/$NS$5)),0)</f>
        <v/>
      </c>
      <c r="JW5" s="18">
        <f>IF(AND(280&gt;=$NQ$5,280&lt;=$NR$5),IF($NO$5="Single_Point",IF(280=$NQ$5,$NM$5,0),IF($NO$5="Bell_Curve",$NM$5*(280-$NQ$5+1)*($NR$5-280+1)/$NT$5,$NM$5/$NS$5)),0)</f>
        <v/>
      </c>
      <c r="JX5" s="18">
        <f>IF(AND(281&gt;=$NQ$5,281&lt;=$NR$5),IF($NO$5="Single_Point",IF(281=$NQ$5,$NM$5,0),IF($NO$5="Bell_Curve",$NM$5*(281-$NQ$5+1)*($NR$5-281+1)/$NT$5,$NM$5/$NS$5)),0)</f>
        <v/>
      </c>
      <c r="JY5" s="18">
        <f>IF(AND(282&gt;=$NQ$5,282&lt;=$NR$5),IF($NO$5="Single_Point",IF(282=$NQ$5,$NM$5,0),IF($NO$5="Bell_Curve",$NM$5*(282-$NQ$5+1)*($NR$5-282+1)/$NT$5,$NM$5/$NS$5)),0)</f>
        <v/>
      </c>
      <c r="JZ5" s="18">
        <f>IF(AND(283&gt;=$NQ$5,283&lt;=$NR$5),IF($NO$5="Single_Point",IF(283=$NQ$5,$NM$5,0),IF($NO$5="Bell_Curve",$NM$5*(283-$NQ$5+1)*($NR$5-283+1)/$NT$5,$NM$5/$NS$5)),0)</f>
        <v/>
      </c>
      <c r="KA5" s="18">
        <f>IF(AND(284&gt;=$NQ$5,284&lt;=$NR$5),IF($NO$5="Single_Point",IF(284=$NQ$5,$NM$5,0),IF($NO$5="Bell_Curve",$NM$5*(284-$NQ$5+1)*($NR$5-284+1)/$NT$5,$NM$5/$NS$5)),0)</f>
        <v/>
      </c>
      <c r="KB5" s="18">
        <f>IF(AND(285&gt;=$NQ$5,285&lt;=$NR$5),IF($NO$5="Single_Point",IF(285=$NQ$5,$NM$5,0),IF($NO$5="Bell_Curve",$NM$5*(285-$NQ$5+1)*($NR$5-285+1)/$NT$5,$NM$5/$NS$5)),0)</f>
        <v/>
      </c>
      <c r="KC5" s="18">
        <f>IF(AND(286&gt;=$NQ$5,286&lt;=$NR$5),IF($NO$5="Single_Point",IF(286=$NQ$5,$NM$5,0),IF($NO$5="Bell_Curve",$NM$5*(286-$NQ$5+1)*($NR$5-286+1)/$NT$5,$NM$5/$NS$5)),0)</f>
        <v/>
      </c>
      <c r="KD5" s="18">
        <f>IF(AND(287&gt;=$NQ$5,287&lt;=$NR$5),IF($NO$5="Single_Point",IF(287=$NQ$5,$NM$5,0),IF($NO$5="Bell_Curve",$NM$5*(287-$NQ$5+1)*($NR$5-287+1)/$NT$5,$NM$5/$NS$5)),0)</f>
        <v/>
      </c>
      <c r="KE5" s="18">
        <f>IF(AND(288&gt;=$NQ$5,288&lt;=$NR$5),IF($NO$5="Single_Point",IF(288=$NQ$5,$NM$5,0),IF($NO$5="Bell_Curve",$NM$5*(288-$NQ$5+1)*($NR$5-288+1)/$NT$5,$NM$5/$NS$5)),0)</f>
        <v/>
      </c>
      <c r="KF5" s="18">
        <f>IF(AND(289&gt;=$NQ$5,289&lt;=$NR$5),IF($NO$5="Single_Point",IF(289=$NQ$5,$NM$5,0),IF($NO$5="Bell_Curve",$NM$5*(289-$NQ$5+1)*($NR$5-289+1)/$NT$5,$NM$5/$NS$5)),0)</f>
        <v/>
      </c>
      <c r="KG5" s="18">
        <f>IF(AND(290&gt;=$NQ$5,290&lt;=$NR$5),IF($NO$5="Single_Point",IF(290=$NQ$5,$NM$5,0),IF($NO$5="Bell_Curve",$NM$5*(290-$NQ$5+1)*($NR$5-290+1)/$NT$5,$NM$5/$NS$5)),0)</f>
        <v/>
      </c>
      <c r="KH5" s="18">
        <f>IF(AND(291&gt;=$NQ$5,291&lt;=$NR$5),IF($NO$5="Single_Point",IF(291=$NQ$5,$NM$5,0),IF($NO$5="Bell_Curve",$NM$5*(291-$NQ$5+1)*($NR$5-291+1)/$NT$5,$NM$5/$NS$5)),0)</f>
        <v/>
      </c>
      <c r="KI5" s="18">
        <f>IF(AND(292&gt;=$NQ$5,292&lt;=$NR$5),IF($NO$5="Single_Point",IF(292=$NQ$5,$NM$5,0),IF($NO$5="Bell_Curve",$NM$5*(292-$NQ$5+1)*($NR$5-292+1)/$NT$5,$NM$5/$NS$5)),0)</f>
        <v/>
      </c>
      <c r="KJ5" s="18">
        <f>IF(AND(293&gt;=$NQ$5,293&lt;=$NR$5),IF($NO$5="Single_Point",IF(293=$NQ$5,$NM$5,0),IF($NO$5="Bell_Curve",$NM$5*(293-$NQ$5+1)*($NR$5-293+1)/$NT$5,$NM$5/$NS$5)),0)</f>
        <v/>
      </c>
      <c r="KK5" s="18">
        <f>IF(AND(294&gt;=$NQ$5,294&lt;=$NR$5),IF($NO$5="Single_Point",IF(294=$NQ$5,$NM$5,0),IF($NO$5="Bell_Curve",$NM$5*(294-$NQ$5+1)*($NR$5-294+1)/$NT$5,$NM$5/$NS$5)),0)</f>
        <v/>
      </c>
      <c r="KL5" s="18">
        <f>IF(AND(295&gt;=$NQ$5,295&lt;=$NR$5),IF($NO$5="Single_Point",IF(295=$NQ$5,$NM$5,0),IF($NO$5="Bell_Curve",$NM$5*(295-$NQ$5+1)*($NR$5-295+1)/$NT$5,$NM$5/$NS$5)),0)</f>
        <v/>
      </c>
      <c r="KM5" s="18">
        <f>IF(AND(296&gt;=$NQ$5,296&lt;=$NR$5),IF($NO$5="Single_Point",IF(296=$NQ$5,$NM$5,0),IF($NO$5="Bell_Curve",$NM$5*(296-$NQ$5+1)*($NR$5-296+1)/$NT$5,$NM$5/$NS$5)),0)</f>
        <v/>
      </c>
      <c r="KN5" s="18">
        <f>IF(AND(297&gt;=$NQ$5,297&lt;=$NR$5),IF($NO$5="Single_Point",IF(297=$NQ$5,$NM$5,0),IF($NO$5="Bell_Curve",$NM$5*(297-$NQ$5+1)*($NR$5-297+1)/$NT$5,$NM$5/$NS$5)),0)</f>
        <v/>
      </c>
      <c r="KO5" s="18">
        <f>IF(AND(298&gt;=$NQ$5,298&lt;=$NR$5),IF($NO$5="Single_Point",IF(298=$NQ$5,$NM$5,0),IF($NO$5="Bell_Curve",$NM$5*(298-$NQ$5+1)*($NR$5-298+1)/$NT$5,$NM$5/$NS$5)),0)</f>
        <v/>
      </c>
      <c r="KP5" s="18">
        <f>IF(AND(299&gt;=$NQ$5,299&lt;=$NR$5),IF($NO$5="Single_Point",IF(299=$NQ$5,$NM$5,0),IF($NO$5="Bell_Curve",$NM$5*(299-$NQ$5+1)*($NR$5-299+1)/$NT$5,$NM$5/$NS$5)),0)</f>
        <v/>
      </c>
      <c r="KQ5" s="18">
        <f>IF(AND(300&gt;=$NQ$5,300&lt;=$NR$5),IF($NO$5="Single_Point",IF(300=$NQ$5,$NM$5,0),IF($NO$5="Bell_Curve",$NM$5*(300-$NQ$5+1)*($NR$5-300+1)/$NT$5,$NM$5/$NS$5)),0)</f>
        <v/>
      </c>
      <c r="KR5" s="18">
        <f>IF(AND(301&gt;=$NQ$5,301&lt;=$NR$5),IF($NO$5="Single_Point",IF(301=$NQ$5,$NM$5,0),IF($NO$5="Bell_Curve",$NM$5*(301-$NQ$5+1)*($NR$5-301+1)/$NT$5,$NM$5/$NS$5)),0)</f>
        <v/>
      </c>
      <c r="KS5" s="18">
        <f>IF(AND(302&gt;=$NQ$5,302&lt;=$NR$5),IF($NO$5="Single_Point",IF(302=$NQ$5,$NM$5,0),IF($NO$5="Bell_Curve",$NM$5*(302-$NQ$5+1)*($NR$5-302+1)/$NT$5,$NM$5/$NS$5)),0)</f>
        <v/>
      </c>
      <c r="KT5" s="18">
        <f>IF(AND(303&gt;=$NQ$5,303&lt;=$NR$5),IF($NO$5="Single_Point",IF(303=$NQ$5,$NM$5,0),IF($NO$5="Bell_Curve",$NM$5*(303-$NQ$5+1)*($NR$5-303+1)/$NT$5,$NM$5/$NS$5)),0)</f>
        <v/>
      </c>
      <c r="KU5" s="18">
        <f>IF(AND(304&gt;=$NQ$5,304&lt;=$NR$5),IF($NO$5="Single_Point",IF(304=$NQ$5,$NM$5,0),IF($NO$5="Bell_Curve",$NM$5*(304-$NQ$5+1)*($NR$5-304+1)/$NT$5,$NM$5/$NS$5)),0)</f>
        <v/>
      </c>
      <c r="KV5" s="18">
        <f>IF(AND(305&gt;=$NQ$5,305&lt;=$NR$5),IF($NO$5="Single_Point",IF(305=$NQ$5,$NM$5,0),IF($NO$5="Bell_Curve",$NM$5*(305-$NQ$5+1)*($NR$5-305+1)/$NT$5,$NM$5/$NS$5)),0)</f>
        <v/>
      </c>
      <c r="KW5" s="18">
        <f>IF(AND(306&gt;=$NQ$5,306&lt;=$NR$5),IF($NO$5="Single_Point",IF(306=$NQ$5,$NM$5,0),IF($NO$5="Bell_Curve",$NM$5*(306-$NQ$5+1)*($NR$5-306+1)/$NT$5,$NM$5/$NS$5)),0)</f>
        <v/>
      </c>
      <c r="KX5" s="18">
        <f>IF(AND(307&gt;=$NQ$5,307&lt;=$NR$5),IF($NO$5="Single_Point",IF(307=$NQ$5,$NM$5,0),IF($NO$5="Bell_Curve",$NM$5*(307-$NQ$5+1)*($NR$5-307+1)/$NT$5,$NM$5/$NS$5)),0)</f>
        <v/>
      </c>
      <c r="KY5" s="18">
        <f>IF(AND(308&gt;=$NQ$5,308&lt;=$NR$5),IF($NO$5="Single_Point",IF(308=$NQ$5,$NM$5,0),IF($NO$5="Bell_Curve",$NM$5*(308-$NQ$5+1)*($NR$5-308+1)/$NT$5,$NM$5/$NS$5)),0)</f>
        <v/>
      </c>
      <c r="KZ5" s="18">
        <f>IF(AND(309&gt;=$NQ$5,309&lt;=$NR$5),IF($NO$5="Single_Point",IF(309=$NQ$5,$NM$5,0),IF($NO$5="Bell_Curve",$NM$5*(309-$NQ$5+1)*($NR$5-309+1)/$NT$5,$NM$5/$NS$5)),0)</f>
        <v/>
      </c>
      <c r="LA5" s="18">
        <f>IF(AND(310&gt;=$NQ$5,310&lt;=$NR$5),IF($NO$5="Single_Point",IF(310=$NQ$5,$NM$5,0),IF($NO$5="Bell_Curve",$NM$5*(310-$NQ$5+1)*($NR$5-310+1)/$NT$5,$NM$5/$NS$5)),0)</f>
        <v/>
      </c>
      <c r="LB5" s="18">
        <f>IF(AND(311&gt;=$NQ$5,311&lt;=$NR$5),IF($NO$5="Single_Point",IF(311=$NQ$5,$NM$5,0),IF($NO$5="Bell_Curve",$NM$5*(311-$NQ$5+1)*($NR$5-311+1)/$NT$5,$NM$5/$NS$5)),0)</f>
        <v/>
      </c>
      <c r="LC5" s="18">
        <f>IF(AND(312&gt;=$NQ$5,312&lt;=$NR$5),IF($NO$5="Single_Point",IF(312=$NQ$5,$NM$5,0),IF($NO$5="Bell_Curve",$NM$5*(312-$NQ$5+1)*($NR$5-312+1)/$NT$5,$NM$5/$NS$5)),0)</f>
        <v/>
      </c>
      <c r="LD5" s="18">
        <f>IF(AND(313&gt;=$NQ$5,313&lt;=$NR$5),IF($NO$5="Single_Point",IF(313=$NQ$5,$NM$5,0),IF($NO$5="Bell_Curve",$NM$5*(313-$NQ$5+1)*($NR$5-313+1)/$NT$5,$NM$5/$NS$5)),0)</f>
        <v/>
      </c>
      <c r="LE5" s="18">
        <f>IF(AND(314&gt;=$NQ$5,314&lt;=$NR$5),IF($NO$5="Single_Point",IF(314=$NQ$5,$NM$5,0),IF($NO$5="Bell_Curve",$NM$5*(314-$NQ$5+1)*($NR$5-314+1)/$NT$5,$NM$5/$NS$5)),0)</f>
        <v/>
      </c>
      <c r="LF5" s="18">
        <f>IF(AND(315&gt;=$NQ$5,315&lt;=$NR$5),IF($NO$5="Single_Point",IF(315=$NQ$5,$NM$5,0),IF($NO$5="Bell_Curve",$NM$5*(315-$NQ$5+1)*($NR$5-315+1)/$NT$5,$NM$5/$NS$5)),0)</f>
        <v/>
      </c>
      <c r="LG5" s="18">
        <f>IF(AND(316&gt;=$NQ$5,316&lt;=$NR$5),IF($NO$5="Single_Point",IF(316=$NQ$5,$NM$5,0),IF($NO$5="Bell_Curve",$NM$5*(316-$NQ$5+1)*($NR$5-316+1)/$NT$5,$NM$5/$NS$5)),0)</f>
        <v/>
      </c>
      <c r="LH5" s="18">
        <f>IF(AND(317&gt;=$NQ$5,317&lt;=$NR$5),IF($NO$5="Single_Point",IF(317=$NQ$5,$NM$5,0),IF($NO$5="Bell_Curve",$NM$5*(317-$NQ$5+1)*($NR$5-317+1)/$NT$5,$NM$5/$NS$5)),0)</f>
        <v/>
      </c>
      <c r="LI5" s="18">
        <f>IF(AND(318&gt;=$NQ$5,318&lt;=$NR$5),IF($NO$5="Single_Point",IF(318=$NQ$5,$NM$5,0),IF($NO$5="Bell_Curve",$NM$5*(318-$NQ$5+1)*($NR$5-318+1)/$NT$5,$NM$5/$NS$5)),0)</f>
        <v/>
      </c>
      <c r="LJ5" s="18">
        <f>IF(AND(319&gt;=$NQ$5,319&lt;=$NR$5),IF($NO$5="Single_Point",IF(319=$NQ$5,$NM$5,0),IF($NO$5="Bell_Curve",$NM$5*(319-$NQ$5+1)*($NR$5-319+1)/$NT$5,$NM$5/$NS$5)),0)</f>
        <v/>
      </c>
      <c r="LK5" s="18">
        <f>IF(AND(320&gt;=$NQ$5,320&lt;=$NR$5),IF($NO$5="Single_Point",IF(320=$NQ$5,$NM$5,0),IF($NO$5="Bell_Curve",$NM$5*(320-$NQ$5+1)*($NR$5-320+1)/$NT$5,$NM$5/$NS$5)),0)</f>
        <v/>
      </c>
      <c r="LL5" s="18">
        <f>IF(AND(321&gt;=$NQ$5,321&lt;=$NR$5),IF($NO$5="Single_Point",IF(321=$NQ$5,$NM$5,0),IF($NO$5="Bell_Curve",$NM$5*(321-$NQ$5+1)*($NR$5-321+1)/$NT$5,$NM$5/$NS$5)),0)</f>
        <v/>
      </c>
      <c r="LM5" s="18">
        <f>IF(AND(322&gt;=$NQ$5,322&lt;=$NR$5),IF($NO$5="Single_Point",IF(322=$NQ$5,$NM$5,0),IF($NO$5="Bell_Curve",$NM$5*(322-$NQ$5+1)*($NR$5-322+1)/$NT$5,$NM$5/$NS$5)),0)</f>
        <v/>
      </c>
      <c r="LN5" s="18">
        <f>IF(AND(323&gt;=$NQ$5,323&lt;=$NR$5),IF($NO$5="Single_Point",IF(323=$NQ$5,$NM$5,0),IF($NO$5="Bell_Curve",$NM$5*(323-$NQ$5+1)*($NR$5-323+1)/$NT$5,$NM$5/$NS$5)),0)</f>
        <v/>
      </c>
      <c r="LO5" s="18">
        <f>IF(AND(324&gt;=$NQ$5,324&lt;=$NR$5),IF($NO$5="Single_Point",IF(324=$NQ$5,$NM$5,0),IF($NO$5="Bell_Curve",$NM$5*(324-$NQ$5+1)*($NR$5-324+1)/$NT$5,$NM$5/$NS$5)),0)</f>
        <v/>
      </c>
      <c r="LP5" s="18">
        <f>IF(AND(325&gt;=$NQ$5,325&lt;=$NR$5),IF($NO$5="Single_Point",IF(325=$NQ$5,$NM$5,0),IF($NO$5="Bell_Curve",$NM$5*(325-$NQ$5+1)*($NR$5-325+1)/$NT$5,$NM$5/$NS$5)),0)</f>
        <v/>
      </c>
      <c r="LQ5" s="18">
        <f>IF(AND(326&gt;=$NQ$5,326&lt;=$NR$5),IF($NO$5="Single_Point",IF(326=$NQ$5,$NM$5,0),IF($NO$5="Bell_Curve",$NM$5*(326-$NQ$5+1)*($NR$5-326+1)/$NT$5,$NM$5/$NS$5)),0)</f>
        <v/>
      </c>
      <c r="LR5" s="18">
        <f>IF(AND(327&gt;=$NQ$5,327&lt;=$NR$5),IF($NO$5="Single_Point",IF(327=$NQ$5,$NM$5,0),IF($NO$5="Bell_Curve",$NM$5*(327-$NQ$5+1)*($NR$5-327+1)/$NT$5,$NM$5/$NS$5)),0)</f>
        <v/>
      </c>
      <c r="LS5" s="18">
        <f>IF(AND(328&gt;=$NQ$5,328&lt;=$NR$5),IF($NO$5="Single_Point",IF(328=$NQ$5,$NM$5,0),IF($NO$5="Bell_Curve",$NM$5*(328-$NQ$5+1)*($NR$5-328+1)/$NT$5,$NM$5/$NS$5)),0)</f>
        <v/>
      </c>
      <c r="LT5" s="18">
        <f>IF(AND(329&gt;=$NQ$5,329&lt;=$NR$5),IF($NO$5="Single_Point",IF(329=$NQ$5,$NM$5,0),IF($NO$5="Bell_Curve",$NM$5*(329-$NQ$5+1)*($NR$5-329+1)/$NT$5,$NM$5/$NS$5)),0)</f>
        <v/>
      </c>
      <c r="LU5" s="18">
        <f>IF(AND(330&gt;=$NQ$5,330&lt;=$NR$5),IF($NO$5="Single_Point",IF(330=$NQ$5,$NM$5,0),IF($NO$5="Bell_Curve",$NM$5*(330-$NQ$5+1)*($NR$5-330+1)/$NT$5,$NM$5/$NS$5)),0)</f>
        <v/>
      </c>
      <c r="LV5" s="18">
        <f>IF(AND(331&gt;=$NQ$5,331&lt;=$NR$5),IF($NO$5="Single_Point",IF(331=$NQ$5,$NM$5,0),IF($NO$5="Bell_Curve",$NM$5*(331-$NQ$5+1)*($NR$5-331+1)/$NT$5,$NM$5/$NS$5)),0)</f>
        <v/>
      </c>
      <c r="LW5" s="18">
        <f>IF(AND(332&gt;=$NQ$5,332&lt;=$NR$5),IF($NO$5="Single_Point",IF(332=$NQ$5,$NM$5,0),IF($NO$5="Bell_Curve",$NM$5*(332-$NQ$5+1)*($NR$5-332+1)/$NT$5,$NM$5/$NS$5)),0)</f>
        <v/>
      </c>
      <c r="LX5" s="18">
        <f>IF(AND(333&gt;=$NQ$5,333&lt;=$NR$5),IF($NO$5="Single_Point",IF(333=$NQ$5,$NM$5,0),IF($NO$5="Bell_Curve",$NM$5*(333-$NQ$5+1)*($NR$5-333+1)/$NT$5,$NM$5/$NS$5)),0)</f>
        <v/>
      </c>
      <c r="LY5" s="18">
        <f>IF(AND(334&gt;=$NQ$5,334&lt;=$NR$5),IF($NO$5="Single_Point",IF(334=$NQ$5,$NM$5,0),IF($NO$5="Bell_Curve",$NM$5*(334-$NQ$5+1)*($NR$5-334+1)/$NT$5,$NM$5/$NS$5)),0)</f>
        <v/>
      </c>
      <c r="LZ5" s="18">
        <f>IF(AND(335&gt;=$NQ$5,335&lt;=$NR$5),IF($NO$5="Single_Point",IF(335=$NQ$5,$NM$5,0),IF($NO$5="Bell_Curve",$NM$5*(335-$NQ$5+1)*($NR$5-335+1)/$NT$5,$NM$5/$NS$5)),0)</f>
        <v/>
      </c>
      <c r="MA5" s="18">
        <f>IF(AND(336&gt;=$NQ$5,336&lt;=$NR$5),IF($NO$5="Single_Point",IF(336=$NQ$5,$NM$5,0),IF($NO$5="Bell_Curve",$NM$5*(336-$NQ$5+1)*($NR$5-336+1)/$NT$5,$NM$5/$NS$5)),0)</f>
        <v/>
      </c>
      <c r="MB5" s="18">
        <f>IF(AND(337&gt;=$NQ$5,337&lt;=$NR$5),IF($NO$5="Single_Point",IF(337=$NQ$5,$NM$5,0),IF($NO$5="Bell_Curve",$NM$5*(337-$NQ$5+1)*($NR$5-337+1)/$NT$5,$NM$5/$NS$5)),0)</f>
        <v/>
      </c>
      <c r="MC5" s="18">
        <f>IF(AND(338&gt;=$NQ$5,338&lt;=$NR$5),IF($NO$5="Single_Point",IF(338=$NQ$5,$NM$5,0),IF($NO$5="Bell_Curve",$NM$5*(338-$NQ$5+1)*($NR$5-338+1)/$NT$5,$NM$5/$NS$5)),0)</f>
        <v/>
      </c>
      <c r="MD5" s="18">
        <f>IF(AND(339&gt;=$NQ$5,339&lt;=$NR$5),IF($NO$5="Single_Point",IF(339=$NQ$5,$NM$5,0),IF($NO$5="Bell_Curve",$NM$5*(339-$NQ$5+1)*($NR$5-339+1)/$NT$5,$NM$5/$NS$5)),0)</f>
        <v/>
      </c>
      <c r="ME5" s="18">
        <f>IF(AND(340&gt;=$NQ$5,340&lt;=$NR$5),IF($NO$5="Single_Point",IF(340=$NQ$5,$NM$5,0),IF($NO$5="Bell_Curve",$NM$5*(340-$NQ$5+1)*($NR$5-340+1)/$NT$5,$NM$5/$NS$5)),0)</f>
        <v/>
      </c>
      <c r="MF5" s="18">
        <f>IF(AND(341&gt;=$NQ$5,341&lt;=$NR$5),IF($NO$5="Single_Point",IF(341=$NQ$5,$NM$5,0),IF($NO$5="Bell_Curve",$NM$5*(341-$NQ$5+1)*($NR$5-341+1)/$NT$5,$NM$5/$NS$5)),0)</f>
        <v/>
      </c>
      <c r="MG5" s="18">
        <f>IF(AND(342&gt;=$NQ$5,342&lt;=$NR$5),IF($NO$5="Single_Point",IF(342=$NQ$5,$NM$5,0),IF($NO$5="Bell_Curve",$NM$5*(342-$NQ$5+1)*($NR$5-342+1)/$NT$5,$NM$5/$NS$5)),0)</f>
        <v/>
      </c>
      <c r="MH5" s="18">
        <f>IF(AND(343&gt;=$NQ$5,343&lt;=$NR$5),IF($NO$5="Single_Point",IF(343=$NQ$5,$NM$5,0),IF($NO$5="Bell_Curve",$NM$5*(343-$NQ$5+1)*($NR$5-343+1)/$NT$5,$NM$5/$NS$5)),0)</f>
        <v/>
      </c>
      <c r="MI5" s="18">
        <f>IF(AND(344&gt;=$NQ$5,344&lt;=$NR$5),IF($NO$5="Single_Point",IF(344=$NQ$5,$NM$5,0),IF($NO$5="Bell_Curve",$NM$5*(344-$NQ$5+1)*($NR$5-344+1)/$NT$5,$NM$5/$NS$5)),0)</f>
        <v/>
      </c>
      <c r="MJ5" s="18">
        <f>IF(AND(345&gt;=$NQ$5,345&lt;=$NR$5),IF($NO$5="Single_Point",IF(345=$NQ$5,$NM$5,0),IF($NO$5="Bell_Curve",$NM$5*(345-$NQ$5+1)*($NR$5-345+1)/$NT$5,$NM$5/$NS$5)),0)</f>
        <v/>
      </c>
      <c r="MK5" s="18">
        <f>IF(AND(346&gt;=$NQ$5,346&lt;=$NR$5),IF($NO$5="Single_Point",IF(346=$NQ$5,$NM$5,0),IF($NO$5="Bell_Curve",$NM$5*(346-$NQ$5+1)*($NR$5-346+1)/$NT$5,$NM$5/$NS$5)),0)</f>
        <v/>
      </c>
      <c r="ML5" s="18">
        <f>IF(AND(347&gt;=$NQ$5,347&lt;=$NR$5),IF($NO$5="Single_Point",IF(347=$NQ$5,$NM$5,0),IF($NO$5="Bell_Curve",$NM$5*(347-$NQ$5+1)*($NR$5-347+1)/$NT$5,$NM$5/$NS$5)),0)</f>
        <v/>
      </c>
      <c r="MM5" s="18">
        <f>IF(AND(348&gt;=$NQ$5,348&lt;=$NR$5),IF($NO$5="Single_Point",IF(348=$NQ$5,$NM$5,0),IF($NO$5="Bell_Curve",$NM$5*(348-$NQ$5+1)*($NR$5-348+1)/$NT$5,$NM$5/$NS$5)),0)</f>
        <v/>
      </c>
      <c r="MN5" s="18">
        <f>IF(AND(349&gt;=$NQ$5,349&lt;=$NR$5),IF($NO$5="Single_Point",IF(349=$NQ$5,$NM$5,0),IF($NO$5="Bell_Curve",$NM$5*(349-$NQ$5+1)*($NR$5-349+1)/$NT$5,$NM$5/$NS$5)),0)</f>
        <v/>
      </c>
      <c r="MO5" s="18">
        <f>IF(AND(350&gt;=$NQ$5,350&lt;=$NR$5),IF($NO$5="Single_Point",IF(350=$NQ$5,$NM$5,0),IF($NO$5="Bell_Curve",$NM$5*(350-$NQ$5+1)*($NR$5-350+1)/$NT$5,$NM$5/$NS$5)),0)</f>
        <v/>
      </c>
      <c r="MP5" s="18">
        <f>IF(AND(351&gt;=$NQ$5,351&lt;=$NR$5),IF($NO$5="Single_Point",IF(351=$NQ$5,$NM$5,0),IF($NO$5="Bell_Curve",$NM$5*(351-$NQ$5+1)*($NR$5-351+1)/$NT$5,$NM$5/$NS$5)),0)</f>
        <v/>
      </c>
      <c r="MQ5" s="18">
        <f>IF(AND(352&gt;=$NQ$5,352&lt;=$NR$5),IF($NO$5="Single_Point",IF(352=$NQ$5,$NM$5,0),IF($NO$5="Bell_Curve",$NM$5*(352-$NQ$5+1)*($NR$5-352+1)/$NT$5,$NM$5/$NS$5)),0)</f>
        <v/>
      </c>
      <c r="MR5" s="18">
        <f>IF(AND(353&gt;=$NQ$5,353&lt;=$NR$5),IF($NO$5="Single_Point",IF(353=$NQ$5,$NM$5,0),IF($NO$5="Bell_Curve",$NM$5*(353-$NQ$5+1)*($NR$5-353+1)/$NT$5,$NM$5/$NS$5)),0)</f>
        <v/>
      </c>
      <c r="MS5" s="18">
        <f>IF(AND(354&gt;=$NQ$5,354&lt;=$NR$5),IF($NO$5="Single_Point",IF(354=$NQ$5,$NM$5,0),IF($NO$5="Bell_Curve",$NM$5*(354-$NQ$5+1)*($NR$5-354+1)/$NT$5,$NM$5/$NS$5)),0)</f>
        <v/>
      </c>
      <c r="MT5" s="18">
        <f>IF(AND(355&gt;=$NQ$5,355&lt;=$NR$5),IF($NO$5="Single_Point",IF(355=$NQ$5,$NM$5,0),IF($NO$5="Bell_Curve",$NM$5*(355-$NQ$5+1)*($NR$5-355+1)/$NT$5,$NM$5/$NS$5)),0)</f>
        <v/>
      </c>
      <c r="MU5" s="18">
        <f>IF(AND(356&gt;=$NQ$5,356&lt;=$NR$5),IF($NO$5="Single_Point",IF(356=$NQ$5,$NM$5,0),IF($NO$5="Bell_Curve",$NM$5*(356-$NQ$5+1)*($NR$5-356+1)/$NT$5,$NM$5/$NS$5)),0)</f>
        <v/>
      </c>
      <c r="MV5" s="18">
        <f>IF(AND(357&gt;=$NQ$5,357&lt;=$NR$5),IF($NO$5="Single_Point",IF(357=$NQ$5,$NM$5,0),IF($NO$5="Bell_Curve",$NM$5*(357-$NQ$5+1)*($NR$5-357+1)/$NT$5,$NM$5/$NS$5)),0)</f>
        <v/>
      </c>
      <c r="MW5" s="18">
        <f>IF(AND(358&gt;=$NQ$5,358&lt;=$NR$5),IF($NO$5="Single_Point",IF(358=$NQ$5,$NM$5,0),IF($NO$5="Bell_Curve",$NM$5*(358-$NQ$5+1)*($NR$5-358+1)/$NT$5,$NM$5/$NS$5)),0)</f>
        <v/>
      </c>
      <c r="MX5" s="18">
        <f>IF(AND(359&gt;=$NQ$5,359&lt;=$NR$5),IF($NO$5="Single_Point",IF(359=$NQ$5,$NM$5,0),IF($NO$5="Bell_Curve",$NM$5*(359-$NQ$5+1)*($NR$5-359+1)/$NT$5,$NM$5/$NS$5)),0)</f>
        <v/>
      </c>
      <c r="MY5" s="18">
        <f>IF(AND(360&gt;=$NQ$5,360&lt;=$NR$5),IF($NO$5="Single_Point",IF(360=$NQ$5,$NM$5,0),IF($NO$5="Bell_Curve",$NM$5*(360-$NQ$5+1)*($NR$5-360+1)/$NT$5,$NM$5/$NS$5)),0)</f>
        <v/>
      </c>
      <c r="MZ5" s="18">
        <f>IF(AND(361&gt;=$NQ$5,361&lt;=$NR$5),IF($NO$5="Single_Point",IF(361=$NQ$5,$NM$5,0),IF($NO$5="Bell_Curve",$NM$5*(361-$NQ$5+1)*($NR$5-361+1)/$NT$5,$NM$5/$NS$5)),0)</f>
        <v/>
      </c>
      <c r="NA5" s="18">
        <f>IF(AND(362&gt;=$NQ$5,362&lt;=$NR$5),IF($NO$5="Single_Point",IF(362=$NQ$5,$NM$5,0),IF($NO$5="Bell_Curve",$NM$5*(362-$NQ$5+1)*($NR$5-362+1)/$NT$5,$NM$5/$NS$5)),0)</f>
        <v/>
      </c>
      <c r="NB5" s="18">
        <f>IF(AND(363&gt;=$NQ$5,363&lt;=$NR$5),IF($NO$5="Single_Point",IF(363=$NQ$5,$NM$5,0),IF($NO$5="Bell_Curve",$NM$5*(363-$NQ$5+1)*($NR$5-363+1)/$NT$5,$NM$5/$NS$5)),0)</f>
        <v/>
      </c>
      <c r="NC5" s="18">
        <f>IF(AND(364&gt;=$NQ$5,364&lt;=$NR$5),IF($NO$5="Single_Point",IF(364=$NQ$5,$NM$5,0),IF($NO$5="Bell_Curve",$NM$5*(364-$NQ$5+1)*($NR$5-364+1)/$NT$5,$NM$5/$NS$5)),0)</f>
        <v/>
      </c>
      <c r="ND5" s="18">
        <f>IF(AND(365&gt;=$NQ$5,365&lt;=$NR$5),IF($NO$5="Single_Point",IF(365=$NQ$5,$NM$5,0),IF($NO$5="Bell_Curve",$NM$5*(365-$NQ$5+1)*($NR$5-365+1)/$NT$5,$NM$5/$NS$5)),0)</f>
        <v/>
      </c>
      <c r="NE5" s="18">
        <f>IF(AND(366&gt;=$NQ$5,366&lt;=$NR$5),IF($NO$5="Single_Point",IF(366=$NQ$5,$NM$5,0),IF($NO$5="Bell_Curve",$NM$5*(366-$NQ$5+1)*($NR$5-366+1)/$NT$5,$NM$5/$NS$5)),0)</f>
        <v/>
      </c>
      <c r="NF5" s="18">
        <f>IF(AND(367&gt;=$NQ$5,367&lt;=$NR$5),IF($NO$5="Single_Point",IF(367=$NQ$5,$NM$5,0),IF($NO$5="Bell_Curve",$NM$5*(367-$NQ$5+1)*($NR$5-367+1)/$NT$5,$NM$5/$NS$5)),0)</f>
        <v/>
      </c>
      <c r="NG5" s="18">
        <f>IF(AND(368&gt;=$NQ$5,368&lt;=$NR$5),IF($NO$5="Single_Point",IF(368=$NQ$5,$NM$5,0),IF($NO$5="Bell_Curve",$NM$5*(368-$NQ$5+1)*($NR$5-368+1)/$NT$5,$NM$5/$NS$5)),0)</f>
        <v/>
      </c>
      <c r="NH5" s="18">
        <f>IF(AND(369&gt;=$NQ$5,369&lt;=$NR$5),IF($NO$5="Single_Point",IF(369=$NQ$5,$NM$5,0),IF($NO$5="Bell_Curve",$NM$5*(369-$NQ$5+1)*($NR$5-369+1)/$NT$5,$NM$5/$NS$5)),0)</f>
        <v/>
      </c>
      <c r="NI5" s="18">
        <f>IF(AND(370&gt;=$NQ$5,370&lt;=$NR$5),IF($NO$5="Single_Point",IF(370=$NQ$5,$NM$5,0),IF($NO$5="Bell_Curve",$NM$5*(370-$NQ$5+1)*($NR$5-370+1)/$NT$5,$NM$5/$NS$5)),0)</f>
        <v/>
      </c>
      <c r="NJ5" s="18">
        <f>IF(AND(371&gt;=$NQ$5,371&lt;=$NR$5),IF($NO$5="Single_Point",IF(371=$NQ$5,$NM$5,0),IF($NO$5="Bell_Curve",$NM$5*(371-$NQ$5+1)*($NR$5-371+1)/$NT$5,$NM$5/$NS$5)),0)</f>
        <v/>
      </c>
      <c r="NK5" s="18">
        <f>IF(AND(372&gt;=$NQ$5,372&lt;=$NR$5),IF($NO$5="Single_Point",IF(372=$NQ$5,$NM$5,0),IF($NO$5="Bell_Curve",$NM$5*(372-$NQ$5+1)*($NR$5-372+1)/$NT$5,$NM$5/$NS$5)),0)</f>
        <v/>
      </c>
      <c r="NM5" s="18">
        <f>Budget!I5</f>
        <v/>
      </c>
      <c r="NN5" s="42">
        <f>Budget!F5</f>
        <v/>
      </c>
      <c r="NO5" s="42">
        <f>Budget!G5</f>
        <v/>
      </c>
      <c r="NP5" s="17">
        <f>Budget!H5</f>
        <v/>
      </c>
      <c r="NQ5" s="32">
        <f>MAX(1,MIN(372,INDEX(MilestoneStart,MATCH(NN5,MilestoneNames,0))+NP5))</f>
        <v/>
      </c>
      <c r="NR5" s="32">
        <f>MAX(NQ5,MIN(372,INDEX(MilestoneEnd,MATCH(NN5,MilestoneNames,0))+NP5))</f>
        <v/>
      </c>
      <c r="NS5" s="17">
        <f>NR5-NQ5+1</f>
        <v/>
      </c>
      <c r="NT5" s="17">
        <f>NS5*(NS5+1)*(NS5+2)/6</f>
        <v/>
      </c>
    </row>
    <row r="6">
      <c r="A6" s="5" t="inlineStr">
        <is>
          <t>Existing Structure/Demo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Budget!I6</f>
        <v/>
      </c>
      <c r="NN6" s="42">
        <f>Budget!F6</f>
        <v/>
      </c>
      <c r="NO6" s="42">
        <f>Budget!G6</f>
        <v/>
      </c>
      <c r="NP6" s="17">
        <f>Budget!H6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Due Diligence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Budget!I7</f>
        <v/>
      </c>
      <c r="NN7" s="42">
        <f>Budget!F7</f>
        <v/>
      </c>
      <c r="NO7" s="42">
        <f>Budget!G7</f>
        <v/>
      </c>
      <c r="NP7" s="17">
        <f>Budget!H7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Entitlements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Budget!I8</f>
        <v/>
      </c>
      <c r="NN8" s="42">
        <f>Budget!F8</f>
        <v/>
      </c>
      <c r="NO8" s="42">
        <f>Budget!G8</f>
        <v/>
      </c>
      <c r="NP8" s="17">
        <f>Budget!H8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Architecture &amp; Eng.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Budget!I9</f>
        <v/>
      </c>
      <c r="NN9" s="42">
        <f>Budget!F9</f>
        <v/>
      </c>
      <c r="NO9" s="42">
        <f>Budget!G9</f>
        <v/>
      </c>
      <c r="NP9" s="17">
        <f>Budget!H9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Consultants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Budget!I10</f>
        <v/>
      </c>
      <c r="NN10" s="42">
        <f>Budget!F10</f>
        <v/>
      </c>
      <c r="NO10" s="42">
        <f>Budget!G10</f>
        <v/>
      </c>
      <c r="NP10" s="17">
        <f>Budget!H10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Legal &amp; Org.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Budget!I11</f>
        <v/>
      </c>
      <c r="NN11" s="42">
        <f>Budget!F11</f>
        <v/>
      </c>
      <c r="NO11" s="42">
        <f>Budget!G11</f>
        <v/>
      </c>
      <c r="NP11" s="17">
        <f>Budget!H11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Marketing &amp; Lease-Up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Budget!I12</f>
        <v/>
      </c>
      <c r="NN12" s="42">
        <f>Budget!F12</f>
        <v/>
      </c>
      <c r="NO12" s="42">
        <f>Budget!G12</f>
        <v/>
      </c>
      <c r="NP12" s="17">
        <f>Budget!H12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Property Taxes (Dev)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Budget!I13</f>
        <v/>
      </c>
      <c r="NN13" s="42">
        <f>Budget!F13</f>
        <v/>
      </c>
      <c r="NO13" s="42">
        <f>Budget!G13</f>
        <v/>
      </c>
      <c r="NP13" s="17">
        <f>Budget!H13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Budget!I14</f>
        <v/>
      </c>
      <c r="NN14" s="42">
        <f>Budget!F14</f>
        <v/>
      </c>
      <c r="NO14" s="42">
        <f>Budget!G14</f>
        <v/>
      </c>
      <c r="NP14" s="17">
        <f>Budget!H14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Budget!I15</f>
        <v/>
      </c>
      <c r="NN15" s="42">
        <f>Budget!F15</f>
        <v/>
      </c>
      <c r="NO15" s="42">
        <f>Budget!G15</f>
        <v/>
      </c>
      <c r="NP15" s="17">
        <f>Budget!H15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Budget!I16</f>
        <v/>
      </c>
      <c r="NN16" s="42">
        <f>Budget!F16</f>
        <v/>
      </c>
      <c r="NO16" s="42">
        <f>Budget!G16</f>
        <v/>
      </c>
      <c r="NP16" s="17">
        <f>Budget!H16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Budget!I17</f>
        <v/>
      </c>
      <c r="NN17" s="42">
        <f>Budget!F17</f>
        <v/>
      </c>
      <c r="NO17" s="42">
        <f>Budget!G17</f>
        <v/>
      </c>
      <c r="NP17" s="17">
        <f>Budget!H17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Budget!I18</f>
        <v/>
      </c>
      <c r="NN18" s="42">
        <f>Budget!F18</f>
        <v/>
      </c>
      <c r="NO18" s="42">
        <f>Budget!G18</f>
        <v/>
      </c>
      <c r="NP18" s="17">
        <f>Budget!H18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Budget!I19</f>
        <v/>
      </c>
      <c r="NN19" s="42">
        <f>Budget!F19</f>
        <v/>
      </c>
      <c r="NO19" s="42">
        <f>Budget!G19</f>
        <v/>
      </c>
      <c r="NP19" s="17">
        <f>Budget!H19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Budget!I20</f>
        <v/>
      </c>
      <c r="NN20" s="42">
        <f>Budget!F20</f>
        <v/>
      </c>
      <c r="NO20" s="42">
        <f>Budget!G20</f>
        <v/>
      </c>
      <c r="NP20" s="17">
        <f>Budget!H20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Budget!I21</f>
        <v/>
      </c>
      <c r="NN21" s="42">
        <f>Budget!F21</f>
        <v/>
      </c>
      <c r="NO21" s="42">
        <f>Budget!G21</f>
        <v/>
      </c>
      <c r="NP21" s="17">
        <f>Budget!H21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Budget!I22</f>
        <v/>
      </c>
      <c r="NN22" s="42">
        <f>Budget!F22</f>
        <v/>
      </c>
      <c r="NO22" s="42">
        <f>Budget!G22</f>
        <v/>
      </c>
      <c r="NP22" s="17">
        <f>Budget!H22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Budget!I23</f>
        <v/>
      </c>
      <c r="NN23" s="42">
        <f>Budget!F23</f>
        <v/>
      </c>
      <c r="NO23" s="42">
        <f>Budget!G23</f>
        <v/>
      </c>
      <c r="NP23" s="17">
        <f>Budget!H23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Budget!I24</f>
        <v/>
      </c>
      <c r="NN24" s="42">
        <f>Budget!F24</f>
        <v/>
      </c>
      <c r="NO24" s="42">
        <f>Budget!G24</f>
        <v/>
      </c>
      <c r="NP24" s="17">
        <f>Budget!H24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Budget!I25</f>
        <v/>
      </c>
      <c r="NN25" s="42">
        <f>Budget!F25</f>
        <v/>
      </c>
      <c r="NO25" s="42">
        <f>Budget!G25</f>
        <v/>
      </c>
      <c r="NP25" s="17">
        <f>Budget!H25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Budget!I26</f>
        <v/>
      </c>
      <c r="NN26" s="42">
        <f>Budget!F26</f>
        <v/>
      </c>
      <c r="NO26" s="42">
        <f>Budget!G26</f>
        <v/>
      </c>
      <c r="NP26" s="17">
        <f>Budget!H26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Budget!I27</f>
        <v/>
      </c>
      <c r="NN27" s="42">
        <f>Budget!F27</f>
        <v/>
      </c>
      <c r="NO27" s="42">
        <f>Budget!G27</f>
        <v/>
      </c>
      <c r="NP27" s="17">
        <f>Budget!H27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Budget!I28</f>
        <v/>
      </c>
      <c r="NN28" s="42">
        <f>Budget!F28</f>
        <v/>
      </c>
      <c r="NO28" s="42">
        <f>Budget!G28</f>
        <v/>
      </c>
      <c r="NP28" s="17">
        <f>Budget!H28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Budget!I29</f>
        <v/>
      </c>
      <c r="NN29" s="42">
        <f>Budget!F29</f>
        <v/>
      </c>
      <c r="NO29" s="42">
        <f>Budget!G29</f>
        <v/>
      </c>
      <c r="NP29" s="17">
        <f>Budget!H29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Budget!I30</f>
        <v/>
      </c>
      <c r="NN30" s="42">
        <f>Budget!F30</f>
        <v/>
      </c>
      <c r="NO30" s="42">
        <f>Budget!G30</f>
        <v/>
      </c>
      <c r="NP30" s="17">
        <f>Budget!H30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Budget!I31</f>
        <v/>
      </c>
      <c r="NN31" s="42">
        <f>Budget!F31</f>
        <v/>
      </c>
      <c r="NO31" s="42">
        <f>Budget!G31</f>
        <v/>
      </c>
      <c r="NP31" s="17">
        <f>Budget!H31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Budget!I32</f>
        <v/>
      </c>
      <c r="NN32" s="42">
        <f>Budget!F32</f>
        <v/>
      </c>
      <c r="NO32" s="42">
        <f>Budget!G32</f>
        <v/>
      </c>
      <c r="NP32" s="17">
        <f>Budget!H32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SUM(D5:D32)</f>
        <v/>
      </c>
      <c r="E34" s="43">
        <f>SUM(E5:E32)</f>
        <v/>
      </c>
      <c r="F34" s="43">
        <f>SUM(F5:F32)</f>
        <v/>
      </c>
      <c r="G34" s="43">
        <f>SUM(G5:G32)</f>
        <v/>
      </c>
      <c r="H34" s="43">
        <f>SUM(H5:H32)</f>
        <v/>
      </c>
      <c r="I34" s="43">
        <f>SUM(I5:I32)</f>
        <v/>
      </c>
      <c r="J34" s="43">
        <f>SUM(J5:J32)</f>
        <v/>
      </c>
      <c r="K34" s="43">
        <f>SUM(K5:K32)</f>
        <v/>
      </c>
      <c r="L34" s="43">
        <f>SUM(L5:L32)</f>
        <v/>
      </c>
      <c r="M34" s="43">
        <f>SUM(M5:M32)</f>
        <v/>
      </c>
      <c r="N34" s="43">
        <f>SUM(N5:N32)</f>
        <v/>
      </c>
      <c r="O34" s="43">
        <f>SUM(O5:O32)</f>
        <v/>
      </c>
      <c r="P34" s="43">
        <f>SUM(P5:P32)</f>
        <v/>
      </c>
      <c r="Q34" s="43">
        <f>SUM(Q5:Q32)</f>
        <v/>
      </c>
      <c r="R34" s="43">
        <f>SUM(R5:R32)</f>
        <v/>
      </c>
      <c r="S34" s="43">
        <f>SUM(S5:S32)</f>
        <v/>
      </c>
      <c r="T34" s="43">
        <f>SUM(T5:T32)</f>
        <v/>
      </c>
      <c r="U34" s="43">
        <f>SUM(U5:U32)</f>
        <v/>
      </c>
      <c r="V34" s="43">
        <f>SUM(V5:V32)</f>
        <v/>
      </c>
      <c r="W34" s="43">
        <f>SUM(W5:W32)</f>
        <v/>
      </c>
      <c r="X34" s="43">
        <f>SUM(X5:X32)</f>
        <v/>
      </c>
      <c r="Y34" s="43">
        <f>SUM(Y5:Y32)</f>
        <v/>
      </c>
      <c r="Z34" s="43">
        <f>SUM(Z5:Z32)</f>
        <v/>
      </c>
      <c r="AA34" s="43">
        <f>SUM(AA5:AA32)</f>
        <v/>
      </c>
      <c r="AB34" s="43">
        <f>SUM(AB5:AB32)</f>
        <v/>
      </c>
      <c r="AC34" s="43">
        <f>SUM(AC5:AC32)</f>
        <v/>
      </c>
      <c r="AD34" s="43">
        <f>SUM(AD5:AD32)</f>
        <v/>
      </c>
      <c r="AE34" s="43">
        <f>SUM(AE5:AE32)</f>
        <v/>
      </c>
      <c r="AF34" s="43">
        <f>SUM(AF5:AF32)</f>
        <v/>
      </c>
      <c r="AG34" s="43">
        <f>SUM(AG5:AG32)</f>
        <v/>
      </c>
      <c r="AH34" s="43">
        <f>SUM(AH5:AH32)</f>
        <v/>
      </c>
      <c r="AI34" s="43">
        <f>SUM(AI5:AI32)</f>
        <v/>
      </c>
      <c r="AJ34" s="43">
        <f>SUM(AJ5:AJ32)</f>
        <v/>
      </c>
      <c r="AK34" s="43">
        <f>SUM(AK5:AK32)</f>
        <v/>
      </c>
      <c r="AL34" s="43">
        <f>SUM(AL5:AL32)</f>
        <v/>
      </c>
      <c r="AM34" s="43">
        <f>SUM(AM5:AM32)</f>
        <v/>
      </c>
      <c r="AN34" s="43">
        <f>SUM(AN5:AN32)</f>
        <v/>
      </c>
      <c r="AO34" s="43">
        <f>SUM(AO5:AO32)</f>
        <v/>
      </c>
      <c r="AP34" s="43">
        <f>SUM(AP5:AP32)</f>
        <v/>
      </c>
      <c r="AQ34" s="43">
        <f>SUM(AQ5:AQ32)</f>
        <v/>
      </c>
      <c r="AR34" s="43">
        <f>SUM(AR5:AR32)</f>
        <v/>
      </c>
      <c r="AS34" s="43">
        <f>SUM(AS5:AS32)</f>
        <v/>
      </c>
      <c r="AT34" s="43">
        <f>SUM(AT5:AT32)</f>
        <v/>
      </c>
      <c r="AU34" s="43">
        <f>SUM(AU5:AU32)</f>
        <v/>
      </c>
      <c r="AV34" s="43">
        <f>SUM(AV5:AV32)</f>
        <v/>
      </c>
      <c r="AW34" s="43">
        <f>SUM(AW5:AW32)</f>
        <v/>
      </c>
      <c r="AX34" s="43">
        <f>SUM(AX5:AX32)</f>
        <v/>
      </c>
      <c r="AY34" s="43">
        <f>SUM(AY5:AY32)</f>
        <v/>
      </c>
      <c r="AZ34" s="43">
        <f>SUM(AZ5:AZ32)</f>
        <v/>
      </c>
      <c r="BA34" s="43">
        <f>SUM(BA5:BA32)</f>
        <v/>
      </c>
      <c r="BB34" s="43">
        <f>SUM(BB5:BB32)</f>
        <v/>
      </c>
      <c r="BC34" s="43">
        <f>SUM(BC5:BC32)</f>
        <v/>
      </c>
      <c r="BD34" s="43">
        <f>SUM(BD5:BD32)</f>
        <v/>
      </c>
      <c r="BE34" s="43">
        <f>SUM(BE5:BE32)</f>
        <v/>
      </c>
      <c r="BF34" s="43">
        <f>SUM(BF5:BF32)</f>
        <v/>
      </c>
      <c r="BG34" s="43">
        <f>SUM(BG5:BG32)</f>
        <v/>
      </c>
      <c r="BH34" s="43">
        <f>SUM(BH5:BH32)</f>
        <v/>
      </c>
      <c r="BI34" s="43">
        <f>SUM(BI5:BI32)</f>
        <v/>
      </c>
      <c r="BJ34" s="43">
        <f>SUM(BJ5:BJ32)</f>
        <v/>
      </c>
      <c r="BK34" s="43">
        <f>SUM(BK5:BK32)</f>
        <v/>
      </c>
      <c r="BL34" s="43">
        <f>SUM(BL5:BL32)</f>
        <v/>
      </c>
      <c r="BM34" s="43">
        <f>SUM(BM5:BM32)</f>
        <v/>
      </c>
      <c r="BN34" s="43">
        <f>SUM(BN5:BN32)</f>
        <v/>
      </c>
      <c r="BO34" s="43">
        <f>SUM(BO5:BO32)</f>
        <v/>
      </c>
      <c r="BP34" s="43">
        <f>SUM(BP5:BP32)</f>
        <v/>
      </c>
      <c r="BQ34" s="43">
        <f>SUM(BQ5:BQ32)</f>
        <v/>
      </c>
      <c r="BR34" s="43">
        <f>SUM(BR5:BR32)</f>
        <v/>
      </c>
      <c r="BS34" s="43">
        <f>SUM(BS5:BS32)</f>
        <v/>
      </c>
      <c r="BT34" s="43">
        <f>SUM(BT5:BT32)</f>
        <v/>
      </c>
      <c r="BU34" s="43">
        <f>SUM(BU5:BU32)</f>
        <v/>
      </c>
      <c r="BV34" s="43">
        <f>SUM(BV5:BV32)</f>
        <v/>
      </c>
      <c r="BW34" s="43">
        <f>SUM(BW5:BW32)</f>
        <v/>
      </c>
      <c r="BX34" s="43">
        <f>SUM(BX5:BX32)</f>
        <v/>
      </c>
      <c r="BY34" s="43">
        <f>SUM(BY5:BY32)</f>
        <v/>
      </c>
      <c r="BZ34" s="43">
        <f>SUM(BZ5:BZ32)</f>
        <v/>
      </c>
      <c r="CA34" s="43">
        <f>SUM(CA5:CA32)</f>
        <v/>
      </c>
      <c r="CB34" s="43">
        <f>SUM(CB5:CB32)</f>
        <v/>
      </c>
      <c r="CC34" s="43">
        <f>SUM(CC5:CC32)</f>
        <v/>
      </c>
      <c r="CD34" s="43">
        <f>SUM(CD5:CD32)</f>
        <v/>
      </c>
      <c r="CE34" s="43">
        <f>SUM(CE5:CE32)</f>
        <v/>
      </c>
      <c r="CF34" s="43">
        <f>SUM(CF5:CF32)</f>
        <v/>
      </c>
      <c r="CG34" s="43">
        <f>SUM(CG5:CG32)</f>
        <v/>
      </c>
      <c r="CH34" s="43">
        <f>SUM(CH5:CH32)</f>
        <v/>
      </c>
      <c r="CI34" s="43">
        <f>SUM(CI5:CI32)</f>
        <v/>
      </c>
      <c r="CJ34" s="43">
        <f>SUM(CJ5:CJ32)</f>
        <v/>
      </c>
      <c r="CK34" s="43">
        <f>SUM(CK5:CK32)</f>
        <v/>
      </c>
      <c r="CL34" s="43">
        <f>SUM(CL5:CL32)</f>
        <v/>
      </c>
      <c r="CM34" s="43">
        <f>SUM(CM5:CM32)</f>
        <v/>
      </c>
      <c r="CN34" s="43">
        <f>SUM(CN5:CN32)</f>
        <v/>
      </c>
      <c r="CO34" s="43">
        <f>SUM(CO5:CO32)</f>
        <v/>
      </c>
      <c r="CP34" s="43">
        <f>SUM(CP5:CP32)</f>
        <v/>
      </c>
      <c r="CQ34" s="43">
        <f>SUM(CQ5:CQ32)</f>
        <v/>
      </c>
      <c r="CR34" s="43">
        <f>SUM(CR5:CR32)</f>
        <v/>
      </c>
      <c r="CS34" s="43">
        <f>SUM(CS5:CS32)</f>
        <v/>
      </c>
      <c r="CT34" s="43">
        <f>SUM(CT5:CT32)</f>
        <v/>
      </c>
      <c r="CU34" s="43">
        <f>SUM(CU5:CU32)</f>
        <v/>
      </c>
      <c r="CV34" s="43">
        <f>SUM(CV5:CV32)</f>
        <v/>
      </c>
      <c r="CW34" s="43">
        <f>SUM(CW5:CW32)</f>
        <v/>
      </c>
      <c r="CX34" s="43">
        <f>SUM(CX5:CX32)</f>
        <v/>
      </c>
      <c r="CY34" s="43">
        <f>SUM(CY5:CY32)</f>
        <v/>
      </c>
      <c r="CZ34" s="43">
        <f>SUM(CZ5:CZ32)</f>
        <v/>
      </c>
      <c r="DA34" s="43">
        <f>SUM(DA5:DA32)</f>
        <v/>
      </c>
      <c r="DB34" s="43">
        <f>SUM(DB5:DB32)</f>
        <v/>
      </c>
      <c r="DC34" s="43">
        <f>SUM(DC5:DC32)</f>
        <v/>
      </c>
      <c r="DD34" s="43">
        <f>SUM(DD5:DD32)</f>
        <v/>
      </c>
      <c r="DE34" s="43">
        <f>SUM(DE5:DE32)</f>
        <v/>
      </c>
      <c r="DF34" s="43">
        <f>SUM(DF5:DF32)</f>
        <v/>
      </c>
      <c r="DG34" s="43">
        <f>SUM(DG5:DG32)</f>
        <v/>
      </c>
      <c r="DH34" s="43">
        <f>SUM(DH5:DH32)</f>
        <v/>
      </c>
      <c r="DI34" s="43">
        <f>SUM(DI5:DI32)</f>
        <v/>
      </c>
      <c r="DJ34" s="43">
        <f>SUM(DJ5:DJ32)</f>
        <v/>
      </c>
      <c r="DK34" s="43">
        <f>SUM(DK5:DK32)</f>
        <v/>
      </c>
      <c r="DL34" s="43">
        <f>SUM(DL5:DL32)</f>
        <v/>
      </c>
      <c r="DM34" s="43">
        <f>SUM(DM5:DM32)</f>
        <v/>
      </c>
      <c r="DN34" s="43">
        <f>SUM(DN5:DN32)</f>
        <v/>
      </c>
      <c r="DO34" s="43">
        <f>SUM(DO5:DO32)</f>
        <v/>
      </c>
      <c r="DP34" s="43">
        <f>SUM(DP5:DP32)</f>
        <v/>
      </c>
      <c r="DQ34" s="43">
        <f>SUM(DQ5:DQ32)</f>
        <v/>
      </c>
      <c r="DR34" s="43">
        <f>SUM(DR5:DR32)</f>
        <v/>
      </c>
      <c r="DS34" s="43">
        <f>SUM(DS5:DS32)</f>
        <v/>
      </c>
      <c r="DT34" s="43">
        <f>SUM(DT5:DT32)</f>
        <v/>
      </c>
      <c r="DU34" s="43">
        <f>SUM(DU5:DU32)</f>
        <v/>
      </c>
      <c r="DV34" s="43">
        <f>SUM(DV5:DV32)</f>
        <v/>
      </c>
      <c r="DW34" s="43">
        <f>SUM(DW5:DW32)</f>
        <v/>
      </c>
      <c r="DX34" s="43">
        <f>SUM(DX5:DX32)</f>
        <v/>
      </c>
      <c r="DY34" s="43">
        <f>SUM(DY5:DY32)</f>
        <v/>
      </c>
      <c r="DZ34" s="43">
        <f>SUM(DZ5:DZ32)</f>
        <v/>
      </c>
      <c r="EA34" s="43">
        <f>SUM(EA5:EA32)</f>
        <v/>
      </c>
      <c r="EB34" s="43">
        <f>SUM(EB5:EB32)</f>
        <v/>
      </c>
      <c r="EC34" s="43">
        <f>SUM(EC5:EC32)</f>
        <v/>
      </c>
      <c r="ED34" s="43">
        <f>SUM(ED5:ED32)</f>
        <v/>
      </c>
      <c r="EE34" s="43">
        <f>SUM(EE5:EE32)</f>
        <v/>
      </c>
      <c r="EF34" s="43">
        <f>SUM(EF5:EF32)</f>
        <v/>
      </c>
      <c r="EG34" s="43">
        <f>SUM(EG5:EG32)</f>
        <v/>
      </c>
      <c r="EH34" s="43">
        <f>SUM(EH5:EH32)</f>
        <v/>
      </c>
      <c r="EI34" s="43">
        <f>SUM(EI5:EI32)</f>
        <v/>
      </c>
      <c r="EJ34" s="43">
        <f>SUM(EJ5:EJ32)</f>
        <v/>
      </c>
      <c r="EK34" s="43">
        <f>SUM(EK5:EK32)</f>
        <v/>
      </c>
      <c r="EL34" s="43">
        <f>SUM(EL5:EL32)</f>
        <v/>
      </c>
      <c r="EM34" s="43">
        <f>SUM(EM5:EM32)</f>
        <v/>
      </c>
      <c r="EN34" s="43">
        <f>SUM(EN5:EN32)</f>
        <v/>
      </c>
      <c r="EO34" s="43">
        <f>SUM(EO5:EO32)</f>
        <v/>
      </c>
      <c r="EP34" s="43">
        <f>SUM(EP5:EP32)</f>
        <v/>
      </c>
      <c r="EQ34" s="43">
        <f>SUM(EQ5:EQ32)</f>
        <v/>
      </c>
      <c r="ER34" s="43">
        <f>SUM(ER5:ER32)</f>
        <v/>
      </c>
      <c r="ES34" s="43">
        <f>SUM(ES5:ES32)</f>
        <v/>
      </c>
      <c r="ET34" s="43">
        <f>SUM(ET5:ET32)</f>
        <v/>
      </c>
      <c r="EU34" s="43">
        <f>SUM(EU5:EU32)</f>
        <v/>
      </c>
      <c r="EV34" s="43">
        <f>SUM(EV5:EV32)</f>
        <v/>
      </c>
      <c r="EW34" s="43">
        <f>SUM(EW5:EW32)</f>
        <v/>
      </c>
      <c r="EX34" s="43">
        <f>SUM(EX5:EX32)</f>
        <v/>
      </c>
      <c r="EY34" s="43">
        <f>SUM(EY5:EY32)</f>
        <v/>
      </c>
      <c r="EZ34" s="43">
        <f>SUM(EZ5:EZ32)</f>
        <v/>
      </c>
      <c r="FA34" s="43">
        <f>SUM(FA5:FA32)</f>
        <v/>
      </c>
      <c r="FB34" s="43">
        <f>SUM(FB5:FB32)</f>
        <v/>
      </c>
      <c r="FC34" s="43">
        <f>SUM(FC5:FC32)</f>
        <v/>
      </c>
      <c r="FD34" s="43">
        <f>SUM(FD5:FD32)</f>
        <v/>
      </c>
      <c r="FE34" s="43">
        <f>SUM(FE5:FE32)</f>
        <v/>
      </c>
      <c r="FF34" s="43">
        <f>SUM(FF5:FF32)</f>
        <v/>
      </c>
      <c r="FG34" s="43">
        <f>SUM(FG5:FG32)</f>
        <v/>
      </c>
      <c r="FH34" s="43">
        <f>SUM(FH5:FH32)</f>
        <v/>
      </c>
      <c r="FI34" s="43">
        <f>SUM(FI5:FI32)</f>
        <v/>
      </c>
      <c r="FJ34" s="43">
        <f>SUM(FJ5:FJ32)</f>
        <v/>
      </c>
      <c r="FK34" s="43">
        <f>SUM(FK5:FK32)</f>
        <v/>
      </c>
      <c r="FL34" s="43">
        <f>SUM(FL5:FL32)</f>
        <v/>
      </c>
      <c r="FM34" s="43">
        <f>SUM(FM5:FM32)</f>
        <v/>
      </c>
      <c r="FN34" s="43">
        <f>SUM(FN5:FN32)</f>
        <v/>
      </c>
      <c r="FO34" s="43">
        <f>SUM(FO5:FO32)</f>
        <v/>
      </c>
      <c r="FP34" s="43">
        <f>SUM(FP5:FP32)</f>
        <v/>
      </c>
      <c r="FQ34" s="43">
        <f>SUM(FQ5:FQ32)</f>
        <v/>
      </c>
      <c r="FR34" s="43">
        <f>SUM(FR5:FR32)</f>
        <v/>
      </c>
      <c r="FS34" s="43">
        <f>SUM(FS5:FS32)</f>
        <v/>
      </c>
      <c r="FT34" s="43">
        <f>SUM(FT5:FT32)</f>
        <v/>
      </c>
      <c r="FU34" s="43">
        <f>SUM(FU5:FU32)</f>
        <v/>
      </c>
      <c r="FV34" s="43">
        <f>SUM(FV5:FV32)</f>
        <v/>
      </c>
      <c r="FW34" s="43">
        <f>SUM(FW5:FW32)</f>
        <v/>
      </c>
      <c r="FX34" s="43">
        <f>SUM(FX5:FX32)</f>
        <v/>
      </c>
      <c r="FY34" s="43">
        <f>SUM(FY5:FY32)</f>
        <v/>
      </c>
      <c r="FZ34" s="43">
        <f>SUM(FZ5:FZ32)</f>
        <v/>
      </c>
      <c r="GA34" s="43">
        <f>SUM(GA5:GA32)</f>
        <v/>
      </c>
      <c r="GB34" s="43">
        <f>SUM(GB5:GB32)</f>
        <v/>
      </c>
      <c r="GC34" s="43">
        <f>SUM(GC5:GC32)</f>
        <v/>
      </c>
      <c r="GD34" s="43">
        <f>SUM(GD5:GD32)</f>
        <v/>
      </c>
      <c r="GE34" s="43">
        <f>SUM(GE5:GE32)</f>
        <v/>
      </c>
      <c r="GF34" s="43">
        <f>SUM(GF5:GF32)</f>
        <v/>
      </c>
      <c r="GG34" s="43">
        <f>SUM(GG5:GG32)</f>
        <v/>
      </c>
      <c r="GH34" s="43">
        <f>SUM(GH5:GH32)</f>
        <v/>
      </c>
      <c r="GI34" s="43">
        <f>SUM(GI5:GI32)</f>
        <v/>
      </c>
      <c r="GJ34" s="43">
        <f>SUM(GJ5:GJ32)</f>
        <v/>
      </c>
      <c r="GK34" s="43">
        <f>SUM(GK5:GK32)</f>
        <v/>
      </c>
      <c r="GL34" s="43">
        <f>SUM(GL5:GL32)</f>
        <v/>
      </c>
      <c r="GM34" s="43">
        <f>SUM(GM5:GM32)</f>
        <v/>
      </c>
      <c r="GN34" s="43">
        <f>SUM(GN5:GN32)</f>
        <v/>
      </c>
      <c r="GO34" s="43">
        <f>SUM(GO5:GO32)</f>
        <v/>
      </c>
      <c r="GP34" s="43">
        <f>SUM(GP5:GP32)</f>
        <v/>
      </c>
      <c r="GQ34" s="43">
        <f>SUM(GQ5:GQ32)</f>
        <v/>
      </c>
      <c r="GR34" s="43">
        <f>SUM(GR5:GR32)</f>
        <v/>
      </c>
      <c r="GS34" s="43">
        <f>SUM(GS5:GS32)</f>
        <v/>
      </c>
      <c r="GT34" s="43">
        <f>SUM(GT5:GT32)</f>
        <v/>
      </c>
      <c r="GU34" s="43">
        <f>SUM(GU5:GU32)</f>
        <v/>
      </c>
      <c r="GV34" s="43">
        <f>SUM(GV5:GV32)</f>
        <v/>
      </c>
      <c r="GW34" s="43">
        <f>SUM(GW5:GW32)</f>
        <v/>
      </c>
      <c r="GX34" s="43">
        <f>SUM(GX5:GX32)</f>
        <v/>
      </c>
      <c r="GY34" s="43">
        <f>SUM(GY5:GY32)</f>
        <v/>
      </c>
      <c r="GZ34" s="43">
        <f>SUM(GZ5:GZ32)</f>
        <v/>
      </c>
      <c r="HA34" s="43">
        <f>SUM(HA5:HA32)</f>
        <v/>
      </c>
      <c r="HB34" s="43">
        <f>SUM(HB5:HB32)</f>
        <v/>
      </c>
      <c r="HC34" s="43">
        <f>SUM(HC5:HC32)</f>
        <v/>
      </c>
      <c r="HD34" s="43">
        <f>SUM(HD5:HD32)</f>
        <v/>
      </c>
      <c r="HE34" s="43">
        <f>SUM(HE5:HE32)</f>
        <v/>
      </c>
      <c r="HF34" s="43">
        <f>SUM(HF5:HF32)</f>
        <v/>
      </c>
      <c r="HG34" s="43">
        <f>SUM(HG5:HG32)</f>
        <v/>
      </c>
      <c r="HH34" s="43">
        <f>SUM(HH5:HH32)</f>
        <v/>
      </c>
      <c r="HI34" s="43">
        <f>SUM(HI5:HI32)</f>
        <v/>
      </c>
      <c r="HJ34" s="43">
        <f>SUM(HJ5:HJ32)</f>
        <v/>
      </c>
      <c r="HK34" s="43">
        <f>SUM(HK5:HK32)</f>
        <v/>
      </c>
      <c r="HL34" s="43">
        <f>SUM(HL5:HL32)</f>
        <v/>
      </c>
      <c r="HM34" s="43">
        <f>SUM(HM5:HM32)</f>
        <v/>
      </c>
      <c r="HN34" s="43">
        <f>SUM(HN5:HN32)</f>
        <v/>
      </c>
      <c r="HO34" s="43">
        <f>SUM(HO5:HO32)</f>
        <v/>
      </c>
      <c r="HP34" s="43">
        <f>SUM(HP5:HP32)</f>
        <v/>
      </c>
      <c r="HQ34" s="43">
        <f>SUM(HQ5:HQ32)</f>
        <v/>
      </c>
      <c r="HR34" s="43">
        <f>SUM(HR5:HR32)</f>
        <v/>
      </c>
      <c r="HS34" s="43">
        <f>SUM(HS5:HS32)</f>
        <v/>
      </c>
      <c r="HT34" s="43">
        <f>SUM(HT5:HT32)</f>
        <v/>
      </c>
      <c r="HU34" s="43">
        <f>SUM(HU5:HU32)</f>
        <v/>
      </c>
      <c r="HV34" s="43">
        <f>SUM(HV5:HV32)</f>
        <v/>
      </c>
      <c r="HW34" s="43">
        <f>SUM(HW5:HW32)</f>
        <v/>
      </c>
      <c r="HX34" s="43">
        <f>SUM(HX5:HX32)</f>
        <v/>
      </c>
      <c r="HY34" s="43">
        <f>SUM(HY5:HY32)</f>
        <v/>
      </c>
      <c r="HZ34" s="43">
        <f>SUM(HZ5:HZ32)</f>
        <v/>
      </c>
      <c r="IA34" s="43">
        <f>SUM(IA5:IA32)</f>
        <v/>
      </c>
      <c r="IB34" s="43">
        <f>SUM(IB5:IB32)</f>
        <v/>
      </c>
      <c r="IC34" s="43">
        <f>SUM(IC5:IC32)</f>
        <v/>
      </c>
      <c r="ID34" s="43">
        <f>SUM(ID5:ID32)</f>
        <v/>
      </c>
      <c r="IE34" s="43">
        <f>SUM(IE5:IE32)</f>
        <v/>
      </c>
      <c r="IF34" s="43">
        <f>SUM(IF5:IF32)</f>
        <v/>
      </c>
      <c r="IG34" s="43">
        <f>SUM(IG5:IG32)</f>
        <v/>
      </c>
      <c r="IH34" s="43">
        <f>SUM(IH5:IH32)</f>
        <v/>
      </c>
      <c r="II34" s="43">
        <f>SUM(II5:II32)</f>
        <v/>
      </c>
      <c r="IJ34" s="43">
        <f>SUM(IJ5:IJ32)</f>
        <v/>
      </c>
      <c r="IK34" s="43">
        <f>SUM(IK5:IK32)</f>
        <v/>
      </c>
      <c r="IL34" s="43">
        <f>SUM(IL5:IL32)</f>
        <v/>
      </c>
      <c r="IM34" s="43">
        <f>SUM(IM5:IM32)</f>
        <v/>
      </c>
      <c r="IN34" s="43">
        <f>SUM(IN5:IN32)</f>
        <v/>
      </c>
      <c r="IO34" s="43">
        <f>SUM(IO5:IO32)</f>
        <v/>
      </c>
      <c r="IP34" s="43">
        <f>SUM(IP5:IP32)</f>
        <v/>
      </c>
      <c r="IQ34" s="43">
        <f>SUM(IQ5:IQ32)</f>
        <v/>
      </c>
      <c r="IR34" s="43">
        <f>SUM(IR5:IR32)</f>
        <v/>
      </c>
      <c r="IS34" s="43">
        <f>SUM(IS5:IS32)</f>
        <v/>
      </c>
      <c r="IT34" s="43">
        <f>SUM(IT5:IT32)</f>
        <v/>
      </c>
      <c r="IU34" s="43">
        <f>SUM(IU5:IU32)</f>
        <v/>
      </c>
      <c r="IV34" s="43">
        <f>SUM(IV5:IV32)</f>
        <v/>
      </c>
      <c r="IW34" s="43">
        <f>SUM(IW5:IW32)</f>
        <v/>
      </c>
      <c r="IX34" s="43">
        <f>SUM(IX5:IX32)</f>
        <v/>
      </c>
      <c r="IY34" s="43">
        <f>SUM(IY5:IY32)</f>
        <v/>
      </c>
      <c r="IZ34" s="43">
        <f>SUM(IZ5:IZ32)</f>
        <v/>
      </c>
      <c r="JA34" s="43">
        <f>SUM(JA5:JA32)</f>
        <v/>
      </c>
      <c r="JB34" s="43">
        <f>SUM(JB5:JB32)</f>
        <v/>
      </c>
      <c r="JC34" s="43">
        <f>SUM(JC5:JC32)</f>
        <v/>
      </c>
      <c r="JD34" s="43">
        <f>SUM(JD5:JD32)</f>
        <v/>
      </c>
      <c r="JE34" s="43">
        <f>SUM(JE5:JE32)</f>
        <v/>
      </c>
      <c r="JF34" s="43">
        <f>SUM(JF5:JF32)</f>
        <v/>
      </c>
      <c r="JG34" s="43">
        <f>SUM(JG5:JG32)</f>
        <v/>
      </c>
      <c r="JH34" s="43">
        <f>SUM(JH5:JH32)</f>
        <v/>
      </c>
      <c r="JI34" s="43">
        <f>SUM(JI5:JI32)</f>
        <v/>
      </c>
      <c r="JJ34" s="43">
        <f>SUM(JJ5:JJ32)</f>
        <v/>
      </c>
      <c r="JK34" s="43">
        <f>SUM(JK5:JK32)</f>
        <v/>
      </c>
      <c r="JL34" s="43">
        <f>SUM(JL5:JL32)</f>
        <v/>
      </c>
      <c r="JM34" s="43">
        <f>SUM(JM5:JM32)</f>
        <v/>
      </c>
      <c r="JN34" s="43">
        <f>SUM(JN5:JN32)</f>
        <v/>
      </c>
      <c r="JO34" s="43">
        <f>SUM(JO5:JO32)</f>
        <v/>
      </c>
      <c r="JP34" s="43">
        <f>SUM(JP5:JP32)</f>
        <v/>
      </c>
      <c r="JQ34" s="43">
        <f>SUM(JQ5:JQ32)</f>
        <v/>
      </c>
      <c r="JR34" s="43">
        <f>SUM(JR5:JR32)</f>
        <v/>
      </c>
      <c r="JS34" s="43">
        <f>SUM(JS5:JS32)</f>
        <v/>
      </c>
      <c r="JT34" s="43">
        <f>SUM(JT5:JT32)</f>
        <v/>
      </c>
      <c r="JU34" s="43">
        <f>SUM(JU5:JU32)</f>
        <v/>
      </c>
      <c r="JV34" s="43">
        <f>SUM(JV5:JV32)</f>
        <v/>
      </c>
      <c r="JW34" s="43">
        <f>SUM(JW5:JW32)</f>
        <v/>
      </c>
      <c r="JX34" s="43">
        <f>SUM(JX5:JX32)</f>
        <v/>
      </c>
      <c r="JY34" s="43">
        <f>SUM(JY5:JY32)</f>
        <v/>
      </c>
      <c r="JZ34" s="43">
        <f>SUM(JZ5:JZ32)</f>
        <v/>
      </c>
      <c r="KA34" s="43">
        <f>SUM(KA5:KA32)</f>
        <v/>
      </c>
      <c r="KB34" s="43">
        <f>SUM(KB5:KB32)</f>
        <v/>
      </c>
      <c r="KC34" s="43">
        <f>SUM(KC5:KC32)</f>
        <v/>
      </c>
      <c r="KD34" s="43">
        <f>SUM(KD5:KD32)</f>
        <v/>
      </c>
      <c r="KE34" s="43">
        <f>SUM(KE5:KE32)</f>
        <v/>
      </c>
      <c r="KF34" s="43">
        <f>SUM(KF5:KF32)</f>
        <v/>
      </c>
      <c r="KG34" s="43">
        <f>SUM(KG5:KG32)</f>
        <v/>
      </c>
      <c r="KH34" s="43">
        <f>SUM(KH5:KH32)</f>
        <v/>
      </c>
      <c r="KI34" s="43">
        <f>SUM(KI5:KI32)</f>
        <v/>
      </c>
      <c r="KJ34" s="43">
        <f>SUM(KJ5:KJ32)</f>
        <v/>
      </c>
      <c r="KK34" s="43">
        <f>SUM(KK5:KK32)</f>
        <v/>
      </c>
      <c r="KL34" s="43">
        <f>SUM(KL5:KL32)</f>
        <v/>
      </c>
      <c r="KM34" s="43">
        <f>SUM(KM5:KM32)</f>
        <v/>
      </c>
      <c r="KN34" s="43">
        <f>SUM(KN5:KN32)</f>
        <v/>
      </c>
      <c r="KO34" s="43">
        <f>SUM(KO5:KO32)</f>
        <v/>
      </c>
      <c r="KP34" s="43">
        <f>SUM(KP5:KP32)</f>
        <v/>
      </c>
      <c r="KQ34" s="43">
        <f>SUM(KQ5:KQ32)</f>
        <v/>
      </c>
      <c r="KR34" s="43">
        <f>SUM(KR5:KR32)</f>
        <v/>
      </c>
      <c r="KS34" s="43">
        <f>SUM(KS5:KS32)</f>
        <v/>
      </c>
      <c r="KT34" s="43">
        <f>SUM(KT5:KT32)</f>
        <v/>
      </c>
      <c r="KU34" s="43">
        <f>SUM(KU5:KU32)</f>
        <v/>
      </c>
      <c r="KV34" s="43">
        <f>SUM(KV5:KV32)</f>
        <v/>
      </c>
      <c r="KW34" s="43">
        <f>SUM(KW5:KW32)</f>
        <v/>
      </c>
      <c r="KX34" s="43">
        <f>SUM(KX5:KX32)</f>
        <v/>
      </c>
      <c r="KY34" s="43">
        <f>SUM(KY5:KY32)</f>
        <v/>
      </c>
      <c r="KZ34" s="43">
        <f>SUM(KZ5:KZ32)</f>
        <v/>
      </c>
      <c r="LA34" s="43">
        <f>SUM(LA5:LA32)</f>
        <v/>
      </c>
      <c r="LB34" s="43">
        <f>SUM(LB5:LB32)</f>
        <v/>
      </c>
      <c r="LC34" s="43">
        <f>SUM(LC5:LC32)</f>
        <v/>
      </c>
      <c r="LD34" s="43">
        <f>SUM(LD5:LD32)</f>
        <v/>
      </c>
      <c r="LE34" s="43">
        <f>SUM(LE5:LE32)</f>
        <v/>
      </c>
      <c r="LF34" s="43">
        <f>SUM(LF5:LF32)</f>
        <v/>
      </c>
      <c r="LG34" s="43">
        <f>SUM(LG5:LG32)</f>
        <v/>
      </c>
      <c r="LH34" s="43">
        <f>SUM(LH5:LH32)</f>
        <v/>
      </c>
      <c r="LI34" s="43">
        <f>SUM(LI5:LI32)</f>
        <v/>
      </c>
      <c r="LJ34" s="43">
        <f>SUM(LJ5:LJ32)</f>
        <v/>
      </c>
      <c r="LK34" s="43">
        <f>SUM(LK5:LK32)</f>
        <v/>
      </c>
      <c r="LL34" s="43">
        <f>SUM(LL5:LL32)</f>
        <v/>
      </c>
      <c r="LM34" s="43">
        <f>SUM(LM5:LM32)</f>
        <v/>
      </c>
      <c r="LN34" s="43">
        <f>SUM(LN5:LN32)</f>
        <v/>
      </c>
      <c r="LO34" s="43">
        <f>SUM(LO5:LO32)</f>
        <v/>
      </c>
      <c r="LP34" s="43">
        <f>SUM(LP5:LP32)</f>
        <v/>
      </c>
      <c r="LQ34" s="43">
        <f>SUM(LQ5:LQ32)</f>
        <v/>
      </c>
      <c r="LR34" s="43">
        <f>SUM(LR5:LR32)</f>
        <v/>
      </c>
      <c r="LS34" s="43">
        <f>SUM(LS5:LS32)</f>
        <v/>
      </c>
      <c r="LT34" s="43">
        <f>SUM(LT5:LT32)</f>
        <v/>
      </c>
      <c r="LU34" s="43">
        <f>SUM(LU5:LU32)</f>
        <v/>
      </c>
      <c r="LV34" s="43">
        <f>SUM(LV5:LV32)</f>
        <v/>
      </c>
      <c r="LW34" s="43">
        <f>SUM(LW5:LW32)</f>
        <v/>
      </c>
      <c r="LX34" s="43">
        <f>SUM(LX5:LX32)</f>
        <v/>
      </c>
      <c r="LY34" s="43">
        <f>SUM(LY5:LY32)</f>
        <v/>
      </c>
      <c r="LZ34" s="43">
        <f>SUM(LZ5:LZ32)</f>
        <v/>
      </c>
      <c r="MA34" s="43">
        <f>SUM(MA5:MA32)</f>
        <v/>
      </c>
      <c r="MB34" s="43">
        <f>SUM(MB5:MB32)</f>
        <v/>
      </c>
      <c r="MC34" s="43">
        <f>SUM(MC5:MC32)</f>
        <v/>
      </c>
      <c r="MD34" s="43">
        <f>SUM(MD5:MD32)</f>
        <v/>
      </c>
      <c r="ME34" s="43">
        <f>SUM(ME5:ME32)</f>
        <v/>
      </c>
      <c r="MF34" s="43">
        <f>SUM(MF5:MF32)</f>
        <v/>
      </c>
      <c r="MG34" s="43">
        <f>SUM(MG5:MG32)</f>
        <v/>
      </c>
      <c r="MH34" s="43">
        <f>SUM(MH5:MH32)</f>
        <v/>
      </c>
      <c r="MI34" s="43">
        <f>SUM(MI5:MI32)</f>
        <v/>
      </c>
      <c r="MJ34" s="43">
        <f>SUM(MJ5:MJ32)</f>
        <v/>
      </c>
      <c r="MK34" s="43">
        <f>SUM(MK5:MK32)</f>
        <v/>
      </c>
      <c r="ML34" s="43">
        <f>SUM(ML5:ML32)</f>
        <v/>
      </c>
      <c r="MM34" s="43">
        <f>SUM(MM5:MM32)</f>
        <v/>
      </c>
      <c r="MN34" s="43">
        <f>SUM(MN5:MN32)</f>
        <v/>
      </c>
      <c r="MO34" s="43">
        <f>SUM(MO5:MO32)</f>
        <v/>
      </c>
      <c r="MP34" s="43">
        <f>SUM(MP5:MP32)</f>
        <v/>
      </c>
      <c r="MQ34" s="43">
        <f>SUM(MQ5:MQ32)</f>
        <v/>
      </c>
      <c r="MR34" s="43">
        <f>SUM(MR5:MR32)</f>
        <v/>
      </c>
      <c r="MS34" s="43">
        <f>SUM(MS5:MS32)</f>
        <v/>
      </c>
      <c r="MT34" s="43">
        <f>SUM(MT5:MT32)</f>
        <v/>
      </c>
      <c r="MU34" s="43">
        <f>SUM(MU5:MU32)</f>
        <v/>
      </c>
      <c r="MV34" s="43">
        <f>SUM(MV5:MV32)</f>
        <v/>
      </c>
      <c r="MW34" s="43">
        <f>SUM(MW5:MW32)</f>
        <v/>
      </c>
      <c r="MX34" s="43">
        <f>SUM(MX5:MX32)</f>
        <v/>
      </c>
      <c r="MY34" s="43">
        <f>SUM(MY5:MY32)</f>
        <v/>
      </c>
      <c r="MZ34" s="43">
        <f>SUM(MZ5:MZ32)</f>
        <v/>
      </c>
      <c r="NA34" s="43">
        <f>SUM(NA5:NA32)</f>
        <v/>
      </c>
      <c r="NB34" s="43">
        <f>SUM(NB5:NB32)</f>
        <v/>
      </c>
      <c r="NC34" s="43">
        <f>SUM(NC5:NC32)</f>
        <v/>
      </c>
      <c r="ND34" s="43">
        <f>SUM(ND5:ND32)</f>
        <v/>
      </c>
      <c r="NE34" s="43">
        <f>SUM(NE5:NE32)</f>
        <v/>
      </c>
      <c r="NF34" s="43">
        <f>SUM(NF5:NF32)</f>
        <v/>
      </c>
      <c r="NG34" s="43">
        <f>SUM(NG5:NG32)</f>
        <v/>
      </c>
      <c r="NH34" s="43">
        <f>SUM(NH5:NH32)</f>
        <v/>
      </c>
      <c r="NI34" s="43">
        <f>SUM(NI5:NI32)</f>
        <v/>
      </c>
      <c r="NJ34" s="43">
        <f>SUM(NJ5:NJ32)</f>
        <v/>
      </c>
      <c r="NK34" s="43">
        <f>SUM(NK5:NK32)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7">
      <c r="A37" s="3" t="inlineStr">
        <is>
          <t>Cost-Curve Reconciliation</t>
        </is>
      </c>
      <c r="B37" s="4" t="n"/>
      <c r="C37" s="4" t="n"/>
    </row>
    <row r="38">
      <c r="A38" s="5" t="inlineStr">
        <is>
          <t>Max |line curve sum − Budget total|</t>
        </is>
      </c>
      <c r="C38" s="43">
        <f>MAX(ABS('DevSpend'!$C$5-Budget!I5),ABS('DevSpend'!$C$6-Budget!I6),ABS('DevSpend'!$C$7-Budget!I7),ABS('DevSpend'!$C$8-Budget!I8),ABS('DevSpend'!$C$9-Budget!I9),ABS('DevSpend'!$C$10-Budget!I10),ABS('DevSpend'!$C$11-Budget!I11),ABS('DevSpend'!$C$12-Budget!I12),ABS('DevSpend'!$C$13-Budget!I13),ABS('DevSpend'!$C$14-Budget!I14),ABS('DevSpend'!$C$15-Budget!I15),ABS('DevSpend'!$C$16-Budget!I16),ABS('DevSpend'!$C$17-Budget!I17),ABS('DevSpend'!$C$18-Budget!I18),ABS('DevSpend'!$C$19-Budget!I19),ABS('DevSpend'!$C$20-Budget!I20),ABS('DevSpend'!$C$21-Budget!I21),ABS('DevSpend'!$C$22-Budget!I22),ABS('DevSpend'!$C$23-Budget!I23),ABS('DevSpend'!$C$24-Budget!I24),ABS('DevSpend'!$C$25-Budget!I25),ABS('DevSpend'!$C$26-Budget!I26),ABS('DevSpend'!$C$27-Budget!I27),ABS('DevSpend'!$C$28-Budget!I28),ABS('DevSpend'!$C$29-Budget!I29),ABS('DevSpend'!$C$30-Budget!I30),ABS('DevSpend'!$C$31-Budget!I31),ABS('DevSpend'!$C$32-Budget!I32))</f>
        <v/>
      </c>
    </row>
    <row r="39">
      <c r="A39" s="5" t="inlineStr">
        <is>
          <t>Dev fee curve sum − DevFee</t>
        </is>
      </c>
      <c r="C39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'DevSpend'!D$34+'DevSpend'!D$35+IF(1=MS_Initial_Closing_Start,ConOtherCosts+ConPoints+RecourseFee,0)+IF(1=StabMonth,OpReserve,0)</f>
        <v/>
      </c>
      <c r="E26" s="18">
        <f>'DevSpend'!E$34+'DevSpend'!E$35+IF(2=MS_Initial_Closing_Start,ConOtherCosts+ConPoints+RecourseFee,0)+IF(2=StabMonth,OpReserve,0)</f>
        <v/>
      </c>
      <c r="F26" s="18">
        <f>'DevSpend'!F$34+'DevSpend'!F$35+IF(3=MS_Initial_Closing_Start,ConOtherCosts+ConPoints+RecourseFee,0)+IF(3=StabMonth,OpReserve,0)</f>
        <v/>
      </c>
      <c r="G26" s="18">
        <f>'DevSpend'!G$34+'DevSpend'!G$35+IF(4=MS_Initial_Closing_Start,ConOtherCosts+ConPoints+RecourseFee,0)+IF(4=StabMonth,OpReserve,0)</f>
        <v/>
      </c>
      <c r="H26" s="18">
        <f>'DevSpend'!H$34+'DevSpend'!H$35+IF(5=MS_Initial_Closing_Start,ConOtherCosts+ConPoints+RecourseFee,0)+IF(5=StabMonth,OpReserve,0)</f>
        <v/>
      </c>
      <c r="I26" s="18">
        <f>'DevSpend'!I$34+'DevSpend'!I$35+IF(6=MS_Initial_Closing_Start,ConOtherCosts+ConPoints+RecourseFee,0)+IF(6=StabMonth,OpReserve,0)</f>
        <v/>
      </c>
      <c r="J26" s="18">
        <f>'DevSpend'!J$34+'DevSpend'!J$35+IF(7=MS_Initial_Closing_Start,ConOtherCosts+ConPoints+RecourseFee,0)+IF(7=StabMonth,OpReserve,0)</f>
        <v/>
      </c>
      <c r="K26" s="18">
        <f>'DevSpend'!K$34+'DevSpend'!K$35+IF(8=MS_Initial_Closing_Start,ConOtherCosts+ConPoints+RecourseFee,0)+IF(8=StabMonth,OpReserve,0)</f>
        <v/>
      </c>
      <c r="L26" s="18">
        <f>'DevSpend'!L$34+'DevSpend'!L$35+IF(9=MS_Initial_Closing_Start,ConOtherCosts+ConPoints+RecourseFee,0)+IF(9=StabMonth,OpReserve,0)</f>
        <v/>
      </c>
      <c r="M26" s="18">
        <f>'DevSpend'!M$34+'DevSpend'!M$35+IF(10=MS_Initial_Closing_Start,ConOtherCosts+ConPoints+RecourseFee,0)+IF(10=StabMonth,OpReserve,0)</f>
        <v/>
      </c>
      <c r="N26" s="18">
        <f>'DevSpend'!N$34+'DevSpend'!N$35+IF(11=MS_Initial_Closing_Start,ConOtherCosts+ConPoints+RecourseFee,0)+IF(11=StabMonth,OpReserve,0)</f>
        <v/>
      </c>
      <c r="O26" s="18">
        <f>'DevSpend'!O$34+'DevSpend'!O$35+IF(12=MS_Initial_Closing_Start,ConOtherCosts+ConPoints+RecourseFee,0)+IF(12=StabMonth,OpReserve,0)</f>
        <v/>
      </c>
      <c r="P26" s="18">
        <f>'DevSpend'!P$34+'DevSpend'!P$35+IF(13=MS_Initial_Closing_Start,ConOtherCosts+ConPoints+RecourseFee,0)+IF(13=StabMonth,OpReserve,0)</f>
        <v/>
      </c>
      <c r="Q26" s="18">
        <f>'DevSpend'!Q$34+'DevSpend'!Q$35+IF(14=MS_Initial_Closing_Start,ConOtherCosts+ConPoints+RecourseFee,0)+IF(14=StabMonth,OpReserve,0)</f>
        <v/>
      </c>
      <c r="R26" s="18">
        <f>'DevSpend'!R$34+'DevSpend'!R$35+IF(15=MS_Initial_Closing_Start,ConOtherCosts+ConPoints+RecourseFee,0)+IF(15=StabMonth,OpReserve,0)</f>
        <v/>
      </c>
      <c r="S26" s="18">
        <f>'DevSpend'!S$34+'DevSpend'!S$35+IF(16=MS_Initial_Closing_Start,ConOtherCosts+ConPoints+RecourseFee,0)+IF(16=StabMonth,OpReserve,0)</f>
        <v/>
      </c>
      <c r="T26" s="18">
        <f>'DevSpend'!T$34+'DevSpend'!T$35+IF(17=MS_Initial_Closing_Start,ConOtherCosts+ConPoints+RecourseFee,0)+IF(17=StabMonth,OpReserve,0)</f>
        <v/>
      </c>
      <c r="U26" s="18">
        <f>'DevSpend'!U$34+'DevSpend'!U$35+IF(18=MS_Initial_Closing_Start,ConOtherCosts+ConPoints+RecourseFee,0)+IF(18=StabMonth,OpReserve,0)</f>
        <v/>
      </c>
      <c r="V26" s="18">
        <f>'DevSpend'!V$34+'DevSpend'!V$35+IF(19=MS_Initial_Closing_Start,ConOtherCosts+ConPoints+RecourseFee,0)+IF(19=StabMonth,OpReserve,0)</f>
        <v/>
      </c>
      <c r="W26" s="18">
        <f>'DevSpend'!W$34+'DevSpend'!W$35+IF(20=MS_Initial_Closing_Start,ConOtherCosts+ConPoints+RecourseFee,0)+IF(20=StabMonth,OpReserve,0)</f>
        <v/>
      </c>
      <c r="X26" s="18">
        <f>'DevSpend'!X$34+'DevSpend'!X$35+IF(21=MS_Initial_Closing_Start,ConOtherCosts+ConPoints+RecourseFee,0)+IF(21=StabMonth,OpReserve,0)</f>
        <v/>
      </c>
      <c r="Y26" s="18">
        <f>'DevSpend'!Y$34+'DevSpend'!Y$35+IF(22=MS_Initial_Closing_Start,ConOtherCosts+ConPoints+RecourseFee,0)+IF(22=StabMonth,OpReserve,0)</f>
        <v/>
      </c>
      <c r="Z26" s="18">
        <f>'DevSpend'!Z$34+'DevSpend'!Z$35+IF(23=MS_Initial_Closing_Start,ConOtherCosts+ConPoints+RecourseFee,0)+IF(23=StabMonth,OpReserve,0)</f>
        <v/>
      </c>
      <c r="AA26" s="18">
        <f>'DevSpend'!AA$34+'DevSpend'!AA$35+IF(24=MS_Initial_Closing_Start,ConOtherCosts+ConPoints+RecourseFee,0)+IF(24=StabMonth,OpReserve,0)</f>
        <v/>
      </c>
      <c r="AB26" s="18">
        <f>'DevSpend'!AB$34+'DevSpend'!AB$35+IF(25=MS_Initial_Closing_Start,ConOtherCosts+ConPoints+RecourseFee,0)+IF(25=StabMonth,OpReserve,0)</f>
        <v/>
      </c>
      <c r="AC26" s="18">
        <f>'DevSpend'!AC$34+'DevSpend'!AC$35+IF(26=MS_Initial_Closing_Start,ConOtherCosts+ConPoints+RecourseFee,0)+IF(26=StabMonth,OpReserve,0)</f>
        <v/>
      </c>
      <c r="AD26" s="18">
        <f>'DevSpend'!AD$34+'DevSpend'!AD$35+IF(27=MS_Initial_Closing_Start,ConOtherCosts+ConPoints+RecourseFee,0)+IF(27=StabMonth,OpReserve,0)</f>
        <v/>
      </c>
      <c r="AE26" s="18">
        <f>'DevSpend'!AE$34+'DevSpend'!AE$35+IF(28=MS_Initial_Closing_Start,ConOtherCosts+ConPoints+RecourseFee,0)+IF(28=StabMonth,OpReserve,0)</f>
        <v/>
      </c>
      <c r="AF26" s="18">
        <f>'DevSpend'!AF$34+'DevSpend'!AF$35+IF(29=MS_Initial_Closing_Start,ConOtherCosts+ConPoints+RecourseFee,0)+IF(29=StabMonth,OpReserve,0)</f>
        <v/>
      </c>
      <c r="AG26" s="18">
        <f>'DevSpend'!AG$34+'DevSpend'!AG$35+IF(30=MS_Initial_Closing_Start,ConOtherCosts+ConPoints+RecourseFee,0)+IF(30=StabMonth,OpReserve,0)</f>
        <v/>
      </c>
      <c r="AH26" s="18">
        <f>'DevSpend'!AH$34+'DevSpend'!AH$35+IF(31=MS_Initial_Closing_Start,ConOtherCosts+ConPoints+RecourseFee,0)+IF(31=StabMonth,OpReserve,0)</f>
        <v/>
      </c>
      <c r="AI26" s="18">
        <f>'DevSpend'!AI$34+'DevSpend'!AI$35+IF(32=MS_Initial_Closing_Start,ConOtherCosts+ConPoints+RecourseFee,0)+IF(32=StabMonth,OpReserve,0)</f>
        <v/>
      </c>
      <c r="AJ26" s="18">
        <f>'DevSpend'!AJ$34+'DevSpend'!AJ$35+IF(33=MS_Initial_Closing_Start,ConOtherCosts+ConPoints+RecourseFee,0)+IF(33=StabMonth,OpReserve,0)</f>
        <v/>
      </c>
      <c r="AK26" s="18">
        <f>'DevSpend'!AK$34+'DevSpend'!AK$35+IF(34=MS_Initial_Closing_Start,ConOtherCosts+ConPoints+RecourseFee,0)+IF(34=StabMonth,OpReserve,0)</f>
        <v/>
      </c>
      <c r="AL26" s="18">
        <f>'DevSpend'!AL$34+'DevSpend'!AL$35+IF(35=MS_Initial_Closing_Start,ConOtherCosts+ConPoints+RecourseFee,0)+IF(35=StabMonth,OpReserve,0)</f>
        <v/>
      </c>
      <c r="AM26" s="18">
        <f>'DevSpend'!AM$34+'DevSpend'!AM$35+IF(36=MS_Initial_Closing_Start,ConOtherCosts+ConPoints+RecourseFee,0)+IF(36=StabMonth,OpReserve,0)</f>
        <v/>
      </c>
      <c r="AN26" s="18">
        <f>'DevSpend'!AN$34+'DevSpend'!AN$35+IF(37=MS_Initial_Closing_Start,ConOtherCosts+ConPoints+RecourseFee,0)+IF(37=StabMonth,OpReserve,0)</f>
        <v/>
      </c>
      <c r="AO26" s="18">
        <f>'DevSpend'!AO$34+'DevSpend'!AO$35+IF(38=MS_Initial_Closing_Start,ConOtherCosts+ConPoints+RecourseFee,0)+IF(38=StabMonth,OpReserve,0)</f>
        <v/>
      </c>
      <c r="AP26" s="18">
        <f>'DevSpend'!AP$34+'DevSpend'!AP$35+IF(39=MS_Initial_Closing_Start,ConOtherCosts+ConPoints+RecourseFee,0)+IF(39=StabMonth,OpReserve,0)</f>
        <v/>
      </c>
      <c r="AQ26" s="18">
        <f>'DevSpend'!AQ$34+'DevSpend'!AQ$35+IF(40=MS_Initial_Closing_Start,ConOtherCosts+ConPoints+RecourseFee,0)+IF(40=StabMonth,OpReserve,0)</f>
        <v/>
      </c>
      <c r="AR26" s="18">
        <f>'DevSpend'!AR$34+'DevSpend'!AR$35+IF(41=MS_Initial_Closing_Start,ConOtherCosts+ConPoints+RecourseFee,0)+IF(41=StabMonth,OpReserve,0)</f>
        <v/>
      </c>
      <c r="AS26" s="18">
        <f>'DevSpend'!AS$34+'DevSpend'!AS$35+IF(42=MS_Initial_Closing_Start,ConOtherCosts+ConPoints+RecourseFee,0)+IF(42=StabMonth,OpReserve,0)</f>
        <v/>
      </c>
      <c r="AT26" s="18">
        <f>'DevSpend'!AT$34+'DevSpend'!AT$35+IF(43=MS_Initial_Closing_Start,ConOtherCosts+ConPoints+RecourseFee,0)+IF(43=StabMonth,OpReserve,0)</f>
        <v/>
      </c>
      <c r="AU26" s="18">
        <f>'DevSpend'!AU$34+'DevSpend'!AU$35+IF(44=MS_Initial_Closing_Start,ConOtherCosts+ConPoints+RecourseFee,0)+IF(44=StabMonth,OpReserve,0)</f>
        <v/>
      </c>
      <c r="AV26" s="18">
        <f>'DevSpend'!AV$34+'DevSpend'!AV$35+IF(45=MS_Initial_Closing_Start,ConOtherCosts+ConPoints+RecourseFee,0)+IF(45=StabMonth,OpReserve,0)</f>
        <v/>
      </c>
      <c r="AW26" s="18">
        <f>'DevSpend'!AW$34+'DevSpend'!AW$35+IF(46=MS_Initial_Closing_Start,ConOtherCosts+ConPoints+RecourseFee,0)+IF(46=StabMonth,OpReserve,0)</f>
        <v/>
      </c>
      <c r="AX26" s="18">
        <f>'DevSpend'!AX$34+'DevSpend'!AX$35+IF(47=MS_Initial_Closing_Start,ConOtherCosts+ConPoints+RecourseFee,0)+IF(47=StabMonth,OpReserve,0)</f>
        <v/>
      </c>
      <c r="AY26" s="18">
        <f>'DevSpend'!AY$34+'DevSpend'!AY$35+IF(48=MS_Initial_Closing_Start,ConOtherCosts+ConPoints+RecourseFee,0)+IF(48=StabMonth,OpReserve,0)</f>
        <v/>
      </c>
      <c r="AZ26" s="18">
        <f>'DevSpend'!AZ$34+'DevSpend'!AZ$35+IF(49=MS_Initial_Closing_Start,ConOtherCosts+ConPoints+RecourseFee,0)+IF(49=StabMonth,OpReserve,0)</f>
        <v/>
      </c>
      <c r="BA26" s="18">
        <f>'DevSpend'!BA$34+'DevSpend'!BA$35+IF(50=MS_Initial_Closing_Start,ConOtherCosts+ConPoints+RecourseFee,0)+IF(50=StabMonth,OpReserve,0)</f>
        <v/>
      </c>
      <c r="BB26" s="18">
        <f>'DevSpend'!BB$34+'DevSpend'!BB$35+IF(51=MS_Initial_Closing_Start,ConOtherCosts+ConPoints+RecourseFee,0)+IF(51=StabMonth,OpReserve,0)</f>
        <v/>
      </c>
      <c r="BC26" s="18">
        <f>'DevSpend'!BC$34+'DevSpend'!BC$35+IF(52=MS_Initial_Closing_Start,ConOtherCosts+ConPoints+RecourseFee,0)+IF(52=StabMonth,OpReserve,0)</f>
        <v/>
      </c>
      <c r="BD26" s="18">
        <f>'DevSpend'!BD$34+'DevSpend'!BD$35+IF(53=MS_Initial_Closing_Start,ConOtherCosts+ConPoints+RecourseFee,0)+IF(53=StabMonth,OpReserve,0)</f>
        <v/>
      </c>
      <c r="BE26" s="18">
        <f>'DevSpend'!BE$34+'DevSpend'!BE$35+IF(54=MS_Initial_Closing_Start,ConOtherCosts+ConPoints+RecourseFee,0)+IF(54=StabMonth,OpReserve,0)</f>
        <v/>
      </c>
      <c r="BF26" s="18">
        <f>'DevSpend'!BF$34+'DevSpend'!BF$35+IF(55=MS_Initial_Closing_Start,ConOtherCosts+ConPoints+RecourseFee,0)+IF(55=StabMonth,OpReserve,0)</f>
        <v/>
      </c>
      <c r="BG26" s="18">
        <f>'DevSpend'!BG$34+'DevSpend'!BG$35+IF(56=MS_Initial_Closing_Start,ConOtherCosts+ConPoints+RecourseFee,0)+IF(56=StabMonth,OpReserve,0)</f>
        <v/>
      </c>
      <c r="BH26" s="18">
        <f>'DevSpend'!BH$34+'DevSpend'!BH$35+IF(57=MS_Initial_Closing_Start,ConOtherCosts+ConPoints+RecourseFee,0)+IF(57=StabMonth,OpReserve,0)</f>
        <v/>
      </c>
      <c r="BI26" s="18">
        <f>'DevSpend'!BI$34+'DevSpend'!BI$35+IF(58=MS_Initial_Closing_Start,ConOtherCosts+ConPoints+RecourseFee,0)+IF(58=StabMonth,OpReserve,0)</f>
        <v/>
      </c>
      <c r="BJ26" s="18">
        <f>'DevSpend'!BJ$34+'DevSpend'!BJ$35+IF(59=MS_Initial_Closing_Start,ConOtherCosts+ConPoints+RecourseFee,0)+IF(59=StabMonth,OpReserve,0)</f>
        <v/>
      </c>
      <c r="BK26" s="18">
        <f>'DevSpend'!BK$34+'DevSpend'!BK$35+IF(60=MS_Initial_Closing_Start,ConOtherCosts+ConPoints+RecourseFee,0)+IF(60=StabMonth,OpReserve,0)</f>
        <v/>
      </c>
      <c r="BL26" s="18">
        <f>'DevSpend'!BL$34+'DevSpend'!BL$35+IF(61=MS_Initial_Closing_Start,ConOtherCosts+ConPoints+RecourseFee,0)+IF(61=StabMonth,OpReserve,0)</f>
        <v/>
      </c>
      <c r="BM26" s="18">
        <f>'DevSpend'!BM$34+'DevSpend'!BM$35+IF(62=MS_Initial_Closing_Start,ConOtherCosts+ConPoints+RecourseFee,0)+IF(62=StabMonth,OpReserve,0)</f>
        <v/>
      </c>
      <c r="BN26" s="18">
        <f>'DevSpend'!BN$34+'DevSpend'!BN$35+IF(63=MS_Initial_Closing_Start,ConOtherCosts+ConPoints+RecourseFee,0)+IF(63=StabMonth,OpReserve,0)</f>
        <v/>
      </c>
      <c r="BO26" s="18">
        <f>'DevSpend'!BO$34+'DevSpend'!BO$35+IF(64=MS_Initial_Closing_Start,ConOtherCosts+ConPoints+RecourseFee,0)+IF(64=StabMonth,OpReserve,0)</f>
        <v/>
      </c>
      <c r="BP26" s="18">
        <f>'DevSpend'!BP$34+'DevSpend'!BP$35+IF(65=MS_Initial_Closing_Start,ConOtherCosts+ConPoints+RecourseFee,0)+IF(65=StabMonth,OpReserve,0)</f>
        <v/>
      </c>
      <c r="BQ26" s="18">
        <f>'DevSpend'!BQ$34+'DevSpend'!BQ$35+IF(66=MS_Initial_Closing_Start,ConOtherCosts+ConPoints+RecourseFee,0)+IF(66=StabMonth,OpReserve,0)</f>
        <v/>
      </c>
      <c r="BR26" s="18">
        <f>'DevSpend'!BR$34+'DevSpend'!BR$35+IF(67=MS_Initial_Closing_Start,ConOtherCosts+ConPoints+RecourseFee,0)+IF(67=StabMonth,OpReserve,0)</f>
        <v/>
      </c>
      <c r="BS26" s="18">
        <f>'DevSpend'!BS$34+'DevSpend'!BS$35+IF(68=MS_Initial_Closing_Start,ConOtherCosts+ConPoints+RecourseFee,0)+IF(68=StabMonth,OpReserve,0)</f>
        <v/>
      </c>
      <c r="BT26" s="18">
        <f>'DevSpend'!BT$34+'DevSpend'!BT$35+IF(69=MS_Initial_Closing_Start,ConOtherCosts+ConPoints+RecourseFee,0)+IF(69=StabMonth,OpReserve,0)</f>
        <v/>
      </c>
      <c r="BU26" s="18">
        <f>'DevSpend'!BU$34+'DevSpend'!BU$35+IF(70=MS_Initial_Closing_Start,ConOtherCosts+ConPoints+RecourseFee,0)+IF(70=StabMonth,OpReserve,0)</f>
        <v/>
      </c>
      <c r="BV26" s="18">
        <f>'DevSpend'!BV$34+'DevSpend'!BV$35+IF(71=MS_Initial_Closing_Start,ConOtherCosts+ConPoints+RecourseFee,0)+IF(71=StabMonth,OpReserve,0)</f>
        <v/>
      </c>
      <c r="BW26" s="18">
        <f>'DevSpend'!BW$34+'DevSpend'!BW$35+IF(72=MS_Initial_Closing_Start,ConOtherCosts+ConPoints+RecourseFee,0)+IF(72=StabMonth,OpReserve,0)</f>
        <v/>
      </c>
      <c r="BX26" s="18">
        <f>'DevSpend'!BX$34+'DevSpend'!BX$35+IF(73=MS_Initial_Closing_Start,ConOtherCosts+ConPoints+RecourseFee,0)+IF(73=StabMonth,OpReserve,0)</f>
        <v/>
      </c>
      <c r="BY26" s="18">
        <f>'DevSpend'!BY$34+'DevSpend'!BY$35+IF(74=MS_Initial_Closing_Start,ConOtherCosts+ConPoints+RecourseFee,0)+IF(74=StabMonth,OpReserve,0)</f>
        <v/>
      </c>
      <c r="BZ26" s="18">
        <f>'DevSpend'!BZ$34+'DevSpend'!BZ$35+IF(75=MS_Initial_Closing_Start,ConOtherCosts+ConPoints+RecourseFee,0)+IF(75=StabMonth,OpReserve,0)</f>
        <v/>
      </c>
      <c r="CA26" s="18">
        <f>'DevSpend'!CA$34+'DevSpend'!CA$35+IF(76=MS_Initial_Closing_Start,ConOtherCosts+ConPoints+RecourseFee,0)+IF(76=StabMonth,OpReserve,0)</f>
        <v/>
      </c>
      <c r="CB26" s="18">
        <f>'DevSpend'!CB$34+'DevSpend'!CB$35+IF(77=MS_Initial_Closing_Start,ConOtherCosts+ConPoints+RecourseFee,0)+IF(77=StabMonth,OpReserve,0)</f>
        <v/>
      </c>
      <c r="CC26" s="18">
        <f>'DevSpend'!CC$34+'DevSpend'!CC$35+IF(78=MS_Initial_Closing_Start,ConOtherCosts+ConPoints+RecourseFee,0)+IF(78=StabMonth,OpReserve,0)</f>
        <v/>
      </c>
      <c r="CD26" s="18">
        <f>'DevSpend'!CD$34+'DevSpend'!CD$35+IF(79=MS_Initial_Closing_Start,ConOtherCosts+ConPoints+RecourseFee,0)+IF(79=StabMonth,OpReserve,0)</f>
        <v/>
      </c>
      <c r="CE26" s="18">
        <f>'DevSpend'!CE$34+'DevSpend'!CE$35+IF(80=MS_Initial_Closing_Start,ConOtherCosts+ConPoints+RecourseFee,0)+IF(80=StabMonth,OpReserve,0)</f>
        <v/>
      </c>
      <c r="CF26" s="18">
        <f>'DevSpend'!CF$34+'DevSpend'!CF$35+IF(81=MS_Initial_Closing_Start,ConOtherCosts+ConPoints+RecourseFee,0)+IF(81=StabMonth,OpReserve,0)</f>
        <v/>
      </c>
      <c r="CG26" s="18">
        <f>'DevSpend'!CG$34+'DevSpend'!CG$35+IF(82=MS_Initial_Closing_Start,ConOtherCosts+ConPoints+RecourseFee,0)+IF(82=StabMonth,OpReserve,0)</f>
        <v/>
      </c>
      <c r="CH26" s="18">
        <f>'DevSpend'!CH$34+'DevSpend'!CH$35+IF(83=MS_Initial_Closing_Start,ConOtherCosts+ConPoints+RecourseFee,0)+IF(83=StabMonth,OpReserve,0)</f>
        <v/>
      </c>
      <c r="CI26" s="18">
        <f>'DevSpend'!CI$34+'DevSpend'!CI$35+IF(84=MS_Initial_Closing_Start,ConOtherCosts+ConPoints+RecourseFee,0)+IF(84=StabMonth,OpReserve,0)</f>
        <v/>
      </c>
      <c r="CJ26" s="18">
        <f>'DevSpend'!CJ$34+'DevSpend'!CJ$35+IF(85=MS_Initial_Closing_Start,ConOtherCosts+ConPoints+RecourseFee,0)+IF(85=StabMonth,OpReserve,0)</f>
        <v/>
      </c>
      <c r="CK26" s="18">
        <f>'DevSpend'!CK$34+'DevSpend'!CK$35+IF(86=MS_Initial_Closing_Start,ConOtherCosts+ConPoints+RecourseFee,0)+IF(86=StabMonth,OpReserve,0)</f>
        <v/>
      </c>
      <c r="CL26" s="18">
        <f>'DevSpend'!CL$34+'DevSpend'!CL$35+IF(87=MS_Initial_Closing_Start,ConOtherCosts+ConPoints+RecourseFee,0)+IF(87=StabMonth,OpReserve,0)</f>
        <v/>
      </c>
      <c r="CM26" s="18">
        <f>'DevSpend'!CM$34+'DevSpend'!CM$35+IF(88=MS_Initial_Closing_Start,ConOtherCosts+ConPoints+RecourseFee,0)+IF(88=StabMonth,OpReserve,0)</f>
        <v/>
      </c>
      <c r="CN26" s="18">
        <f>'DevSpend'!CN$34+'DevSpend'!CN$35+IF(89=MS_Initial_Closing_Start,ConOtherCosts+ConPoints+RecourseFee,0)+IF(89=StabMonth,OpReserve,0)</f>
        <v/>
      </c>
      <c r="CO26" s="18">
        <f>'DevSpend'!CO$34+'DevSpend'!CO$35+IF(90=MS_Initial_Closing_Start,ConOtherCosts+ConPoints+RecourseFee,0)+IF(90=StabMonth,OpReserve,0)</f>
        <v/>
      </c>
      <c r="CP26" s="18">
        <f>'DevSpend'!CP$34+'DevSpend'!CP$35+IF(91=MS_Initial_Closing_Start,ConOtherCosts+ConPoints+RecourseFee,0)+IF(91=StabMonth,OpReserve,0)</f>
        <v/>
      </c>
      <c r="CQ26" s="18">
        <f>'DevSpend'!CQ$34+'DevSpend'!CQ$35+IF(92=MS_Initial_Closing_Start,ConOtherCosts+ConPoints+RecourseFee,0)+IF(92=StabMonth,OpReserve,0)</f>
        <v/>
      </c>
      <c r="CR26" s="18">
        <f>'DevSpend'!CR$34+'DevSpend'!CR$35+IF(93=MS_Initial_Closing_Start,ConOtherCosts+ConPoints+RecourseFee,0)+IF(93=StabMonth,OpReserve,0)</f>
        <v/>
      </c>
      <c r="CS26" s="18">
        <f>'DevSpend'!CS$34+'DevSpend'!CS$35+IF(94=MS_Initial_Closing_Start,ConOtherCosts+ConPoints+RecourseFee,0)+IF(94=StabMonth,OpReserve,0)</f>
        <v/>
      </c>
      <c r="CT26" s="18">
        <f>'DevSpend'!CT$34+'DevSpend'!CT$35+IF(95=MS_Initial_Closing_Start,ConOtherCosts+ConPoints+RecourseFee,0)+IF(95=StabMonth,OpReserve,0)</f>
        <v/>
      </c>
      <c r="CU26" s="18">
        <f>'DevSpend'!CU$34+'DevSpend'!CU$35+IF(96=MS_Initial_Closing_Start,ConOtherCosts+ConPoints+RecourseFee,0)+IF(96=StabMonth,OpReserve,0)</f>
        <v/>
      </c>
      <c r="CV26" s="18">
        <f>'DevSpend'!CV$34+'DevSpend'!CV$35+IF(97=MS_Initial_Closing_Start,ConOtherCosts+ConPoints+RecourseFee,0)+IF(97=StabMonth,OpReserve,0)</f>
        <v/>
      </c>
      <c r="CW26" s="18">
        <f>'DevSpend'!CW$34+'DevSpend'!CW$35+IF(98=MS_Initial_Closing_Start,ConOtherCosts+ConPoints+RecourseFee,0)+IF(98=StabMonth,OpReserve,0)</f>
        <v/>
      </c>
      <c r="CX26" s="18">
        <f>'DevSpend'!CX$34+'DevSpend'!CX$35+IF(99=MS_Initial_Closing_Start,ConOtherCosts+ConPoints+RecourseFee,0)+IF(99=StabMonth,OpReserve,0)</f>
        <v/>
      </c>
      <c r="CY26" s="18">
        <f>'DevSpend'!CY$34+'DevSpend'!CY$35+IF(100=MS_Initial_Closing_Start,ConOtherCosts+ConPoints+RecourseFee,0)+IF(100=StabMonth,OpReserve,0)</f>
        <v/>
      </c>
      <c r="CZ26" s="18">
        <f>'DevSpend'!CZ$34+'DevSpend'!CZ$35+IF(101=MS_Initial_Closing_Start,ConOtherCosts+ConPoints+RecourseFee,0)+IF(101=StabMonth,OpReserve,0)</f>
        <v/>
      </c>
      <c r="DA26" s="18">
        <f>'DevSpend'!DA$34+'DevSpend'!DA$35+IF(102=MS_Initial_Closing_Start,ConOtherCosts+ConPoints+RecourseFee,0)+IF(102=StabMonth,OpReserve,0)</f>
        <v/>
      </c>
      <c r="DB26" s="18">
        <f>'DevSpend'!DB$34+'DevSpend'!DB$35+IF(103=MS_Initial_Closing_Start,ConOtherCosts+ConPoints+RecourseFee,0)+IF(103=StabMonth,OpReserve,0)</f>
        <v/>
      </c>
      <c r="DC26" s="18">
        <f>'DevSpend'!DC$34+'DevSpend'!DC$35+IF(104=MS_Initial_Closing_Start,ConOtherCosts+ConPoints+RecourseFee,0)+IF(104=StabMonth,OpReserve,0)</f>
        <v/>
      </c>
      <c r="DD26" s="18">
        <f>'DevSpend'!DD$34+'DevSpend'!DD$35+IF(105=MS_Initial_Closing_Start,ConOtherCosts+ConPoints+RecourseFee,0)+IF(105=StabMonth,OpReserve,0)</f>
        <v/>
      </c>
      <c r="DE26" s="18">
        <f>'DevSpend'!DE$34+'DevSpend'!DE$35+IF(106=MS_Initial_Closing_Start,ConOtherCosts+ConPoints+RecourseFee,0)+IF(106=StabMonth,OpReserve,0)</f>
        <v/>
      </c>
      <c r="DF26" s="18">
        <f>'DevSpend'!DF$34+'DevSpend'!DF$35+IF(107=MS_Initial_Closing_Start,ConOtherCosts+ConPoints+RecourseFee,0)+IF(107=StabMonth,OpReserve,0)</f>
        <v/>
      </c>
      <c r="DG26" s="18">
        <f>'DevSpend'!DG$34+'DevSpend'!DG$35+IF(108=MS_Initial_Closing_Start,ConOtherCosts+ConPoints+RecourseFee,0)+IF(108=StabMonth,OpReserve,0)</f>
        <v/>
      </c>
      <c r="DH26" s="18">
        <f>'DevSpend'!DH$34+'DevSpend'!DH$35+IF(109=MS_Initial_Closing_Start,ConOtherCosts+ConPoints+RecourseFee,0)+IF(109=StabMonth,OpReserve,0)</f>
        <v/>
      </c>
      <c r="DI26" s="18">
        <f>'DevSpend'!DI$34+'DevSpend'!DI$35+IF(110=MS_Initial_Closing_Start,ConOtherCosts+ConPoints+RecourseFee,0)+IF(110=StabMonth,OpReserve,0)</f>
        <v/>
      </c>
      <c r="DJ26" s="18">
        <f>'DevSpend'!DJ$34+'DevSpend'!DJ$35+IF(111=MS_Initial_Closing_Start,ConOtherCosts+ConPoints+RecourseFee,0)+IF(111=StabMonth,OpReserve,0)</f>
        <v/>
      </c>
      <c r="DK26" s="18">
        <f>'DevSpend'!DK$34+'DevSpend'!DK$35+IF(112=MS_Initial_Closing_Start,ConOtherCosts+ConPoints+RecourseFee,0)+IF(112=StabMonth,OpReserve,0)</f>
        <v/>
      </c>
      <c r="DL26" s="18">
        <f>'DevSpend'!DL$34+'DevSpend'!DL$35+IF(113=MS_Initial_Closing_Start,ConOtherCosts+ConPoints+RecourseFee,0)+IF(113=StabMonth,OpReserve,0)</f>
        <v/>
      </c>
      <c r="DM26" s="18">
        <f>'DevSpend'!DM$34+'DevSpend'!DM$35+IF(114=MS_Initial_Closing_Start,ConOtherCosts+ConPoints+RecourseFee,0)+IF(114=StabMonth,OpReserve,0)</f>
        <v/>
      </c>
      <c r="DN26" s="18">
        <f>'DevSpend'!DN$34+'DevSpend'!DN$35+IF(115=MS_Initial_Closing_Start,ConOtherCosts+ConPoints+RecourseFee,0)+IF(115=StabMonth,OpReserve,0)</f>
        <v/>
      </c>
      <c r="DO26" s="18">
        <f>'DevSpend'!DO$34+'DevSpend'!DO$35+IF(116=MS_Initial_Closing_Start,ConOtherCosts+ConPoints+RecourseFee,0)+IF(116=StabMonth,OpReserve,0)</f>
        <v/>
      </c>
      <c r="DP26" s="18">
        <f>'DevSpend'!DP$34+'DevSpend'!DP$35+IF(117=MS_Initial_Closing_Start,ConOtherCosts+ConPoints+RecourseFee,0)+IF(117=StabMonth,OpReserve,0)</f>
        <v/>
      </c>
      <c r="DQ26" s="18">
        <f>'DevSpend'!DQ$34+'DevSpend'!DQ$35+IF(118=MS_Initial_Closing_Start,ConOtherCosts+ConPoints+RecourseFee,0)+IF(118=StabMonth,OpReserve,0)</f>
        <v/>
      </c>
      <c r="DR26" s="18">
        <f>'DevSpend'!DR$34+'DevSpend'!DR$35+IF(119=MS_Initial_Closing_Start,ConOtherCosts+ConPoints+RecourseFee,0)+IF(119=StabMonth,OpReserve,0)</f>
        <v/>
      </c>
      <c r="DS26" s="18">
        <f>'DevSpend'!DS$34+'DevSpend'!DS$35+IF(120=MS_Initial_Closing_Start,ConOtherCosts+ConPoints+RecourseFee,0)+IF(120=StabMonth,OpReserve,0)</f>
        <v/>
      </c>
      <c r="DT26" s="18">
        <f>'DevSpend'!DT$34+'DevSpend'!DT$35+IF(121=MS_Initial_Closing_Start,ConOtherCosts+ConPoints+RecourseFee,0)+IF(121=StabMonth,OpReserve,0)</f>
        <v/>
      </c>
      <c r="DU26" s="18">
        <f>'DevSpend'!DU$34+'DevSpend'!DU$35+IF(122=MS_Initial_Closing_Start,ConOtherCosts+ConPoints+RecourseFee,0)+IF(122=StabMonth,OpReserve,0)</f>
        <v/>
      </c>
      <c r="DV26" s="18">
        <f>'DevSpend'!DV$34+'DevSpend'!DV$35+IF(123=MS_Initial_Closing_Start,ConOtherCosts+ConPoints+RecourseFee,0)+IF(123=StabMonth,OpReserve,0)</f>
        <v/>
      </c>
      <c r="DW26" s="18">
        <f>'DevSpend'!DW$34+'DevSpend'!DW$35+IF(124=MS_Initial_Closing_Start,ConOtherCosts+ConPoints+RecourseFee,0)+IF(124=StabMonth,OpReserve,0)</f>
        <v/>
      </c>
      <c r="DX26" s="18">
        <f>'DevSpend'!DX$34+'DevSpend'!DX$35+IF(125=MS_Initial_Closing_Start,ConOtherCosts+ConPoints+RecourseFee,0)+IF(125=StabMonth,OpReserve,0)</f>
        <v/>
      </c>
      <c r="DY26" s="18">
        <f>'DevSpend'!DY$34+'DevSpend'!DY$35+IF(126=MS_Initial_Closing_Start,ConOtherCosts+ConPoints+RecourseFee,0)+IF(126=StabMonth,OpReserve,0)</f>
        <v/>
      </c>
      <c r="DZ26" s="18">
        <f>'DevSpend'!DZ$34+'DevSpend'!DZ$35+IF(127=MS_Initial_Closing_Start,ConOtherCosts+ConPoints+RecourseFee,0)+IF(127=StabMonth,OpReserve,0)</f>
        <v/>
      </c>
      <c r="EA26" s="18">
        <f>'DevSpend'!EA$34+'DevSpend'!EA$35+IF(128=MS_Initial_Closing_Start,ConOtherCosts+ConPoints+RecourseFee,0)+IF(128=StabMonth,OpReserve,0)</f>
        <v/>
      </c>
      <c r="EB26" s="18">
        <f>'DevSpend'!EB$34+'DevSpend'!EB$35+IF(129=MS_Initial_Closing_Start,ConOtherCosts+ConPoints+RecourseFee,0)+IF(129=StabMonth,OpReserve,0)</f>
        <v/>
      </c>
      <c r="EC26" s="18">
        <f>'DevSpend'!EC$34+'DevSpend'!EC$35+IF(130=MS_Initial_Closing_Start,ConOtherCosts+ConPoints+RecourseFee,0)+IF(130=StabMonth,OpReserve,0)</f>
        <v/>
      </c>
      <c r="ED26" s="18">
        <f>'DevSpend'!ED$34+'DevSpend'!ED$35+IF(131=MS_Initial_Closing_Start,ConOtherCosts+ConPoints+RecourseFee,0)+IF(131=StabMonth,OpReserve,0)</f>
        <v/>
      </c>
      <c r="EE26" s="18">
        <f>'DevSpend'!EE$34+'DevSpend'!EE$35+IF(132=MS_Initial_Closing_Start,ConOtherCosts+ConPoints+RecourseFee,0)+IF(132=StabMonth,OpReserve,0)</f>
        <v/>
      </c>
      <c r="EF26" s="18">
        <f>'DevSpend'!EF$34+'DevSpend'!EF$35+IF(133=MS_Initial_Closing_Start,ConOtherCosts+ConPoints+RecourseFee,0)+IF(133=StabMonth,OpReserve,0)</f>
        <v/>
      </c>
      <c r="EG26" s="18">
        <f>'DevSpend'!EG$34+'DevSpend'!EG$35+IF(134=MS_Initial_Closing_Start,ConOtherCosts+ConPoints+RecourseFee,0)+IF(134=StabMonth,OpReserve,0)</f>
        <v/>
      </c>
      <c r="EH26" s="18">
        <f>'DevSpend'!EH$34+'DevSpend'!EH$35+IF(135=MS_Initial_Closing_Start,ConOtherCosts+ConPoints+RecourseFee,0)+IF(135=StabMonth,OpReserve,0)</f>
        <v/>
      </c>
      <c r="EI26" s="18">
        <f>'DevSpend'!EI$34+'DevSpend'!EI$35+IF(136=MS_Initial_Closing_Start,ConOtherCosts+ConPoints+RecourseFee,0)+IF(136=StabMonth,OpReserve,0)</f>
        <v/>
      </c>
      <c r="EJ26" s="18">
        <f>'DevSpend'!EJ$34+'DevSpend'!EJ$35+IF(137=MS_Initial_Closing_Start,ConOtherCosts+ConPoints+RecourseFee,0)+IF(137=StabMonth,OpReserve,0)</f>
        <v/>
      </c>
      <c r="EK26" s="18">
        <f>'DevSpend'!EK$34+'DevSpend'!EK$35+IF(138=MS_Initial_Closing_Start,ConOtherCosts+ConPoints+RecourseFee,0)+IF(138=StabMonth,OpReserve,0)</f>
        <v/>
      </c>
      <c r="EL26" s="18">
        <f>'DevSpend'!EL$34+'DevSpend'!EL$35+IF(139=MS_Initial_Closing_Start,ConOtherCosts+ConPoints+RecourseFee,0)+IF(139=StabMonth,OpReserve,0)</f>
        <v/>
      </c>
      <c r="EM26" s="18">
        <f>'DevSpend'!EM$34+'DevSpend'!EM$35+IF(140=MS_Initial_Closing_Start,ConOtherCosts+ConPoints+RecourseFee,0)+IF(140=StabMonth,OpReserve,0)</f>
        <v/>
      </c>
      <c r="EN26" s="18">
        <f>'DevSpend'!EN$34+'DevSpend'!EN$35+IF(141=MS_Initial_Closing_Start,ConOtherCosts+ConPoints+RecourseFee,0)+IF(141=StabMonth,OpReserve,0)</f>
        <v/>
      </c>
      <c r="EO26" s="18">
        <f>'DevSpend'!EO$34+'DevSpend'!EO$35+IF(142=MS_Initial_Closing_Start,ConOtherCosts+ConPoints+RecourseFee,0)+IF(142=StabMonth,OpReserve,0)</f>
        <v/>
      </c>
      <c r="EP26" s="18">
        <f>'DevSpend'!EP$34+'DevSpend'!EP$35+IF(143=MS_Initial_Closing_Start,ConOtherCosts+ConPoints+RecourseFee,0)+IF(143=StabMonth,OpReserve,0)</f>
        <v/>
      </c>
      <c r="EQ26" s="18">
        <f>'DevSpend'!EQ$34+'DevSpend'!EQ$35+IF(144=MS_Initial_Closing_Start,ConOtherCosts+ConPoints+RecourseFee,0)+IF(144=StabMonth,OpReserve,0)</f>
        <v/>
      </c>
      <c r="ER26" s="18">
        <f>'DevSpend'!ER$34+'DevSpend'!ER$35+IF(145=MS_Initial_Closing_Start,ConOtherCosts+ConPoints+RecourseFee,0)+IF(145=StabMonth,OpReserve,0)</f>
        <v/>
      </c>
      <c r="ES26" s="18">
        <f>'DevSpend'!ES$34+'DevSpend'!ES$35+IF(146=MS_Initial_Closing_Start,ConOtherCosts+ConPoints+RecourseFee,0)+IF(146=StabMonth,OpReserve,0)</f>
        <v/>
      </c>
      <c r="ET26" s="18">
        <f>'DevSpend'!ET$34+'DevSpend'!ET$35+IF(147=MS_Initial_Closing_Start,ConOtherCosts+ConPoints+RecourseFee,0)+IF(147=StabMonth,OpReserve,0)</f>
        <v/>
      </c>
      <c r="EU26" s="18">
        <f>'DevSpend'!EU$34+'DevSpend'!EU$35+IF(148=MS_Initial_Closing_Start,ConOtherCosts+ConPoints+RecourseFee,0)+IF(148=StabMonth,OpReserve,0)</f>
        <v/>
      </c>
      <c r="EV26" s="18">
        <f>'DevSpend'!EV$34+'DevSpend'!EV$35+IF(149=MS_Initial_Closing_Start,ConOtherCosts+ConPoints+RecourseFee,0)+IF(149=StabMonth,OpReserve,0)</f>
        <v/>
      </c>
      <c r="EW26" s="18">
        <f>'DevSpend'!EW$34+'DevSpend'!EW$35+IF(150=MS_Initial_Closing_Start,ConOtherCosts+ConPoints+RecourseFee,0)+IF(150=StabMonth,OpReserve,0)</f>
        <v/>
      </c>
      <c r="EX26" s="18">
        <f>'DevSpend'!EX$34+'DevSpend'!EX$35+IF(151=MS_Initial_Closing_Start,ConOtherCosts+ConPoints+RecourseFee,0)+IF(151=StabMonth,OpReserve,0)</f>
        <v/>
      </c>
      <c r="EY26" s="18">
        <f>'DevSpend'!EY$34+'DevSpend'!EY$35+IF(152=MS_Initial_Closing_Start,ConOtherCosts+ConPoints+RecourseFee,0)+IF(152=StabMonth,OpReserve,0)</f>
        <v/>
      </c>
      <c r="EZ26" s="18">
        <f>'DevSpend'!EZ$34+'DevSpend'!EZ$35+IF(153=MS_Initial_Closing_Start,ConOtherCosts+ConPoints+RecourseFee,0)+IF(153=StabMonth,OpReserve,0)</f>
        <v/>
      </c>
      <c r="FA26" s="18">
        <f>'DevSpend'!FA$34+'DevSpend'!FA$35+IF(154=MS_Initial_Closing_Start,ConOtherCosts+ConPoints+RecourseFee,0)+IF(154=StabMonth,OpReserve,0)</f>
        <v/>
      </c>
      <c r="FB26" s="18">
        <f>'DevSpend'!FB$34+'DevSpend'!FB$35+IF(155=MS_Initial_Closing_Start,ConOtherCosts+ConPoints+RecourseFee,0)+IF(155=StabMonth,OpReserve,0)</f>
        <v/>
      </c>
      <c r="FC26" s="18">
        <f>'DevSpend'!FC$34+'DevSpend'!FC$35+IF(156=MS_Initial_Closing_Start,ConOtherCosts+ConPoints+RecourseFee,0)+IF(156=StabMonth,OpReserve,0)</f>
        <v/>
      </c>
      <c r="FD26" s="18">
        <f>'DevSpend'!FD$34+'DevSpend'!FD$35+IF(157=MS_Initial_Closing_Start,ConOtherCosts+ConPoints+RecourseFee,0)+IF(157=StabMonth,OpReserve,0)</f>
        <v/>
      </c>
      <c r="FE26" s="18">
        <f>'DevSpend'!FE$34+'DevSpend'!FE$35+IF(158=MS_Initial_Closing_Start,ConOtherCosts+ConPoints+RecourseFee,0)+IF(158=StabMonth,OpReserve,0)</f>
        <v/>
      </c>
      <c r="FF26" s="18">
        <f>'DevSpend'!FF$34+'DevSpend'!FF$35+IF(159=MS_Initial_Closing_Start,ConOtherCosts+ConPoints+RecourseFee,0)+IF(159=StabMonth,OpReserve,0)</f>
        <v/>
      </c>
      <c r="FG26" s="18">
        <f>'DevSpend'!FG$34+'DevSpend'!FG$35+IF(160=MS_Initial_Closing_Start,ConOtherCosts+ConPoints+RecourseFee,0)+IF(160=StabMonth,OpReserve,0)</f>
        <v/>
      </c>
      <c r="FH26" s="18">
        <f>'DevSpend'!FH$34+'DevSpend'!FH$35+IF(161=MS_Initial_Closing_Start,ConOtherCosts+ConPoints+RecourseFee,0)+IF(161=StabMonth,OpReserve,0)</f>
        <v/>
      </c>
      <c r="FI26" s="18">
        <f>'DevSpend'!FI$34+'DevSpend'!FI$35+IF(162=MS_Initial_Closing_Start,ConOtherCosts+ConPoints+RecourseFee,0)+IF(162=StabMonth,OpReserve,0)</f>
        <v/>
      </c>
      <c r="FJ26" s="18">
        <f>'DevSpend'!FJ$34+'DevSpend'!FJ$35+IF(163=MS_Initial_Closing_Start,ConOtherCosts+ConPoints+RecourseFee,0)+IF(163=StabMonth,OpReserve,0)</f>
        <v/>
      </c>
      <c r="FK26" s="18">
        <f>'DevSpend'!FK$34+'DevSpend'!FK$35+IF(164=MS_Initial_Closing_Start,ConOtherCosts+ConPoints+RecourseFee,0)+IF(164=StabMonth,OpReserve,0)</f>
        <v/>
      </c>
      <c r="FL26" s="18">
        <f>'DevSpend'!FL$34+'DevSpend'!FL$35+IF(165=MS_Initial_Closing_Start,ConOtherCosts+ConPoints+RecourseFee,0)+IF(165=StabMonth,OpReserve,0)</f>
        <v/>
      </c>
      <c r="FM26" s="18">
        <f>'DevSpend'!FM$34+'DevSpend'!FM$35+IF(166=MS_Initial_Closing_Start,ConOtherCosts+ConPoints+RecourseFee,0)+IF(166=StabMonth,OpReserve,0)</f>
        <v/>
      </c>
      <c r="FN26" s="18">
        <f>'DevSpend'!FN$34+'DevSpend'!FN$35+IF(167=MS_Initial_Closing_Start,ConOtherCosts+ConPoints+RecourseFee,0)+IF(167=StabMonth,OpReserve,0)</f>
        <v/>
      </c>
      <c r="FO26" s="18">
        <f>'DevSpend'!FO$34+'DevSpend'!FO$35+IF(168=MS_Initial_Closing_Start,ConOtherCosts+ConPoints+RecourseFee,0)+IF(168=StabMonth,OpReserve,0)</f>
        <v/>
      </c>
      <c r="FP26" s="18">
        <f>'DevSpend'!FP$34+'DevSpend'!FP$35+IF(169=MS_Initial_Closing_Start,ConOtherCosts+ConPoints+RecourseFee,0)+IF(169=StabMonth,OpReserve,0)</f>
        <v/>
      </c>
      <c r="FQ26" s="18">
        <f>'DevSpend'!FQ$34+'DevSpend'!FQ$35+IF(170=MS_Initial_Closing_Start,ConOtherCosts+ConPoints+RecourseFee,0)+IF(170=StabMonth,OpReserve,0)</f>
        <v/>
      </c>
      <c r="FR26" s="18">
        <f>'DevSpend'!FR$34+'DevSpend'!FR$35+IF(171=MS_Initial_Closing_Start,ConOtherCosts+ConPoints+RecourseFee,0)+IF(171=StabMonth,OpReserve,0)</f>
        <v/>
      </c>
      <c r="FS26" s="18">
        <f>'DevSpend'!FS$34+'DevSpend'!FS$35+IF(172=MS_Initial_Closing_Start,ConOtherCosts+ConPoints+RecourseFee,0)+IF(172=StabMonth,OpReserve,0)</f>
        <v/>
      </c>
      <c r="FT26" s="18">
        <f>'DevSpend'!FT$34+'DevSpend'!FT$35+IF(173=MS_Initial_Closing_Start,ConOtherCosts+ConPoints+RecourseFee,0)+IF(173=StabMonth,OpReserve,0)</f>
        <v/>
      </c>
      <c r="FU26" s="18">
        <f>'DevSpend'!FU$34+'DevSpend'!FU$35+IF(174=MS_Initial_Closing_Start,ConOtherCosts+ConPoints+RecourseFee,0)+IF(174=StabMonth,OpReserve,0)</f>
        <v/>
      </c>
      <c r="FV26" s="18">
        <f>'DevSpend'!FV$34+'DevSpend'!FV$35+IF(175=MS_Initial_Closing_Start,ConOtherCosts+ConPoints+RecourseFee,0)+IF(175=StabMonth,OpReserve,0)</f>
        <v/>
      </c>
      <c r="FW26" s="18">
        <f>'DevSpend'!FW$34+'DevSpend'!FW$35+IF(176=MS_Initial_Closing_Start,ConOtherCosts+ConPoints+RecourseFee,0)+IF(176=StabMonth,OpReserve,0)</f>
        <v/>
      </c>
      <c r="FX26" s="18">
        <f>'DevSpend'!FX$34+'DevSpend'!FX$35+IF(177=MS_Initial_Closing_Start,ConOtherCosts+ConPoints+RecourseFee,0)+IF(177=StabMonth,OpReserve,0)</f>
        <v/>
      </c>
      <c r="FY26" s="18">
        <f>'DevSpend'!FY$34+'DevSpend'!FY$35+IF(178=MS_Initial_Closing_Start,ConOtherCosts+ConPoints+RecourseFee,0)+IF(178=StabMonth,OpReserve,0)</f>
        <v/>
      </c>
      <c r="FZ26" s="18">
        <f>'DevSpend'!FZ$34+'DevSpend'!FZ$35+IF(179=MS_Initial_Closing_Start,ConOtherCosts+ConPoints+RecourseFee,0)+IF(179=StabMonth,OpReserve,0)</f>
        <v/>
      </c>
      <c r="GA26" s="18">
        <f>'DevSpend'!GA$34+'DevSpend'!GA$35+IF(180=MS_Initial_Closing_Start,ConOtherCosts+ConPoints+RecourseFee,0)+IF(180=StabMonth,OpReserve,0)</f>
        <v/>
      </c>
      <c r="GB26" s="18">
        <f>'DevSpend'!GB$34+'DevSpend'!GB$35+IF(181=MS_Initial_Closing_Start,ConOtherCosts+ConPoints+RecourseFee,0)+IF(181=StabMonth,OpReserve,0)</f>
        <v/>
      </c>
      <c r="GC26" s="18">
        <f>'DevSpend'!GC$34+'DevSpend'!GC$35+IF(182=MS_Initial_Closing_Start,ConOtherCosts+ConPoints+RecourseFee,0)+IF(182=StabMonth,OpReserve,0)</f>
        <v/>
      </c>
      <c r="GD26" s="18">
        <f>'DevSpend'!GD$34+'DevSpend'!GD$35+IF(183=MS_Initial_Closing_Start,ConOtherCosts+ConPoints+RecourseFee,0)+IF(183=StabMonth,OpReserve,0)</f>
        <v/>
      </c>
      <c r="GE26" s="18">
        <f>'DevSpend'!GE$34+'DevSpend'!GE$35+IF(184=MS_Initial_Closing_Start,ConOtherCosts+ConPoints+RecourseFee,0)+IF(184=StabMonth,OpReserve,0)</f>
        <v/>
      </c>
      <c r="GF26" s="18">
        <f>'DevSpend'!GF$34+'DevSpend'!GF$35+IF(185=MS_Initial_Closing_Start,ConOtherCosts+ConPoints+RecourseFee,0)+IF(185=StabMonth,OpReserve,0)</f>
        <v/>
      </c>
      <c r="GG26" s="18">
        <f>'DevSpend'!GG$34+'DevSpend'!GG$35+IF(186=MS_Initial_Closing_Start,ConOtherCosts+ConPoints+RecourseFee,0)+IF(186=StabMonth,OpReserve,0)</f>
        <v/>
      </c>
      <c r="GH26" s="18">
        <f>'DevSpend'!GH$34+'DevSpend'!GH$35+IF(187=MS_Initial_Closing_Start,ConOtherCosts+ConPoints+RecourseFee,0)+IF(187=StabMonth,OpReserve,0)</f>
        <v/>
      </c>
      <c r="GI26" s="18">
        <f>'DevSpend'!GI$34+'DevSpend'!GI$35+IF(188=MS_Initial_Closing_Start,ConOtherCosts+ConPoints+RecourseFee,0)+IF(188=StabMonth,OpReserve,0)</f>
        <v/>
      </c>
      <c r="GJ26" s="18">
        <f>'DevSpend'!GJ$34+'DevSpend'!GJ$35+IF(189=MS_Initial_Closing_Start,ConOtherCosts+ConPoints+RecourseFee,0)+IF(189=StabMonth,OpReserve,0)</f>
        <v/>
      </c>
      <c r="GK26" s="18">
        <f>'DevSpend'!GK$34+'DevSpend'!GK$35+IF(190=MS_Initial_Closing_Start,ConOtherCosts+ConPoints+RecourseFee,0)+IF(190=StabMonth,OpReserve,0)</f>
        <v/>
      </c>
      <c r="GL26" s="18">
        <f>'DevSpend'!GL$34+'DevSpend'!GL$35+IF(191=MS_Initial_Closing_Start,ConOtherCosts+ConPoints+RecourseFee,0)+IF(191=StabMonth,OpReserve,0)</f>
        <v/>
      </c>
      <c r="GM26" s="18">
        <f>'DevSpend'!GM$34+'DevSpend'!GM$35+IF(192=MS_Initial_Closing_Start,ConOtherCosts+ConPoints+RecourseFee,0)+IF(192=StabMonth,OpReserve,0)</f>
        <v/>
      </c>
      <c r="GN26" s="18">
        <f>'DevSpend'!GN$34+'DevSpend'!GN$35+IF(193=MS_Initial_Closing_Start,ConOtherCosts+ConPoints+RecourseFee,0)+IF(193=StabMonth,OpReserve,0)</f>
        <v/>
      </c>
      <c r="GO26" s="18">
        <f>'DevSpend'!GO$34+'DevSpend'!GO$35+IF(194=MS_Initial_Closing_Start,ConOtherCosts+ConPoints+RecourseFee,0)+IF(194=StabMonth,OpReserve,0)</f>
        <v/>
      </c>
      <c r="GP26" s="18">
        <f>'DevSpend'!GP$34+'DevSpend'!GP$35+IF(195=MS_Initial_Closing_Start,ConOtherCosts+ConPoints+RecourseFee,0)+IF(195=StabMonth,OpReserve,0)</f>
        <v/>
      </c>
      <c r="GQ26" s="18">
        <f>'DevSpend'!GQ$34+'DevSpend'!GQ$35+IF(196=MS_Initial_Closing_Start,ConOtherCosts+ConPoints+RecourseFee,0)+IF(196=StabMonth,OpReserve,0)</f>
        <v/>
      </c>
      <c r="GR26" s="18">
        <f>'DevSpend'!GR$34+'DevSpend'!GR$35+IF(197=MS_Initial_Closing_Start,ConOtherCosts+ConPoints+RecourseFee,0)+IF(197=StabMonth,OpReserve,0)</f>
        <v/>
      </c>
      <c r="GS26" s="18">
        <f>'DevSpend'!GS$34+'DevSpend'!GS$35+IF(198=MS_Initial_Closing_Start,ConOtherCosts+ConPoints+RecourseFee,0)+IF(198=StabMonth,OpReserve,0)</f>
        <v/>
      </c>
      <c r="GT26" s="18">
        <f>'DevSpend'!GT$34+'DevSpend'!GT$35+IF(199=MS_Initial_Closing_Start,ConOtherCosts+ConPoints+RecourseFee,0)+IF(199=StabMonth,OpReserve,0)</f>
        <v/>
      </c>
      <c r="GU26" s="18">
        <f>'DevSpend'!GU$34+'DevSpend'!GU$35+IF(200=MS_Initial_Closing_Start,ConOtherCosts+ConPoints+RecourseFee,0)+IF(200=StabMonth,OpReserve,0)</f>
        <v/>
      </c>
      <c r="GV26" s="18">
        <f>'DevSpend'!GV$34+'DevSpend'!GV$35+IF(201=MS_Initial_Closing_Start,ConOtherCosts+ConPoints+RecourseFee,0)+IF(201=StabMonth,OpReserve,0)</f>
        <v/>
      </c>
      <c r="GW26" s="18">
        <f>'DevSpend'!GW$34+'DevSpend'!GW$35+IF(202=MS_Initial_Closing_Start,ConOtherCosts+ConPoints+RecourseFee,0)+IF(202=StabMonth,OpReserve,0)</f>
        <v/>
      </c>
      <c r="GX26" s="18">
        <f>'DevSpend'!GX$34+'DevSpend'!GX$35+IF(203=MS_Initial_Closing_Start,ConOtherCosts+ConPoints+RecourseFee,0)+IF(203=StabMonth,OpReserve,0)</f>
        <v/>
      </c>
      <c r="GY26" s="18">
        <f>'DevSpend'!GY$34+'DevSpend'!GY$35+IF(204=MS_Initial_Closing_Start,ConOtherCosts+ConPoints+RecourseFee,0)+IF(204=StabMonth,OpReserve,0)</f>
        <v/>
      </c>
      <c r="GZ26" s="18">
        <f>'DevSpend'!GZ$34+'DevSpend'!GZ$35+IF(205=MS_Initial_Closing_Start,ConOtherCosts+ConPoints+RecourseFee,0)+IF(205=StabMonth,OpReserve,0)</f>
        <v/>
      </c>
      <c r="HA26" s="18">
        <f>'DevSpend'!HA$34+'DevSpend'!HA$35+IF(206=MS_Initial_Closing_Start,ConOtherCosts+ConPoints+RecourseFee,0)+IF(206=StabMonth,OpReserve,0)</f>
        <v/>
      </c>
      <c r="HB26" s="18">
        <f>'DevSpend'!HB$34+'DevSpend'!HB$35+IF(207=MS_Initial_Closing_Start,ConOtherCosts+ConPoints+RecourseFee,0)+IF(207=StabMonth,OpReserve,0)</f>
        <v/>
      </c>
      <c r="HC26" s="18">
        <f>'DevSpend'!HC$34+'DevSpend'!HC$35+IF(208=MS_Initial_Closing_Start,ConOtherCosts+ConPoints+RecourseFee,0)+IF(208=StabMonth,OpReserve,0)</f>
        <v/>
      </c>
      <c r="HD26" s="18">
        <f>'DevSpend'!HD$34+'DevSpend'!HD$35+IF(209=MS_Initial_Closing_Start,ConOtherCosts+ConPoints+RecourseFee,0)+IF(209=StabMonth,OpReserve,0)</f>
        <v/>
      </c>
      <c r="HE26" s="18">
        <f>'DevSpend'!HE$34+'DevSpend'!HE$35+IF(210=MS_Initial_Closing_Start,ConOtherCosts+ConPoints+RecourseFee,0)+IF(210=StabMonth,OpReserve,0)</f>
        <v/>
      </c>
      <c r="HF26" s="18">
        <f>'DevSpend'!HF$34+'DevSpend'!HF$35+IF(211=MS_Initial_Closing_Start,ConOtherCosts+ConPoints+RecourseFee,0)+IF(211=StabMonth,OpReserve,0)</f>
        <v/>
      </c>
      <c r="HG26" s="18">
        <f>'DevSpend'!HG$34+'DevSpend'!HG$35+IF(212=MS_Initial_Closing_Start,ConOtherCosts+ConPoints+RecourseFee,0)+IF(212=StabMonth,OpReserve,0)</f>
        <v/>
      </c>
      <c r="HH26" s="18">
        <f>'DevSpend'!HH$34+'DevSpend'!HH$35+IF(213=MS_Initial_Closing_Start,ConOtherCosts+ConPoints+RecourseFee,0)+IF(213=StabMonth,OpReserve,0)</f>
        <v/>
      </c>
      <c r="HI26" s="18">
        <f>'DevSpend'!HI$34+'DevSpend'!HI$35+IF(214=MS_Initial_Closing_Start,ConOtherCosts+ConPoints+RecourseFee,0)+IF(214=StabMonth,OpReserve,0)</f>
        <v/>
      </c>
      <c r="HJ26" s="18">
        <f>'DevSpend'!HJ$34+'DevSpend'!HJ$35+IF(215=MS_Initial_Closing_Start,ConOtherCosts+ConPoints+RecourseFee,0)+IF(215=StabMonth,OpReserve,0)</f>
        <v/>
      </c>
      <c r="HK26" s="18">
        <f>'DevSpend'!HK$34+'DevSpend'!HK$35+IF(216=MS_Initial_Closing_Start,ConOtherCosts+ConPoints+RecourseFee,0)+IF(216=StabMonth,OpReserve,0)</f>
        <v/>
      </c>
      <c r="HL26" s="18">
        <f>'DevSpend'!HL$34+'DevSpend'!HL$35+IF(217=MS_Initial_Closing_Start,ConOtherCosts+ConPoints+RecourseFee,0)+IF(217=StabMonth,OpReserve,0)</f>
        <v/>
      </c>
      <c r="HM26" s="18">
        <f>'DevSpend'!HM$34+'DevSpend'!HM$35+IF(218=MS_Initial_Closing_Start,ConOtherCosts+ConPoints+RecourseFee,0)+IF(218=StabMonth,OpReserve,0)</f>
        <v/>
      </c>
      <c r="HN26" s="18">
        <f>'DevSpend'!HN$34+'DevSpend'!HN$35+IF(219=MS_Initial_Closing_Start,ConOtherCosts+ConPoints+RecourseFee,0)+IF(219=StabMonth,OpReserve,0)</f>
        <v/>
      </c>
      <c r="HO26" s="18">
        <f>'DevSpend'!HO$34+'DevSpend'!HO$35+IF(220=MS_Initial_Closing_Start,ConOtherCosts+ConPoints+RecourseFee,0)+IF(220=StabMonth,OpReserve,0)</f>
        <v/>
      </c>
      <c r="HP26" s="18">
        <f>'DevSpend'!HP$34+'DevSpend'!HP$35+IF(221=MS_Initial_Closing_Start,ConOtherCosts+ConPoints+RecourseFee,0)+IF(221=StabMonth,OpReserve,0)</f>
        <v/>
      </c>
      <c r="HQ26" s="18">
        <f>'DevSpend'!HQ$34+'DevSpend'!HQ$35+IF(222=MS_Initial_Closing_Start,ConOtherCosts+ConPoints+RecourseFee,0)+IF(222=StabMonth,OpReserve,0)</f>
        <v/>
      </c>
      <c r="HR26" s="18">
        <f>'DevSpend'!HR$34+'DevSpend'!HR$35+IF(223=MS_Initial_Closing_Start,ConOtherCosts+ConPoints+RecourseFee,0)+IF(223=StabMonth,OpReserve,0)</f>
        <v/>
      </c>
      <c r="HS26" s="18">
        <f>'DevSpend'!HS$34+'DevSpend'!HS$35+IF(224=MS_Initial_Closing_Start,ConOtherCosts+ConPoints+RecourseFee,0)+IF(224=StabMonth,OpReserve,0)</f>
        <v/>
      </c>
      <c r="HT26" s="18">
        <f>'DevSpend'!HT$34+'DevSpend'!HT$35+IF(225=MS_Initial_Closing_Start,ConOtherCosts+ConPoints+RecourseFee,0)+IF(225=StabMonth,OpReserve,0)</f>
        <v/>
      </c>
      <c r="HU26" s="18">
        <f>'DevSpend'!HU$34+'DevSpend'!HU$35+IF(226=MS_Initial_Closing_Start,ConOtherCosts+ConPoints+RecourseFee,0)+IF(226=StabMonth,OpReserve,0)</f>
        <v/>
      </c>
      <c r="HV26" s="18">
        <f>'DevSpend'!HV$34+'DevSpend'!HV$35+IF(227=MS_Initial_Closing_Start,ConOtherCosts+ConPoints+RecourseFee,0)+IF(227=StabMonth,OpReserve,0)</f>
        <v/>
      </c>
      <c r="HW26" s="18">
        <f>'DevSpend'!HW$34+'DevSpend'!HW$35+IF(228=MS_Initial_Closing_Start,ConOtherCosts+ConPoints+RecourseFee,0)+IF(228=StabMonth,OpReserve,0)</f>
        <v/>
      </c>
      <c r="HX26" s="18">
        <f>'DevSpend'!HX$34+'DevSpend'!HX$35+IF(229=MS_Initial_Closing_Start,ConOtherCosts+ConPoints+RecourseFee,0)+IF(229=StabMonth,OpReserve,0)</f>
        <v/>
      </c>
      <c r="HY26" s="18">
        <f>'DevSpend'!HY$34+'DevSpend'!HY$35+IF(230=MS_Initial_Closing_Start,ConOtherCosts+ConPoints+RecourseFee,0)+IF(230=StabMonth,OpReserve,0)</f>
        <v/>
      </c>
      <c r="HZ26" s="18">
        <f>'DevSpend'!HZ$34+'DevSpend'!HZ$35+IF(231=MS_Initial_Closing_Start,ConOtherCosts+ConPoints+RecourseFee,0)+IF(231=StabMonth,OpReserve,0)</f>
        <v/>
      </c>
      <c r="IA26" s="18">
        <f>'DevSpend'!IA$34+'DevSpend'!IA$35+IF(232=MS_Initial_Closing_Start,ConOtherCosts+ConPoints+RecourseFee,0)+IF(232=StabMonth,OpReserve,0)</f>
        <v/>
      </c>
      <c r="IB26" s="18">
        <f>'DevSpend'!IB$34+'DevSpend'!IB$35+IF(233=MS_Initial_Closing_Start,ConOtherCosts+ConPoints+RecourseFee,0)+IF(233=StabMonth,OpReserve,0)</f>
        <v/>
      </c>
      <c r="IC26" s="18">
        <f>'DevSpend'!IC$34+'DevSpend'!IC$35+IF(234=MS_Initial_Closing_Start,ConOtherCosts+ConPoints+RecourseFee,0)+IF(234=StabMonth,OpReserve,0)</f>
        <v/>
      </c>
      <c r="ID26" s="18">
        <f>'DevSpend'!ID$34+'DevSpend'!ID$35+IF(235=MS_Initial_Closing_Start,ConOtherCosts+ConPoints+RecourseFee,0)+IF(235=StabMonth,OpReserve,0)</f>
        <v/>
      </c>
      <c r="IE26" s="18">
        <f>'DevSpend'!IE$34+'DevSpend'!IE$35+IF(236=MS_Initial_Closing_Start,ConOtherCosts+ConPoints+RecourseFee,0)+IF(236=StabMonth,OpReserve,0)</f>
        <v/>
      </c>
      <c r="IF26" s="18">
        <f>'DevSpend'!IF$34+'DevSpend'!IF$35+IF(237=MS_Initial_Closing_Start,ConOtherCosts+ConPoints+RecourseFee,0)+IF(237=StabMonth,OpReserve,0)</f>
        <v/>
      </c>
      <c r="IG26" s="18">
        <f>'DevSpend'!IG$34+'DevSpend'!IG$35+IF(238=MS_Initial_Closing_Start,ConOtherCosts+ConPoints+RecourseFee,0)+IF(238=StabMonth,OpReserve,0)</f>
        <v/>
      </c>
      <c r="IH26" s="18">
        <f>'DevSpend'!IH$34+'DevSpend'!IH$35+IF(239=MS_Initial_Closing_Start,ConOtherCosts+ConPoints+RecourseFee,0)+IF(239=StabMonth,OpReserve,0)</f>
        <v/>
      </c>
      <c r="II26" s="18">
        <f>'DevSpend'!II$34+'DevSpend'!II$35+IF(240=MS_Initial_Closing_Start,ConOtherCosts+ConPoints+RecourseFee,0)+IF(240=StabMonth,OpReserve,0)</f>
        <v/>
      </c>
      <c r="IJ26" s="18">
        <f>'DevSpend'!IJ$34+'DevSpend'!IJ$35+IF(241=MS_Initial_Closing_Start,ConOtherCosts+ConPoints+RecourseFee,0)+IF(241=StabMonth,OpReserve,0)</f>
        <v/>
      </c>
      <c r="IK26" s="18">
        <f>'DevSpend'!IK$34+'DevSpend'!IK$35+IF(242=MS_Initial_Closing_Start,ConOtherCosts+ConPoints+RecourseFee,0)+IF(242=StabMonth,OpReserve,0)</f>
        <v/>
      </c>
      <c r="IL26" s="18">
        <f>'DevSpend'!IL$34+'DevSpend'!IL$35+IF(243=MS_Initial_Closing_Start,ConOtherCosts+ConPoints+RecourseFee,0)+IF(243=StabMonth,OpReserve,0)</f>
        <v/>
      </c>
      <c r="IM26" s="18">
        <f>'DevSpend'!IM$34+'DevSpend'!IM$35+IF(244=MS_Initial_Closing_Start,ConOtherCosts+ConPoints+RecourseFee,0)+IF(244=StabMonth,OpReserve,0)</f>
        <v/>
      </c>
      <c r="IN26" s="18">
        <f>'DevSpend'!IN$34+'DevSpend'!IN$35+IF(245=MS_Initial_Closing_Start,ConOtherCosts+ConPoints+RecourseFee,0)+IF(245=StabMonth,OpReserve,0)</f>
        <v/>
      </c>
      <c r="IO26" s="18">
        <f>'DevSpend'!IO$34+'DevSpend'!IO$35+IF(246=MS_Initial_Closing_Start,ConOtherCosts+ConPoints+RecourseFee,0)+IF(246=StabMonth,OpReserve,0)</f>
        <v/>
      </c>
      <c r="IP26" s="18">
        <f>'DevSpend'!IP$34+'DevSpend'!IP$35+IF(247=MS_Initial_Closing_Start,ConOtherCosts+ConPoints+RecourseFee,0)+IF(247=StabMonth,OpReserve,0)</f>
        <v/>
      </c>
      <c r="IQ26" s="18">
        <f>'DevSpend'!IQ$34+'DevSpend'!IQ$35+IF(248=MS_Initial_Closing_Start,ConOtherCosts+ConPoints+RecourseFee,0)+IF(248=StabMonth,OpReserve,0)</f>
        <v/>
      </c>
      <c r="IR26" s="18">
        <f>'DevSpend'!IR$34+'DevSpend'!IR$35+IF(249=MS_Initial_Closing_Start,ConOtherCosts+ConPoints+RecourseFee,0)+IF(249=StabMonth,OpReserve,0)</f>
        <v/>
      </c>
      <c r="IS26" s="18">
        <f>'DevSpend'!IS$34+'DevSpend'!IS$35+IF(250=MS_Initial_Closing_Start,ConOtherCosts+ConPoints+RecourseFee,0)+IF(250=StabMonth,OpReserve,0)</f>
        <v/>
      </c>
      <c r="IT26" s="18">
        <f>'DevSpend'!IT$34+'DevSpend'!IT$35+IF(251=MS_Initial_Closing_Start,ConOtherCosts+ConPoints+RecourseFee,0)+IF(251=StabMonth,OpReserve,0)</f>
        <v/>
      </c>
      <c r="IU26" s="18">
        <f>'DevSpend'!IU$34+'DevSpend'!IU$35+IF(252=MS_Initial_Closing_Start,ConOtherCosts+ConPoints+RecourseFee,0)+IF(252=StabMonth,OpReserve,0)</f>
        <v/>
      </c>
      <c r="IV26" s="18">
        <f>'DevSpend'!IV$34+'DevSpend'!IV$35+IF(253=MS_Initial_Closing_Start,ConOtherCosts+ConPoints+RecourseFee,0)+IF(253=StabMonth,OpReserve,0)</f>
        <v/>
      </c>
      <c r="IW26" s="18">
        <f>'DevSpend'!IW$34+'DevSpend'!IW$35+IF(254=MS_Initial_Closing_Start,ConOtherCosts+ConPoints+RecourseFee,0)+IF(254=StabMonth,OpReserve,0)</f>
        <v/>
      </c>
      <c r="IX26" s="18">
        <f>'DevSpend'!IX$34+'DevSpend'!IX$35+IF(255=MS_Initial_Closing_Start,ConOtherCosts+ConPoints+RecourseFee,0)+IF(255=StabMonth,OpReserve,0)</f>
        <v/>
      </c>
      <c r="IY26" s="18">
        <f>'DevSpend'!IY$34+'DevSpend'!IY$35+IF(256=MS_Initial_Closing_Start,ConOtherCosts+ConPoints+RecourseFee,0)+IF(256=StabMonth,OpReserve,0)</f>
        <v/>
      </c>
      <c r="IZ26" s="18">
        <f>'DevSpend'!IZ$34+'DevSpend'!IZ$35+IF(257=MS_Initial_Closing_Start,ConOtherCosts+ConPoints+RecourseFee,0)+IF(257=StabMonth,OpReserve,0)</f>
        <v/>
      </c>
      <c r="JA26" s="18">
        <f>'DevSpend'!JA$34+'DevSpend'!JA$35+IF(258=MS_Initial_Closing_Start,ConOtherCosts+ConPoints+RecourseFee,0)+IF(258=StabMonth,OpReserve,0)</f>
        <v/>
      </c>
      <c r="JB26" s="18">
        <f>'DevSpend'!JB$34+'DevSpend'!JB$35+IF(259=MS_Initial_Closing_Start,ConOtherCosts+ConPoints+RecourseFee,0)+IF(259=StabMonth,OpReserve,0)</f>
        <v/>
      </c>
      <c r="JC26" s="18">
        <f>'DevSpend'!JC$34+'DevSpend'!JC$35+IF(260=MS_Initial_Closing_Start,ConOtherCosts+ConPoints+RecourseFee,0)+IF(260=StabMonth,OpReserve,0)</f>
        <v/>
      </c>
      <c r="JD26" s="18">
        <f>'DevSpend'!JD$34+'DevSpend'!JD$35+IF(261=MS_Initial_Closing_Start,ConOtherCosts+ConPoints+RecourseFee,0)+IF(261=StabMonth,OpReserve,0)</f>
        <v/>
      </c>
      <c r="JE26" s="18">
        <f>'DevSpend'!JE$34+'DevSpend'!JE$35+IF(262=MS_Initial_Closing_Start,ConOtherCosts+ConPoints+RecourseFee,0)+IF(262=StabMonth,OpReserve,0)</f>
        <v/>
      </c>
      <c r="JF26" s="18">
        <f>'DevSpend'!JF$34+'DevSpend'!JF$35+IF(263=MS_Initial_Closing_Start,ConOtherCosts+ConPoints+RecourseFee,0)+IF(263=StabMonth,OpReserve,0)</f>
        <v/>
      </c>
      <c r="JG26" s="18">
        <f>'DevSpend'!JG$34+'DevSpend'!JG$35+IF(264=MS_Initial_Closing_Start,ConOtherCosts+ConPoints+RecourseFee,0)+IF(264=StabMonth,OpReserve,0)</f>
        <v/>
      </c>
      <c r="JH26" s="18">
        <f>'DevSpend'!JH$34+'DevSpend'!JH$35+IF(265=MS_Initial_Closing_Start,ConOtherCosts+ConPoints+RecourseFee,0)+IF(265=StabMonth,OpReserve,0)</f>
        <v/>
      </c>
      <c r="JI26" s="18">
        <f>'DevSpend'!JI$34+'DevSpend'!JI$35+IF(266=MS_Initial_Closing_Start,ConOtherCosts+ConPoints+RecourseFee,0)+IF(266=StabMonth,OpReserve,0)</f>
        <v/>
      </c>
      <c r="JJ26" s="18">
        <f>'DevSpend'!JJ$34+'DevSpend'!JJ$35+IF(267=MS_Initial_Closing_Start,ConOtherCosts+ConPoints+RecourseFee,0)+IF(267=StabMonth,OpReserve,0)</f>
        <v/>
      </c>
      <c r="JK26" s="18">
        <f>'DevSpend'!JK$34+'DevSpend'!JK$35+IF(268=MS_Initial_Closing_Start,ConOtherCosts+ConPoints+RecourseFee,0)+IF(268=StabMonth,OpReserve,0)</f>
        <v/>
      </c>
      <c r="JL26" s="18">
        <f>'DevSpend'!JL$34+'DevSpend'!JL$35+IF(269=MS_Initial_Closing_Start,ConOtherCosts+ConPoints+RecourseFee,0)+IF(269=StabMonth,OpReserve,0)</f>
        <v/>
      </c>
      <c r="JM26" s="18">
        <f>'DevSpend'!JM$34+'DevSpend'!JM$35+IF(270=MS_Initial_Closing_Start,ConOtherCosts+ConPoints+RecourseFee,0)+IF(270=StabMonth,OpReserve,0)</f>
        <v/>
      </c>
      <c r="JN26" s="18">
        <f>'DevSpend'!JN$34+'DevSpend'!JN$35+IF(271=MS_Initial_Closing_Start,ConOtherCosts+ConPoints+RecourseFee,0)+IF(271=StabMonth,OpReserve,0)</f>
        <v/>
      </c>
      <c r="JO26" s="18">
        <f>'DevSpend'!JO$34+'DevSpend'!JO$35+IF(272=MS_Initial_Closing_Start,ConOtherCosts+ConPoints+RecourseFee,0)+IF(272=StabMonth,OpReserve,0)</f>
        <v/>
      </c>
      <c r="JP26" s="18">
        <f>'DevSpend'!JP$34+'DevSpend'!JP$35+IF(273=MS_Initial_Closing_Start,ConOtherCosts+ConPoints+RecourseFee,0)+IF(273=StabMonth,OpReserve,0)</f>
        <v/>
      </c>
      <c r="JQ26" s="18">
        <f>'DevSpend'!JQ$34+'DevSpend'!JQ$35+IF(274=MS_Initial_Closing_Start,ConOtherCosts+ConPoints+RecourseFee,0)+IF(274=StabMonth,OpReserve,0)</f>
        <v/>
      </c>
      <c r="JR26" s="18">
        <f>'DevSpend'!JR$34+'DevSpend'!JR$35+IF(275=MS_Initial_Closing_Start,ConOtherCosts+ConPoints+RecourseFee,0)+IF(275=StabMonth,OpReserve,0)</f>
        <v/>
      </c>
      <c r="JS26" s="18">
        <f>'DevSpend'!JS$34+'DevSpend'!JS$35+IF(276=MS_Initial_Closing_Start,ConOtherCosts+ConPoints+RecourseFee,0)+IF(276=StabMonth,OpReserve,0)</f>
        <v/>
      </c>
      <c r="JT26" s="18">
        <f>'DevSpend'!JT$34+'DevSpend'!JT$35+IF(277=MS_Initial_Closing_Start,ConOtherCosts+ConPoints+RecourseFee,0)+IF(277=StabMonth,OpReserve,0)</f>
        <v/>
      </c>
      <c r="JU26" s="18">
        <f>'DevSpend'!JU$34+'DevSpend'!JU$35+IF(278=MS_Initial_Closing_Start,ConOtherCosts+ConPoints+RecourseFee,0)+IF(278=StabMonth,OpReserve,0)</f>
        <v/>
      </c>
      <c r="JV26" s="18">
        <f>'DevSpend'!JV$34+'DevSpend'!JV$35+IF(279=MS_Initial_Closing_Start,ConOtherCosts+ConPoints+RecourseFee,0)+IF(279=StabMonth,OpReserve,0)</f>
        <v/>
      </c>
      <c r="JW26" s="18">
        <f>'DevSpend'!JW$34+'DevSpend'!JW$35+IF(280=MS_Initial_Closing_Start,ConOtherCosts+ConPoints+RecourseFee,0)+IF(280=StabMonth,OpReserve,0)</f>
        <v/>
      </c>
      <c r="JX26" s="18">
        <f>'DevSpend'!JX$34+'DevSpend'!JX$35+IF(281=MS_Initial_Closing_Start,ConOtherCosts+ConPoints+RecourseFee,0)+IF(281=StabMonth,OpReserve,0)</f>
        <v/>
      </c>
      <c r="JY26" s="18">
        <f>'DevSpend'!JY$34+'DevSpend'!JY$35+IF(282=MS_Initial_Closing_Start,ConOtherCosts+ConPoints+RecourseFee,0)+IF(282=StabMonth,OpReserve,0)</f>
        <v/>
      </c>
      <c r="JZ26" s="18">
        <f>'DevSpend'!JZ$34+'DevSpend'!JZ$35+IF(283=MS_Initial_Closing_Start,ConOtherCosts+ConPoints+RecourseFee,0)+IF(283=StabMonth,OpReserve,0)</f>
        <v/>
      </c>
      <c r="KA26" s="18">
        <f>'DevSpend'!KA$34+'DevSpend'!KA$35+IF(284=MS_Initial_Closing_Start,ConOtherCosts+ConPoints+RecourseFee,0)+IF(284=StabMonth,OpReserve,0)</f>
        <v/>
      </c>
      <c r="KB26" s="18">
        <f>'DevSpend'!KB$34+'DevSpend'!KB$35+IF(285=MS_Initial_Closing_Start,ConOtherCosts+ConPoints+RecourseFee,0)+IF(285=StabMonth,OpReserve,0)</f>
        <v/>
      </c>
      <c r="KC26" s="18">
        <f>'DevSpend'!KC$34+'DevSpend'!KC$35+IF(286=MS_Initial_Closing_Start,ConOtherCosts+ConPoints+RecourseFee,0)+IF(286=StabMonth,OpReserve,0)</f>
        <v/>
      </c>
      <c r="KD26" s="18">
        <f>'DevSpend'!KD$34+'DevSpend'!KD$35+IF(287=MS_Initial_Closing_Start,ConOtherCosts+ConPoints+RecourseFee,0)+IF(287=StabMonth,OpReserve,0)</f>
        <v/>
      </c>
      <c r="KE26" s="18">
        <f>'DevSpend'!KE$34+'DevSpend'!KE$35+IF(288=MS_Initial_Closing_Start,ConOtherCosts+ConPoints+RecourseFee,0)+IF(288=StabMonth,OpReserve,0)</f>
        <v/>
      </c>
      <c r="KF26" s="18">
        <f>'DevSpend'!KF$34+'DevSpend'!KF$35+IF(289=MS_Initial_Closing_Start,ConOtherCosts+ConPoints+RecourseFee,0)+IF(289=StabMonth,OpReserve,0)</f>
        <v/>
      </c>
      <c r="KG26" s="18">
        <f>'DevSpend'!KG$34+'DevSpend'!KG$35+IF(290=MS_Initial_Closing_Start,ConOtherCosts+ConPoints+RecourseFee,0)+IF(290=StabMonth,OpReserve,0)</f>
        <v/>
      </c>
      <c r="KH26" s="18">
        <f>'DevSpend'!KH$34+'DevSpend'!KH$35+IF(291=MS_Initial_Closing_Start,ConOtherCosts+ConPoints+RecourseFee,0)+IF(291=StabMonth,OpReserve,0)</f>
        <v/>
      </c>
      <c r="KI26" s="18">
        <f>'DevSpend'!KI$34+'DevSpend'!KI$35+IF(292=MS_Initial_Closing_Start,ConOtherCosts+ConPoints+RecourseFee,0)+IF(292=StabMonth,OpReserve,0)</f>
        <v/>
      </c>
      <c r="KJ26" s="18">
        <f>'DevSpend'!KJ$34+'DevSpend'!KJ$35+IF(293=MS_Initial_Closing_Start,ConOtherCosts+ConPoints+RecourseFee,0)+IF(293=StabMonth,OpReserve,0)</f>
        <v/>
      </c>
      <c r="KK26" s="18">
        <f>'DevSpend'!KK$34+'DevSpend'!KK$35+IF(294=MS_Initial_Closing_Start,ConOtherCosts+ConPoints+RecourseFee,0)+IF(294=StabMonth,OpReserve,0)</f>
        <v/>
      </c>
      <c r="KL26" s="18">
        <f>'DevSpend'!KL$34+'DevSpend'!KL$35+IF(295=MS_Initial_Closing_Start,ConOtherCosts+ConPoints+RecourseFee,0)+IF(295=StabMonth,OpReserve,0)</f>
        <v/>
      </c>
      <c r="KM26" s="18">
        <f>'DevSpend'!KM$34+'DevSpend'!KM$35+IF(296=MS_Initial_Closing_Start,ConOtherCosts+ConPoints+RecourseFee,0)+IF(296=StabMonth,OpReserve,0)</f>
        <v/>
      </c>
      <c r="KN26" s="18">
        <f>'DevSpend'!KN$34+'DevSpend'!KN$35+IF(297=MS_Initial_Closing_Start,ConOtherCosts+ConPoints+RecourseFee,0)+IF(297=StabMonth,OpReserve,0)</f>
        <v/>
      </c>
      <c r="KO26" s="18">
        <f>'DevSpend'!KO$34+'DevSpend'!KO$35+IF(298=MS_Initial_Closing_Start,ConOtherCosts+ConPoints+RecourseFee,0)+IF(298=StabMonth,OpReserve,0)</f>
        <v/>
      </c>
      <c r="KP26" s="18">
        <f>'DevSpend'!KP$34+'DevSpend'!KP$35+IF(299=MS_Initial_Closing_Start,ConOtherCosts+ConPoints+RecourseFee,0)+IF(299=StabMonth,OpReserve,0)</f>
        <v/>
      </c>
      <c r="KQ26" s="18">
        <f>'DevSpend'!KQ$34+'DevSpend'!KQ$35+IF(300=MS_Initial_Closing_Start,ConOtherCosts+ConPoints+RecourseFee,0)+IF(300=StabMonth,OpReserve,0)</f>
        <v/>
      </c>
      <c r="KR26" s="18">
        <f>'DevSpend'!KR$34+'DevSpend'!KR$35+IF(301=MS_Initial_Closing_Start,ConOtherCosts+ConPoints+RecourseFee,0)+IF(301=StabMonth,OpReserve,0)</f>
        <v/>
      </c>
      <c r="KS26" s="18">
        <f>'DevSpend'!KS$34+'DevSpend'!KS$35+IF(302=MS_Initial_Closing_Start,ConOtherCosts+ConPoints+RecourseFee,0)+IF(302=StabMonth,OpReserve,0)</f>
        <v/>
      </c>
      <c r="KT26" s="18">
        <f>'DevSpend'!KT$34+'DevSpend'!KT$35+IF(303=MS_Initial_Closing_Start,ConOtherCosts+ConPoints+RecourseFee,0)+IF(303=StabMonth,OpReserve,0)</f>
        <v/>
      </c>
      <c r="KU26" s="18">
        <f>'DevSpend'!KU$34+'DevSpend'!KU$35+IF(304=MS_Initial_Closing_Start,ConOtherCosts+ConPoints+RecourseFee,0)+IF(304=StabMonth,OpReserve,0)</f>
        <v/>
      </c>
      <c r="KV26" s="18">
        <f>'DevSpend'!KV$34+'DevSpend'!KV$35+IF(305=MS_Initial_Closing_Start,ConOtherCosts+ConPoints+RecourseFee,0)+IF(305=StabMonth,OpReserve,0)</f>
        <v/>
      </c>
      <c r="KW26" s="18">
        <f>'DevSpend'!KW$34+'DevSpend'!KW$35+IF(306=MS_Initial_Closing_Start,ConOtherCosts+ConPoints+RecourseFee,0)+IF(306=StabMonth,OpReserve,0)</f>
        <v/>
      </c>
      <c r="KX26" s="18">
        <f>'DevSpend'!KX$34+'DevSpend'!KX$35+IF(307=MS_Initial_Closing_Start,ConOtherCosts+ConPoints+RecourseFee,0)+IF(307=StabMonth,OpReserve,0)</f>
        <v/>
      </c>
      <c r="KY26" s="18">
        <f>'DevSpend'!KY$34+'DevSpend'!KY$35+IF(308=MS_Initial_Closing_Start,ConOtherCosts+ConPoints+RecourseFee,0)+IF(308=StabMonth,OpReserve,0)</f>
        <v/>
      </c>
      <c r="KZ26" s="18">
        <f>'DevSpend'!KZ$34+'DevSpend'!KZ$35+IF(309=MS_Initial_Closing_Start,ConOtherCosts+ConPoints+RecourseFee,0)+IF(309=StabMonth,OpReserve,0)</f>
        <v/>
      </c>
      <c r="LA26" s="18">
        <f>'DevSpend'!LA$34+'DevSpend'!LA$35+IF(310=MS_Initial_Closing_Start,ConOtherCosts+ConPoints+RecourseFee,0)+IF(310=StabMonth,OpReserve,0)</f>
        <v/>
      </c>
      <c r="LB26" s="18">
        <f>'DevSpend'!LB$34+'DevSpend'!LB$35+IF(311=MS_Initial_Closing_Start,ConOtherCosts+ConPoints+RecourseFee,0)+IF(311=StabMonth,OpReserve,0)</f>
        <v/>
      </c>
      <c r="LC26" s="18">
        <f>'DevSpend'!LC$34+'DevSpend'!LC$35+IF(312=MS_Initial_Closing_Start,ConOtherCosts+ConPoints+RecourseFee,0)+IF(312=StabMonth,OpReserve,0)</f>
        <v/>
      </c>
      <c r="LD26" s="18">
        <f>'DevSpend'!LD$34+'DevSpend'!LD$35+IF(313=MS_Initial_Closing_Start,ConOtherCosts+ConPoints+RecourseFee,0)+IF(313=StabMonth,OpReserve,0)</f>
        <v/>
      </c>
      <c r="LE26" s="18">
        <f>'DevSpend'!LE$34+'DevSpend'!LE$35+IF(314=MS_Initial_Closing_Start,ConOtherCosts+ConPoints+RecourseFee,0)+IF(314=StabMonth,OpReserve,0)</f>
        <v/>
      </c>
      <c r="LF26" s="18">
        <f>'DevSpend'!LF$34+'DevSpend'!LF$35+IF(315=MS_Initial_Closing_Start,ConOtherCosts+ConPoints+RecourseFee,0)+IF(315=StabMonth,OpReserve,0)</f>
        <v/>
      </c>
      <c r="LG26" s="18">
        <f>'DevSpend'!LG$34+'DevSpend'!LG$35+IF(316=MS_Initial_Closing_Start,ConOtherCosts+ConPoints+RecourseFee,0)+IF(316=StabMonth,OpReserve,0)</f>
        <v/>
      </c>
      <c r="LH26" s="18">
        <f>'DevSpend'!LH$34+'DevSpend'!LH$35+IF(317=MS_Initial_Closing_Start,ConOtherCosts+ConPoints+RecourseFee,0)+IF(317=StabMonth,OpReserve,0)</f>
        <v/>
      </c>
      <c r="LI26" s="18">
        <f>'DevSpend'!LI$34+'DevSpend'!LI$35+IF(318=MS_Initial_Closing_Start,ConOtherCosts+ConPoints+RecourseFee,0)+IF(318=StabMonth,OpReserve,0)</f>
        <v/>
      </c>
      <c r="LJ26" s="18">
        <f>'DevSpend'!LJ$34+'DevSpend'!LJ$35+IF(319=MS_Initial_Closing_Start,ConOtherCosts+ConPoints+RecourseFee,0)+IF(319=StabMonth,OpReserve,0)</f>
        <v/>
      </c>
      <c r="LK26" s="18">
        <f>'DevSpend'!LK$34+'DevSpend'!LK$35+IF(320=MS_Initial_Closing_Start,ConOtherCosts+ConPoints+RecourseFee,0)+IF(320=StabMonth,OpReserve,0)</f>
        <v/>
      </c>
      <c r="LL26" s="18">
        <f>'DevSpend'!LL$34+'DevSpend'!LL$35+IF(321=MS_Initial_Closing_Start,ConOtherCosts+ConPoints+RecourseFee,0)+IF(321=StabMonth,OpReserve,0)</f>
        <v/>
      </c>
      <c r="LM26" s="18">
        <f>'DevSpend'!LM$34+'DevSpend'!LM$35+IF(322=MS_Initial_Closing_Start,ConOtherCosts+ConPoints+RecourseFee,0)+IF(322=StabMonth,OpReserve,0)</f>
        <v/>
      </c>
      <c r="LN26" s="18">
        <f>'DevSpend'!LN$34+'DevSpend'!LN$35+IF(323=MS_Initial_Closing_Start,ConOtherCosts+ConPoints+RecourseFee,0)+IF(323=StabMonth,OpReserve,0)</f>
        <v/>
      </c>
      <c r="LO26" s="18">
        <f>'DevSpend'!LO$34+'DevSpend'!LO$35+IF(324=MS_Initial_Closing_Start,ConOtherCosts+ConPoints+RecourseFee,0)+IF(324=StabMonth,OpReserve,0)</f>
        <v/>
      </c>
      <c r="LP26" s="18">
        <f>'DevSpend'!LP$34+'DevSpend'!LP$35+IF(325=MS_Initial_Closing_Start,ConOtherCosts+ConPoints+RecourseFee,0)+IF(325=StabMonth,OpReserve,0)</f>
        <v/>
      </c>
      <c r="LQ26" s="18">
        <f>'DevSpend'!LQ$34+'DevSpend'!LQ$35+IF(326=MS_Initial_Closing_Start,ConOtherCosts+ConPoints+RecourseFee,0)+IF(326=StabMonth,OpReserve,0)</f>
        <v/>
      </c>
      <c r="LR26" s="18">
        <f>'DevSpend'!LR$34+'DevSpend'!LR$35+IF(327=MS_Initial_Closing_Start,ConOtherCosts+ConPoints+RecourseFee,0)+IF(327=StabMonth,OpReserve,0)</f>
        <v/>
      </c>
      <c r="LS26" s="18">
        <f>'DevSpend'!LS$34+'DevSpend'!LS$35+IF(328=MS_Initial_Closing_Start,ConOtherCosts+ConPoints+RecourseFee,0)+IF(328=StabMonth,OpReserve,0)</f>
        <v/>
      </c>
      <c r="LT26" s="18">
        <f>'DevSpend'!LT$34+'DevSpend'!LT$35+IF(329=MS_Initial_Closing_Start,ConOtherCosts+ConPoints+RecourseFee,0)+IF(329=StabMonth,OpReserve,0)</f>
        <v/>
      </c>
      <c r="LU26" s="18">
        <f>'DevSpend'!LU$34+'DevSpend'!LU$35+IF(330=MS_Initial_Closing_Start,ConOtherCosts+ConPoints+RecourseFee,0)+IF(330=StabMonth,OpReserve,0)</f>
        <v/>
      </c>
      <c r="LV26" s="18">
        <f>'DevSpend'!LV$34+'DevSpend'!LV$35+IF(331=MS_Initial_Closing_Start,ConOtherCosts+ConPoints+RecourseFee,0)+IF(331=StabMonth,OpReserve,0)</f>
        <v/>
      </c>
      <c r="LW26" s="18">
        <f>'DevSpend'!LW$34+'DevSpend'!LW$35+IF(332=MS_Initial_Closing_Start,ConOtherCosts+ConPoints+RecourseFee,0)+IF(332=StabMonth,OpReserve,0)</f>
        <v/>
      </c>
      <c r="LX26" s="18">
        <f>'DevSpend'!LX$34+'DevSpend'!LX$35+IF(333=MS_Initial_Closing_Start,ConOtherCosts+ConPoints+RecourseFee,0)+IF(333=StabMonth,OpReserve,0)</f>
        <v/>
      </c>
      <c r="LY26" s="18">
        <f>'DevSpend'!LY$34+'DevSpend'!LY$35+IF(334=MS_Initial_Closing_Start,ConOtherCosts+ConPoints+RecourseFee,0)+IF(334=StabMonth,OpReserve,0)</f>
        <v/>
      </c>
      <c r="LZ26" s="18">
        <f>'DevSpend'!LZ$34+'DevSpend'!LZ$35+IF(335=MS_Initial_Closing_Start,ConOtherCosts+ConPoints+RecourseFee,0)+IF(335=StabMonth,OpReserve,0)</f>
        <v/>
      </c>
      <c r="MA26" s="18">
        <f>'DevSpend'!MA$34+'DevSpend'!MA$35+IF(336=MS_Initial_Closing_Start,ConOtherCosts+ConPoints+RecourseFee,0)+IF(336=StabMonth,OpReserve,0)</f>
        <v/>
      </c>
      <c r="MB26" s="18">
        <f>'DevSpend'!MB$34+'DevSpend'!MB$35+IF(337=MS_Initial_Closing_Start,ConOtherCosts+ConPoints+RecourseFee,0)+IF(337=StabMonth,OpReserve,0)</f>
        <v/>
      </c>
      <c r="MC26" s="18">
        <f>'DevSpend'!MC$34+'DevSpend'!MC$35+IF(338=MS_Initial_Closing_Start,ConOtherCosts+ConPoints+RecourseFee,0)+IF(338=StabMonth,OpReserve,0)</f>
        <v/>
      </c>
      <c r="MD26" s="18">
        <f>'DevSpend'!MD$34+'DevSpend'!MD$35+IF(339=MS_Initial_Closing_Start,ConOtherCosts+ConPoints+RecourseFee,0)+IF(339=StabMonth,OpReserve,0)</f>
        <v/>
      </c>
      <c r="ME26" s="18">
        <f>'DevSpend'!ME$34+'DevSpend'!ME$35+IF(340=MS_Initial_Closing_Start,ConOtherCosts+ConPoints+RecourseFee,0)+IF(340=StabMonth,OpReserve,0)</f>
        <v/>
      </c>
      <c r="MF26" s="18">
        <f>'DevSpend'!MF$34+'DevSpend'!MF$35+IF(341=MS_Initial_Closing_Start,ConOtherCosts+ConPoints+RecourseFee,0)+IF(341=StabMonth,OpReserve,0)</f>
        <v/>
      </c>
      <c r="MG26" s="18">
        <f>'DevSpend'!MG$34+'DevSpend'!MG$35+IF(342=MS_Initial_Closing_Start,ConOtherCosts+ConPoints+RecourseFee,0)+IF(342=StabMonth,OpReserve,0)</f>
        <v/>
      </c>
      <c r="MH26" s="18">
        <f>'DevSpend'!MH$34+'DevSpend'!MH$35+IF(343=MS_Initial_Closing_Start,ConOtherCosts+ConPoints+RecourseFee,0)+IF(343=StabMonth,OpReserve,0)</f>
        <v/>
      </c>
      <c r="MI26" s="18">
        <f>'DevSpend'!MI$34+'DevSpend'!MI$35+IF(344=MS_Initial_Closing_Start,ConOtherCosts+ConPoints+RecourseFee,0)+IF(344=StabMonth,OpReserve,0)</f>
        <v/>
      </c>
      <c r="MJ26" s="18">
        <f>'DevSpend'!MJ$34+'DevSpend'!MJ$35+IF(345=MS_Initial_Closing_Start,ConOtherCosts+ConPoints+RecourseFee,0)+IF(345=StabMonth,OpReserve,0)</f>
        <v/>
      </c>
      <c r="MK26" s="18">
        <f>'DevSpend'!MK$34+'DevSpend'!MK$35+IF(346=MS_Initial_Closing_Start,ConOtherCosts+ConPoints+RecourseFee,0)+IF(346=StabMonth,OpReserve,0)</f>
        <v/>
      </c>
      <c r="ML26" s="18">
        <f>'DevSpend'!ML$34+'DevSpend'!ML$35+IF(347=MS_Initial_Closing_Start,ConOtherCosts+ConPoints+RecourseFee,0)+IF(347=StabMonth,OpReserve,0)</f>
        <v/>
      </c>
      <c r="MM26" s="18">
        <f>'DevSpend'!MM$34+'DevSpend'!MM$35+IF(348=MS_Initial_Closing_Start,ConOtherCosts+ConPoints+RecourseFee,0)+IF(348=StabMonth,OpReserve,0)</f>
        <v/>
      </c>
      <c r="MN26" s="18">
        <f>'DevSpend'!MN$34+'DevSpend'!MN$35+IF(349=MS_Initial_Closing_Start,ConOtherCosts+ConPoints+RecourseFee,0)+IF(349=StabMonth,OpReserve,0)</f>
        <v/>
      </c>
      <c r="MO26" s="18">
        <f>'DevSpend'!MO$34+'DevSpend'!MO$35+IF(350=MS_Initial_Closing_Start,ConOtherCosts+ConPoints+RecourseFee,0)+IF(350=StabMonth,OpReserve,0)</f>
        <v/>
      </c>
      <c r="MP26" s="18">
        <f>'DevSpend'!MP$34+'DevSpend'!MP$35+IF(351=MS_Initial_Closing_Start,ConOtherCosts+ConPoints+RecourseFee,0)+IF(351=StabMonth,OpReserve,0)</f>
        <v/>
      </c>
      <c r="MQ26" s="18">
        <f>'DevSpend'!MQ$34+'DevSpend'!MQ$35+IF(352=MS_Initial_Closing_Start,ConOtherCosts+ConPoints+RecourseFee,0)+IF(352=StabMonth,OpReserve,0)</f>
        <v/>
      </c>
      <c r="MR26" s="18">
        <f>'DevSpend'!MR$34+'DevSpend'!MR$35+IF(353=MS_Initial_Closing_Start,ConOtherCosts+ConPoints+RecourseFee,0)+IF(353=StabMonth,OpReserve,0)</f>
        <v/>
      </c>
      <c r="MS26" s="18">
        <f>'DevSpend'!MS$34+'DevSpend'!MS$35+IF(354=MS_Initial_Closing_Start,ConOtherCosts+ConPoints+RecourseFee,0)+IF(354=StabMonth,OpReserve,0)</f>
        <v/>
      </c>
      <c r="MT26" s="18">
        <f>'DevSpend'!MT$34+'DevSpend'!MT$35+IF(355=MS_Initial_Closing_Start,ConOtherCosts+ConPoints+RecourseFee,0)+IF(355=StabMonth,OpReserve,0)</f>
        <v/>
      </c>
      <c r="MU26" s="18">
        <f>'DevSpend'!MU$34+'DevSpend'!MU$35+IF(356=MS_Initial_Closing_Start,ConOtherCosts+ConPoints+RecourseFee,0)+IF(356=StabMonth,OpReserve,0)</f>
        <v/>
      </c>
      <c r="MV26" s="18">
        <f>'DevSpend'!MV$34+'DevSpend'!MV$35+IF(357=MS_Initial_Closing_Start,ConOtherCosts+ConPoints+RecourseFee,0)+IF(357=StabMonth,OpReserve,0)</f>
        <v/>
      </c>
      <c r="MW26" s="18">
        <f>'DevSpend'!MW$34+'DevSpend'!MW$35+IF(358=MS_Initial_Closing_Start,ConOtherCosts+ConPoints+RecourseFee,0)+IF(358=StabMonth,OpReserve,0)</f>
        <v/>
      </c>
      <c r="MX26" s="18">
        <f>'DevSpend'!MX$34+'DevSpend'!MX$35+IF(359=MS_Initial_Closing_Start,ConOtherCosts+ConPoints+RecourseFee,0)+IF(359=StabMonth,OpReserve,0)</f>
        <v/>
      </c>
      <c r="MY26" s="18">
        <f>'DevSpend'!MY$34+'DevSpend'!MY$35+IF(360=MS_Initial_Closing_Start,ConOtherCosts+ConPoints+RecourseFee,0)+IF(360=StabMonth,OpReserve,0)</f>
        <v/>
      </c>
      <c r="MZ26" s="18">
        <f>'DevSpend'!MZ$34+'DevSpend'!MZ$35+IF(361=MS_Initial_Closing_Start,ConOtherCosts+ConPoints+RecourseFee,0)+IF(361=StabMonth,OpReserve,0)</f>
        <v/>
      </c>
      <c r="NA26" s="18">
        <f>'DevSpend'!NA$34+'DevSpend'!NA$35+IF(362=MS_Initial_Closing_Start,ConOtherCosts+ConPoints+RecourseFee,0)+IF(362=StabMonth,OpReserve,0)</f>
        <v/>
      </c>
      <c r="NB26" s="18">
        <f>'DevSpend'!NB$34+'DevSpend'!NB$35+IF(363=MS_Initial_Closing_Start,ConOtherCosts+ConPoints+RecourseFee,0)+IF(363=StabMonth,OpReserve,0)</f>
        <v/>
      </c>
      <c r="NC26" s="18">
        <f>'DevSpend'!NC$34+'DevSpend'!NC$35+IF(364=MS_Initial_Closing_Start,ConOtherCosts+ConPoints+RecourseFee,0)+IF(364=StabMonth,OpReserve,0)</f>
        <v/>
      </c>
      <c r="ND26" s="18">
        <f>'DevSpend'!ND$34+'DevSpend'!ND$35+IF(365=MS_Initial_Closing_Start,ConOtherCosts+ConPoints+RecourseFee,0)+IF(365=StabMonth,OpReserve,0)</f>
        <v/>
      </c>
      <c r="NE26" s="18">
        <f>'DevSpend'!NE$34+'DevSpend'!NE$35+IF(366=MS_Initial_Closing_Start,ConOtherCosts+ConPoints+RecourseFee,0)+IF(366=StabMonth,OpReserve,0)</f>
        <v/>
      </c>
      <c r="NF26" s="18">
        <f>'DevSpend'!NF$34+'DevSpend'!NF$35+IF(367=MS_Initial_Closing_Start,ConOtherCosts+ConPoints+RecourseFee,0)+IF(367=StabMonth,OpReserve,0)</f>
        <v/>
      </c>
      <c r="NG26" s="18">
        <f>'DevSpend'!NG$34+'DevSpend'!NG$35+IF(368=MS_Initial_Closing_Start,ConOtherCosts+ConPoints+RecourseFee,0)+IF(368=StabMonth,OpReserve,0)</f>
        <v/>
      </c>
      <c r="NH26" s="18">
        <f>'DevSpend'!NH$34+'DevSpend'!NH$35+IF(369=MS_Initial_Closing_Start,ConOtherCosts+ConPoints+RecourseFee,0)+IF(369=StabMonth,OpReserve,0)</f>
        <v/>
      </c>
      <c r="NI26" s="18">
        <f>'DevSpend'!NI$34+'DevSpend'!NI$35+IF(370=MS_Initial_Closing_Start,ConOtherCosts+ConPoints+RecourseFee,0)+IF(370=StabMonth,OpReserve,0)</f>
        <v/>
      </c>
      <c r="NJ26" s="18">
        <f>'DevSpend'!NJ$34+'DevSpend'!NJ$35+IF(371=MS_Initial_Closing_Start,ConOtherCosts+ConPoints+RecourseFee,0)+IF(371=StabMonth,OpReserve,0)</f>
        <v/>
      </c>
      <c r="NK26" s="18">
        <f>'DevSpend'!NK$34+'DevSpend'!NK$35+IF(372=MS_Initial_Closing_Start,ConOtherCosts+ConPoints+RecourseFee,0)+IF(372=StabMonth,OpReserve,0)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IF('Timeline'!D$41=1,IF(ConActual360=1,ConRate*D$25/360,ConRate/12),0)</f>
        <v/>
      </c>
      <c r="E30" s="49">
        <f>IF('Timeline'!E$41=1,IF(ConActual360=1,ConRate*E$25/360,ConRate/12),0)</f>
        <v/>
      </c>
      <c r="F30" s="49">
        <f>IF('Timeline'!F$41=1,IF(ConActual360=1,ConRate*F$25/360,ConRate/12),0)</f>
        <v/>
      </c>
      <c r="G30" s="49">
        <f>IF('Timeline'!G$41=1,IF(ConActual360=1,ConRate*G$25/360,ConRate/12),0)</f>
        <v/>
      </c>
      <c r="H30" s="49">
        <f>IF('Timeline'!H$41=1,IF(ConActual360=1,ConRate*H$25/360,ConRate/12),0)</f>
        <v/>
      </c>
      <c r="I30" s="49">
        <f>IF('Timeline'!I$41=1,IF(ConActual360=1,ConRate*I$25/360,ConRate/12),0)</f>
        <v/>
      </c>
      <c r="J30" s="49">
        <f>IF('Timeline'!J$41=1,IF(ConActual360=1,ConRate*J$25/360,ConRate/12),0)</f>
        <v/>
      </c>
      <c r="K30" s="49">
        <f>IF('Timeline'!K$41=1,IF(ConActual360=1,ConRate*K$25/360,ConRate/12),0)</f>
        <v/>
      </c>
      <c r="L30" s="49">
        <f>IF('Timeline'!L$41=1,IF(ConActual360=1,ConRate*L$25/360,ConRate/12),0)</f>
        <v/>
      </c>
      <c r="M30" s="49">
        <f>IF('Timeline'!M$41=1,IF(ConActual360=1,ConRate*M$25/360,ConRate/12),0)</f>
        <v/>
      </c>
      <c r="N30" s="49">
        <f>IF('Timeline'!N$41=1,IF(ConActual360=1,ConRate*N$25/360,ConRate/12),0)</f>
        <v/>
      </c>
      <c r="O30" s="49">
        <f>IF('Timeline'!O$41=1,IF(ConActual360=1,ConRate*O$25/360,ConRate/12),0)</f>
        <v/>
      </c>
      <c r="P30" s="49">
        <f>IF('Timeline'!P$41=1,IF(ConActual360=1,ConRate*P$25/360,ConRate/12),0)</f>
        <v/>
      </c>
      <c r="Q30" s="49">
        <f>IF('Timeline'!Q$41=1,IF(ConActual360=1,ConRate*Q$25/360,ConRate/12),0)</f>
        <v/>
      </c>
      <c r="R30" s="49">
        <f>IF('Timeline'!R$41=1,IF(ConActual360=1,ConRate*R$25/360,ConRate/12),0)</f>
        <v/>
      </c>
      <c r="S30" s="49">
        <f>IF('Timeline'!S$41=1,IF(ConActual360=1,ConRate*S$25/360,ConRate/12),0)</f>
        <v/>
      </c>
      <c r="T30" s="49">
        <f>IF('Timeline'!T$41=1,IF(ConActual360=1,ConRate*T$25/360,ConRate/12),0)</f>
        <v/>
      </c>
      <c r="U30" s="49">
        <f>IF('Timeline'!U$41=1,IF(ConActual360=1,ConRate*U$25/360,ConRate/12),0)</f>
        <v/>
      </c>
      <c r="V30" s="49">
        <f>IF('Timeline'!V$41=1,IF(ConActual360=1,ConRate*V$25/360,ConRate/12),0)</f>
        <v/>
      </c>
      <c r="W30" s="49">
        <f>IF('Timeline'!W$41=1,IF(ConActual360=1,ConRate*W$25/360,ConRate/12),0)</f>
        <v/>
      </c>
      <c r="X30" s="49">
        <f>IF('Timeline'!X$41=1,IF(ConActual360=1,ConRate*X$25/360,ConRate/12),0)</f>
        <v/>
      </c>
      <c r="Y30" s="49">
        <f>IF('Timeline'!Y$41=1,IF(ConActual360=1,ConRate*Y$25/360,ConRate/12),0)</f>
        <v/>
      </c>
      <c r="Z30" s="49">
        <f>IF('Timeline'!Z$41=1,IF(ConActual360=1,ConRate*Z$25/360,ConRate/12),0)</f>
        <v/>
      </c>
      <c r="AA30" s="49">
        <f>IF('Timeline'!AA$41=1,IF(ConActual360=1,ConRate*AA$25/360,ConRate/12),0)</f>
        <v/>
      </c>
      <c r="AB30" s="49">
        <f>IF('Timeline'!AB$41=1,IF(ConActual360=1,ConRate*AB$25/360,ConRate/12),0)</f>
        <v/>
      </c>
      <c r="AC30" s="49">
        <f>IF('Timeline'!AC$41=1,IF(ConActual360=1,ConRate*AC$25/360,ConRate/12),0)</f>
        <v/>
      </c>
      <c r="AD30" s="49">
        <f>IF('Timeline'!AD$41=1,IF(ConActual360=1,ConRate*AD$25/360,ConRate/12),0)</f>
        <v/>
      </c>
      <c r="AE30" s="49">
        <f>IF('Timeline'!AE$41=1,IF(ConActual360=1,ConRate*AE$25/360,ConRate/12),0)</f>
        <v/>
      </c>
      <c r="AF30" s="49">
        <f>IF('Timeline'!AF$41=1,IF(ConActual360=1,ConRate*AF$25/360,ConRate/12),0)</f>
        <v/>
      </c>
      <c r="AG30" s="49">
        <f>IF('Timeline'!AG$41=1,IF(ConActual360=1,ConRate*AG$25/360,ConRate/12),0)</f>
        <v/>
      </c>
      <c r="AH30" s="49">
        <f>IF('Timeline'!AH$41=1,IF(ConActual360=1,ConRate*AH$25/360,ConRate/12),0)</f>
        <v/>
      </c>
      <c r="AI30" s="49">
        <f>IF('Timeline'!AI$41=1,IF(ConActual360=1,ConRate*AI$25/360,ConRate/12),0)</f>
        <v/>
      </c>
      <c r="AJ30" s="49">
        <f>IF('Timeline'!AJ$41=1,IF(ConActual360=1,ConRate*AJ$25/360,ConRate/12),0)</f>
        <v/>
      </c>
      <c r="AK30" s="49">
        <f>IF('Timeline'!AK$41=1,IF(ConActual360=1,ConRate*AK$25/360,ConRate/12),0)</f>
        <v/>
      </c>
      <c r="AL30" s="49">
        <f>IF('Timeline'!AL$41=1,IF(ConActual360=1,ConRate*AL$25/360,ConRate/12),0)</f>
        <v/>
      </c>
      <c r="AM30" s="49">
        <f>IF('Timeline'!AM$41=1,IF(ConActual360=1,ConRate*AM$25/360,ConRate/12),0)</f>
        <v/>
      </c>
      <c r="AN30" s="49">
        <f>IF('Timeline'!AN$41=1,IF(ConActual360=1,ConRate*AN$25/360,ConRate/12),0)</f>
        <v/>
      </c>
      <c r="AO30" s="49">
        <f>IF('Timeline'!AO$41=1,IF(ConActual360=1,ConRate*AO$25/360,ConRate/12),0)</f>
        <v/>
      </c>
      <c r="AP30" s="49">
        <f>IF('Timeline'!AP$41=1,IF(ConActual360=1,ConRate*AP$25/360,ConRate/12),0)</f>
        <v/>
      </c>
      <c r="AQ30" s="49">
        <f>IF('Timeline'!AQ$41=1,IF(ConActual360=1,ConRate*AQ$25/360,ConRate/12),0)</f>
        <v/>
      </c>
      <c r="AR30" s="49">
        <f>IF('Timeline'!AR$41=1,IF(ConActual360=1,ConRate*AR$25/360,ConRate/12),0)</f>
        <v/>
      </c>
      <c r="AS30" s="49">
        <f>IF('Timeline'!AS$41=1,IF(ConActual360=1,ConRate*AS$25/360,ConRate/12),0)</f>
        <v/>
      </c>
      <c r="AT30" s="49">
        <f>IF('Timeline'!AT$41=1,IF(ConActual360=1,ConRate*AT$25/360,ConRate/12),0)</f>
        <v/>
      </c>
      <c r="AU30" s="49">
        <f>IF('Timeline'!AU$41=1,IF(ConActual360=1,ConRate*AU$25/360,ConRate/12),0)</f>
        <v/>
      </c>
      <c r="AV30" s="49">
        <f>IF('Timeline'!AV$41=1,IF(ConActual360=1,ConRate*AV$25/360,ConRate/12),0)</f>
        <v/>
      </c>
      <c r="AW30" s="49">
        <f>IF('Timeline'!AW$41=1,IF(ConActual360=1,ConRate*AW$25/360,ConRate/12),0)</f>
        <v/>
      </c>
      <c r="AX30" s="49">
        <f>IF('Timeline'!AX$41=1,IF(ConActual360=1,ConRate*AX$25/360,ConRate/12),0)</f>
        <v/>
      </c>
      <c r="AY30" s="49">
        <f>IF('Timeline'!AY$41=1,IF(ConActual360=1,ConRate*AY$25/360,ConRate/12),0)</f>
        <v/>
      </c>
      <c r="AZ30" s="49">
        <f>IF('Timeline'!AZ$41=1,IF(ConActual360=1,ConRate*AZ$25/360,ConRate/12),0)</f>
        <v/>
      </c>
      <c r="BA30" s="49">
        <f>IF('Timeline'!BA$41=1,IF(ConActual360=1,ConRate*BA$25/360,ConRate/12),0)</f>
        <v/>
      </c>
      <c r="BB30" s="49">
        <f>IF('Timeline'!BB$41=1,IF(ConActual360=1,ConRate*BB$25/360,ConRate/12),0)</f>
        <v/>
      </c>
      <c r="BC30" s="49">
        <f>IF('Timeline'!BC$41=1,IF(ConActual360=1,ConRate*BC$25/360,ConRate/12),0)</f>
        <v/>
      </c>
      <c r="BD30" s="49">
        <f>IF('Timeline'!BD$41=1,IF(ConActual360=1,ConRate*BD$25/360,ConRate/12),0)</f>
        <v/>
      </c>
      <c r="BE30" s="49">
        <f>IF('Timeline'!BE$41=1,IF(ConActual360=1,ConRate*BE$25/360,ConRate/12),0)</f>
        <v/>
      </c>
      <c r="BF30" s="49">
        <f>IF('Timeline'!BF$41=1,IF(ConActual360=1,ConRate*BF$25/360,ConRate/12),0)</f>
        <v/>
      </c>
      <c r="BG30" s="49">
        <f>IF('Timeline'!BG$41=1,IF(ConActual360=1,ConRate*BG$25/360,ConRate/12),0)</f>
        <v/>
      </c>
      <c r="BH30" s="49">
        <f>IF('Timeline'!BH$41=1,IF(ConActual360=1,ConRate*BH$25/360,ConRate/12),0)</f>
        <v/>
      </c>
      <c r="BI30" s="49">
        <f>IF('Timeline'!BI$41=1,IF(ConActual360=1,ConRate*BI$25/360,ConRate/12),0)</f>
        <v/>
      </c>
      <c r="BJ30" s="49">
        <f>IF('Timeline'!BJ$41=1,IF(ConActual360=1,ConRate*BJ$25/360,ConRate/12),0)</f>
        <v/>
      </c>
      <c r="BK30" s="49">
        <f>IF('Timeline'!BK$41=1,IF(ConActual360=1,ConRate*BK$25/360,ConRate/12),0)</f>
        <v/>
      </c>
      <c r="BL30" s="49">
        <f>IF('Timeline'!BL$41=1,IF(ConActual360=1,ConRate*BL$25/360,ConRate/12),0)</f>
        <v/>
      </c>
      <c r="BM30" s="49">
        <f>IF('Timeline'!BM$41=1,IF(ConActual360=1,ConRate*BM$25/360,ConRate/12),0)</f>
        <v/>
      </c>
      <c r="BN30" s="49">
        <f>IF('Timeline'!BN$41=1,IF(ConActual360=1,ConRate*BN$25/360,ConRate/12),0)</f>
        <v/>
      </c>
      <c r="BO30" s="49">
        <f>IF('Timeline'!BO$41=1,IF(ConActual360=1,ConRate*BO$25/360,ConRate/12),0)</f>
        <v/>
      </c>
      <c r="BP30" s="49">
        <f>IF('Timeline'!BP$41=1,IF(ConActual360=1,ConRate*BP$25/360,ConRate/12),0)</f>
        <v/>
      </c>
      <c r="BQ30" s="49">
        <f>IF('Timeline'!BQ$41=1,IF(ConActual360=1,ConRate*BQ$25/360,ConRate/12),0)</f>
        <v/>
      </c>
      <c r="BR30" s="49">
        <f>IF('Timeline'!BR$41=1,IF(ConActual360=1,ConRate*BR$25/360,ConRate/12),0)</f>
        <v/>
      </c>
      <c r="BS30" s="49">
        <f>IF('Timeline'!BS$41=1,IF(ConActual360=1,ConRate*BS$25/360,ConRate/12),0)</f>
        <v/>
      </c>
      <c r="BT30" s="49">
        <f>IF('Timeline'!BT$41=1,IF(ConActual360=1,ConRate*BT$25/360,ConRate/12),0)</f>
        <v/>
      </c>
      <c r="BU30" s="49">
        <f>IF('Timeline'!BU$41=1,IF(ConActual360=1,ConRate*BU$25/360,ConRate/12),0)</f>
        <v/>
      </c>
      <c r="BV30" s="49">
        <f>IF('Timeline'!BV$41=1,IF(ConActual360=1,ConRate*BV$25/360,ConRate/12),0)</f>
        <v/>
      </c>
      <c r="BW30" s="49">
        <f>IF('Timeline'!BW$41=1,IF(ConActual360=1,ConRate*BW$25/360,ConRate/12),0)</f>
        <v/>
      </c>
      <c r="BX30" s="49">
        <f>IF('Timeline'!BX$41=1,IF(ConActual360=1,ConRate*BX$25/360,ConRate/12),0)</f>
        <v/>
      </c>
      <c r="BY30" s="49">
        <f>IF('Timeline'!BY$41=1,IF(ConActual360=1,ConRate*BY$25/360,ConRate/12),0)</f>
        <v/>
      </c>
      <c r="BZ30" s="49">
        <f>IF('Timeline'!BZ$41=1,IF(ConActual360=1,ConRate*BZ$25/360,ConRate/12),0)</f>
        <v/>
      </c>
      <c r="CA30" s="49">
        <f>IF('Timeline'!CA$41=1,IF(ConActual360=1,ConRate*CA$25/360,ConRate/12),0)</f>
        <v/>
      </c>
      <c r="CB30" s="49">
        <f>IF('Timeline'!CB$41=1,IF(ConActual360=1,ConRate*CB$25/360,ConRate/12),0)</f>
        <v/>
      </c>
      <c r="CC30" s="49">
        <f>IF('Timeline'!CC$41=1,IF(ConActual360=1,ConRate*CC$25/360,ConRate/12),0)</f>
        <v/>
      </c>
      <c r="CD30" s="49">
        <f>IF('Timeline'!CD$41=1,IF(ConActual360=1,ConRate*CD$25/360,ConRate/12),0)</f>
        <v/>
      </c>
      <c r="CE30" s="49">
        <f>IF('Timeline'!CE$41=1,IF(ConActual360=1,ConRate*CE$25/360,ConRate/12),0)</f>
        <v/>
      </c>
      <c r="CF30" s="49">
        <f>IF('Timeline'!CF$41=1,IF(ConActual360=1,ConRate*CF$25/360,ConRate/12),0)</f>
        <v/>
      </c>
      <c r="CG30" s="49">
        <f>IF('Timeline'!CG$41=1,IF(ConActual360=1,ConRate*CG$25/360,ConRate/12),0)</f>
        <v/>
      </c>
      <c r="CH30" s="49">
        <f>IF('Timeline'!CH$41=1,IF(ConActual360=1,ConRate*CH$25/360,ConRate/12),0)</f>
        <v/>
      </c>
      <c r="CI30" s="49">
        <f>IF('Timeline'!CI$41=1,IF(ConActual360=1,ConRate*CI$25/360,ConRate/12),0)</f>
        <v/>
      </c>
      <c r="CJ30" s="49">
        <f>IF('Timeline'!CJ$41=1,IF(ConActual360=1,ConRate*CJ$25/360,ConRate/12),0)</f>
        <v/>
      </c>
      <c r="CK30" s="49">
        <f>IF('Timeline'!CK$41=1,IF(ConActual360=1,ConRate*CK$25/360,ConRate/12),0)</f>
        <v/>
      </c>
      <c r="CL30" s="49">
        <f>IF('Timeline'!CL$41=1,IF(ConActual360=1,ConRate*CL$25/360,ConRate/12),0)</f>
        <v/>
      </c>
      <c r="CM30" s="49">
        <f>IF('Timeline'!CM$41=1,IF(ConActual360=1,ConRate*CM$25/360,ConRate/12),0)</f>
        <v/>
      </c>
      <c r="CN30" s="49">
        <f>IF('Timeline'!CN$41=1,IF(ConActual360=1,ConRate*CN$25/360,ConRate/12),0)</f>
        <v/>
      </c>
      <c r="CO30" s="49">
        <f>IF('Timeline'!CO$41=1,IF(ConActual360=1,ConRate*CO$25/360,ConRate/12),0)</f>
        <v/>
      </c>
      <c r="CP30" s="49">
        <f>IF('Timeline'!CP$41=1,IF(ConActual360=1,ConRate*CP$25/360,ConRate/12),0)</f>
        <v/>
      </c>
      <c r="CQ30" s="49">
        <f>IF('Timeline'!CQ$41=1,IF(ConActual360=1,ConRate*CQ$25/360,ConRate/12),0)</f>
        <v/>
      </c>
      <c r="CR30" s="49">
        <f>IF('Timeline'!CR$41=1,IF(ConActual360=1,ConRate*CR$25/360,ConRate/12),0)</f>
        <v/>
      </c>
      <c r="CS30" s="49">
        <f>IF('Timeline'!CS$41=1,IF(ConActual360=1,ConRate*CS$25/360,ConRate/12),0)</f>
        <v/>
      </c>
      <c r="CT30" s="49">
        <f>IF('Timeline'!CT$41=1,IF(ConActual360=1,ConRate*CT$25/360,ConRate/12),0)</f>
        <v/>
      </c>
      <c r="CU30" s="49">
        <f>IF('Timeline'!CU$41=1,IF(ConActual360=1,ConRate*CU$25/360,ConRate/12),0)</f>
        <v/>
      </c>
      <c r="CV30" s="49">
        <f>IF('Timeline'!CV$41=1,IF(ConActual360=1,ConRate*CV$25/360,ConRate/12),0)</f>
        <v/>
      </c>
      <c r="CW30" s="49">
        <f>IF('Timeline'!CW$41=1,IF(ConActual360=1,ConRate*CW$25/360,ConRate/12),0)</f>
        <v/>
      </c>
      <c r="CX30" s="49">
        <f>IF('Timeline'!CX$41=1,IF(ConActual360=1,ConRate*CX$25/360,ConRate/12),0)</f>
        <v/>
      </c>
      <c r="CY30" s="49">
        <f>IF('Timeline'!CY$41=1,IF(ConActual360=1,ConRate*CY$25/360,ConRate/12),0)</f>
        <v/>
      </c>
      <c r="CZ30" s="49">
        <f>IF('Timeline'!CZ$41=1,IF(ConActual360=1,ConRate*CZ$25/360,ConRate/12),0)</f>
        <v/>
      </c>
      <c r="DA30" s="49">
        <f>IF('Timeline'!DA$41=1,IF(ConActual360=1,ConRate*DA$25/360,ConRate/12),0)</f>
        <v/>
      </c>
      <c r="DB30" s="49">
        <f>IF('Timeline'!DB$41=1,IF(ConActual360=1,ConRate*DB$25/360,ConRate/12),0)</f>
        <v/>
      </c>
      <c r="DC30" s="49">
        <f>IF('Timeline'!DC$41=1,IF(ConActual360=1,ConRate*DC$25/360,ConRate/12),0)</f>
        <v/>
      </c>
      <c r="DD30" s="49">
        <f>IF('Timeline'!DD$41=1,IF(ConActual360=1,ConRate*DD$25/360,ConRate/12),0)</f>
        <v/>
      </c>
      <c r="DE30" s="49">
        <f>IF('Timeline'!DE$41=1,IF(ConActual360=1,ConRate*DE$25/360,ConRate/12),0)</f>
        <v/>
      </c>
      <c r="DF30" s="49">
        <f>IF('Timeline'!DF$41=1,IF(ConActual360=1,ConRate*DF$25/360,ConRate/12),0)</f>
        <v/>
      </c>
      <c r="DG30" s="49">
        <f>IF('Timeline'!DG$41=1,IF(ConActual360=1,ConRate*DG$25/360,ConRate/12),0)</f>
        <v/>
      </c>
      <c r="DH30" s="49">
        <f>IF('Timeline'!DH$41=1,IF(ConActual360=1,ConRate*DH$25/360,ConRate/12),0)</f>
        <v/>
      </c>
      <c r="DI30" s="49">
        <f>IF('Timeline'!DI$41=1,IF(ConActual360=1,ConRate*DI$25/360,ConRate/12),0)</f>
        <v/>
      </c>
      <c r="DJ30" s="49">
        <f>IF('Timeline'!DJ$41=1,IF(ConActual360=1,ConRate*DJ$25/360,ConRate/12),0)</f>
        <v/>
      </c>
      <c r="DK30" s="49">
        <f>IF('Timeline'!DK$41=1,IF(ConActual360=1,ConRate*DK$25/360,ConRate/12),0)</f>
        <v/>
      </c>
      <c r="DL30" s="49">
        <f>IF('Timeline'!DL$41=1,IF(ConActual360=1,ConRate*DL$25/360,ConRate/12),0)</f>
        <v/>
      </c>
      <c r="DM30" s="49">
        <f>IF('Timeline'!DM$41=1,IF(ConActual360=1,ConRate*DM$25/360,ConRate/12),0)</f>
        <v/>
      </c>
      <c r="DN30" s="49">
        <f>IF('Timeline'!DN$41=1,IF(ConActual360=1,ConRate*DN$25/360,ConRate/12),0)</f>
        <v/>
      </c>
      <c r="DO30" s="49">
        <f>IF('Timeline'!DO$41=1,IF(ConActual360=1,ConRate*DO$25/360,ConRate/12),0)</f>
        <v/>
      </c>
      <c r="DP30" s="49">
        <f>IF('Timeline'!DP$41=1,IF(ConActual360=1,ConRate*DP$25/360,ConRate/12),0)</f>
        <v/>
      </c>
      <c r="DQ30" s="49">
        <f>IF('Timeline'!DQ$41=1,IF(ConActual360=1,ConRate*DQ$25/360,ConRate/12),0)</f>
        <v/>
      </c>
      <c r="DR30" s="49">
        <f>IF('Timeline'!DR$41=1,IF(ConActual360=1,ConRate*DR$25/360,ConRate/12),0)</f>
        <v/>
      </c>
      <c r="DS30" s="49">
        <f>IF('Timeline'!DS$41=1,IF(ConActual360=1,ConRate*DS$25/360,ConRate/12),0)</f>
        <v/>
      </c>
      <c r="DT30" s="49">
        <f>IF('Timeline'!DT$41=1,IF(ConActual360=1,ConRate*DT$25/360,ConRate/12),0)</f>
        <v/>
      </c>
      <c r="DU30" s="49">
        <f>IF('Timeline'!DU$41=1,IF(ConActual360=1,ConRate*DU$25/360,ConRate/12),0)</f>
        <v/>
      </c>
      <c r="DV30" s="49">
        <f>IF('Timeline'!DV$41=1,IF(ConActual360=1,ConRate*DV$25/360,ConRate/12),0)</f>
        <v/>
      </c>
      <c r="DW30" s="49">
        <f>IF('Timeline'!DW$41=1,IF(ConActual360=1,ConRate*DW$25/360,ConRate/12),0)</f>
        <v/>
      </c>
      <c r="DX30" s="49">
        <f>IF('Timeline'!DX$41=1,IF(ConActual360=1,ConRate*DX$25/360,ConRate/12),0)</f>
        <v/>
      </c>
      <c r="DY30" s="49">
        <f>IF('Timeline'!DY$41=1,IF(ConActual360=1,ConRate*DY$25/360,ConRate/12),0)</f>
        <v/>
      </c>
      <c r="DZ30" s="49">
        <f>IF('Timeline'!DZ$41=1,IF(ConActual360=1,ConRate*DZ$25/360,ConRate/12),0)</f>
        <v/>
      </c>
      <c r="EA30" s="49">
        <f>IF('Timeline'!EA$41=1,IF(ConActual360=1,ConRate*EA$25/360,ConRate/12),0)</f>
        <v/>
      </c>
      <c r="EB30" s="49">
        <f>IF('Timeline'!EB$41=1,IF(ConActual360=1,ConRate*EB$25/360,ConRate/12),0)</f>
        <v/>
      </c>
      <c r="EC30" s="49">
        <f>IF('Timeline'!EC$41=1,IF(ConActual360=1,ConRate*EC$25/360,ConRate/12),0)</f>
        <v/>
      </c>
      <c r="ED30" s="49">
        <f>IF('Timeline'!ED$41=1,IF(ConActual360=1,ConRate*ED$25/360,ConRate/12),0)</f>
        <v/>
      </c>
      <c r="EE30" s="49">
        <f>IF('Timeline'!EE$41=1,IF(ConActual360=1,ConRate*EE$25/360,ConRate/12),0)</f>
        <v/>
      </c>
      <c r="EF30" s="49">
        <f>IF('Timeline'!EF$41=1,IF(ConActual360=1,ConRate*EF$25/360,ConRate/12),0)</f>
        <v/>
      </c>
      <c r="EG30" s="49">
        <f>IF('Timeline'!EG$41=1,IF(ConActual360=1,ConRate*EG$25/360,ConRate/12),0)</f>
        <v/>
      </c>
      <c r="EH30" s="49">
        <f>IF('Timeline'!EH$41=1,IF(ConActual360=1,ConRate*EH$25/360,ConRate/12),0)</f>
        <v/>
      </c>
      <c r="EI30" s="49">
        <f>IF('Timeline'!EI$41=1,IF(ConActual360=1,ConRate*EI$25/360,ConRate/12),0)</f>
        <v/>
      </c>
      <c r="EJ30" s="49">
        <f>IF('Timeline'!EJ$41=1,IF(ConActual360=1,ConRate*EJ$25/360,ConRate/12),0)</f>
        <v/>
      </c>
      <c r="EK30" s="49">
        <f>IF('Timeline'!EK$41=1,IF(ConActual360=1,ConRate*EK$25/360,ConRate/12),0)</f>
        <v/>
      </c>
      <c r="EL30" s="49">
        <f>IF('Timeline'!EL$41=1,IF(ConActual360=1,ConRate*EL$25/360,ConRate/12),0)</f>
        <v/>
      </c>
      <c r="EM30" s="49">
        <f>IF('Timeline'!EM$41=1,IF(ConActual360=1,ConRate*EM$25/360,ConRate/12),0)</f>
        <v/>
      </c>
      <c r="EN30" s="49">
        <f>IF('Timeline'!EN$41=1,IF(ConActual360=1,ConRate*EN$25/360,ConRate/12),0)</f>
        <v/>
      </c>
      <c r="EO30" s="49">
        <f>IF('Timeline'!EO$41=1,IF(ConActual360=1,ConRate*EO$25/360,ConRate/12),0)</f>
        <v/>
      </c>
      <c r="EP30" s="49">
        <f>IF('Timeline'!EP$41=1,IF(ConActual360=1,ConRate*EP$25/360,ConRate/12),0)</f>
        <v/>
      </c>
      <c r="EQ30" s="49">
        <f>IF('Timeline'!EQ$41=1,IF(ConActual360=1,ConRate*EQ$25/360,ConRate/12),0)</f>
        <v/>
      </c>
      <c r="ER30" s="49">
        <f>IF('Timeline'!ER$41=1,IF(ConActual360=1,ConRate*ER$25/360,ConRate/12),0)</f>
        <v/>
      </c>
      <c r="ES30" s="49">
        <f>IF('Timeline'!ES$41=1,IF(ConActual360=1,ConRate*ES$25/360,ConRate/12),0)</f>
        <v/>
      </c>
      <c r="ET30" s="49">
        <f>IF('Timeline'!ET$41=1,IF(ConActual360=1,ConRate*ET$25/360,ConRate/12),0)</f>
        <v/>
      </c>
      <c r="EU30" s="49">
        <f>IF('Timeline'!EU$41=1,IF(ConActual360=1,ConRate*EU$25/360,ConRate/12),0)</f>
        <v/>
      </c>
      <c r="EV30" s="49">
        <f>IF('Timeline'!EV$41=1,IF(ConActual360=1,ConRate*EV$25/360,ConRate/12),0)</f>
        <v/>
      </c>
      <c r="EW30" s="49">
        <f>IF('Timeline'!EW$41=1,IF(ConActual360=1,ConRate*EW$25/360,ConRate/12),0)</f>
        <v/>
      </c>
      <c r="EX30" s="49">
        <f>IF('Timeline'!EX$41=1,IF(ConActual360=1,ConRate*EX$25/360,ConRate/12),0)</f>
        <v/>
      </c>
      <c r="EY30" s="49">
        <f>IF('Timeline'!EY$41=1,IF(ConActual360=1,ConRate*EY$25/360,ConRate/12),0)</f>
        <v/>
      </c>
      <c r="EZ30" s="49">
        <f>IF('Timeline'!EZ$41=1,IF(ConActual360=1,ConRate*EZ$25/360,ConRate/12),0)</f>
        <v/>
      </c>
      <c r="FA30" s="49">
        <f>IF('Timeline'!FA$41=1,IF(ConActual360=1,ConRate*FA$25/360,ConRate/12),0)</f>
        <v/>
      </c>
      <c r="FB30" s="49">
        <f>IF('Timeline'!FB$41=1,IF(ConActual360=1,ConRate*FB$25/360,ConRate/12),0)</f>
        <v/>
      </c>
      <c r="FC30" s="49">
        <f>IF('Timeline'!FC$41=1,IF(ConActual360=1,ConRate*FC$25/360,ConRate/12),0)</f>
        <v/>
      </c>
      <c r="FD30" s="49">
        <f>IF('Timeline'!FD$41=1,IF(ConActual360=1,ConRate*FD$25/360,ConRate/12),0)</f>
        <v/>
      </c>
      <c r="FE30" s="49">
        <f>IF('Timeline'!FE$41=1,IF(ConActual360=1,ConRate*FE$25/360,ConRate/12),0)</f>
        <v/>
      </c>
      <c r="FF30" s="49">
        <f>IF('Timeline'!FF$41=1,IF(ConActual360=1,ConRate*FF$25/360,ConRate/12),0)</f>
        <v/>
      </c>
      <c r="FG30" s="49">
        <f>IF('Timeline'!FG$41=1,IF(ConActual360=1,ConRate*FG$25/360,ConRate/12),0)</f>
        <v/>
      </c>
      <c r="FH30" s="49">
        <f>IF('Timeline'!FH$41=1,IF(ConActual360=1,ConRate*FH$25/360,ConRate/12),0)</f>
        <v/>
      </c>
      <c r="FI30" s="49">
        <f>IF('Timeline'!FI$41=1,IF(ConActual360=1,ConRate*FI$25/360,ConRate/12),0)</f>
        <v/>
      </c>
      <c r="FJ30" s="49">
        <f>IF('Timeline'!FJ$41=1,IF(ConActual360=1,ConRate*FJ$25/360,ConRate/12),0)</f>
        <v/>
      </c>
      <c r="FK30" s="49">
        <f>IF('Timeline'!FK$41=1,IF(ConActual360=1,ConRate*FK$25/360,ConRate/12),0)</f>
        <v/>
      </c>
      <c r="FL30" s="49">
        <f>IF('Timeline'!FL$41=1,IF(ConActual360=1,ConRate*FL$25/360,ConRate/12),0)</f>
        <v/>
      </c>
      <c r="FM30" s="49">
        <f>IF('Timeline'!FM$41=1,IF(ConActual360=1,ConRate*FM$25/360,ConRate/12),0)</f>
        <v/>
      </c>
      <c r="FN30" s="49">
        <f>IF('Timeline'!FN$41=1,IF(ConActual360=1,ConRate*FN$25/360,ConRate/12),0)</f>
        <v/>
      </c>
      <c r="FO30" s="49">
        <f>IF('Timeline'!FO$41=1,IF(ConActual360=1,ConRate*FO$25/360,ConRate/12),0)</f>
        <v/>
      </c>
      <c r="FP30" s="49">
        <f>IF('Timeline'!FP$41=1,IF(ConActual360=1,ConRate*FP$25/360,ConRate/12),0)</f>
        <v/>
      </c>
      <c r="FQ30" s="49">
        <f>IF('Timeline'!FQ$41=1,IF(ConActual360=1,ConRate*FQ$25/360,ConRate/12),0)</f>
        <v/>
      </c>
      <c r="FR30" s="49">
        <f>IF('Timeline'!FR$41=1,IF(ConActual360=1,ConRate*FR$25/360,ConRate/12),0)</f>
        <v/>
      </c>
      <c r="FS30" s="49">
        <f>IF('Timeline'!FS$41=1,IF(ConActual360=1,ConRate*FS$25/360,ConRate/12),0)</f>
        <v/>
      </c>
      <c r="FT30" s="49">
        <f>IF('Timeline'!FT$41=1,IF(ConActual360=1,ConRate*FT$25/360,ConRate/12),0)</f>
        <v/>
      </c>
      <c r="FU30" s="49">
        <f>IF('Timeline'!FU$41=1,IF(ConActual360=1,ConRate*FU$25/360,ConRate/12),0)</f>
        <v/>
      </c>
      <c r="FV30" s="49">
        <f>IF('Timeline'!FV$41=1,IF(ConActual360=1,ConRate*FV$25/360,ConRate/12),0)</f>
        <v/>
      </c>
      <c r="FW30" s="49">
        <f>IF('Timeline'!FW$41=1,IF(ConActual360=1,ConRate*FW$25/360,ConRate/12),0)</f>
        <v/>
      </c>
      <c r="FX30" s="49">
        <f>IF('Timeline'!FX$41=1,IF(ConActual360=1,ConRate*FX$25/360,ConRate/12),0)</f>
        <v/>
      </c>
      <c r="FY30" s="49">
        <f>IF('Timeline'!FY$41=1,IF(ConActual360=1,ConRate*FY$25/360,ConRate/12),0)</f>
        <v/>
      </c>
      <c r="FZ30" s="49">
        <f>IF('Timeline'!FZ$41=1,IF(ConActual360=1,ConRate*FZ$25/360,ConRate/12),0)</f>
        <v/>
      </c>
      <c r="GA30" s="49">
        <f>IF('Timeline'!GA$41=1,IF(ConActual360=1,ConRate*GA$25/360,ConRate/12),0)</f>
        <v/>
      </c>
      <c r="GB30" s="49">
        <f>IF('Timeline'!GB$41=1,IF(ConActual360=1,ConRate*GB$25/360,ConRate/12),0)</f>
        <v/>
      </c>
      <c r="GC30" s="49">
        <f>IF('Timeline'!GC$41=1,IF(ConActual360=1,ConRate*GC$25/360,ConRate/12),0)</f>
        <v/>
      </c>
      <c r="GD30" s="49">
        <f>IF('Timeline'!GD$41=1,IF(ConActual360=1,ConRate*GD$25/360,ConRate/12),0)</f>
        <v/>
      </c>
      <c r="GE30" s="49">
        <f>IF('Timeline'!GE$41=1,IF(ConActual360=1,ConRate*GE$25/360,ConRate/12),0)</f>
        <v/>
      </c>
      <c r="GF30" s="49">
        <f>IF('Timeline'!GF$41=1,IF(ConActual360=1,ConRate*GF$25/360,ConRate/12),0)</f>
        <v/>
      </c>
      <c r="GG30" s="49">
        <f>IF('Timeline'!GG$41=1,IF(ConActual360=1,ConRate*GG$25/360,ConRate/12),0)</f>
        <v/>
      </c>
      <c r="GH30" s="49">
        <f>IF('Timeline'!GH$41=1,IF(ConActual360=1,ConRate*GH$25/360,ConRate/12),0)</f>
        <v/>
      </c>
      <c r="GI30" s="49">
        <f>IF('Timeline'!GI$41=1,IF(ConActual360=1,ConRate*GI$25/360,ConRate/12),0)</f>
        <v/>
      </c>
      <c r="GJ30" s="49">
        <f>IF('Timeline'!GJ$41=1,IF(ConActual360=1,ConRate*GJ$25/360,ConRate/12),0)</f>
        <v/>
      </c>
      <c r="GK30" s="49">
        <f>IF('Timeline'!GK$41=1,IF(ConActual360=1,ConRate*GK$25/360,ConRate/12),0)</f>
        <v/>
      </c>
      <c r="GL30" s="49">
        <f>IF('Timeline'!GL$41=1,IF(ConActual360=1,ConRate*GL$25/360,ConRate/12),0)</f>
        <v/>
      </c>
      <c r="GM30" s="49">
        <f>IF('Timeline'!GM$41=1,IF(ConActual360=1,ConRate*GM$25/360,ConRate/12),0)</f>
        <v/>
      </c>
      <c r="GN30" s="49">
        <f>IF('Timeline'!GN$41=1,IF(ConActual360=1,ConRate*GN$25/360,ConRate/12),0)</f>
        <v/>
      </c>
      <c r="GO30" s="49">
        <f>IF('Timeline'!GO$41=1,IF(ConActual360=1,ConRate*GO$25/360,ConRate/12),0)</f>
        <v/>
      </c>
      <c r="GP30" s="49">
        <f>IF('Timeline'!GP$41=1,IF(ConActual360=1,ConRate*GP$25/360,ConRate/12),0)</f>
        <v/>
      </c>
      <c r="GQ30" s="49">
        <f>IF('Timeline'!GQ$41=1,IF(ConActual360=1,ConRate*GQ$25/360,ConRate/12),0)</f>
        <v/>
      </c>
      <c r="GR30" s="49">
        <f>IF('Timeline'!GR$41=1,IF(ConActual360=1,ConRate*GR$25/360,ConRate/12),0)</f>
        <v/>
      </c>
      <c r="GS30" s="49">
        <f>IF('Timeline'!GS$41=1,IF(ConActual360=1,ConRate*GS$25/360,ConRate/12),0)</f>
        <v/>
      </c>
      <c r="GT30" s="49">
        <f>IF('Timeline'!GT$41=1,IF(ConActual360=1,ConRate*GT$25/360,ConRate/12),0)</f>
        <v/>
      </c>
      <c r="GU30" s="49">
        <f>IF('Timeline'!GU$41=1,IF(ConActual360=1,ConRate*GU$25/360,ConRate/12),0)</f>
        <v/>
      </c>
      <c r="GV30" s="49">
        <f>IF('Timeline'!GV$41=1,IF(ConActual360=1,ConRate*GV$25/360,ConRate/12),0)</f>
        <v/>
      </c>
      <c r="GW30" s="49">
        <f>IF('Timeline'!GW$41=1,IF(ConActual360=1,ConRate*GW$25/360,ConRate/12),0)</f>
        <v/>
      </c>
      <c r="GX30" s="49">
        <f>IF('Timeline'!GX$41=1,IF(ConActual360=1,ConRate*GX$25/360,ConRate/12),0)</f>
        <v/>
      </c>
      <c r="GY30" s="49">
        <f>IF('Timeline'!GY$41=1,IF(ConActual360=1,ConRate*GY$25/360,ConRate/12),0)</f>
        <v/>
      </c>
      <c r="GZ30" s="49">
        <f>IF('Timeline'!GZ$41=1,IF(ConActual360=1,ConRate*GZ$25/360,ConRate/12),0)</f>
        <v/>
      </c>
      <c r="HA30" s="49">
        <f>IF('Timeline'!HA$41=1,IF(ConActual360=1,ConRate*HA$25/360,ConRate/12),0)</f>
        <v/>
      </c>
      <c r="HB30" s="49">
        <f>IF('Timeline'!HB$41=1,IF(ConActual360=1,ConRate*HB$25/360,ConRate/12),0)</f>
        <v/>
      </c>
      <c r="HC30" s="49">
        <f>IF('Timeline'!HC$41=1,IF(ConActual360=1,ConRate*HC$25/360,ConRate/12),0)</f>
        <v/>
      </c>
      <c r="HD30" s="49">
        <f>IF('Timeline'!HD$41=1,IF(ConActual360=1,ConRate*HD$25/360,ConRate/12),0)</f>
        <v/>
      </c>
      <c r="HE30" s="49">
        <f>IF('Timeline'!HE$41=1,IF(ConActual360=1,ConRate*HE$25/360,ConRate/12),0)</f>
        <v/>
      </c>
      <c r="HF30" s="49">
        <f>IF('Timeline'!HF$41=1,IF(ConActual360=1,ConRate*HF$25/360,ConRate/12),0)</f>
        <v/>
      </c>
      <c r="HG30" s="49">
        <f>IF('Timeline'!HG$41=1,IF(ConActual360=1,ConRate*HG$25/360,ConRate/12),0)</f>
        <v/>
      </c>
      <c r="HH30" s="49">
        <f>IF('Timeline'!HH$41=1,IF(ConActual360=1,ConRate*HH$25/360,ConRate/12),0)</f>
        <v/>
      </c>
      <c r="HI30" s="49">
        <f>IF('Timeline'!HI$41=1,IF(ConActual360=1,ConRate*HI$25/360,ConRate/12),0)</f>
        <v/>
      </c>
      <c r="HJ30" s="49">
        <f>IF('Timeline'!HJ$41=1,IF(ConActual360=1,ConRate*HJ$25/360,ConRate/12),0)</f>
        <v/>
      </c>
      <c r="HK30" s="49">
        <f>IF('Timeline'!HK$41=1,IF(ConActual360=1,ConRate*HK$25/360,ConRate/12),0)</f>
        <v/>
      </c>
      <c r="HL30" s="49">
        <f>IF('Timeline'!HL$41=1,IF(ConActual360=1,ConRate*HL$25/360,ConRate/12),0)</f>
        <v/>
      </c>
      <c r="HM30" s="49">
        <f>IF('Timeline'!HM$41=1,IF(ConActual360=1,ConRate*HM$25/360,ConRate/12),0)</f>
        <v/>
      </c>
      <c r="HN30" s="49">
        <f>IF('Timeline'!HN$41=1,IF(ConActual360=1,ConRate*HN$25/360,ConRate/12),0)</f>
        <v/>
      </c>
      <c r="HO30" s="49">
        <f>IF('Timeline'!HO$41=1,IF(ConActual360=1,ConRate*HO$25/360,ConRate/12),0)</f>
        <v/>
      </c>
      <c r="HP30" s="49">
        <f>IF('Timeline'!HP$41=1,IF(ConActual360=1,ConRate*HP$25/360,ConRate/12),0)</f>
        <v/>
      </c>
      <c r="HQ30" s="49">
        <f>IF('Timeline'!HQ$41=1,IF(ConActual360=1,ConRate*HQ$25/360,ConRate/12),0)</f>
        <v/>
      </c>
      <c r="HR30" s="49">
        <f>IF('Timeline'!HR$41=1,IF(ConActual360=1,ConRate*HR$25/360,ConRate/12),0)</f>
        <v/>
      </c>
      <c r="HS30" s="49">
        <f>IF('Timeline'!HS$41=1,IF(ConActual360=1,ConRate*HS$25/360,ConRate/12),0)</f>
        <v/>
      </c>
      <c r="HT30" s="49">
        <f>IF('Timeline'!HT$41=1,IF(ConActual360=1,ConRate*HT$25/360,ConRate/12),0)</f>
        <v/>
      </c>
      <c r="HU30" s="49">
        <f>IF('Timeline'!HU$41=1,IF(ConActual360=1,ConRate*HU$25/360,ConRate/12),0)</f>
        <v/>
      </c>
      <c r="HV30" s="49">
        <f>IF('Timeline'!HV$41=1,IF(ConActual360=1,ConRate*HV$25/360,ConRate/12),0)</f>
        <v/>
      </c>
      <c r="HW30" s="49">
        <f>IF('Timeline'!HW$41=1,IF(ConActual360=1,ConRate*HW$25/360,ConRate/12),0)</f>
        <v/>
      </c>
      <c r="HX30" s="49">
        <f>IF('Timeline'!HX$41=1,IF(ConActual360=1,ConRate*HX$25/360,ConRate/12),0)</f>
        <v/>
      </c>
      <c r="HY30" s="49">
        <f>IF('Timeline'!HY$41=1,IF(ConActual360=1,ConRate*HY$25/360,ConRate/12),0)</f>
        <v/>
      </c>
      <c r="HZ30" s="49">
        <f>IF('Timeline'!HZ$41=1,IF(ConActual360=1,ConRate*HZ$25/360,ConRate/12),0)</f>
        <v/>
      </c>
      <c r="IA30" s="49">
        <f>IF('Timeline'!IA$41=1,IF(ConActual360=1,ConRate*IA$25/360,ConRate/12),0)</f>
        <v/>
      </c>
      <c r="IB30" s="49">
        <f>IF('Timeline'!IB$41=1,IF(ConActual360=1,ConRate*IB$25/360,ConRate/12),0)</f>
        <v/>
      </c>
      <c r="IC30" s="49">
        <f>IF('Timeline'!IC$41=1,IF(ConActual360=1,ConRate*IC$25/360,ConRate/12),0)</f>
        <v/>
      </c>
      <c r="ID30" s="49">
        <f>IF('Timeline'!ID$41=1,IF(ConActual360=1,ConRate*ID$25/360,ConRate/12),0)</f>
        <v/>
      </c>
      <c r="IE30" s="49">
        <f>IF('Timeline'!IE$41=1,IF(ConActual360=1,ConRate*IE$25/360,ConRate/12),0)</f>
        <v/>
      </c>
      <c r="IF30" s="49">
        <f>IF('Timeline'!IF$41=1,IF(ConActual360=1,ConRate*IF$25/360,ConRate/12),0)</f>
        <v/>
      </c>
      <c r="IG30" s="49">
        <f>IF('Timeline'!IG$41=1,IF(ConActual360=1,ConRate*IG$25/360,ConRate/12),0)</f>
        <v/>
      </c>
      <c r="IH30" s="49">
        <f>IF('Timeline'!IH$41=1,IF(ConActual360=1,ConRate*IH$25/360,ConRate/12),0)</f>
        <v/>
      </c>
      <c r="II30" s="49">
        <f>IF('Timeline'!II$41=1,IF(ConActual360=1,ConRate*II$25/360,ConRate/12),0)</f>
        <v/>
      </c>
      <c r="IJ30" s="49">
        <f>IF('Timeline'!IJ$41=1,IF(ConActual360=1,ConRate*IJ$25/360,ConRate/12),0)</f>
        <v/>
      </c>
      <c r="IK30" s="49">
        <f>IF('Timeline'!IK$41=1,IF(ConActual360=1,ConRate*IK$25/360,ConRate/12),0)</f>
        <v/>
      </c>
      <c r="IL30" s="49">
        <f>IF('Timeline'!IL$41=1,IF(ConActual360=1,ConRate*IL$25/360,ConRate/12),0)</f>
        <v/>
      </c>
      <c r="IM30" s="49">
        <f>IF('Timeline'!IM$41=1,IF(ConActual360=1,ConRate*IM$25/360,ConRate/12),0)</f>
        <v/>
      </c>
      <c r="IN30" s="49">
        <f>IF('Timeline'!IN$41=1,IF(ConActual360=1,ConRate*IN$25/360,ConRate/12),0)</f>
        <v/>
      </c>
      <c r="IO30" s="49">
        <f>IF('Timeline'!IO$41=1,IF(ConActual360=1,ConRate*IO$25/360,ConRate/12),0)</f>
        <v/>
      </c>
      <c r="IP30" s="49">
        <f>IF('Timeline'!IP$41=1,IF(ConActual360=1,ConRate*IP$25/360,ConRate/12),0)</f>
        <v/>
      </c>
      <c r="IQ30" s="49">
        <f>IF('Timeline'!IQ$41=1,IF(ConActual360=1,ConRate*IQ$25/360,ConRate/12),0)</f>
        <v/>
      </c>
      <c r="IR30" s="49">
        <f>IF('Timeline'!IR$41=1,IF(ConActual360=1,ConRate*IR$25/360,ConRate/12),0)</f>
        <v/>
      </c>
      <c r="IS30" s="49">
        <f>IF('Timeline'!IS$41=1,IF(ConActual360=1,ConRate*IS$25/360,ConRate/12),0)</f>
        <v/>
      </c>
      <c r="IT30" s="49">
        <f>IF('Timeline'!IT$41=1,IF(ConActual360=1,ConRate*IT$25/360,ConRate/12),0)</f>
        <v/>
      </c>
      <c r="IU30" s="49">
        <f>IF('Timeline'!IU$41=1,IF(ConActual360=1,ConRate*IU$25/360,ConRate/12),0)</f>
        <v/>
      </c>
      <c r="IV30" s="49">
        <f>IF('Timeline'!IV$41=1,IF(ConActual360=1,ConRate*IV$25/360,ConRate/12),0)</f>
        <v/>
      </c>
      <c r="IW30" s="49">
        <f>IF('Timeline'!IW$41=1,IF(ConActual360=1,ConRate*IW$25/360,ConRate/12),0)</f>
        <v/>
      </c>
      <c r="IX30" s="49">
        <f>IF('Timeline'!IX$41=1,IF(ConActual360=1,ConRate*IX$25/360,ConRate/12),0)</f>
        <v/>
      </c>
      <c r="IY30" s="49">
        <f>IF('Timeline'!IY$41=1,IF(ConActual360=1,ConRate*IY$25/360,ConRate/12),0)</f>
        <v/>
      </c>
      <c r="IZ30" s="49">
        <f>IF('Timeline'!IZ$41=1,IF(ConActual360=1,ConRate*IZ$25/360,ConRate/12),0)</f>
        <v/>
      </c>
      <c r="JA30" s="49">
        <f>IF('Timeline'!JA$41=1,IF(ConActual360=1,ConRate*JA$25/360,ConRate/12),0)</f>
        <v/>
      </c>
      <c r="JB30" s="49">
        <f>IF('Timeline'!JB$41=1,IF(ConActual360=1,ConRate*JB$25/360,ConRate/12),0)</f>
        <v/>
      </c>
      <c r="JC30" s="49">
        <f>IF('Timeline'!JC$41=1,IF(ConActual360=1,ConRate*JC$25/360,ConRate/12),0)</f>
        <v/>
      </c>
      <c r="JD30" s="49">
        <f>IF('Timeline'!JD$41=1,IF(ConActual360=1,ConRate*JD$25/360,ConRate/12),0)</f>
        <v/>
      </c>
      <c r="JE30" s="49">
        <f>IF('Timeline'!JE$41=1,IF(ConActual360=1,ConRate*JE$25/360,ConRate/12),0)</f>
        <v/>
      </c>
      <c r="JF30" s="49">
        <f>IF('Timeline'!JF$41=1,IF(ConActual360=1,ConRate*JF$25/360,ConRate/12),0)</f>
        <v/>
      </c>
      <c r="JG30" s="49">
        <f>IF('Timeline'!JG$41=1,IF(ConActual360=1,ConRate*JG$25/360,ConRate/12),0)</f>
        <v/>
      </c>
      <c r="JH30" s="49">
        <f>IF('Timeline'!JH$41=1,IF(ConActual360=1,ConRate*JH$25/360,ConRate/12),0)</f>
        <v/>
      </c>
      <c r="JI30" s="49">
        <f>IF('Timeline'!JI$41=1,IF(ConActual360=1,ConRate*JI$25/360,ConRate/12),0)</f>
        <v/>
      </c>
      <c r="JJ30" s="49">
        <f>IF('Timeline'!JJ$41=1,IF(ConActual360=1,ConRate*JJ$25/360,ConRate/12),0)</f>
        <v/>
      </c>
      <c r="JK30" s="49">
        <f>IF('Timeline'!JK$41=1,IF(ConActual360=1,ConRate*JK$25/360,ConRate/12),0)</f>
        <v/>
      </c>
      <c r="JL30" s="49">
        <f>IF('Timeline'!JL$41=1,IF(ConActual360=1,ConRate*JL$25/360,ConRate/12),0)</f>
        <v/>
      </c>
      <c r="JM30" s="49">
        <f>IF('Timeline'!JM$41=1,IF(ConActual360=1,ConRate*JM$25/360,ConRate/12),0)</f>
        <v/>
      </c>
      <c r="JN30" s="49">
        <f>IF('Timeline'!JN$41=1,IF(ConActual360=1,ConRate*JN$25/360,ConRate/12),0)</f>
        <v/>
      </c>
      <c r="JO30" s="49">
        <f>IF('Timeline'!JO$41=1,IF(ConActual360=1,ConRate*JO$25/360,ConRate/12),0)</f>
        <v/>
      </c>
      <c r="JP30" s="49">
        <f>IF('Timeline'!JP$41=1,IF(ConActual360=1,ConRate*JP$25/360,ConRate/12),0)</f>
        <v/>
      </c>
      <c r="JQ30" s="49">
        <f>IF('Timeline'!JQ$41=1,IF(ConActual360=1,ConRate*JQ$25/360,ConRate/12),0)</f>
        <v/>
      </c>
      <c r="JR30" s="49">
        <f>IF('Timeline'!JR$41=1,IF(ConActual360=1,ConRate*JR$25/360,ConRate/12),0)</f>
        <v/>
      </c>
      <c r="JS30" s="49">
        <f>IF('Timeline'!JS$41=1,IF(ConActual360=1,ConRate*JS$25/360,ConRate/12),0)</f>
        <v/>
      </c>
      <c r="JT30" s="49">
        <f>IF('Timeline'!JT$41=1,IF(ConActual360=1,ConRate*JT$25/360,ConRate/12),0)</f>
        <v/>
      </c>
      <c r="JU30" s="49">
        <f>IF('Timeline'!JU$41=1,IF(ConActual360=1,ConRate*JU$25/360,ConRate/12),0)</f>
        <v/>
      </c>
      <c r="JV30" s="49">
        <f>IF('Timeline'!JV$41=1,IF(ConActual360=1,ConRate*JV$25/360,ConRate/12),0)</f>
        <v/>
      </c>
      <c r="JW30" s="49">
        <f>IF('Timeline'!JW$41=1,IF(ConActual360=1,ConRate*JW$25/360,ConRate/12),0)</f>
        <v/>
      </c>
      <c r="JX30" s="49">
        <f>IF('Timeline'!JX$41=1,IF(ConActual360=1,ConRate*JX$25/360,ConRate/12),0)</f>
        <v/>
      </c>
      <c r="JY30" s="49">
        <f>IF('Timeline'!JY$41=1,IF(ConActual360=1,ConRate*JY$25/360,ConRate/12),0)</f>
        <v/>
      </c>
      <c r="JZ30" s="49">
        <f>IF('Timeline'!JZ$41=1,IF(ConActual360=1,ConRate*JZ$25/360,ConRate/12),0)</f>
        <v/>
      </c>
      <c r="KA30" s="49">
        <f>IF('Timeline'!KA$41=1,IF(ConActual360=1,ConRate*KA$25/360,ConRate/12),0)</f>
        <v/>
      </c>
      <c r="KB30" s="49">
        <f>IF('Timeline'!KB$41=1,IF(ConActual360=1,ConRate*KB$25/360,ConRate/12),0)</f>
        <v/>
      </c>
      <c r="KC30" s="49">
        <f>IF('Timeline'!KC$41=1,IF(ConActual360=1,ConRate*KC$25/360,ConRate/12),0)</f>
        <v/>
      </c>
      <c r="KD30" s="49">
        <f>IF('Timeline'!KD$41=1,IF(ConActual360=1,ConRate*KD$25/360,ConRate/12),0)</f>
        <v/>
      </c>
      <c r="KE30" s="49">
        <f>IF('Timeline'!KE$41=1,IF(ConActual360=1,ConRate*KE$25/360,ConRate/12),0)</f>
        <v/>
      </c>
      <c r="KF30" s="49">
        <f>IF('Timeline'!KF$41=1,IF(ConActual360=1,ConRate*KF$25/360,ConRate/12),0)</f>
        <v/>
      </c>
      <c r="KG30" s="49">
        <f>IF('Timeline'!KG$41=1,IF(ConActual360=1,ConRate*KG$25/360,ConRate/12),0)</f>
        <v/>
      </c>
      <c r="KH30" s="49">
        <f>IF('Timeline'!KH$41=1,IF(ConActual360=1,ConRate*KH$25/360,ConRate/12),0)</f>
        <v/>
      </c>
      <c r="KI30" s="49">
        <f>IF('Timeline'!KI$41=1,IF(ConActual360=1,ConRate*KI$25/360,ConRate/12),0)</f>
        <v/>
      </c>
      <c r="KJ30" s="49">
        <f>IF('Timeline'!KJ$41=1,IF(ConActual360=1,ConRate*KJ$25/360,ConRate/12),0)</f>
        <v/>
      </c>
      <c r="KK30" s="49">
        <f>IF('Timeline'!KK$41=1,IF(ConActual360=1,ConRate*KK$25/360,ConRate/12),0)</f>
        <v/>
      </c>
      <c r="KL30" s="49">
        <f>IF('Timeline'!KL$41=1,IF(ConActual360=1,ConRate*KL$25/360,ConRate/12),0)</f>
        <v/>
      </c>
      <c r="KM30" s="49">
        <f>IF('Timeline'!KM$41=1,IF(ConActual360=1,ConRate*KM$25/360,ConRate/12),0)</f>
        <v/>
      </c>
      <c r="KN30" s="49">
        <f>IF('Timeline'!KN$41=1,IF(ConActual360=1,ConRate*KN$25/360,ConRate/12),0)</f>
        <v/>
      </c>
      <c r="KO30" s="49">
        <f>IF('Timeline'!KO$41=1,IF(ConActual360=1,ConRate*KO$25/360,ConRate/12),0)</f>
        <v/>
      </c>
      <c r="KP30" s="49">
        <f>IF('Timeline'!KP$41=1,IF(ConActual360=1,ConRate*KP$25/360,ConRate/12),0)</f>
        <v/>
      </c>
      <c r="KQ30" s="49">
        <f>IF('Timeline'!KQ$41=1,IF(ConActual360=1,ConRate*KQ$25/360,ConRate/12),0)</f>
        <v/>
      </c>
      <c r="KR30" s="49">
        <f>IF('Timeline'!KR$41=1,IF(ConActual360=1,ConRate*KR$25/360,ConRate/12),0)</f>
        <v/>
      </c>
      <c r="KS30" s="49">
        <f>IF('Timeline'!KS$41=1,IF(ConActual360=1,ConRate*KS$25/360,ConRate/12),0)</f>
        <v/>
      </c>
      <c r="KT30" s="49">
        <f>IF('Timeline'!KT$41=1,IF(ConActual360=1,ConRate*KT$25/360,ConRate/12),0)</f>
        <v/>
      </c>
      <c r="KU30" s="49">
        <f>IF('Timeline'!KU$41=1,IF(ConActual360=1,ConRate*KU$25/360,ConRate/12),0)</f>
        <v/>
      </c>
      <c r="KV30" s="49">
        <f>IF('Timeline'!KV$41=1,IF(ConActual360=1,ConRate*KV$25/360,ConRate/12),0)</f>
        <v/>
      </c>
      <c r="KW30" s="49">
        <f>IF('Timeline'!KW$41=1,IF(ConActual360=1,ConRate*KW$25/360,ConRate/12),0)</f>
        <v/>
      </c>
      <c r="KX30" s="49">
        <f>IF('Timeline'!KX$41=1,IF(ConActual360=1,ConRate*KX$25/360,ConRate/12),0)</f>
        <v/>
      </c>
      <c r="KY30" s="49">
        <f>IF('Timeline'!KY$41=1,IF(ConActual360=1,ConRate*KY$25/360,ConRate/12),0)</f>
        <v/>
      </c>
      <c r="KZ30" s="49">
        <f>IF('Timeline'!KZ$41=1,IF(ConActual360=1,ConRate*KZ$25/360,ConRate/12),0)</f>
        <v/>
      </c>
      <c r="LA30" s="49">
        <f>IF('Timeline'!LA$41=1,IF(ConActual360=1,ConRate*LA$25/360,ConRate/12),0)</f>
        <v/>
      </c>
      <c r="LB30" s="49">
        <f>IF('Timeline'!LB$41=1,IF(ConActual360=1,ConRate*LB$25/360,ConRate/12),0)</f>
        <v/>
      </c>
      <c r="LC30" s="49">
        <f>IF('Timeline'!LC$41=1,IF(ConActual360=1,ConRate*LC$25/360,ConRate/12),0)</f>
        <v/>
      </c>
      <c r="LD30" s="49">
        <f>IF('Timeline'!LD$41=1,IF(ConActual360=1,ConRate*LD$25/360,ConRate/12),0)</f>
        <v/>
      </c>
      <c r="LE30" s="49">
        <f>IF('Timeline'!LE$41=1,IF(ConActual360=1,ConRate*LE$25/360,ConRate/12),0)</f>
        <v/>
      </c>
      <c r="LF30" s="49">
        <f>IF('Timeline'!LF$41=1,IF(ConActual360=1,ConRate*LF$25/360,ConRate/12),0)</f>
        <v/>
      </c>
      <c r="LG30" s="49">
        <f>IF('Timeline'!LG$41=1,IF(ConActual360=1,ConRate*LG$25/360,ConRate/12),0)</f>
        <v/>
      </c>
      <c r="LH30" s="49">
        <f>IF('Timeline'!LH$41=1,IF(ConActual360=1,ConRate*LH$25/360,ConRate/12),0)</f>
        <v/>
      </c>
      <c r="LI30" s="49">
        <f>IF('Timeline'!LI$41=1,IF(ConActual360=1,ConRate*LI$25/360,ConRate/12),0)</f>
        <v/>
      </c>
      <c r="LJ30" s="49">
        <f>IF('Timeline'!LJ$41=1,IF(ConActual360=1,ConRate*LJ$25/360,ConRate/12),0)</f>
        <v/>
      </c>
      <c r="LK30" s="49">
        <f>IF('Timeline'!LK$41=1,IF(ConActual360=1,ConRate*LK$25/360,ConRate/12),0)</f>
        <v/>
      </c>
      <c r="LL30" s="49">
        <f>IF('Timeline'!LL$41=1,IF(ConActual360=1,ConRate*LL$25/360,ConRate/12),0)</f>
        <v/>
      </c>
      <c r="LM30" s="49">
        <f>IF('Timeline'!LM$41=1,IF(ConActual360=1,ConRate*LM$25/360,ConRate/12),0)</f>
        <v/>
      </c>
      <c r="LN30" s="49">
        <f>IF('Timeline'!LN$41=1,IF(ConActual360=1,ConRate*LN$25/360,ConRate/12),0)</f>
        <v/>
      </c>
      <c r="LO30" s="49">
        <f>IF('Timeline'!LO$41=1,IF(ConActual360=1,ConRate*LO$25/360,ConRate/12),0)</f>
        <v/>
      </c>
      <c r="LP30" s="49">
        <f>IF('Timeline'!LP$41=1,IF(ConActual360=1,ConRate*LP$25/360,ConRate/12),0)</f>
        <v/>
      </c>
      <c r="LQ30" s="49">
        <f>IF('Timeline'!LQ$41=1,IF(ConActual360=1,ConRate*LQ$25/360,ConRate/12),0)</f>
        <v/>
      </c>
      <c r="LR30" s="49">
        <f>IF('Timeline'!LR$41=1,IF(ConActual360=1,ConRate*LR$25/360,ConRate/12),0)</f>
        <v/>
      </c>
      <c r="LS30" s="49">
        <f>IF('Timeline'!LS$41=1,IF(ConActual360=1,ConRate*LS$25/360,ConRate/12),0)</f>
        <v/>
      </c>
      <c r="LT30" s="49">
        <f>IF('Timeline'!LT$41=1,IF(ConActual360=1,ConRate*LT$25/360,ConRate/12),0)</f>
        <v/>
      </c>
      <c r="LU30" s="49">
        <f>IF('Timeline'!LU$41=1,IF(ConActual360=1,ConRate*LU$25/360,ConRate/12),0)</f>
        <v/>
      </c>
      <c r="LV30" s="49">
        <f>IF('Timeline'!LV$41=1,IF(ConActual360=1,ConRate*LV$25/360,ConRate/12),0)</f>
        <v/>
      </c>
      <c r="LW30" s="49">
        <f>IF('Timeline'!LW$41=1,IF(ConActual360=1,ConRate*LW$25/360,ConRate/12),0)</f>
        <v/>
      </c>
      <c r="LX30" s="49">
        <f>IF('Timeline'!LX$41=1,IF(ConActual360=1,ConRate*LX$25/360,ConRate/12),0)</f>
        <v/>
      </c>
      <c r="LY30" s="49">
        <f>IF('Timeline'!LY$41=1,IF(ConActual360=1,ConRate*LY$25/360,ConRate/12),0)</f>
        <v/>
      </c>
      <c r="LZ30" s="49">
        <f>IF('Timeline'!LZ$41=1,IF(ConActual360=1,ConRate*LZ$25/360,ConRate/12),0)</f>
        <v/>
      </c>
      <c r="MA30" s="49">
        <f>IF('Timeline'!MA$41=1,IF(ConActual360=1,ConRate*MA$25/360,ConRate/12),0)</f>
        <v/>
      </c>
      <c r="MB30" s="49">
        <f>IF('Timeline'!MB$41=1,IF(ConActual360=1,ConRate*MB$25/360,ConRate/12),0)</f>
        <v/>
      </c>
      <c r="MC30" s="49">
        <f>IF('Timeline'!MC$41=1,IF(ConActual360=1,ConRate*MC$25/360,ConRate/12),0)</f>
        <v/>
      </c>
      <c r="MD30" s="49">
        <f>IF('Timeline'!MD$41=1,IF(ConActual360=1,ConRate*MD$25/360,ConRate/12),0)</f>
        <v/>
      </c>
      <c r="ME30" s="49">
        <f>IF('Timeline'!ME$41=1,IF(ConActual360=1,ConRate*ME$25/360,ConRate/12),0)</f>
        <v/>
      </c>
      <c r="MF30" s="49">
        <f>IF('Timeline'!MF$41=1,IF(ConActual360=1,ConRate*MF$25/360,ConRate/12),0)</f>
        <v/>
      </c>
      <c r="MG30" s="49">
        <f>IF('Timeline'!MG$41=1,IF(ConActual360=1,ConRate*MG$25/360,ConRate/12),0)</f>
        <v/>
      </c>
      <c r="MH30" s="49">
        <f>IF('Timeline'!MH$41=1,IF(ConActual360=1,ConRate*MH$25/360,ConRate/12),0)</f>
        <v/>
      </c>
      <c r="MI30" s="49">
        <f>IF('Timeline'!MI$41=1,IF(ConActual360=1,ConRate*MI$25/360,ConRate/12),0)</f>
        <v/>
      </c>
      <c r="MJ30" s="49">
        <f>IF('Timeline'!MJ$41=1,IF(ConActual360=1,ConRate*MJ$25/360,ConRate/12),0)</f>
        <v/>
      </c>
      <c r="MK30" s="49">
        <f>IF('Timeline'!MK$41=1,IF(ConActual360=1,ConRate*MK$25/360,ConRate/12),0)</f>
        <v/>
      </c>
      <c r="ML30" s="49">
        <f>IF('Timeline'!ML$41=1,IF(ConActual360=1,ConRate*ML$25/360,ConRate/12),0)</f>
        <v/>
      </c>
      <c r="MM30" s="49">
        <f>IF('Timeline'!MM$41=1,IF(ConActual360=1,ConRate*MM$25/360,ConRate/12),0)</f>
        <v/>
      </c>
      <c r="MN30" s="49">
        <f>IF('Timeline'!MN$41=1,IF(ConActual360=1,ConRate*MN$25/360,ConRate/12),0)</f>
        <v/>
      </c>
      <c r="MO30" s="49">
        <f>IF('Timeline'!MO$41=1,IF(ConActual360=1,ConRate*MO$25/360,ConRate/12),0)</f>
        <v/>
      </c>
      <c r="MP30" s="49">
        <f>IF('Timeline'!MP$41=1,IF(ConActual360=1,ConRate*MP$25/360,ConRate/12),0)</f>
        <v/>
      </c>
      <c r="MQ30" s="49">
        <f>IF('Timeline'!MQ$41=1,IF(ConActual360=1,ConRate*MQ$25/360,ConRate/12),0)</f>
        <v/>
      </c>
      <c r="MR30" s="49">
        <f>IF('Timeline'!MR$41=1,IF(ConActual360=1,ConRate*MR$25/360,ConRate/12),0)</f>
        <v/>
      </c>
      <c r="MS30" s="49">
        <f>IF('Timeline'!MS$41=1,IF(ConActual360=1,ConRate*MS$25/360,ConRate/12),0)</f>
        <v/>
      </c>
      <c r="MT30" s="49">
        <f>IF('Timeline'!MT$41=1,IF(ConActual360=1,ConRate*MT$25/360,ConRate/12),0)</f>
        <v/>
      </c>
      <c r="MU30" s="49">
        <f>IF('Timeline'!MU$41=1,IF(ConActual360=1,ConRate*MU$25/360,ConRate/12),0)</f>
        <v/>
      </c>
      <c r="MV30" s="49">
        <f>IF('Timeline'!MV$41=1,IF(ConActual360=1,ConRate*MV$25/360,ConRate/12),0)</f>
        <v/>
      </c>
      <c r="MW30" s="49">
        <f>IF('Timeline'!MW$41=1,IF(ConActual360=1,ConRate*MW$25/360,ConRate/12),0)</f>
        <v/>
      </c>
      <c r="MX30" s="49">
        <f>IF('Timeline'!MX$41=1,IF(ConActual360=1,ConRate*MX$25/360,ConRate/12),0)</f>
        <v/>
      </c>
      <c r="MY30" s="49">
        <f>IF('Timeline'!MY$41=1,IF(ConActual360=1,ConRate*MY$25/360,ConRate/12),0)</f>
        <v/>
      </c>
      <c r="MZ30" s="49">
        <f>IF('Timeline'!MZ$41=1,IF(ConActual360=1,ConRate*MZ$25/360,ConRate/12),0)</f>
        <v/>
      </c>
      <c r="NA30" s="49">
        <f>IF('Timeline'!NA$41=1,IF(ConActual360=1,ConRate*NA$25/360,ConRate/12),0)</f>
        <v/>
      </c>
      <c r="NB30" s="49">
        <f>IF('Timeline'!NB$41=1,IF(ConActual360=1,ConRate*NB$25/360,ConRate/12),0)</f>
        <v/>
      </c>
      <c r="NC30" s="49">
        <f>IF('Timeline'!NC$41=1,IF(ConActual360=1,ConRate*NC$25/360,ConRate/12),0)</f>
        <v/>
      </c>
      <c r="ND30" s="49">
        <f>IF('Timeline'!ND$41=1,IF(ConActual360=1,ConRate*ND$25/360,ConRate/12),0)</f>
        <v/>
      </c>
      <c r="NE30" s="49">
        <f>IF('Timeline'!NE$41=1,IF(ConActual360=1,ConRate*NE$25/360,ConRate/12),0)</f>
        <v/>
      </c>
      <c r="NF30" s="49">
        <f>IF('Timeline'!NF$41=1,IF(ConActual360=1,ConRate*NF$25/360,ConRate/12),0)</f>
        <v/>
      </c>
      <c r="NG30" s="49">
        <f>IF('Timeline'!NG$41=1,IF(ConActual360=1,ConRate*NG$25/360,ConRate/12),0)</f>
        <v/>
      </c>
      <c r="NH30" s="49">
        <f>IF('Timeline'!NH$41=1,IF(ConActual360=1,ConRate*NH$25/360,ConRate/12),0)</f>
        <v/>
      </c>
      <c r="NI30" s="49">
        <f>IF('Timeline'!NI$41=1,IF(ConActual360=1,ConRate*NI$25/360,ConRate/12),0)</f>
        <v/>
      </c>
      <c r="NJ30" s="49">
        <f>IF('Timeline'!NJ$41=1,IF(ConActual360=1,ConRate*NJ$25/360,ConRate/12),0)</f>
        <v/>
      </c>
      <c r="NK30" s="49">
        <f>IF('Timeline'!NK$41=1,IF(ConActual360=1,ConRate*NK$25/360,ConRate/12),0)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5" t="inlineStr">
        <is>
          <t>Cumulative Units Delivered</t>
        </is>
      </c>
      <c r="C7" s="40" t="n"/>
      <c r="D7" s="17">
        <f>IF(1&lt;DeliverStart,0,MIN(TotalUnits,(1-DeliverStart+1)*UnitsDeliveredPerMo))</f>
        <v/>
      </c>
      <c r="E7" s="17">
        <f>IF(2&lt;DeliverStart,0,MIN(TotalUnits,(2-DeliverStart+1)*UnitsDeliveredPerMo))</f>
        <v/>
      </c>
      <c r="F7" s="17">
        <f>IF(3&lt;DeliverStart,0,MIN(TotalUnits,(3-DeliverStart+1)*UnitsDeliveredPerMo))</f>
        <v/>
      </c>
      <c r="G7" s="17">
        <f>IF(4&lt;DeliverStart,0,MIN(TotalUnits,(4-DeliverStart+1)*UnitsDeliveredPerMo))</f>
        <v/>
      </c>
      <c r="H7" s="17">
        <f>IF(5&lt;DeliverStart,0,MIN(TotalUnits,(5-DeliverStart+1)*UnitsDeliveredPerMo))</f>
        <v/>
      </c>
      <c r="I7" s="17">
        <f>IF(6&lt;DeliverStart,0,MIN(TotalUnits,(6-DeliverStart+1)*UnitsDeliveredPerMo))</f>
        <v/>
      </c>
      <c r="J7" s="17">
        <f>IF(7&lt;DeliverStart,0,MIN(TotalUnits,(7-DeliverStart+1)*UnitsDeliveredPerMo))</f>
        <v/>
      </c>
      <c r="K7" s="17">
        <f>IF(8&lt;DeliverStart,0,MIN(TotalUnits,(8-DeliverStart+1)*UnitsDeliveredPerMo))</f>
        <v/>
      </c>
      <c r="L7" s="17">
        <f>IF(9&lt;DeliverStart,0,MIN(TotalUnits,(9-DeliverStart+1)*UnitsDeliveredPerMo))</f>
        <v/>
      </c>
      <c r="M7" s="17">
        <f>IF(10&lt;DeliverStart,0,MIN(TotalUnits,(10-DeliverStart+1)*UnitsDeliveredPerMo))</f>
        <v/>
      </c>
      <c r="N7" s="17">
        <f>IF(11&lt;DeliverStart,0,MIN(TotalUnits,(11-DeliverStart+1)*UnitsDeliveredPerMo))</f>
        <v/>
      </c>
      <c r="O7" s="17">
        <f>IF(12&lt;DeliverStart,0,MIN(TotalUnits,(12-DeliverStart+1)*UnitsDeliveredPerMo))</f>
        <v/>
      </c>
      <c r="P7" s="17">
        <f>IF(13&lt;DeliverStart,0,MIN(TotalUnits,(13-DeliverStart+1)*UnitsDeliveredPerMo))</f>
        <v/>
      </c>
      <c r="Q7" s="17">
        <f>IF(14&lt;DeliverStart,0,MIN(TotalUnits,(14-DeliverStart+1)*UnitsDeliveredPerMo))</f>
        <v/>
      </c>
      <c r="R7" s="17">
        <f>IF(15&lt;DeliverStart,0,MIN(TotalUnits,(15-DeliverStart+1)*UnitsDeliveredPerMo))</f>
        <v/>
      </c>
      <c r="S7" s="17">
        <f>IF(16&lt;DeliverStart,0,MIN(TotalUnits,(16-DeliverStart+1)*UnitsDeliveredPerMo))</f>
        <v/>
      </c>
      <c r="T7" s="17">
        <f>IF(17&lt;DeliverStart,0,MIN(TotalUnits,(17-DeliverStart+1)*UnitsDeliveredPerMo))</f>
        <v/>
      </c>
      <c r="U7" s="17">
        <f>IF(18&lt;DeliverStart,0,MIN(TotalUnits,(18-DeliverStart+1)*UnitsDeliveredPerMo))</f>
        <v/>
      </c>
      <c r="V7" s="17">
        <f>IF(19&lt;DeliverStart,0,MIN(TotalUnits,(19-DeliverStart+1)*UnitsDeliveredPerMo))</f>
        <v/>
      </c>
      <c r="W7" s="17">
        <f>IF(20&lt;DeliverStart,0,MIN(TotalUnits,(20-DeliverStart+1)*UnitsDeliveredPerMo))</f>
        <v/>
      </c>
      <c r="X7" s="17">
        <f>IF(21&lt;DeliverStart,0,MIN(TotalUnits,(21-DeliverStart+1)*UnitsDeliveredPerMo))</f>
        <v/>
      </c>
      <c r="Y7" s="17">
        <f>IF(22&lt;DeliverStart,0,MIN(TotalUnits,(22-DeliverStart+1)*UnitsDeliveredPerMo))</f>
        <v/>
      </c>
      <c r="Z7" s="17">
        <f>IF(23&lt;DeliverStart,0,MIN(TotalUnits,(23-DeliverStart+1)*UnitsDeliveredPerMo))</f>
        <v/>
      </c>
      <c r="AA7" s="17">
        <f>IF(24&lt;DeliverStart,0,MIN(TotalUnits,(24-DeliverStart+1)*UnitsDeliveredPerMo))</f>
        <v/>
      </c>
      <c r="AB7" s="17">
        <f>IF(25&lt;DeliverStart,0,MIN(TotalUnits,(25-DeliverStart+1)*UnitsDeliveredPerMo))</f>
        <v/>
      </c>
      <c r="AC7" s="17">
        <f>IF(26&lt;DeliverStart,0,MIN(TotalUnits,(26-DeliverStart+1)*UnitsDeliveredPerMo))</f>
        <v/>
      </c>
      <c r="AD7" s="17">
        <f>IF(27&lt;DeliverStart,0,MIN(TotalUnits,(27-DeliverStart+1)*UnitsDeliveredPerMo))</f>
        <v/>
      </c>
      <c r="AE7" s="17">
        <f>IF(28&lt;DeliverStart,0,MIN(TotalUnits,(28-DeliverStart+1)*UnitsDeliveredPerMo))</f>
        <v/>
      </c>
      <c r="AF7" s="17">
        <f>IF(29&lt;DeliverStart,0,MIN(TotalUnits,(29-DeliverStart+1)*UnitsDeliveredPerMo))</f>
        <v/>
      </c>
      <c r="AG7" s="17">
        <f>IF(30&lt;DeliverStart,0,MIN(TotalUnits,(30-DeliverStart+1)*UnitsDeliveredPerMo))</f>
        <v/>
      </c>
      <c r="AH7" s="17">
        <f>IF(31&lt;DeliverStart,0,MIN(TotalUnits,(31-DeliverStart+1)*UnitsDeliveredPerMo))</f>
        <v/>
      </c>
      <c r="AI7" s="17">
        <f>IF(32&lt;DeliverStart,0,MIN(TotalUnits,(32-DeliverStart+1)*UnitsDeliveredPerMo))</f>
        <v/>
      </c>
      <c r="AJ7" s="17">
        <f>IF(33&lt;DeliverStart,0,MIN(TotalUnits,(33-DeliverStart+1)*UnitsDeliveredPerMo))</f>
        <v/>
      </c>
      <c r="AK7" s="17">
        <f>IF(34&lt;DeliverStart,0,MIN(TotalUnits,(34-DeliverStart+1)*UnitsDeliveredPerMo))</f>
        <v/>
      </c>
      <c r="AL7" s="17">
        <f>IF(35&lt;DeliverStart,0,MIN(TotalUnits,(35-DeliverStart+1)*UnitsDeliveredPerMo))</f>
        <v/>
      </c>
      <c r="AM7" s="17">
        <f>IF(36&lt;DeliverStart,0,MIN(TotalUnits,(36-DeliverStart+1)*UnitsDeliveredPerMo))</f>
        <v/>
      </c>
      <c r="AN7" s="17">
        <f>IF(37&lt;DeliverStart,0,MIN(TotalUnits,(37-DeliverStart+1)*UnitsDeliveredPerMo))</f>
        <v/>
      </c>
      <c r="AO7" s="17">
        <f>IF(38&lt;DeliverStart,0,MIN(TotalUnits,(38-DeliverStart+1)*UnitsDeliveredPerMo))</f>
        <v/>
      </c>
      <c r="AP7" s="17">
        <f>IF(39&lt;DeliverStart,0,MIN(TotalUnits,(39-DeliverStart+1)*UnitsDeliveredPerMo))</f>
        <v/>
      </c>
      <c r="AQ7" s="17">
        <f>IF(40&lt;DeliverStart,0,MIN(TotalUnits,(40-DeliverStart+1)*UnitsDeliveredPerMo))</f>
        <v/>
      </c>
      <c r="AR7" s="17">
        <f>IF(41&lt;DeliverStart,0,MIN(TotalUnits,(41-DeliverStart+1)*UnitsDeliveredPerMo))</f>
        <v/>
      </c>
      <c r="AS7" s="17">
        <f>IF(42&lt;DeliverStart,0,MIN(TotalUnits,(42-DeliverStart+1)*UnitsDeliveredPerMo))</f>
        <v/>
      </c>
      <c r="AT7" s="17">
        <f>IF(43&lt;DeliverStart,0,MIN(TotalUnits,(43-DeliverStart+1)*UnitsDeliveredPerMo))</f>
        <v/>
      </c>
      <c r="AU7" s="17">
        <f>IF(44&lt;DeliverStart,0,MIN(TotalUnits,(44-DeliverStart+1)*UnitsDeliveredPerMo))</f>
        <v/>
      </c>
      <c r="AV7" s="17">
        <f>IF(45&lt;DeliverStart,0,MIN(TotalUnits,(45-DeliverStart+1)*UnitsDeliveredPerMo))</f>
        <v/>
      </c>
      <c r="AW7" s="17">
        <f>IF(46&lt;DeliverStart,0,MIN(TotalUnits,(46-DeliverStart+1)*UnitsDeliveredPerMo))</f>
        <v/>
      </c>
      <c r="AX7" s="17">
        <f>IF(47&lt;DeliverStart,0,MIN(TotalUnits,(47-DeliverStart+1)*UnitsDeliveredPerMo))</f>
        <v/>
      </c>
      <c r="AY7" s="17">
        <f>IF(48&lt;DeliverStart,0,MIN(TotalUnits,(48-DeliverStart+1)*UnitsDeliveredPerMo))</f>
        <v/>
      </c>
      <c r="AZ7" s="17">
        <f>IF(49&lt;DeliverStart,0,MIN(TotalUnits,(49-DeliverStart+1)*UnitsDeliveredPerMo))</f>
        <v/>
      </c>
      <c r="BA7" s="17">
        <f>IF(50&lt;DeliverStart,0,MIN(TotalUnits,(50-DeliverStart+1)*UnitsDeliveredPerMo))</f>
        <v/>
      </c>
      <c r="BB7" s="17">
        <f>IF(51&lt;DeliverStart,0,MIN(TotalUnits,(51-DeliverStart+1)*UnitsDeliveredPerMo))</f>
        <v/>
      </c>
      <c r="BC7" s="17">
        <f>IF(52&lt;DeliverStart,0,MIN(TotalUnits,(52-DeliverStart+1)*UnitsDeliveredPerMo))</f>
        <v/>
      </c>
      <c r="BD7" s="17">
        <f>IF(53&lt;DeliverStart,0,MIN(TotalUnits,(53-DeliverStart+1)*UnitsDeliveredPerMo))</f>
        <v/>
      </c>
      <c r="BE7" s="17">
        <f>IF(54&lt;DeliverStart,0,MIN(TotalUnits,(54-DeliverStart+1)*UnitsDeliveredPerMo))</f>
        <v/>
      </c>
      <c r="BF7" s="17">
        <f>IF(55&lt;DeliverStart,0,MIN(TotalUnits,(55-DeliverStart+1)*UnitsDeliveredPerMo))</f>
        <v/>
      </c>
      <c r="BG7" s="17">
        <f>IF(56&lt;DeliverStart,0,MIN(TotalUnits,(56-DeliverStart+1)*UnitsDeliveredPerMo))</f>
        <v/>
      </c>
      <c r="BH7" s="17">
        <f>IF(57&lt;DeliverStart,0,MIN(TotalUnits,(57-DeliverStart+1)*UnitsDeliveredPerMo))</f>
        <v/>
      </c>
      <c r="BI7" s="17">
        <f>IF(58&lt;DeliverStart,0,MIN(TotalUnits,(58-DeliverStart+1)*UnitsDeliveredPerMo))</f>
        <v/>
      </c>
      <c r="BJ7" s="17">
        <f>IF(59&lt;DeliverStart,0,MIN(TotalUnits,(59-DeliverStart+1)*UnitsDeliveredPerMo))</f>
        <v/>
      </c>
      <c r="BK7" s="17">
        <f>IF(60&lt;DeliverStart,0,MIN(TotalUnits,(60-DeliverStart+1)*UnitsDeliveredPerMo))</f>
        <v/>
      </c>
      <c r="BL7" s="17">
        <f>IF(61&lt;DeliverStart,0,MIN(TotalUnits,(61-DeliverStart+1)*UnitsDeliveredPerMo))</f>
        <v/>
      </c>
      <c r="BM7" s="17">
        <f>IF(62&lt;DeliverStart,0,MIN(TotalUnits,(62-DeliverStart+1)*UnitsDeliveredPerMo))</f>
        <v/>
      </c>
      <c r="BN7" s="17">
        <f>IF(63&lt;DeliverStart,0,MIN(TotalUnits,(63-DeliverStart+1)*UnitsDeliveredPerMo))</f>
        <v/>
      </c>
      <c r="BO7" s="17">
        <f>IF(64&lt;DeliverStart,0,MIN(TotalUnits,(64-DeliverStart+1)*UnitsDeliveredPerMo))</f>
        <v/>
      </c>
      <c r="BP7" s="17">
        <f>IF(65&lt;DeliverStart,0,MIN(TotalUnits,(65-DeliverStart+1)*UnitsDeliveredPerMo))</f>
        <v/>
      </c>
      <c r="BQ7" s="17">
        <f>IF(66&lt;DeliverStart,0,MIN(TotalUnits,(66-DeliverStart+1)*UnitsDeliveredPerMo))</f>
        <v/>
      </c>
      <c r="BR7" s="17">
        <f>IF(67&lt;DeliverStart,0,MIN(TotalUnits,(67-DeliverStart+1)*UnitsDeliveredPerMo))</f>
        <v/>
      </c>
      <c r="BS7" s="17">
        <f>IF(68&lt;DeliverStart,0,MIN(TotalUnits,(68-DeliverStart+1)*UnitsDeliveredPerMo))</f>
        <v/>
      </c>
      <c r="BT7" s="17">
        <f>IF(69&lt;DeliverStart,0,MIN(TotalUnits,(69-DeliverStart+1)*UnitsDeliveredPerMo))</f>
        <v/>
      </c>
      <c r="BU7" s="17">
        <f>IF(70&lt;DeliverStart,0,MIN(TotalUnits,(70-DeliverStart+1)*UnitsDeliveredPerMo))</f>
        <v/>
      </c>
      <c r="BV7" s="17">
        <f>IF(71&lt;DeliverStart,0,MIN(TotalUnits,(71-DeliverStart+1)*UnitsDeliveredPerMo))</f>
        <v/>
      </c>
      <c r="BW7" s="17">
        <f>IF(72&lt;DeliverStart,0,MIN(TotalUnits,(72-DeliverStart+1)*UnitsDeliveredPerMo))</f>
        <v/>
      </c>
      <c r="BX7" s="17">
        <f>IF(73&lt;DeliverStart,0,MIN(TotalUnits,(73-DeliverStart+1)*UnitsDeliveredPerMo))</f>
        <v/>
      </c>
      <c r="BY7" s="17">
        <f>IF(74&lt;DeliverStart,0,MIN(TotalUnits,(74-DeliverStart+1)*UnitsDeliveredPerMo))</f>
        <v/>
      </c>
      <c r="BZ7" s="17">
        <f>IF(75&lt;DeliverStart,0,MIN(TotalUnits,(75-DeliverStart+1)*UnitsDeliveredPerMo))</f>
        <v/>
      </c>
      <c r="CA7" s="17">
        <f>IF(76&lt;DeliverStart,0,MIN(TotalUnits,(76-DeliverStart+1)*UnitsDeliveredPerMo))</f>
        <v/>
      </c>
      <c r="CB7" s="17">
        <f>IF(77&lt;DeliverStart,0,MIN(TotalUnits,(77-DeliverStart+1)*UnitsDeliveredPerMo))</f>
        <v/>
      </c>
      <c r="CC7" s="17">
        <f>IF(78&lt;DeliverStart,0,MIN(TotalUnits,(78-DeliverStart+1)*UnitsDeliveredPerMo))</f>
        <v/>
      </c>
      <c r="CD7" s="17">
        <f>IF(79&lt;DeliverStart,0,MIN(TotalUnits,(79-DeliverStart+1)*UnitsDeliveredPerMo))</f>
        <v/>
      </c>
      <c r="CE7" s="17">
        <f>IF(80&lt;DeliverStart,0,MIN(TotalUnits,(80-DeliverStart+1)*UnitsDeliveredPerMo))</f>
        <v/>
      </c>
      <c r="CF7" s="17">
        <f>IF(81&lt;DeliverStart,0,MIN(TotalUnits,(81-DeliverStart+1)*UnitsDeliveredPerMo))</f>
        <v/>
      </c>
      <c r="CG7" s="17">
        <f>IF(82&lt;DeliverStart,0,MIN(TotalUnits,(82-DeliverStart+1)*UnitsDeliveredPerMo))</f>
        <v/>
      </c>
      <c r="CH7" s="17">
        <f>IF(83&lt;DeliverStart,0,MIN(TotalUnits,(83-DeliverStart+1)*UnitsDeliveredPerMo))</f>
        <v/>
      </c>
      <c r="CI7" s="17">
        <f>IF(84&lt;DeliverStart,0,MIN(TotalUnits,(84-DeliverStart+1)*UnitsDeliveredPerMo))</f>
        <v/>
      </c>
      <c r="CJ7" s="17">
        <f>IF(85&lt;DeliverStart,0,MIN(TotalUnits,(85-DeliverStart+1)*UnitsDeliveredPerMo))</f>
        <v/>
      </c>
      <c r="CK7" s="17">
        <f>IF(86&lt;DeliverStart,0,MIN(TotalUnits,(86-DeliverStart+1)*UnitsDeliveredPerMo))</f>
        <v/>
      </c>
      <c r="CL7" s="17">
        <f>IF(87&lt;DeliverStart,0,MIN(TotalUnits,(87-DeliverStart+1)*UnitsDeliveredPerMo))</f>
        <v/>
      </c>
      <c r="CM7" s="17">
        <f>IF(88&lt;DeliverStart,0,MIN(TotalUnits,(88-DeliverStart+1)*UnitsDeliveredPerMo))</f>
        <v/>
      </c>
      <c r="CN7" s="17">
        <f>IF(89&lt;DeliverStart,0,MIN(TotalUnits,(89-DeliverStart+1)*UnitsDeliveredPerMo))</f>
        <v/>
      </c>
      <c r="CO7" s="17">
        <f>IF(90&lt;DeliverStart,0,MIN(TotalUnits,(90-DeliverStart+1)*UnitsDeliveredPerMo))</f>
        <v/>
      </c>
      <c r="CP7" s="17">
        <f>IF(91&lt;DeliverStart,0,MIN(TotalUnits,(91-DeliverStart+1)*UnitsDeliveredPerMo))</f>
        <v/>
      </c>
      <c r="CQ7" s="17">
        <f>IF(92&lt;DeliverStart,0,MIN(TotalUnits,(92-DeliverStart+1)*UnitsDeliveredPerMo))</f>
        <v/>
      </c>
      <c r="CR7" s="17">
        <f>IF(93&lt;DeliverStart,0,MIN(TotalUnits,(93-DeliverStart+1)*UnitsDeliveredPerMo))</f>
        <v/>
      </c>
      <c r="CS7" s="17">
        <f>IF(94&lt;DeliverStart,0,MIN(TotalUnits,(94-DeliverStart+1)*UnitsDeliveredPerMo))</f>
        <v/>
      </c>
      <c r="CT7" s="17">
        <f>IF(95&lt;DeliverStart,0,MIN(TotalUnits,(95-DeliverStart+1)*UnitsDeliveredPerMo))</f>
        <v/>
      </c>
      <c r="CU7" s="17">
        <f>IF(96&lt;DeliverStart,0,MIN(TotalUnits,(96-DeliverStart+1)*UnitsDeliveredPerMo))</f>
        <v/>
      </c>
      <c r="CV7" s="17">
        <f>IF(97&lt;DeliverStart,0,MIN(TotalUnits,(97-DeliverStart+1)*UnitsDeliveredPerMo))</f>
        <v/>
      </c>
      <c r="CW7" s="17">
        <f>IF(98&lt;DeliverStart,0,MIN(TotalUnits,(98-DeliverStart+1)*UnitsDeliveredPerMo))</f>
        <v/>
      </c>
      <c r="CX7" s="17">
        <f>IF(99&lt;DeliverStart,0,MIN(TotalUnits,(99-DeliverStart+1)*UnitsDeliveredPerMo))</f>
        <v/>
      </c>
      <c r="CY7" s="17">
        <f>IF(100&lt;DeliverStart,0,MIN(TotalUnits,(100-DeliverStart+1)*UnitsDeliveredPerMo))</f>
        <v/>
      </c>
      <c r="CZ7" s="17">
        <f>IF(101&lt;DeliverStart,0,MIN(TotalUnits,(101-DeliverStart+1)*UnitsDeliveredPerMo))</f>
        <v/>
      </c>
      <c r="DA7" s="17">
        <f>IF(102&lt;DeliverStart,0,MIN(TotalUnits,(102-DeliverStart+1)*UnitsDeliveredPerMo))</f>
        <v/>
      </c>
      <c r="DB7" s="17">
        <f>IF(103&lt;DeliverStart,0,MIN(TotalUnits,(103-DeliverStart+1)*UnitsDeliveredPerMo))</f>
        <v/>
      </c>
      <c r="DC7" s="17">
        <f>IF(104&lt;DeliverStart,0,MIN(TotalUnits,(104-DeliverStart+1)*UnitsDeliveredPerMo))</f>
        <v/>
      </c>
      <c r="DD7" s="17">
        <f>IF(105&lt;DeliverStart,0,MIN(TotalUnits,(105-DeliverStart+1)*UnitsDeliveredPerMo))</f>
        <v/>
      </c>
      <c r="DE7" s="17">
        <f>IF(106&lt;DeliverStart,0,MIN(TotalUnits,(106-DeliverStart+1)*UnitsDeliveredPerMo))</f>
        <v/>
      </c>
      <c r="DF7" s="17">
        <f>IF(107&lt;DeliverStart,0,MIN(TotalUnits,(107-DeliverStart+1)*UnitsDeliveredPerMo))</f>
        <v/>
      </c>
      <c r="DG7" s="17">
        <f>IF(108&lt;DeliverStart,0,MIN(TotalUnits,(108-DeliverStart+1)*UnitsDeliveredPerMo))</f>
        <v/>
      </c>
      <c r="DH7" s="17">
        <f>IF(109&lt;DeliverStart,0,MIN(TotalUnits,(109-DeliverStart+1)*UnitsDeliveredPerMo))</f>
        <v/>
      </c>
      <c r="DI7" s="17">
        <f>IF(110&lt;DeliverStart,0,MIN(TotalUnits,(110-DeliverStart+1)*UnitsDeliveredPerMo))</f>
        <v/>
      </c>
      <c r="DJ7" s="17">
        <f>IF(111&lt;DeliverStart,0,MIN(TotalUnits,(111-DeliverStart+1)*UnitsDeliveredPerMo))</f>
        <v/>
      </c>
      <c r="DK7" s="17">
        <f>IF(112&lt;DeliverStart,0,MIN(TotalUnits,(112-DeliverStart+1)*UnitsDeliveredPerMo))</f>
        <v/>
      </c>
      <c r="DL7" s="17">
        <f>IF(113&lt;DeliverStart,0,MIN(TotalUnits,(113-DeliverStart+1)*UnitsDeliveredPerMo))</f>
        <v/>
      </c>
      <c r="DM7" s="17">
        <f>IF(114&lt;DeliverStart,0,MIN(TotalUnits,(114-DeliverStart+1)*UnitsDeliveredPerMo))</f>
        <v/>
      </c>
      <c r="DN7" s="17">
        <f>IF(115&lt;DeliverStart,0,MIN(TotalUnits,(115-DeliverStart+1)*UnitsDeliveredPerMo))</f>
        <v/>
      </c>
      <c r="DO7" s="17">
        <f>IF(116&lt;DeliverStart,0,MIN(TotalUnits,(116-DeliverStart+1)*UnitsDeliveredPerMo))</f>
        <v/>
      </c>
      <c r="DP7" s="17">
        <f>IF(117&lt;DeliverStart,0,MIN(TotalUnits,(117-DeliverStart+1)*UnitsDeliveredPerMo))</f>
        <v/>
      </c>
      <c r="DQ7" s="17">
        <f>IF(118&lt;DeliverStart,0,MIN(TotalUnits,(118-DeliverStart+1)*UnitsDeliveredPerMo))</f>
        <v/>
      </c>
      <c r="DR7" s="17">
        <f>IF(119&lt;DeliverStart,0,MIN(TotalUnits,(119-DeliverStart+1)*UnitsDeliveredPerMo))</f>
        <v/>
      </c>
      <c r="DS7" s="17">
        <f>IF(120&lt;DeliverStart,0,MIN(TotalUnits,(120-DeliverStart+1)*UnitsDeliveredPerMo))</f>
        <v/>
      </c>
      <c r="DT7" s="17">
        <f>IF(121&lt;DeliverStart,0,MIN(TotalUnits,(121-DeliverStart+1)*UnitsDeliveredPerMo))</f>
        <v/>
      </c>
      <c r="DU7" s="17">
        <f>IF(122&lt;DeliverStart,0,MIN(TotalUnits,(122-DeliverStart+1)*UnitsDeliveredPerMo))</f>
        <v/>
      </c>
      <c r="DV7" s="17">
        <f>IF(123&lt;DeliverStart,0,MIN(TotalUnits,(123-DeliverStart+1)*UnitsDeliveredPerMo))</f>
        <v/>
      </c>
      <c r="DW7" s="17">
        <f>IF(124&lt;DeliverStart,0,MIN(TotalUnits,(124-DeliverStart+1)*UnitsDeliveredPerMo))</f>
        <v/>
      </c>
      <c r="DX7" s="17">
        <f>IF(125&lt;DeliverStart,0,MIN(TotalUnits,(125-DeliverStart+1)*UnitsDeliveredPerMo))</f>
        <v/>
      </c>
      <c r="DY7" s="17">
        <f>IF(126&lt;DeliverStart,0,MIN(TotalUnits,(126-DeliverStart+1)*UnitsDeliveredPerMo))</f>
        <v/>
      </c>
      <c r="DZ7" s="17">
        <f>IF(127&lt;DeliverStart,0,MIN(TotalUnits,(127-DeliverStart+1)*UnitsDeliveredPerMo))</f>
        <v/>
      </c>
      <c r="EA7" s="17">
        <f>IF(128&lt;DeliverStart,0,MIN(TotalUnits,(128-DeliverStart+1)*UnitsDeliveredPerMo))</f>
        <v/>
      </c>
      <c r="EB7" s="17">
        <f>IF(129&lt;DeliverStart,0,MIN(TotalUnits,(129-DeliverStart+1)*UnitsDeliveredPerMo))</f>
        <v/>
      </c>
      <c r="EC7" s="17">
        <f>IF(130&lt;DeliverStart,0,MIN(TotalUnits,(130-DeliverStart+1)*UnitsDeliveredPerMo))</f>
        <v/>
      </c>
      <c r="ED7" s="17">
        <f>IF(131&lt;DeliverStart,0,MIN(TotalUnits,(131-DeliverStart+1)*UnitsDeliveredPerMo))</f>
        <v/>
      </c>
      <c r="EE7" s="17">
        <f>IF(132&lt;DeliverStart,0,MIN(TotalUnits,(132-DeliverStart+1)*UnitsDeliveredPerMo))</f>
        <v/>
      </c>
      <c r="EF7" s="17">
        <f>IF(133&lt;DeliverStart,0,MIN(TotalUnits,(133-DeliverStart+1)*UnitsDeliveredPerMo))</f>
        <v/>
      </c>
      <c r="EG7" s="17">
        <f>IF(134&lt;DeliverStart,0,MIN(TotalUnits,(134-DeliverStart+1)*UnitsDeliveredPerMo))</f>
        <v/>
      </c>
      <c r="EH7" s="17">
        <f>IF(135&lt;DeliverStart,0,MIN(TotalUnits,(135-DeliverStart+1)*UnitsDeliveredPerMo))</f>
        <v/>
      </c>
      <c r="EI7" s="17">
        <f>IF(136&lt;DeliverStart,0,MIN(TotalUnits,(136-DeliverStart+1)*UnitsDeliveredPerMo))</f>
        <v/>
      </c>
      <c r="EJ7" s="17">
        <f>IF(137&lt;DeliverStart,0,MIN(TotalUnits,(137-DeliverStart+1)*UnitsDeliveredPerMo))</f>
        <v/>
      </c>
      <c r="EK7" s="17">
        <f>IF(138&lt;DeliverStart,0,MIN(TotalUnits,(138-DeliverStart+1)*UnitsDeliveredPerMo))</f>
        <v/>
      </c>
      <c r="EL7" s="17">
        <f>IF(139&lt;DeliverStart,0,MIN(TotalUnits,(139-DeliverStart+1)*UnitsDeliveredPerMo))</f>
        <v/>
      </c>
      <c r="EM7" s="17">
        <f>IF(140&lt;DeliverStart,0,MIN(TotalUnits,(140-DeliverStart+1)*UnitsDeliveredPerMo))</f>
        <v/>
      </c>
      <c r="EN7" s="17">
        <f>IF(141&lt;DeliverStart,0,MIN(TotalUnits,(141-DeliverStart+1)*UnitsDeliveredPerMo))</f>
        <v/>
      </c>
      <c r="EO7" s="17">
        <f>IF(142&lt;DeliverStart,0,MIN(TotalUnits,(142-DeliverStart+1)*UnitsDeliveredPerMo))</f>
        <v/>
      </c>
      <c r="EP7" s="17">
        <f>IF(143&lt;DeliverStart,0,MIN(TotalUnits,(143-DeliverStart+1)*UnitsDeliveredPerMo))</f>
        <v/>
      </c>
      <c r="EQ7" s="17">
        <f>IF(144&lt;DeliverStart,0,MIN(TotalUnits,(144-DeliverStart+1)*UnitsDeliveredPerMo))</f>
        <v/>
      </c>
      <c r="ER7" s="17">
        <f>IF(145&lt;DeliverStart,0,MIN(TotalUnits,(145-DeliverStart+1)*UnitsDeliveredPerMo))</f>
        <v/>
      </c>
      <c r="ES7" s="17">
        <f>IF(146&lt;DeliverStart,0,MIN(TotalUnits,(146-DeliverStart+1)*UnitsDeliveredPerMo))</f>
        <v/>
      </c>
      <c r="ET7" s="17">
        <f>IF(147&lt;DeliverStart,0,MIN(TotalUnits,(147-DeliverStart+1)*UnitsDeliveredPerMo))</f>
        <v/>
      </c>
      <c r="EU7" s="17">
        <f>IF(148&lt;DeliverStart,0,MIN(TotalUnits,(148-DeliverStart+1)*UnitsDeliveredPerMo))</f>
        <v/>
      </c>
      <c r="EV7" s="17">
        <f>IF(149&lt;DeliverStart,0,MIN(TotalUnits,(149-DeliverStart+1)*UnitsDeliveredPerMo))</f>
        <v/>
      </c>
      <c r="EW7" s="17">
        <f>IF(150&lt;DeliverStart,0,MIN(TotalUnits,(150-DeliverStart+1)*UnitsDeliveredPerMo))</f>
        <v/>
      </c>
      <c r="EX7" s="17">
        <f>IF(151&lt;DeliverStart,0,MIN(TotalUnits,(151-DeliverStart+1)*UnitsDeliveredPerMo))</f>
        <v/>
      </c>
      <c r="EY7" s="17">
        <f>IF(152&lt;DeliverStart,0,MIN(TotalUnits,(152-DeliverStart+1)*UnitsDeliveredPerMo))</f>
        <v/>
      </c>
      <c r="EZ7" s="17">
        <f>IF(153&lt;DeliverStart,0,MIN(TotalUnits,(153-DeliverStart+1)*UnitsDeliveredPerMo))</f>
        <v/>
      </c>
      <c r="FA7" s="17">
        <f>IF(154&lt;DeliverStart,0,MIN(TotalUnits,(154-DeliverStart+1)*UnitsDeliveredPerMo))</f>
        <v/>
      </c>
      <c r="FB7" s="17">
        <f>IF(155&lt;DeliverStart,0,MIN(TotalUnits,(155-DeliverStart+1)*UnitsDeliveredPerMo))</f>
        <v/>
      </c>
      <c r="FC7" s="17">
        <f>IF(156&lt;DeliverStart,0,MIN(TotalUnits,(156-DeliverStart+1)*UnitsDeliveredPerMo))</f>
        <v/>
      </c>
      <c r="FD7" s="17">
        <f>IF(157&lt;DeliverStart,0,MIN(TotalUnits,(157-DeliverStart+1)*UnitsDeliveredPerMo))</f>
        <v/>
      </c>
      <c r="FE7" s="17">
        <f>IF(158&lt;DeliverStart,0,MIN(TotalUnits,(158-DeliverStart+1)*UnitsDeliveredPerMo))</f>
        <v/>
      </c>
      <c r="FF7" s="17">
        <f>IF(159&lt;DeliverStart,0,MIN(TotalUnits,(159-DeliverStart+1)*UnitsDeliveredPerMo))</f>
        <v/>
      </c>
      <c r="FG7" s="17">
        <f>IF(160&lt;DeliverStart,0,MIN(TotalUnits,(160-DeliverStart+1)*UnitsDeliveredPerMo))</f>
        <v/>
      </c>
      <c r="FH7" s="17">
        <f>IF(161&lt;DeliverStart,0,MIN(TotalUnits,(161-DeliverStart+1)*UnitsDeliveredPerMo))</f>
        <v/>
      </c>
      <c r="FI7" s="17">
        <f>IF(162&lt;DeliverStart,0,MIN(TotalUnits,(162-DeliverStart+1)*UnitsDeliveredPerMo))</f>
        <v/>
      </c>
      <c r="FJ7" s="17">
        <f>IF(163&lt;DeliverStart,0,MIN(TotalUnits,(163-DeliverStart+1)*UnitsDeliveredPerMo))</f>
        <v/>
      </c>
      <c r="FK7" s="17">
        <f>IF(164&lt;DeliverStart,0,MIN(TotalUnits,(164-DeliverStart+1)*UnitsDeliveredPerMo))</f>
        <v/>
      </c>
      <c r="FL7" s="17">
        <f>IF(165&lt;DeliverStart,0,MIN(TotalUnits,(165-DeliverStart+1)*UnitsDeliveredPerMo))</f>
        <v/>
      </c>
      <c r="FM7" s="17">
        <f>IF(166&lt;DeliverStart,0,MIN(TotalUnits,(166-DeliverStart+1)*UnitsDeliveredPerMo))</f>
        <v/>
      </c>
      <c r="FN7" s="17">
        <f>IF(167&lt;DeliverStart,0,MIN(TotalUnits,(167-DeliverStart+1)*UnitsDeliveredPerMo))</f>
        <v/>
      </c>
      <c r="FO7" s="17">
        <f>IF(168&lt;DeliverStart,0,MIN(TotalUnits,(168-DeliverStart+1)*UnitsDeliveredPerMo))</f>
        <v/>
      </c>
      <c r="FP7" s="17">
        <f>IF(169&lt;DeliverStart,0,MIN(TotalUnits,(169-DeliverStart+1)*UnitsDeliveredPerMo))</f>
        <v/>
      </c>
      <c r="FQ7" s="17">
        <f>IF(170&lt;DeliverStart,0,MIN(TotalUnits,(170-DeliverStart+1)*UnitsDeliveredPerMo))</f>
        <v/>
      </c>
      <c r="FR7" s="17">
        <f>IF(171&lt;DeliverStart,0,MIN(TotalUnits,(171-DeliverStart+1)*UnitsDeliveredPerMo))</f>
        <v/>
      </c>
      <c r="FS7" s="17">
        <f>IF(172&lt;DeliverStart,0,MIN(TotalUnits,(172-DeliverStart+1)*UnitsDeliveredPerMo))</f>
        <v/>
      </c>
      <c r="FT7" s="17">
        <f>IF(173&lt;DeliverStart,0,MIN(TotalUnits,(173-DeliverStart+1)*UnitsDeliveredPerMo))</f>
        <v/>
      </c>
      <c r="FU7" s="17">
        <f>IF(174&lt;DeliverStart,0,MIN(TotalUnits,(174-DeliverStart+1)*UnitsDeliveredPerMo))</f>
        <v/>
      </c>
      <c r="FV7" s="17">
        <f>IF(175&lt;DeliverStart,0,MIN(TotalUnits,(175-DeliverStart+1)*UnitsDeliveredPerMo))</f>
        <v/>
      </c>
      <c r="FW7" s="17">
        <f>IF(176&lt;DeliverStart,0,MIN(TotalUnits,(176-DeliverStart+1)*UnitsDeliveredPerMo))</f>
        <v/>
      </c>
      <c r="FX7" s="17">
        <f>IF(177&lt;DeliverStart,0,MIN(TotalUnits,(177-DeliverStart+1)*UnitsDeliveredPerMo))</f>
        <v/>
      </c>
      <c r="FY7" s="17">
        <f>IF(178&lt;DeliverStart,0,MIN(TotalUnits,(178-DeliverStart+1)*UnitsDeliveredPerMo))</f>
        <v/>
      </c>
      <c r="FZ7" s="17">
        <f>IF(179&lt;DeliverStart,0,MIN(TotalUnits,(179-DeliverStart+1)*UnitsDeliveredPerMo))</f>
        <v/>
      </c>
      <c r="GA7" s="17">
        <f>IF(180&lt;DeliverStart,0,MIN(TotalUnits,(180-DeliverStart+1)*UnitsDeliveredPerMo))</f>
        <v/>
      </c>
      <c r="GB7" s="17">
        <f>IF(181&lt;DeliverStart,0,MIN(TotalUnits,(181-DeliverStart+1)*UnitsDeliveredPerMo))</f>
        <v/>
      </c>
      <c r="GC7" s="17">
        <f>IF(182&lt;DeliverStart,0,MIN(TotalUnits,(182-DeliverStart+1)*UnitsDeliveredPerMo))</f>
        <v/>
      </c>
      <c r="GD7" s="17">
        <f>IF(183&lt;DeliverStart,0,MIN(TotalUnits,(183-DeliverStart+1)*UnitsDeliveredPerMo))</f>
        <v/>
      </c>
      <c r="GE7" s="17">
        <f>IF(184&lt;DeliverStart,0,MIN(TotalUnits,(184-DeliverStart+1)*UnitsDeliveredPerMo))</f>
        <v/>
      </c>
      <c r="GF7" s="17">
        <f>IF(185&lt;DeliverStart,0,MIN(TotalUnits,(185-DeliverStart+1)*UnitsDeliveredPerMo))</f>
        <v/>
      </c>
      <c r="GG7" s="17">
        <f>IF(186&lt;DeliverStart,0,MIN(TotalUnits,(186-DeliverStart+1)*UnitsDeliveredPerMo))</f>
        <v/>
      </c>
      <c r="GH7" s="17">
        <f>IF(187&lt;DeliverStart,0,MIN(TotalUnits,(187-DeliverStart+1)*UnitsDeliveredPerMo))</f>
        <v/>
      </c>
      <c r="GI7" s="17">
        <f>IF(188&lt;DeliverStart,0,MIN(TotalUnits,(188-DeliverStart+1)*UnitsDeliveredPerMo))</f>
        <v/>
      </c>
      <c r="GJ7" s="17">
        <f>IF(189&lt;DeliverStart,0,MIN(TotalUnits,(189-DeliverStart+1)*UnitsDeliveredPerMo))</f>
        <v/>
      </c>
      <c r="GK7" s="17">
        <f>IF(190&lt;DeliverStart,0,MIN(TotalUnits,(190-DeliverStart+1)*UnitsDeliveredPerMo))</f>
        <v/>
      </c>
      <c r="GL7" s="17">
        <f>IF(191&lt;DeliverStart,0,MIN(TotalUnits,(191-DeliverStart+1)*UnitsDeliveredPerMo))</f>
        <v/>
      </c>
      <c r="GM7" s="17">
        <f>IF(192&lt;DeliverStart,0,MIN(TotalUnits,(192-DeliverStart+1)*UnitsDeliveredPerMo))</f>
        <v/>
      </c>
      <c r="GN7" s="17">
        <f>IF(193&lt;DeliverStart,0,MIN(TotalUnits,(193-DeliverStart+1)*UnitsDeliveredPerMo))</f>
        <v/>
      </c>
      <c r="GO7" s="17">
        <f>IF(194&lt;DeliverStart,0,MIN(TotalUnits,(194-DeliverStart+1)*UnitsDeliveredPerMo))</f>
        <v/>
      </c>
      <c r="GP7" s="17">
        <f>IF(195&lt;DeliverStart,0,MIN(TotalUnits,(195-DeliverStart+1)*UnitsDeliveredPerMo))</f>
        <v/>
      </c>
      <c r="GQ7" s="17">
        <f>IF(196&lt;DeliverStart,0,MIN(TotalUnits,(196-DeliverStart+1)*UnitsDeliveredPerMo))</f>
        <v/>
      </c>
      <c r="GR7" s="17">
        <f>IF(197&lt;DeliverStart,0,MIN(TotalUnits,(197-DeliverStart+1)*UnitsDeliveredPerMo))</f>
        <v/>
      </c>
      <c r="GS7" s="17">
        <f>IF(198&lt;DeliverStart,0,MIN(TotalUnits,(198-DeliverStart+1)*UnitsDeliveredPerMo))</f>
        <v/>
      </c>
      <c r="GT7" s="17">
        <f>IF(199&lt;DeliverStart,0,MIN(TotalUnits,(199-DeliverStart+1)*UnitsDeliveredPerMo))</f>
        <v/>
      </c>
      <c r="GU7" s="17">
        <f>IF(200&lt;DeliverStart,0,MIN(TotalUnits,(200-DeliverStart+1)*UnitsDeliveredPerMo))</f>
        <v/>
      </c>
      <c r="GV7" s="17">
        <f>IF(201&lt;DeliverStart,0,MIN(TotalUnits,(201-DeliverStart+1)*UnitsDeliveredPerMo))</f>
        <v/>
      </c>
      <c r="GW7" s="17">
        <f>IF(202&lt;DeliverStart,0,MIN(TotalUnits,(202-DeliverStart+1)*UnitsDeliveredPerMo))</f>
        <v/>
      </c>
      <c r="GX7" s="17">
        <f>IF(203&lt;DeliverStart,0,MIN(TotalUnits,(203-DeliverStart+1)*UnitsDeliveredPerMo))</f>
        <v/>
      </c>
      <c r="GY7" s="17">
        <f>IF(204&lt;DeliverStart,0,MIN(TotalUnits,(204-DeliverStart+1)*UnitsDeliveredPerMo))</f>
        <v/>
      </c>
      <c r="GZ7" s="17">
        <f>IF(205&lt;DeliverStart,0,MIN(TotalUnits,(205-DeliverStart+1)*UnitsDeliveredPerMo))</f>
        <v/>
      </c>
      <c r="HA7" s="17">
        <f>IF(206&lt;DeliverStart,0,MIN(TotalUnits,(206-DeliverStart+1)*UnitsDeliveredPerMo))</f>
        <v/>
      </c>
      <c r="HB7" s="17">
        <f>IF(207&lt;DeliverStart,0,MIN(TotalUnits,(207-DeliverStart+1)*UnitsDeliveredPerMo))</f>
        <v/>
      </c>
      <c r="HC7" s="17">
        <f>IF(208&lt;DeliverStart,0,MIN(TotalUnits,(208-DeliverStart+1)*UnitsDeliveredPerMo))</f>
        <v/>
      </c>
      <c r="HD7" s="17">
        <f>IF(209&lt;DeliverStart,0,MIN(TotalUnits,(209-DeliverStart+1)*UnitsDeliveredPerMo))</f>
        <v/>
      </c>
      <c r="HE7" s="17">
        <f>IF(210&lt;DeliverStart,0,MIN(TotalUnits,(210-DeliverStart+1)*UnitsDeliveredPerMo))</f>
        <v/>
      </c>
      <c r="HF7" s="17">
        <f>IF(211&lt;DeliverStart,0,MIN(TotalUnits,(211-DeliverStart+1)*UnitsDeliveredPerMo))</f>
        <v/>
      </c>
      <c r="HG7" s="17">
        <f>IF(212&lt;DeliverStart,0,MIN(TotalUnits,(212-DeliverStart+1)*UnitsDeliveredPerMo))</f>
        <v/>
      </c>
      <c r="HH7" s="17">
        <f>IF(213&lt;DeliverStart,0,MIN(TotalUnits,(213-DeliverStart+1)*UnitsDeliveredPerMo))</f>
        <v/>
      </c>
      <c r="HI7" s="17">
        <f>IF(214&lt;DeliverStart,0,MIN(TotalUnits,(214-DeliverStart+1)*UnitsDeliveredPerMo))</f>
        <v/>
      </c>
      <c r="HJ7" s="17">
        <f>IF(215&lt;DeliverStart,0,MIN(TotalUnits,(215-DeliverStart+1)*UnitsDeliveredPerMo))</f>
        <v/>
      </c>
      <c r="HK7" s="17">
        <f>IF(216&lt;DeliverStart,0,MIN(TotalUnits,(216-DeliverStart+1)*UnitsDeliveredPerMo))</f>
        <v/>
      </c>
      <c r="HL7" s="17">
        <f>IF(217&lt;DeliverStart,0,MIN(TotalUnits,(217-DeliverStart+1)*UnitsDeliveredPerMo))</f>
        <v/>
      </c>
      <c r="HM7" s="17">
        <f>IF(218&lt;DeliverStart,0,MIN(TotalUnits,(218-DeliverStart+1)*UnitsDeliveredPerMo))</f>
        <v/>
      </c>
      <c r="HN7" s="17">
        <f>IF(219&lt;DeliverStart,0,MIN(TotalUnits,(219-DeliverStart+1)*UnitsDeliveredPerMo))</f>
        <v/>
      </c>
      <c r="HO7" s="17">
        <f>IF(220&lt;DeliverStart,0,MIN(TotalUnits,(220-DeliverStart+1)*UnitsDeliveredPerMo))</f>
        <v/>
      </c>
      <c r="HP7" s="17">
        <f>IF(221&lt;DeliverStart,0,MIN(TotalUnits,(221-DeliverStart+1)*UnitsDeliveredPerMo))</f>
        <v/>
      </c>
      <c r="HQ7" s="17">
        <f>IF(222&lt;DeliverStart,0,MIN(TotalUnits,(222-DeliverStart+1)*UnitsDeliveredPerMo))</f>
        <v/>
      </c>
      <c r="HR7" s="17">
        <f>IF(223&lt;DeliverStart,0,MIN(TotalUnits,(223-DeliverStart+1)*UnitsDeliveredPerMo))</f>
        <v/>
      </c>
      <c r="HS7" s="17">
        <f>IF(224&lt;DeliverStart,0,MIN(TotalUnits,(224-DeliverStart+1)*UnitsDeliveredPerMo))</f>
        <v/>
      </c>
      <c r="HT7" s="17">
        <f>IF(225&lt;DeliverStart,0,MIN(TotalUnits,(225-DeliverStart+1)*UnitsDeliveredPerMo))</f>
        <v/>
      </c>
      <c r="HU7" s="17">
        <f>IF(226&lt;DeliverStart,0,MIN(TotalUnits,(226-DeliverStart+1)*UnitsDeliveredPerMo))</f>
        <v/>
      </c>
      <c r="HV7" s="17">
        <f>IF(227&lt;DeliverStart,0,MIN(TotalUnits,(227-DeliverStart+1)*UnitsDeliveredPerMo))</f>
        <v/>
      </c>
      <c r="HW7" s="17">
        <f>IF(228&lt;DeliverStart,0,MIN(TotalUnits,(228-DeliverStart+1)*UnitsDeliveredPerMo))</f>
        <v/>
      </c>
      <c r="HX7" s="17">
        <f>IF(229&lt;DeliverStart,0,MIN(TotalUnits,(229-DeliverStart+1)*UnitsDeliveredPerMo))</f>
        <v/>
      </c>
      <c r="HY7" s="17">
        <f>IF(230&lt;DeliverStart,0,MIN(TotalUnits,(230-DeliverStart+1)*UnitsDeliveredPerMo))</f>
        <v/>
      </c>
      <c r="HZ7" s="17">
        <f>IF(231&lt;DeliverStart,0,MIN(TotalUnits,(231-DeliverStart+1)*UnitsDeliveredPerMo))</f>
        <v/>
      </c>
      <c r="IA7" s="17">
        <f>IF(232&lt;DeliverStart,0,MIN(TotalUnits,(232-DeliverStart+1)*UnitsDeliveredPerMo))</f>
        <v/>
      </c>
      <c r="IB7" s="17">
        <f>IF(233&lt;DeliverStart,0,MIN(TotalUnits,(233-DeliverStart+1)*UnitsDeliveredPerMo))</f>
        <v/>
      </c>
      <c r="IC7" s="17">
        <f>IF(234&lt;DeliverStart,0,MIN(TotalUnits,(234-DeliverStart+1)*UnitsDeliveredPerMo))</f>
        <v/>
      </c>
      <c r="ID7" s="17">
        <f>IF(235&lt;DeliverStart,0,MIN(TotalUnits,(235-DeliverStart+1)*UnitsDeliveredPerMo))</f>
        <v/>
      </c>
      <c r="IE7" s="17">
        <f>IF(236&lt;DeliverStart,0,MIN(TotalUnits,(236-DeliverStart+1)*UnitsDeliveredPerMo))</f>
        <v/>
      </c>
      <c r="IF7" s="17">
        <f>IF(237&lt;DeliverStart,0,MIN(TotalUnits,(237-DeliverStart+1)*UnitsDeliveredPerMo))</f>
        <v/>
      </c>
      <c r="IG7" s="17">
        <f>IF(238&lt;DeliverStart,0,MIN(TotalUnits,(238-DeliverStart+1)*UnitsDeliveredPerMo))</f>
        <v/>
      </c>
      <c r="IH7" s="17">
        <f>IF(239&lt;DeliverStart,0,MIN(TotalUnits,(239-DeliverStart+1)*UnitsDeliveredPerMo))</f>
        <v/>
      </c>
      <c r="II7" s="17">
        <f>IF(240&lt;DeliverStart,0,MIN(TotalUnits,(240-DeliverStart+1)*UnitsDeliveredPerMo))</f>
        <v/>
      </c>
      <c r="IJ7" s="17">
        <f>IF(241&lt;DeliverStart,0,MIN(TotalUnits,(241-DeliverStart+1)*UnitsDeliveredPerMo))</f>
        <v/>
      </c>
      <c r="IK7" s="17">
        <f>IF(242&lt;DeliverStart,0,MIN(TotalUnits,(242-DeliverStart+1)*UnitsDeliveredPerMo))</f>
        <v/>
      </c>
      <c r="IL7" s="17">
        <f>IF(243&lt;DeliverStart,0,MIN(TotalUnits,(243-DeliverStart+1)*UnitsDeliveredPerMo))</f>
        <v/>
      </c>
      <c r="IM7" s="17">
        <f>IF(244&lt;DeliverStart,0,MIN(TotalUnits,(244-DeliverStart+1)*UnitsDeliveredPerMo))</f>
        <v/>
      </c>
      <c r="IN7" s="17">
        <f>IF(245&lt;DeliverStart,0,MIN(TotalUnits,(245-DeliverStart+1)*UnitsDeliveredPerMo))</f>
        <v/>
      </c>
      <c r="IO7" s="17">
        <f>IF(246&lt;DeliverStart,0,MIN(TotalUnits,(246-DeliverStart+1)*UnitsDeliveredPerMo))</f>
        <v/>
      </c>
      <c r="IP7" s="17">
        <f>IF(247&lt;DeliverStart,0,MIN(TotalUnits,(247-DeliverStart+1)*UnitsDeliveredPerMo))</f>
        <v/>
      </c>
      <c r="IQ7" s="17">
        <f>IF(248&lt;DeliverStart,0,MIN(TotalUnits,(248-DeliverStart+1)*UnitsDeliveredPerMo))</f>
        <v/>
      </c>
      <c r="IR7" s="17">
        <f>IF(249&lt;DeliverStart,0,MIN(TotalUnits,(249-DeliverStart+1)*UnitsDeliveredPerMo))</f>
        <v/>
      </c>
      <c r="IS7" s="17">
        <f>IF(250&lt;DeliverStart,0,MIN(TotalUnits,(250-DeliverStart+1)*UnitsDeliveredPerMo))</f>
        <v/>
      </c>
      <c r="IT7" s="17">
        <f>IF(251&lt;DeliverStart,0,MIN(TotalUnits,(251-DeliverStart+1)*UnitsDeliveredPerMo))</f>
        <v/>
      </c>
      <c r="IU7" s="17">
        <f>IF(252&lt;DeliverStart,0,MIN(TotalUnits,(252-DeliverStart+1)*UnitsDeliveredPerMo))</f>
        <v/>
      </c>
      <c r="IV7" s="17">
        <f>IF(253&lt;DeliverStart,0,MIN(TotalUnits,(253-DeliverStart+1)*UnitsDeliveredPerMo))</f>
        <v/>
      </c>
      <c r="IW7" s="17">
        <f>IF(254&lt;DeliverStart,0,MIN(TotalUnits,(254-DeliverStart+1)*UnitsDeliveredPerMo))</f>
        <v/>
      </c>
      <c r="IX7" s="17">
        <f>IF(255&lt;DeliverStart,0,MIN(TotalUnits,(255-DeliverStart+1)*UnitsDeliveredPerMo))</f>
        <v/>
      </c>
      <c r="IY7" s="17">
        <f>IF(256&lt;DeliverStart,0,MIN(TotalUnits,(256-DeliverStart+1)*UnitsDeliveredPerMo))</f>
        <v/>
      </c>
      <c r="IZ7" s="17">
        <f>IF(257&lt;DeliverStart,0,MIN(TotalUnits,(257-DeliverStart+1)*UnitsDeliveredPerMo))</f>
        <v/>
      </c>
      <c r="JA7" s="17">
        <f>IF(258&lt;DeliverStart,0,MIN(TotalUnits,(258-DeliverStart+1)*UnitsDeliveredPerMo))</f>
        <v/>
      </c>
      <c r="JB7" s="17">
        <f>IF(259&lt;DeliverStart,0,MIN(TotalUnits,(259-DeliverStart+1)*UnitsDeliveredPerMo))</f>
        <v/>
      </c>
      <c r="JC7" s="17">
        <f>IF(260&lt;DeliverStart,0,MIN(TotalUnits,(260-DeliverStart+1)*UnitsDeliveredPerMo))</f>
        <v/>
      </c>
      <c r="JD7" s="17">
        <f>IF(261&lt;DeliverStart,0,MIN(TotalUnits,(261-DeliverStart+1)*UnitsDeliveredPerMo))</f>
        <v/>
      </c>
      <c r="JE7" s="17">
        <f>IF(262&lt;DeliverStart,0,MIN(TotalUnits,(262-DeliverStart+1)*UnitsDeliveredPerMo))</f>
        <v/>
      </c>
      <c r="JF7" s="17">
        <f>IF(263&lt;DeliverStart,0,MIN(TotalUnits,(263-DeliverStart+1)*UnitsDeliveredPerMo))</f>
        <v/>
      </c>
      <c r="JG7" s="17">
        <f>IF(264&lt;DeliverStart,0,MIN(TotalUnits,(264-DeliverStart+1)*UnitsDeliveredPerMo))</f>
        <v/>
      </c>
      <c r="JH7" s="17">
        <f>IF(265&lt;DeliverStart,0,MIN(TotalUnits,(265-DeliverStart+1)*UnitsDeliveredPerMo))</f>
        <v/>
      </c>
      <c r="JI7" s="17">
        <f>IF(266&lt;DeliverStart,0,MIN(TotalUnits,(266-DeliverStart+1)*UnitsDeliveredPerMo))</f>
        <v/>
      </c>
      <c r="JJ7" s="17">
        <f>IF(267&lt;DeliverStart,0,MIN(TotalUnits,(267-DeliverStart+1)*UnitsDeliveredPerMo))</f>
        <v/>
      </c>
      <c r="JK7" s="17">
        <f>IF(268&lt;DeliverStart,0,MIN(TotalUnits,(268-DeliverStart+1)*UnitsDeliveredPerMo))</f>
        <v/>
      </c>
      <c r="JL7" s="17">
        <f>IF(269&lt;DeliverStart,0,MIN(TotalUnits,(269-DeliverStart+1)*UnitsDeliveredPerMo))</f>
        <v/>
      </c>
      <c r="JM7" s="17">
        <f>IF(270&lt;DeliverStart,0,MIN(TotalUnits,(270-DeliverStart+1)*UnitsDeliveredPerMo))</f>
        <v/>
      </c>
      <c r="JN7" s="17">
        <f>IF(271&lt;DeliverStart,0,MIN(TotalUnits,(271-DeliverStart+1)*UnitsDeliveredPerMo))</f>
        <v/>
      </c>
      <c r="JO7" s="17">
        <f>IF(272&lt;DeliverStart,0,MIN(TotalUnits,(272-DeliverStart+1)*UnitsDeliveredPerMo))</f>
        <v/>
      </c>
      <c r="JP7" s="17">
        <f>IF(273&lt;DeliverStart,0,MIN(TotalUnits,(273-DeliverStart+1)*UnitsDeliveredPerMo))</f>
        <v/>
      </c>
      <c r="JQ7" s="17">
        <f>IF(274&lt;DeliverStart,0,MIN(TotalUnits,(274-DeliverStart+1)*UnitsDeliveredPerMo))</f>
        <v/>
      </c>
      <c r="JR7" s="17">
        <f>IF(275&lt;DeliverStart,0,MIN(TotalUnits,(275-DeliverStart+1)*UnitsDeliveredPerMo))</f>
        <v/>
      </c>
      <c r="JS7" s="17">
        <f>IF(276&lt;DeliverStart,0,MIN(TotalUnits,(276-DeliverStart+1)*UnitsDeliveredPerMo))</f>
        <v/>
      </c>
      <c r="JT7" s="17">
        <f>IF(277&lt;DeliverStart,0,MIN(TotalUnits,(277-DeliverStart+1)*UnitsDeliveredPerMo))</f>
        <v/>
      </c>
      <c r="JU7" s="17">
        <f>IF(278&lt;DeliverStart,0,MIN(TotalUnits,(278-DeliverStart+1)*UnitsDeliveredPerMo))</f>
        <v/>
      </c>
      <c r="JV7" s="17">
        <f>IF(279&lt;DeliverStart,0,MIN(TotalUnits,(279-DeliverStart+1)*UnitsDeliveredPerMo))</f>
        <v/>
      </c>
      <c r="JW7" s="17">
        <f>IF(280&lt;DeliverStart,0,MIN(TotalUnits,(280-DeliverStart+1)*UnitsDeliveredPerMo))</f>
        <v/>
      </c>
      <c r="JX7" s="17">
        <f>IF(281&lt;DeliverStart,0,MIN(TotalUnits,(281-DeliverStart+1)*UnitsDeliveredPerMo))</f>
        <v/>
      </c>
      <c r="JY7" s="17">
        <f>IF(282&lt;DeliverStart,0,MIN(TotalUnits,(282-DeliverStart+1)*UnitsDeliveredPerMo))</f>
        <v/>
      </c>
      <c r="JZ7" s="17">
        <f>IF(283&lt;DeliverStart,0,MIN(TotalUnits,(283-DeliverStart+1)*UnitsDeliveredPerMo))</f>
        <v/>
      </c>
      <c r="KA7" s="17">
        <f>IF(284&lt;DeliverStart,0,MIN(TotalUnits,(284-DeliverStart+1)*UnitsDeliveredPerMo))</f>
        <v/>
      </c>
      <c r="KB7" s="17">
        <f>IF(285&lt;DeliverStart,0,MIN(TotalUnits,(285-DeliverStart+1)*UnitsDeliveredPerMo))</f>
        <v/>
      </c>
      <c r="KC7" s="17">
        <f>IF(286&lt;DeliverStart,0,MIN(TotalUnits,(286-DeliverStart+1)*UnitsDeliveredPerMo))</f>
        <v/>
      </c>
      <c r="KD7" s="17">
        <f>IF(287&lt;DeliverStart,0,MIN(TotalUnits,(287-DeliverStart+1)*UnitsDeliveredPerMo))</f>
        <v/>
      </c>
      <c r="KE7" s="17">
        <f>IF(288&lt;DeliverStart,0,MIN(TotalUnits,(288-DeliverStart+1)*UnitsDeliveredPerMo))</f>
        <v/>
      </c>
      <c r="KF7" s="17">
        <f>IF(289&lt;DeliverStart,0,MIN(TotalUnits,(289-DeliverStart+1)*UnitsDeliveredPerMo))</f>
        <v/>
      </c>
      <c r="KG7" s="17">
        <f>IF(290&lt;DeliverStart,0,MIN(TotalUnits,(290-DeliverStart+1)*UnitsDeliveredPerMo))</f>
        <v/>
      </c>
      <c r="KH7" s="17">
        <f>IF(291&lt;DeliverStart,0,MIN(TotalUnits,(291-DeliverStart+1)*UnitsDeliveredPerMo))</f>
        <v/>
      </c>
      <c r="KI7" s="17">
        <f>IF(292&lt;DeliverStart,0,MIN(TotalUnits,(292-DeliverStart+1)*UnitsDeliveredPerMo))</f>
        <v/>
      </c>
      <c r="KJ7" s="17">
        <f>IF(293&lt;DeliverStart,0,MIN(TotalUnits,(293-DeliverStart+1)*UnitsDeliveredPerMo))</f>
        <v/>
      </c>
      <c r="KK7" s="17">
        <f>IF(294&lt;DeliverStart,0,MIN(TotalUnits,(294-DeliverStart+1)*UnitsDeliveredPerMo))</f>
        <v/>
      </c>
      <c r="KL7" s="17">
        <f>IF(295&lt;DeliverStart,0,MIN(TotalUnits,(295-DeliverStart+1)*UnitsDeliveredPerMo))</f>
        <v/>
      </c>
      <c r="KM7" s="17">
        <f>IF(296&lt;DeliverStart,0,MIN(TotalUnits,(296-DeliverStart+1)*UnitsDeliveredPerMo))</f>
        <v/>
      </c>
      <c r="KN7" s="17">
        <f>IF(297&lt;DeliverStart,0,MIN(TotalUnits,(297-DeliverStart+1)*UnitsDeliveredPerMo))</f>
        <v/>
      </c>
      <c r="KO7" s="17">
        <f>IF(298&lt;DeliverStart,0,MIN(TotalUnits,(298-DeliverStart+1)*UnitsDeliveredPerMo))</f>
        <v/>
      </c>
      <c r="KP7" s="17">
        <f>IF(299&lt;DeliverStart,0,MIN(TotalUnits,(299-DeliverStart+1)*UnitsDeliveredPerMo))</f>
        <v/>
      </c>
      <c r="KQ7" s="17">
        <f>IF(300&lt;DeliverStart,0,MIN(TotalUnits,(300-DeliverStart+1)*UnitsDeliveredPerMo))</f>
        <v/>
      </c>
      <c r="KR7" s="17">
        <f>IF(301&lt;DeliverStart,0,MIN(TotalUnits,(301-DeliverStart+1)*UnitsDeliveredPerMo))</f>
        <v/>
      </c>
      <c r="KS7" s="17">
        <f>IF(302&lt;DeliverStart,0,MIN(TotalUnits,(302-DeliverStart+1)*UnitsDeliveredPerMo))</f>
        <v/>
      </c>
      <c r="KT7" s="17">
        <f>IF(303&lt;DeliverStart,0,MIN(TotalUnits,(303-DeliverStart+1)*UnitsDeliveredPerMo))</f>
        <v/>
      </c>
      <c r="KU7" s="17">
        <f>IF(304&lt;DeliverStart,0,MIN(TotalUnits,(304-DeliverStart+1)*UnitsDeliveredPerMo))</f>
        <v/>
      </c>
      <c r="KV7" s="17">
        <f>IF(305&lt;DeliverStart,0,MIN(TotalUnits,(305-DeliverStart+1)*UnitsDeliveredPerMo))</f>
        <v/>
      </c>
      <c r="KW7" s="17">
        <f>IF(306&lt;DeliverStart,0,MIN(TotalUnits,(306-DeliverStart+1)*UnitsDeliveredPerMo))</f>
        <v/>
      </c>
      <c r="KX7" s="17">
        <f>IF(307&lt;DeliverStart,0,MIN(TotalUnits,(307-DeliverStart+1)*UnitsDeliveredPerMo))</f>
        <v/>
      </c>
      <c r="KY7" s="17">
        <f>IF(308&lt;DeliverStart,0,MIN(TotalUnits,(308-DeliverStart+1)*UnitsDeliveredPerMo))</f>
        <v/>
      </c>
      <c r="KZ7" s="17">
        <f>IF(309&lt;DeliverStart,0,MIN(TotalUnits,(309-DeliverStart+1)*UnitsDeliveredPerMo))</f>
        <v/>
      </c>
      <c r="LA7" s="17">
        <f>IF(310&lt;DeliverStart,0,MIN(TotalUnits,(310-DeliverStart+1)*UnitsDeliveredPerMo))</f>
        <v/>
      </c>
      <c r="LB7" s="17">
        <f>IF(311&lt;DeliverStart,0,MIN(TotalUnits,(311-DeliverStart+1)*UnitsDeliveredPerMo))</f>
        <v/>
      </c>
      <c r="LC7" s="17">
        <f>IF(312&lt;DeliverStart,0,MIN(TotalUnits,(312-DeliverStart+1)*UnitsDeliveredPerMo))</f>
        <v/>
      </c>
      <c r="LD7" s="17">
        <f>IF(313&lt;DeliverStart,0,MIN(TotalUnits,(313-DeliverStart+1)*UnitsDeliveredPerMo))</f>
        <v/>
      </c>
      <c r="LE7" s="17">
        <f>IF(314&lt;DeliverStart,0,MIN(TotalUnits,(314-DeliverStart+1)*UnitsDeliveredPerMo))</f>
        <v/>
      </c>
      <c r="LF7" s="17">
        <f>IF(315&lt;DeliverStart,0,MIN(TotalUnits,(315-DeliverStart+1)*UnitsDeliveredPerMo))</f>
        <v/>
      </c>
      <c r="LG7" s="17">
        <f>IF(316&lt;DeliverStart,0,MIN(TotalUnits,(316-DeliverStart+1)*UnitsDeliveredPerMo))</f>
        <v/>
      </c>
      <c r="LH7" s="17">
        <f>IF(317&lt;DeliverStart,0,MIN(TotalUnits,(317-DeliverStart+1)*UnitsDeliveredPerMo))</f>
        <v/>
      </c>
      <c r="LI7" s="17">
        <f>IF(318&lt;DeliverStart,0,MIN(TotalUnits,(318-DeliverStart+1)*UnitsDeliveredPerMo))</f>
        <v/>
      </c>
      <c r="LJ7" s="17">
        <f>IF(319&lt;DeliverStart,0,MIN(TotalUnits,(319-DeliverStart+1)*UnitsDeliveredPerMo))</f>
        <v/>
      </c>
      <c r="LK7" s="17">
        <f>IF(320&lt;DeliverStart,0,MIN(TotalUnits,(320-DeliverStart+1)*UnitsDeliveredPerMo))</f>
        <v/>
      </c>
      <c r="LL7" s="17">
        <f>IF(321&lt;DeliverStart,0,MIN(TotalUnits,(321-DeliverStart+1)*UnitsDeliveredPerMo))</f>
        <v/>
      </c>
      <c r="LM7" s="17">
        <f>IF(322&lt;DeliverStart,0,MIN(TotalUnits,(322-DeliverStart+1)*UnitsDeliveredPerMo))</f>
        <v/>
      </c>
      <c r="LN7" s="17">
        <f>IF(323&lt;DeliverStart,0,MIN(TotalUnits,(323-DeliverStart+1)*UnitsDeliveredPerMo))</f>
        <v/>
      </c>
      <c r="LO7" s="17">
        <f>IF(324&lt;DeliverStart,0,MIN(TotalUnits,(324-DeliverStart+1)*UnitsDeliveredPerMo))</f>
        <v/>
      </c>
      <c r="LP7" s="17">
        <f>IF(325&lt;DeliverStart,0,MIN(TotalUnits,(325-DeliverStart+1)*UnitsDeliveredPerMo))</f>
        <v/>
      </c>
      <c r="LQ7" s="17">
        <f>IF(326&lt;DeliverStart,0,MIN(TotalUnits,(326-DeliverStart+1)*UnitsDeliveredPerMo))</f>
        <v/>
      </c>
      <c r="LR7" s="17">
        <f>IF(327&lt;DeliverStart,0,MIN(TotalUnits,(327-DeliverStart+1)*UnitsDeliveredPerMo))</f>
        <v/>
      </c>
      <c r="LS7" s="17">
        <f>IF(328&lt;DeliverStart,0,MIN(TotalUnits,(328-DeliverStart+1)*UnitsDeliveredPerMo))</f>
        <v/>
      </c>
      <c r="LT7" s="17">
        <f>IF(329&lt;DeliverStart,0,MIN(TotalUnits,(329-DeliverStart+1)*UnitsDeliveredPerMo))</f>
        <v/>
      </c>
      <c r="LU7" s="17">
        <f>IF(330&lt;DeliverStart,0,MIN(TotalUnits,(330-DeliverStart+1)*UnitsDeliveredPerMo))</f>
        <v/>
      </c>
      <c r="LV7" s="17">
        <f>IF(331&lt;DeliverStart,0,MIN(TotalUnits,(331-DeliverStart+1)*UnitsDeliveredPerMo))</f>
        <v/>
      </c>
      <c r="LW7" s="17">
        <f>IF(332&lt;DeliverStart,0,MIN(TotalUnits,(332-DeliverStart+1)*UnitsDeliveredPerMo))</f>
        <v/>
      </c>
      <c r="LX7" s="17">
        <f>IF(333&lt;DeliverStart,0,MIN(TotalUnits,(333-DeliverStart+1)*UnitsDeliveredPerMo))</f>
        <v/>
      </c>
      <c r="LY7" s="17">
        <f>IF(334&lt;DeliverStart,0,MIN(TotalUnits,(334-DeliverStart+1)*UnitsDeliveredPerMo))</f>
        <v/>
      </c>
      <c r="LZ7" s="17">
        <f>IF(335&lt;DeliverStart,0,MIN(TotalUnits,(335-DeliverStart+1)*UnitsDeliveredPerMo))</f>
        <v/>
      </c>
      <c r="MA7" s="17">
        <f>IF(336&lt;DeliverStart,0,MIN(TotalUnits,(336-DeliverStart+1)*UnitsDeliveredPerMo))</f>
        <v/>
      </c>
      <c r="MB7" s="17">
        <f>IF(337&lt;DeliverStart,0,MIN(TotalUnits,(337-DeliverStart+1)*UnitsDeliveredPerMo))</f>
        <v/>
      </c>
      <c r="MC7" s="17">
        <f>IF(338&lt;DeliverStart,0,MIN(TotalUnits,(338-DeliverStart+1)*UnitsDeliveredPerMo))</f>
        <v/>
      </c>
      <c r="MD7" s="17">
        <f>IF(339&lt;DeliverStart,0,MIN(TotalUnits,(339-DeliverStart+1)*UnitsDeliveredPerMo))</f>
        <v/>
      </c>
      <c r="ME7" s="17">
        <f>IF(340&lt;DeliverStart,0,MIN(TotalUnits,(340-DeliverStart+1)*UnitsDeliveredPerMo))</f>
        <v/>
      </c>
      <c r="MF7" s="17">
        <f>IF(341&lt;DeliverStart,0,MIN(TotalUnits,(341-DeliverStart+1)*UnitsDeliveredPerMo))</f>
        <v/>
      </c>
      <c r="MG7" s="17">
        <f>IF(342&lt;DeliverStart,0,MIN(TotalUnits,(342-DeliverStart+1)*UnitsDeliveredPerMo))</f>
        <v/>
      </c>
      <c r="MH7" s="17">
        <f>IF(343&lt;DeliverStart,0,MIN(TotalUnits,(343-DeliverStart+1)*UnitsDeliveredPerMo))</f>
        <v/>
      </c>
      <c r="MI7" s="17">
        <f>IF(344&lt;DeliverStart,0,MIN(TotalUnits,(344-DeliverStart+1)*UnitsDeliveredPerMo))</f>
        <v/>
      </c>
      <c r="MJ7" s="17">
        <f>IF(345&lt;DeliverStart,0,MIN(TotalUnits,(345-DeliverStart+1)*UnitsDeliveredPerMo))</f>
        <v/>
      </c>
      <c r="MK7" s="17">
        <f>IF(346&lt;DeliverStart,0,MIN(TotalUnits,(346-DeliverStart+1)*UnitsDeliveredPerMo))</f>
        <v/>
      </c>
      <c r="ML7" s="17">
        <f>IF(347&lt;DeliverStart,0,MIN(TotalUnits,(347-DeliverStart+1)*UnitsDeliveredPerMo))</f>
        <v/>
      </c>
      <c r="MM7" s="17">
        <f>IF(348&lt;DeliverStart,0,MIN(TotalUnits,(348-DeliverStart+1)*UnitsDeliveredPerMo))</f>
        <v/>
      </c>
      <c r="MN7" s="17">
        <f>IF(349&lt;DeliverStart,0,MIN(TotalUnits,(349-DeliverStart+1)*UnitsDeliveredPerMo))</f>
        <v/>
      </c>
      <c r="MO7" s="17">
        <f>IF(350&lt;DeliverStart,0,MIN(TotalUnits,(350-DeliverStart+1)*UnitsDeliveredPerMo))</f>
        <v/>
      </c>
      <c r="MP7" s="17">
        <f>IF(351&lt;DeliverStart,0,MIN(TotalUnits,(351-DeliverStart+1)*UnitsDeliveredPerMo))</f>
        <v/>
      </c>
      <c r="MQ7" s="17">
        <f>IF(352&lt;DeliverStart,0,MIN(TotalUnits,(352-DeliverStart+1)*UnitsDeliveredPerMo))</f>
        <v/>
      </c>
      <c r="MR7" s="17">
        <f>IF(353&lt;DeliverStart,0,MIN(TotalUnits,(353-DeliverStart+1)*UnitsDeliveredPerMo))</f>
        <v/>
      </c>
      <c r="MS7" s="17">
        <f>IF(354&lt;DeliverStart,0,MIN(TotalUnits,(354-DeliverStart+1)*UnitsDeliveredPerMo))</f>
        <v/>
      </c>
      <c r="MT7" s="17">
        <f>IF(355&lt;DeliverStart,0,MIN(TotalUnits,(355-DeliverStart+1)*UnitsDeliveredPerMo))</f>
        <v/>
      </c>
      <c r="MU7" s="17">
        <f>IF(356&lt;DeliverStart,0,MIN(TotalUnits,(356-DeliverStart+1)*UnitsDeliveredPerMo))</f>
        <v/>
      </c>
      <c r="MV7" s="17">
        <f>IF(357&lt;DeliverStart,0,MIN(TotalUnits,(357-DeliverStart+1)*UnitsDeliveredPerMo))</f>
        <v/>
      </c>
      <c r="MW7" s="17">
        <f>IF(358&lt;DeliverStart,0,MIN(TotalUnits,(358-DeliverStart+1)*UnitsDeliveredPerMo))</f>
        <v/>
      </c>
      <c r="MX7" s="17">
        <f>IF(359&lt;DeliverStart,0,MIN(TotalUnits,(359-DeliverStart+1)*UnitsDeliveredPerMo))</f>
        <v/>
      </c>
      <c r="MY7" s="17">
        <f>IF(360&lt;DeliverStart,0,MIN(TotalUnits,(360-DeliverStart+1)*UnitsDeliveredPerMo))</f>
        <v/>
      </c>
      <c r="MZ7" s="17">
        <f>IF(361&lt;DeliverStart,0,MIN(TotalUnits,(361-DeliverStart+1)*UnitsDeliveredPerMo))</f>
        <v/>
      </c>
      <c r="NA7" s="17">
        <f>IF(362&lt;DeliverStart,0,MIN(TotalUnits,(362-DeliverStart+1)*UnitsDeliveredPerMo))</f>
        <v/>
      </c>
      <c r="NB7" s="17">
        <f>IF(363&lt;DeliverStart,0,MIN(TotalUnits,(363-DeliverStart+1)*UnitsDeliveredPerMo))</f>
        <v/>
      </c>
      <c r="NC7" s="17">
        <f>IF(364&lt;DeliverStart,0,MIN(TotalUnits,(364-DeliverStart+1)*UnitsDeliveredPerMo))</f>
        <v/>
      </c>
      <c r="ND7" s="17">
        <f>IF(365&lt;DeliverStart,0,MIN(TotalUnits,(365-DeliverStart+1)*UnitsDeliveredPerMo))</f>
        <v/>
      </c>
      <c r="NE7" s="17">
        <f>IF(366&lt;DeliverStart,0,MIN(TotalUnits,(366-DeliverStart+1)*UnitsDeliveredPerMo))</f>
        <v/>
      </c>
      <c r="NF7" s="17">
        <f>IF(367&lt;DeliverStart,0,MIN(TotalUnits,(367-DeliverStart+1)*UnitsDeliveredPerMo))</f>
        <v/>
      </c>
      <c r="NG7" s="17">
        <f>IF(368&lt;DeliverStart,0,MIN(TotalUnits,(368-DeliverStart+1)*UnitsDeliveredPerMo))</f>
        <v/>
      </c>
      <c r="NH7" s="17">
        <f>IF(369&lt;DeliverStart,0,MIN(TotalUnits,(369-DeliverStart+1)*UnitsDeliveredPerMo))</f>
        <v/>
      </c>
      <c r="NI7" s="17">
        <f>IF(370&lt;DeliverStart,0,MIN(TotalUnits,(370-DeliverStart+1)*UnitsDeliveredPerMo))</f>
        <v/>
      </c>
      <c r="NJ7" s="17">
        <f>IF(371&lt;DeliverStart,0,MIN(TotalUnits,(371-DeliverStart+1)*UnitsDeliveredPerMo))</f>
        <v/>
      </c>
      <c r="NK7" s="17">
        <f>IF(372&lt;DeliverStart,0,MIN(TotalUnits,(372-DeliverStart+1)*UnitsDeliveredPerMo))</f>
        <v/>
      </c>
    </row>
    <row r="8">
      <c r="A8" s="5" t="inlineStr">
        <is>
          <t>Cumulative Units Leased</t>
        </is>
      </c>
      <c r="C8" s="40" t="n"/>
      <c r="D8" s="17">
        <f>IF(1&lt;DeliverStart,0,MIN(StabLeasedTarget,D$7,(1-DeliverStart+1)*UnitsLeasedPerMo))</f>
        <v/>
      </c>
      <c r="E8" s="17">
        <f>IF(2&lt;DeliverStart,0,MIN(StabLeasedTarget,E$7,(2-DeliverStart+1)*UnitsLeasedPerMo))</f>
        <v/>
      </c>
      <c r="F8" s="17">
        <f>IF(3&lt;DeliverStart,0,MIN(StabLeasedTarget,F$7,(3-DeliverStart+1)*UnitsLeasedPerMo))</f>
        <v/>
      </c>
      <c r="G8" s="17">
        <f>IF(4&lt;DeliverStart,0,MIN(StabLeasedTarget,G$7,(4-DeliverStart+1)*UnitsLeasedPerMo))</f>
        <v/>
      </c>
      <c r="H8" s="17">
        <f>IF(5&lt;DeliverStart,0,MIN(StabLeasedTarget,H$7,(5-DeliverStart+1)*UnitsLeasedPerMo))</f>
        <v/>
      </c>
      <c r="I8" s="17">
        <f>IF(6&lt;DeliverStart,0,MIN(StabLeasedTarget,I$7,(6-DeliverStart+1)*UnitsLeasedPerMo))</f>
        <v/>
      </c>
      <c r="J8" s="17">
        <f>IF(7&lt;DeliverStart,0,MIN(StabLeasedTarget,J$7,(7-DeliverStart+1)*UnitsLeasedPerMo))</f>
        <v/>
      </c>
      <c r="K8" s="17">
        <f>IF(8&lt;DeliverStart,0,MIN(StabLeasedTarget,K$7,(8-DeliverStart+1)*UnitsLeasedPerMo))</f>
        <v/>
      </c>
      <c r="L8" s="17">
        <f>IF(9&lt;DeliverStart,0,MIN(StabLeasedTarget,L$7,(9-DeliverStart+1)*UnitsLeasedPerMo))</f>
        <v/>
      </c>
      <c r="M8" s="17">
        <f>IF(10&lt;DeliverStart,0,MIN(StabLeasedTarget,M$7,(10-DeliverStart+1)*UnitsLeasedPerMo))</f>
        <v/>
      </c>
      <c r="N8" s="17">
        <f>IF(11&lt;DeliverStart,0,MIN(StabLeasedTarget,N$7,(11-DeliverStart+1)*UnitsLeasedPerMo))</f>
        <v/>
      </c>
      <c r="O8" s="17">
        <f>IF(12&lt;DeliverStart,0,MIN(StabLeasedTarget,O$7,(12-DeliverStart+1)*UnitsLeasedPerMo))</f>
        <v/>
      </c>
      <c r="P8" s="17">
        <f>IF(13&lt;DeliverStart,0,MIN(StabLeasedTarget,P$7,(13-DeliverStart+1)*UnitsLeasedPerMo))</f>
        <v/>
      </c>
      <c r="Q8" s="17">
        <f>IF(14&lt;DeliverStart,0,MIN(StabLeasedTarget,Q$7,(14-DeliverStart+1)*UnitsLeasedPerMo))</f>
        <v/>
      </c>
      <c r="R8" s="17">
        <f>IF(15&lt;DeliverStart,0,MIN(StabLeasedTarget,R$7,(15-DeliverStart+1)*UnitsLeasedPerMo))</f>
        <v/>
      </c>
      <c r="S8" s="17">
        <f>IF(16&lt;DeliverStart,0,MIN(StabLeasedTarget,S$7,(16-DeliverStart+1)*UnitsLeasedPerMo))</f>
        <v/>
      </c>
      <c r="T8" s="17">
        <f>IF(17&lt;DeliverStart,0,MIN(StabLeasedTarget,T$7,(17-DeliverStart+1)*UnitsLeasedPerMo))</f>
        <v/>
      </c>
      <c r="U8" s="17">
        <f>IF(18&lt;DeliverStart,0,MIN(StabLeasedTarget,U$7,(18-DeliverStart+1)*UnitsLeasedPerMo))</f>
        <v/>
      </c>
      <c r="V8" s="17">
        <f>IF(19&lt;DeliverStart,0,MIN(StabLeasedTarget,V$7,(19-DeliverStart+1)*UnitsLeasedPerMo))</f>
        <v/>
      </c>
      <c r="W8" s="17">
        <f>IF(20&lt;DeliverStart,0,MIN(StabLeasedTarget,W$7,(20-DeliverStart+1)*UnitsLeasedPerMo))</f>
        <v/>
      </c>
      <c r="X8" s="17">
        <f>IF(21&lt;DeliverStart,0,MIN(StabLeasedTarget,X$7,(21-DeliverStart+1)*UnitsLeasedPerMo))</f>
        <v/>
      </c>
      <c r="Y8" s="17">
        <f>IF(22&lt;DeliverStart,0,MIN(StabLeasedTarget,Y$7,(22-DeliverStart+1)*UnitsLeasedPerMo))</f>
        <v/>
      </c>
      <c r="Z8" s="17">
        <f>IF(23&lt;DeliverStart,0,MIN(StabLeasedTarget,Z$7,(23-DeliverStart+1)*UnitsLeasedPerMo))</f>
        <v/>
      </c>
      <c r="AA8" s="17">
        <f>IF(24&lt;DeliverStart,0,MIN(StabLeasedTarget,AA$7,(24-DeliverStart+1)*UnitsLeasedPerMo))</f>
        <v/>
      </c>
      <c r="AB8" s="17">
        <f>IF(25&lt;DeliverStart,0,MIN(StabLeasedTarget,AB$7,(25-DeliverStart+1)*UnitsLeasedPerMo))</f>
        <v/>
      </c>
      <c r="AC8" s="17">
        <f>IF(26&lt;DeliverStart,0,MIN(StabLeasedTarget,AC$7,(26-DeliverStart+1)*UnitsLeasedPerMo))</f>
        <v/>
      </c>
      <c r="AD8" s="17">
        <f>IF(27&lt;DeliverStart,0,MIN(StabLeasedTarget,AD$7,(27-DeliverStart+1)*UnitsLeasedPerMo))</f>
        <v/>
      </c>
      <c r="AE8" s="17">
        <f>IF(28&lt;DeliverStart,0,MIN(StabLeasedTarget,AE$7,(28-DeliverStart+1)*UnitsLeasedPerMo))</f>
        <v/>
      </c>
      <c r="AF8" s="17">
        <f>IF(29&lt;DeliverStart,0,MIN(StabLeasedTarget,AF$7,(29-DeliverStart+1)*UnitsLeasedPerMo))</f>
        <v/>
      </c>
      <c r="AG8" s="17">
        <f>IF(30&lt;DeliverStart,0,MIN(StabLeasedTarget,AG$7,(30-DeliverStart+1)*UnitsLeasedPerMo))</f>
        <v/>
      </c>
      <c r="AH8" s="17">
        <f>IF(31&lt;DeliverStart,0,MIN(StabLeasedTarget,AH$7,(31-DeliverStart+1)*UnitsLeasedPerMo))</f>
        <v/>
      </c>
      <c r="AI8" s="17">
        <f>IF(32&lt;DeliverStart,0,MIN(StabLeasedTarget,AI$7,(32-DeliverStart+1)*UnitsLeasedPerMo))</f>
        <v/>
      </c>
      <c r="AJ8" s="17">
        <f>IF(33&lt;DeliverStart,0,MIN(StabLeasedTarget,AJ$7,(33-DeliverStart+1)*UnitsLeasedPerMo))</f>
        <v/>
      </c>
      <c r="AK8" s="17">
        <f>IF(34&lt;DeliverStart,0,MIN(StabLeasedTarget,AK$7,(34-DeliverStart+1)*UnitsLeasedPerMo))</f>
        <v/>
      </c>
      <c r="AL8" s="17">
        <f>IF(35&lt;DeliverStart,0,MIN(StabLeasedTarget,AL$7,(35-DeliverStart+1)*UnitsLeasedPerMo))</f>
        <v/>
      </c>
      <c r="AM8" s="17">
        <f>IF(36&lt;DeliverStart,0,MIN(StabLeasedTarget,AM$7,(36-DeliverStart+1)*UnitsLeasedPerMo))</f>
        <v/>
      </c>
      <c r="AN8" s="17">
        <f>IF(37&lt;DeliverStart,0,MIN(StabLeasedTarget,AN$7,(37-DeliverStart+1)*UnitsLeasedPerMo))</f>
        <v/>
      </c>
      <c r="AO8" s="17">
        <f>IF(38&lt;DeliverStart,0,MIN(StabLeasedTarget,AO$7,(38-DeliverStart+1)*UnitsLeasedPerMo))</f>
        <v/>
      </c>
      <c r="AP8" s="17">
        <f>IF(39&lt;DeliverStart,0,MIN(StabLeasedTarget,AP$7,(39-DeliverStart+1)*UnitsLeasedPerMo))</f>
        <v/>
      </c>
      <c r="AQ8" s="17">
        <f>IF(40&lt;DeliverStart,0,MIN(StabLeasedTarget,AQ$7,(40-DeliverStart+1)*UnitsLeasedPerMo))</f>
        <v/>
      </c>
      <c r="AR8" s="17">
        <f>IF(41&lt;DeliverStart,0,MIN(StabLeasedTarget,AR$7,(41-DeliverStart+1)*UnitsLeasedPerMo))</f>
        <v/>
      </c>
      <c r="AS8" s="17">
        <f>IF(42&lt;DeliverStart,0,MIN(StabLeasedTarget,AS$7,(42-DeliverStart+1)*UnitsLeasedPerMo))</f>
        <v/>
      </c>
      <c r="AT8" s="17">
        <f>IF(43&lt;DeliverStart,0,MIN(StabLeasedTarget,AT$7,(43-DeliverStart+1)*UnitsLeasedPerMo))</f>
        <v/>
      </c>
      <c r="AU8" s="17">
        <f>IF(44&lt;DeliverStart,0,MIN(StabLeasedTarget,AU$7,(44-DeliverStart+1)*UnitsLeasedPerMo))</f>
        <v/>
      </c>
      <c r="AV8" s="17">
        <f>IF(45&lt;DeliverStart,0,MIN(StabLeasedTarget,AV$7,(45-DeliverStart+1)*UnitsLeasedPerMo))</f>
        <v/>
      </c>
      <c r="AW8" s="17">
        <f>IF(46&lt;DeliverStart,0,MIN(StabLeasedTarget,AW$7,(46-DeliverStart+1)*UnitsLeasedPerMo))</f>
        <v/>
      </c>
      <c r="AX8" s="17">
        <f>IF(47&lt;DeliverStart,0,MIN(StabLeasedTarget,AX$7,(47-DeliverStart+1)*UnitsLeasedPerMo))</f>
        <v/>
      </c>
      <c r="AY8" s="17">
        <f>IF(48&lt;DeliverStart,0,MIN(StabLeasedTarget,AY$7,(48-DeliverStart+1)*UnitsLeasedPerMo))</f>
        <v/>
      </c>
      <c r="AZ8" s="17">
        <f>IF(49&lt;DeliverStart,0,MIN(StabLeasedTarget,AZ$7,(49-DeliverStart+1)*UnitsLeasedPerMo))</f>
        <v/>
      </c>
      <c r="BA8" s="17">
        <f>IF(50&lt;DeliverStart,0,MIN(StabLeasedTarget,BA$7,(50-DeliverStart+1)*UnitsLeasedPerMo))</f>
        <v/>
      </c>
      <c r="BB8" s="17">
        <f>IF(51&lt;DeliverStart,0,MIN(StabLeasedTarget,BB$7,(51-DeliverStart+1)*UnitsLeasedPerMo))</f>
        <v/>
      </c>
      <c r="BC8" s="17">
        <f>IF(52&lt;DeliverStart,0,MIN(StabLeasedTarget,BC$7,(52-DeliverStart+1)*UnitsLeasedPerMo))</f>
        <v/>
      </c>
      <c r="BD8" s="17">
        <f>IF(53&lt;DeliverStart,0,MIN(StabLeasedTarget,BD$7,(53-DeliverStart+1)*UnitsLeasedPerMo))</f>
        <v/>
      </c>
      <c r="BE8" s="17">
        <f>IF(54&lt;DeliverStart,0,MIN(StabLeasedTarget,BE$7,(54-DeliverStart+1)*UnitsLeasedPerMo))</f>
        <v/>
      </c>
      <c r="BF8" s="17">
        <f>IF(55&lt;DeliverStart,0,MIN(StabLeasedTarget,BF$7,(55-DeliverStart+1)*UnitsLeasedPerMo))</f>
        <v/>
      </c>
      <c r="BG8" s="17">
        <f>IF(56&lt;DeliverStart,0,MIN(StabLeasedTarget,BG$7,(56-DeliverStart+1)*UnitsLeasedPerMo))</f>
        <v/>
      </c>
      <c r="BH8" s="17">
        <f>IF(57&lt;DeliverStart,0,MIN(StabLeasedTarget,BH$7,(57-DeliverStart+1)*UnitsLeasedPerMo))</f>
        <v/>
      </c>
      <c r="BI8" s="17">
        <f>IF(58&lt;DeliverStart,0,MIN(StabLeasedTarget,BI$7,(58-DeliverStart+1)*UnitsLeasedPerMo))</f>
        <v/>
      </c>
      <c r="BJ8" s="17">
        <f>IF(59&lt;DeliverStart,0,MIN(StabLeasedTarget,BJ$7,(59-DeliverStart+1)*UnitsLeasedPerMo))</f>
        <v/>
      </c>
      <c r="BK8" s="17">
        <f>IF(60&lt;DeliverStart,0,MIN(StabLeasedTarget,BK$7,(60-DeliverStart+1)*UnitsLeasedPerMo))</f>
        <v/>
      </c>
      <c r="BL8" s="17">
        <f>IF(61&lt;DeliverStart,0,MIN(StabLeasedTarget,BL$7,(61-DeliverStart+1)*UnitsLeasedPerMo))</f>
        <v/>
      </c>
      <c r="BM8" s="17">
        <f>IF(62&lt;DeliverStart,0,MIN(StabLeasedTarget,BM$7,(62-DeliverStart+1)*UnitsLeasedPerMo))</f>
        <v/>
      </c>
      <c r="BN8" s="17">
        <f>IF(63&lt;DeliverStart,0,MIN(StabLeasedTarget,BN$7,(63-DeliverStart+1)*UnitsLeasedPerMo))</f>
        <v/>
      </c>
      <c r="BO8" s="17">
        <f>IF(64&lt;DeliverStart,0,MIN(StabLeasedTarget,BO$7,(64-DeliverStart+1)*UnitsLeasedPerMo))</f>
        <v/>
      </c>
      <c r="BP8" s="17">
        <f>IF(65&lt;DeliverStart,0,MIN(StabLeasedTarget,BP$7,(65-DeliverStart+1)*UnitsLeasedPerMo))</f>
        <v/>
      </c>
      <c r="BQ8" s="17">
        <f>IF(66&lt;DeliverStart,0,MIN(StabLeasedTarget,BQ$7,(66-DeliverStart+1)*UnitsLeasedPerMo))</f>
        <v/>
      </c>
      <c r="BR8" s="17">
        <f>IF(67&lt;DeliverStart,0,MIN(StabLeasedTarget,BR$7,(67-DeliverStart+1)*UnitsLeasedPerMo))</f>
        <v/>
      </c>
      <c r="BS8" s="17">
        <f>IF(68&lt;DeliverStart,0,MIN(StabLeasedTarget,BS$7,(68-DeliverStart+1)*UnitsLeasedPerMo))</f>
        <v/>
      </c>
      <c r="BT8" s="17">
        <f>IF(69&lt;DeliverStart,0,MIN(StabLeasedTarget,BT$7,(69-DeliverStart+1)*UnitsLeasedPerMo))</f>
        <v/>
      </c>
      <c r="BU8" s="17">
        <f>IF(70&lt;DeliverStart,0,MIN(StabLeasedTarget,BU$7,(70-DeliverStart+1)*UnitsLeasedPerMo))</f>
        <v/>
      </c>
      <c r="BV8" s="17">
        <f>IF(71&lt;DeliverStart,0,MIN(StabLeasedTarget,BV$7,(71-DeliverStart+1)*UnitsLeasedPerMo))</f>
        <v/>
      </c>
      <c r="BW8" s="17">
        <f>IF(72&lt;DeliverStart,0,MIN(StabLeasedTarget,BW$7,(72-DeliverStart+1)*UnitsLeasedPerMo))</f>
        <v/>
      </c>
      <c r="BX8" s="17">
        <f>IF(73&lt;DeliverStart,0,MIN(StabLeasedTarget,BX$7,(73-DeliverStart+1)*UnitsLeasedPerMo))</f>
        <v/>
      </c>
      <c r="BY8" s="17">
        <f>IF(74&lt;DeliverStart,0,MIN(StabLeasedTarget,BY$7,(74-DeliverStart+1)*UnitsLeasedPerMo))</f>
        <v/>
      </c>
      <c r="BZ8" s="17">
        <f>IF(75&lt;DeliverStart,0,MIN(StabLeasedTarget,BZ$7,(75-DeliverStart+1)*UnitsLeasedPerMo))</f>
        <v/>
      </c>
      <c r="CA8" s="17">
        <f>IF(76&lt;DeliverStart,0,MIN(StabLeasedTarget,CA$7,(76-DeliverStart+1)*UnitsLeasedPerMo))</f>
        <v/>
      </c>
      <c r="CB8" s="17">
        <f>IF(77&lt;DeliverStart,0,MIN(StabLeasedTarget,CB$7,(77-DeliverStart+1)*UnitsLeasedPerMo))</f>
        <v/>
      </c>
      <c r="CC8" s="17">
        <f>IF(78&lt;DeliverStart,0,MIN(StabLeasedTarget,CC$7,(78-DeliverStart+1)*UnitsLeasedPerMo))</f>
        <v/>
      </c>
      <c r="CD8" s="17">
        <f>IF(79&lt;DeliverStart,0,MIN(StabLeasedTarget,CD$7,(79-DeliverStart+1)*UnitsLeasedPerMo))</f>
        <v/>
      </c>
      <c r="CE8" s="17">
        <f>IF(80&lt;DeliverStart,0,MIN(StabLeasedTarget,CE$7,(80-DeliverStart+1)*UnitsLeasedPerMo))</f>
        <v/>
      </c>
      <c r="CF8" s="17">
        <f>IF(81&lt;DeliverStart,0,MIN(StabLeasedTarget,CF$7,(81-DeliverStart+1)*UnitsLeasedPerMo))</f>
        <v/>
      </c>
      <c r="CG8" s="17">
        <f>IF(82&lt;DeliverStart,0,MIN(StabLeasedTarget,CG$7,(82-DeliverStart+1)*UnitsLeasedPerMo))</f>
        <v/>
      </c>
      <c r="CH8" s="17">
        <f>IF(83&lt;DeliverStart,0,MIN(StabLeasedTarget,CH$7,(83-DeliverStart+1)*UnitsLeasedPerMo))</f>
        <v/>
      </c>
      <c r="CI8" s="17">
        <f>IF(84&lt;DeliverStart,0,MIN(StabLeasedTarget,CI$7,(84-DeliverStart+1)*UnitsLeasedPerMo))</f>
        <v/>
      </c>
      <c r="CJ8" s="17">
        <f>IF(85&lt;DeliverStart,0,MIN(StabLeasedTarget,CJ$7,(85-DeliverStart+1)*UnitsLeasedPerMo))</f>
        <v/>
      </c>
      <c r="CK8" s="17">
        <f>IF(86&lt;DeliverStart,0,MIN(StabLeasedTarget,CK$7,(86-DeliverStart+1)*UnitsLeasedPerMo))</f>
        <v/>
      </c>
      <c r="CL8" s="17">
        <f>IF(87&lt;DeliverStart,0,MIN(StabLeasedTarget,CL$7,(87-DeliverStart+1)*UnitsLeasedPerMo))</f>
        <v/>
      </c>
      <c r="CM8" s="17">
        <f>IF(88&lt;DeliverStart,0,MIN(StabLeasedTarget,CM$7,(88-DeliverStart+1)*UnitsLeasedPerMo))</f>
        <v/>
      </c>
      <c r="CN8" s="17">
        <f>IF(89&lt;DeliverStart,0,MIN(StabLeasedTarget,CN$7,(89-DeliverStart+1)*UnitsLeasedPerMo))</f>
        <v/>
      </c>
      <c r="CO8" s="17">
        <f>IF(90&lt;DeliverStart,0,MIN(StabLeasedTarget,CO$7,(90-DeliverStart+1)*UnitsLeasedPerMo))</f>
        <v/>
      </c>
      <c r="CP8" s="17">
        <f>IF(91&lt;DeliverStart,0,MIN(StabLeasedTarget,CP$7,(91-DeliverStart+1)*UnitsLeasedPerMo))</f>
        <v/>
      </c>
      <c r="CQ8" s="17">
        <f>IF(92&lt;DeliverStart,0,MIN(StabLeasedTarget,CQ$7,(92-DeliverStart+1)*UnitsLeasedPerMo))</f>
        <v/>
      </c>
      <c r="CR8" s="17">
        <f>IF(93&lt;DeliverStart,0,MIN(StabLeasedTarget,CR$7,(93-DeliverStart+1)*UnitsLeasedPerMo))</f>
        <v/>
      </c>
      <c r="CS8" s="17">
        <f>IF(94&lt;DeliverStart,0,MIN(StabLeasedTarget,CS$7,(94-DeliverStart+1)*UnitsLeasedPerMo))</f>
        <v/>
      </c>
      <c r="CT8" s="17">
        <f>IF(95&lt;DeliverStart,0,MIN(StabLeasedTarget,CT$7,(95-DeliverStart+1)*UnitsLeasedPerMo))</f>
        <v/>
      </c>
      <c r="CU8" s="17">
        <f>IF(96&lt;DeliverStart,0,MIN(StabLeasedTarget,CU$7,(96-DeliverStart+1)*UnitsLeasedPerMo))</f>
        <v/>
      </c>
      <c r="CV8" s="17">
        <f>IF(97&lt;DeliverStart,0,MIN(StabLeasedTarget,CV$7,(97-DeliverStart+1)*UnitsLeasedPerMo))</f>
        <v/>
      </c>
      <c r="CW8" s="17">
        <f>IF(98&lt;DeliverStart,0,MIN(StabLeasedTarget,CW$7,(98-DeliverStart+1)*UnitsLeasedPerMo))</f>
        <v/>
      </c>
      <c r="CX8" s="17">
        <f>IF(99&lt;DeliverStart,0,MIN(StabLeasedTarget,CX$7,(99-DeliverStart+1)*UnitsLeasedPerMo))</f>
        <v/>
      </c>
      <c r="CY8" s="17">
        <f>IF(100&lt;DeliverStart,0,MIN(StabLeasedTarget,CY$7,(100-DeliverStart+1)*UnitsLeasedPerMo))</f>
        <v/>
      </c>
      <c r="CZ8" s="17">
        <f>IF(101&lt;DeliverStart,0,MIN(StabLeasedTarget,CZ$7,(101-DeliverStart+1)*UnitsLeasedPerMo))</f>
        <v/>
      </c>
      <c r="DA8" s="17">
        <f>IF(102&lt;DeliverStart,0,MIN(StabLeasedTarget,DA$7,(102-DeliverStart+1)*UnitsLeasedPerMo))</f>
        <v/>
      </c>
      <c r="DB8" s="17">
        <f>IF(103&lt;DeliverStart,0,MIN(StabLeasedTarget,DB$7,(103-DeliverStart+1)*UnitsLeasedPerMo))</f>
        <v/>
      </c>
      <c r="DC8" s="17">
        <f>IF(104&lt;DeliverStart,0,MIN(StabLeasedTarget,DC$7,(104-DeliverStart+1)*UnitsLeasedPerMo))</f>
        <v/>
      </c>
      <c r="DD8" s="17">
        <f>IF(105&lt;DeliverStart,0,MIN(StabLeasedTarget,DD$7,(105-DeliverStart+1)*UnitsLeasedPerMo))</f>
        <v/>
      </c>
      <c r="DE8" s="17">
        <f>IF(106&lt;DeliverStart,0,MIN(StabLeasedTarget,DE$7,(106-DeliverStart+1)*UnitsLeasedPerMo))</f>
        <v/>
      </c>
      <c r="DF8" s="17">
        <f>IF(107&lt;DeliverStart,0,MIN(StabLeasedTarget,DF$7,(107-DeliverStart+1)*UnitsLeasedPerMo))</f>
        <v/>
      </c>
      <c r="DG8" s="17">
        <f>IF(108&lt;DeliverStart,0,MIN(StabLeasedTarget,DG$7,(108-DeliverStart+1)*UnitsLeasedPerMo))</f>
        <v/>
      </c>
      <c r="DH8" s="17">
        <f>IF(109&lt;DeliverStart,0,MIN(StabLeasedTarget,DH$7,(109-DeliverStart+1)*UnitsLeasedPerMo))</f>
        <v/>
      </c>
      <c r="DI8" s="17">
        <f>IF(110&lt;DeliverStart,0,MIN(StabLeasedTarget,DI$7,(110-DeliverStart+1)*UnitsLeasedPerMo))</f>
        <v/>
      </c>
      <c r="DJ8" s="17">
        <f>IF(111&lt;DeliverStart,0,MIN(StabLeasedTarget,DJ$7,(111-DeliverStart+1)*UnitsLeasedPerMo))</f>
        <v/>
      </c>
      <c r="DK8" s="17">
        <f>IF(112&lt;DeliverStart,0,MIN(StabLeasedTarget,DK$7,(112-DeliverStart+1)*UnitsLeasedPerMo))</f>
        <v/>
      </c>
      <c r="DL8" s="17">
        <f>IF(113&lt;DeliverStart,0,MIN(StabLeasedTarget,DL$7,(113-DeliverStart+1)*UnitsLeasedPerMo))</f>
        <v/>
      </c>
      <c r="DM8" s="17">
        <f>IF(114&lt;DeliverStart,0,MIN(StabLeasedTarget,DM$7,(114-DeliverStart+1)*UnitsLeasedPerMo))</f>
        <v/>
      </c>
      <c r="DN8" s="17">
        <f>IF(115&lt;DeliverStart,0,MIN(StabLeasedTarget,DN$7,(115-DeliverStart+1)*UnitsLeasedPerMo))</f>
        <v/>
      </c>
      <c r="DO8" s="17">
        <f>IF(116&lt;DeliverStart,0,MIN(StabLeasedTarget,DO$7,(116-DeliverStart+1)*UnitsLeasedPerMo))</f>
        <v/>
      </c>
      <c r="DP8" s="17">
        <f>IF(117&lt;DeliverStart,0,MIN(StabLeasedTarget,DP$7,(117-DeliverStart+1)*UnitsLeasedPerMo))</f>
        <v/>
      </c>
      <c r="DQ8" s="17">
        <f>IF(118&lt;DeliverStart,0,MIN(StabLeasedTarget,DQ$7,(118-DeliverStart+1)*UnitsLeasedPerMo))</f>
        <v/>
      </c>
      <c r="DR8" s="17">
        <f>IF(119&lt;DeliverStart,0,MIN(StabLeasedTarget,DR$7,(119-DeliverStart+1)*UnitsLeasedPerMo))</f>
        <v/>
      </c>
      <c r="DS8" s="17">
        <f>IF(120&lt;DeliverStart,0,MIN(StabLeasedTarget,DS$7,(120-DeliverStart+1)*UnitsLeasedPerMo))</f>
        <v/>
      </c>
      <c r="DT8" s="17">
        <f>IF(121&lt;DeliverStart,0,MIN(StabLeasedTarget,DT$7,(121-DeliverStart+1)*UnitsLeasedPerMo))</f>
        <v/>
      </c>
      <c r="DU8" s="17">
        <f>IF(122&lt;DeliverStart,0,MIN(StabLeasedTarget,DU$7,(122-DeliverStart+1)*UnitsLeasedPerMo))</f>
        <v/>
      </c>
      <c r="DV8" s="17">
        <f>IF(123&lt;DeliverStart,0,MIN(StabLeasedTarget,DV$7,(123-DeliverStart+1)*UnitsLeasedPerMo))</f>
        <v/>
      </c>
      <c r="DW8" s="17">
        <f>IF(124&lt;DeliverStart,0,MIN(StabLeasedTarget,DW$7,(124-DeliverStart+1)*UnitsLeasedPerMo))</f>
        <v/>
      </c>
      <c r="DX8" s="17">
        <f>IF(125&lt;DeliverStart,0,MIN(StabLeasedTarget,DX$7,(125-DeliverStart+1)*UnitsLeasedPerMo))</f>
        <v/>
      </c>
      <c r="DY8" s="17">
        <f>IF(126&lt;DeliverStart,0,MIN(StabLeasedTarget,DY$7,(126-DeliverStart+1)*UnitsLeasedPerMo))</f>
        <v/>
      </c>
      <c r="DZ8" s="17">
        <f>IF(127&lt;DeliverStart,0,MIN(StabLeasedTarget,DZ$7,(127-DeliverStart+1)*UnitsLeasedPerMo))</f>
        <v/>
      </c>
      <c r="EA8" s="17">
        <f>IF(128&lt;DeliverStart,0,MIN(StabLeasedTarget,EA$7,(128-DeliverStart+1)*UnitsLeasedPerMo))</f>
        <v/>
      </c>
      <c r="EB8" s="17">
        <f>IF(129&lt;DeliverStart,0,MIN(StabLeasedTarget,EB$7,(129-DeliverStart+1)*UnitsLeasedPerMo))</f>
        <v/>
      </c>
      <c r="EC8" s="17">
        <f>IF(130&lt;DeliverStart,0,MIN(StabLeasedTarget,EC$7,(130-DeliverStart+1)*UnitsLeasedPerMo))</f>
        <v/>
      </c>
      <c r="ED8" s="17">
        <f>IF(131&lt;DeliverStart,0,MIN(StabLeasedTarget,ED$7,(131-DeliverStart+1)*UnitsLeasedPerMo))</f>
        <v/>
      </c>
      <c r="EE8" s="17">
        <f>IF(132&lt;DeliverStart,0,MIN(StabLeasedTarget,EE$7,(132-DeliverStart+1)*UnitsLeasedPerMo))</f>
        <v/>
      </c>
      <c r="EF8" s="17">
        <f>IF(133&lt;DeliverStart,0,MIN(StabLeasedTarget,EF$7,(133-DeliverStart+1)*UnitsLeasedPerMo))</f>
        <v/>
      </c>
      <c r="EG8" s="17">
        <f>IF(134&lt;DeliverStart,0,MIN(StabLeasedTarget,EG$7,(134-DeliverStart+1)*UnitsLeasedPerMo))</f>
        <v/>
      </c>
      <c r="EH8" s="17">
        <f>IF(135&lt;DeliverStart,0,MIN(StabLeasedTarget,EH$7,(135-DeliverStart+1)*UnitsLeasedPerMo))</f>
        <v/>
      </c>
      <c r="EI8" s="17">
        <f>IF(136&lt;DeliverStart,0,MIN(StabLeasedTarget,EI$7,(136-DeliverStart+1)*UnitsLeasedPerMo))</f>
        <v/>
      </c>
      <c r="EJ8" s="17">
        <f>IF(137&lt;DeliverStart,0,MIN(StabLeasedTarget,EJ$7,(137-DeliverStart+1)*UnitsLeasedPerMo))</f>
        <v/>
      </c>
      <c r="EK8" s="17">
        <f>IF(138&lt;DeliverStart,0,MIN(StabLeasedTarget,EK$7,(138-DeliverStart+1)*UnitsLeasedPerMo))</f>
        <v/>
      </c>
      <c r="EL8" s="17">
        <f>IF(139&lt;DeliverStart,0,MIN(StabLeasedTarget,EL$7,(139-DeliverStart+1)*UnitsLeasedPerMo))</f>
        <v/>
      </c>
      <c r="EM8" s="17">
        <f>IF(140&lt;DeliverStart,0,MIN(StabLeasedTarget,EM$7,(140-DeliverStart+1)*UnitsLeasedPerMo))</f>
        <v/>
      </c>
      <c r="EN8" s="17">
        <f>IF(141&lt;DeliverStart,0,MIN(StabLeasedTarget,EN$7,(141-DeliverStart+1)*UnitsLeasedPerMo))</f>
        <v/>
      </c>
      <c r="EO8" s="17">
        <f>IF(142&lt;DeliverStart,0,MIN(StabLeasedTarget,EO$7,(142-DeliverStart+1)*UnitsLeasedPerMo))</f>
        <v/>
      </c>
      <c r="EP8" s="17">
        <f>IF(143&lt;DeliverStart,0,MIN(StabLeasedTarget,EP$7,(143-DeliverStart+1)*UnitsLeasedPerMo))</f>
        <v/>
      </c>
      <c r="EQ8" s="17">
        <f>IF(144&lt;DeliverStart,0,MIN(StabLeasedTarget,EQ$7,(144-DeliverStart+1)*UnitsLeasedPerMo))</f>
        <v/>
      </c>
      <c r="ER8" s="17">
        <f>IF(145&lt;DeliverStart,0,MIN(StabLeasedTarget,ER$7,(145-DeliverStart+1)*UnitsLeasedPerMo))</f>
        <v/>
      </c>
      <c r="ES8" s="17">
        <f>IF(146&lt;DeliverStart,0,MIN(StabLeasedTarget,ES$7,(146-DeliverStart+1)*UnitsLeasedPerMo))</f>
        <v/>
      </c>
      <c r="ET8" s="17">
        <f>IF(147&lt;DeliverStart,0,MIN(StabLeasedTarget,ET$7,(147-DeliverStart+1)*UnitsLeasedPerMo))</f>
        <v/>
      </c>
      <c r="EU8" s="17">
        <f>IF(148&lt;DeliverStart,0,MIN(StabLeasedTarget,EU$7,(148-DeliverStart+1)*UnitsLeasedPerMo))</f>
        <v/>
      </c>
      <c r="EV8" s="17">
        <f>IF(149&lt;DeliverStart,0,MIN(StabLeasedTarget,EV$7,(149-DeliverStart+1)*UnitsLeasedPerMo))</f>
        <v/>
      </c>
      <c r="EW8" s="17">
        <f>IF(150&lt;DeliverStart,0,MIN(StabLeasedTarget,EW$7,(150-DeliverStart+1)*UnitsLeasedPerMo))</f>
        <v/>
      </c>
      <c r="EX8" s="17">
        <f>IF(151&lt;DeliverStart,0,MIN(StabLeasedTarget,EX$7,(151-DeliverStart+1)*UnitsLeasedPerMo))</f>
        <v/>
      </c>
      <c r="EY8" s="17">
        <f>IF(152&lt;DeliverStart,0,MIN(StabLeasedTarget,EY$7,(152-DeliverStart+1)*UnitsLeasedPerMo))</f>
        <v/>
      </c>
      <c r="EZ8" s="17">
        <f>IF(153&lt;DeliverStart,0,MIN(StabLeasedTarget,EZ$7,(153-DeliverStart+1)*UnitsLeasedPerMo))</f>
        <v/>
      </c>
      <c r="FA8" s="17">
        <f>IF(154&lt;DeliverStart,0,MIN(StabLeasedTarget,FA$7,(154-DeliverStart+1)*UnitsLeasedPerMo))</f>
        <v/>
      </c>
      <c r="FB8" s="17">
        <f>IF(155&lt;DeliverStart,0,MIN(StabLeasedTarget,FB$7,(155-DeliverStart+1)*UnitsLeasedPerMo))</f>
        <v/>
      </c>
      <c r="FC8" s="17">
        <f>IF(156&lt;DeliverStart,0,MIN(StabLeasedTarget,FC$7,(156-DeliverStart+1)*UnitsLeasedPerMo))</f>
        <v/>
      </c>
      <c r="FD8" s="17">
        <f>IF(157&lt;DeliverStart,0,MIN(StabLeasedTarget,FD$7,(157-DeliverStart+1)*UnitsLeasedPerMo))</f>
        <v/>
      </c>
      <c r="FE8" s="17">
        <f>IF(158&lt;DeliverStart,0,MIN(StabLeasedTarget,FE$7,(158-DeliverStart+1)*UnitsLeasedPerMo))</f>
        <v/>
      </c>
      <c r="FF8" s="17">
        <f>IF(159&lt;DeliverStart,0,MIN(StabLeasedTarget,FF$7,(159-DeliverStart+1)*UnitsLeasedPerMo))</f>
        <v/>
      </c>
      <c r="FG8" s="17">
        <f>IF(160&lt;DeliverStart,0,MIN(StabLeasedTarget,FG$7,(160-DeliverStart+1)*UnitsLeasedPerMo))</f>
        <v/>
      </c>
      <c r="FH8" s="17">
        <f>IF(161&lt;DeliverStart,0,MIN(StabLeasedTarget,FH$7,(161-DeliverStart+1)*UnitsLeasedPerMo))</f>
        <v/>
      </c>
      <c r="FI8" s="17">
        <f>IF(162&lt;DeliverStart,0,MIN(StabLeasedTarget,FI$7,(162-DeliverStart+1)*UnitsLeasedPerMo))</f>
        <v/>
      </c>
      <c r="FJ8" s="17">
        <f>IF(163&lt;DeliverStart,0,MIN(StabLeasedTarget,FJ$7,(163-DeliverStart+1)*UnitsLeasedPerMo))</f>
        <v/>
      </c>
      <c r="FK8" s="17">
        <f>IF(164&lt;DeliverStart,0,MIN(StabLeasedTarget,FK$7,(164-DeliverStart+1)*UnitsLeasedPerMo))</f>
        <v/>
      </c>
      <c r="FL8" s="17">
        <f>IF(165&lt;DeliverStart,0,MIN(StabLeasedTarget,FL$7,(165-DeliverStart+1)*UnitsLeasedPerMo))</f>
        <v/>
      </c>
      <c r="FM8" s="17">
        <f>IF(166&lt;DeliverStart,0,MIN(StabLeasedTarget,FM$7,(166-DeliverStart+1)*UnitsLeasedPerMo))</f>
        <v/>
      </c>
      <c r="FN8" s="17">
        <f>IF(167&lt;DeliverStart,0,MIN(StabLeasedTarget,FN$7,(167-DeliverStart+1)*UnitsLeasedPerMo))</f>
        <v/>
      </c>
      <c r="FO8" s="17">
        <f>IF(168&lt;DeliverStart,0,MIN(StabLeasedTarget,FO$7,(168-DeliverStart+1)*UnitsLeasedPerMo))</f>
        <v/>
      </c>
      <c r="FP8" s="17">
        <f>IF(169&lt;DeliverStart,0,MIN(StabLeasedTarget,FP$7,(169-DeliverStart+1)*UnitsLeasedPerMo))</f>
        <v/>
      </c>
      <c r="FQ8" s="17">
        <f>IF(170&lt;DeliverStart,0,MIN(StabLeasedTarget,FQ$7,(170-DeliverStart+1)*UnitsLeasedPerMo))</f>
        <v/>
      </c>
      <c r="FR8" s="17">
        <f>IF(171&lt;DeliverStart,0,MIN(StabLeasedTarget,FR$7,(171-DeliverStart+1)*UnitsLeasedPerMo))</f>
        <v/>
      </c>
      <c r="FS8" s="17">
        <f>IF(172&lt;DeliverStart,0,MIN(StabLeasedTarget,FS$7,(172-DeliverStart+1)*UnitsLeasedPerMo))</f>
        <v/>
      </c>
      <c r="FT8" s="17">
        <f>IF(173&lt;DeliverStart,0,MIN(StabLeasedTarget,FT$7,(173-DeliverStart+1)*UnitsLeasedPerMo))</f>
        <v/>
      </c>
      <c r="FU8" s="17">
        <f>IF(174&lt;DeliverStart,0,MIN(StabLeasedTarget,FU$7,(174-DeliverStart+1)*UnitsLeasedPerMo))</f>
        <v/>
      </c>
      <c r="FV8" s="17">
        <f>IF(175&lt;DeliverStart,0,MIN(StabLeasedTarget,FV$7,(175-DeliverStart+1)*UnitsLeasedPerMo))</f>
        <v/>
      </c>
      <c r="FW8" s="17">
        <f>IF(176&lt;DeliverStart,0,MIN(StabLeasedTarget,FW$7,(176-DeliverStart+1)*UnitsLeasedPerMo))</f>
        <v/>
      </c>
      <c r="FX8" s="17">
        <f>IF(177&lt;DeliverStart,0,MIN(StabLeasedTarget,FX$7,(177-DeliverStart+1)*UnitsLeasedPerMo))</f>
        <v/>
      </c>
      <c r="FY8" s="17">
        <f>IF(178&lt;DeliverStart,0,MIN(StabLeasedTarget,FY$7,(178-DeliverStart+1)*UnitsLeasedPerMo))</f>
        <v/>
      </c>
      <c r="FZ8" s="17">
        <f>IF(179&lt;DeliverStart,0,MIN(StabLeasedTarget,FZ$7,(179-DeliverStart+1)*UnitsLeasedPerMo))</f>
        <v/>
      </c>
      <c r="GA8" s="17">
        <f>IF(180&lt;DeliverStart,0,MIN(StabLeasedTarget,GA$7,(180-DeliverStart+1)*UnitsLeasedPerMo))</f>
        <v/>
      </c>
      <c r="GB8" s="17">
        <f>IF(181&lt;DeliverStart,0,MIN(StabLeasedTarget,GB$7,(181-DeliverStart+1)*UnitsLeasedPerMo))</f>
        <v/>
      </c>
      <c r="GC8" s="17">
        <f>IF(182&lt;DeliverStart,0,MIN(StabLeasedTarget,GC$7,(182-DeliverStart+1)*UnitsLeasedPerMo))</f>
        <v/>
      </c>
      <c r="GD8" s="17">
        <f>IF(183&lt;DeliverStart,0,MIN(StabLeasedTarget,GD$7,(183-DeliverStart+1)*UnitsLeasedPerMo))</f>
        <v/>
      </c>
      <c r="GE8" s="17">
        <f>IF(184&lt;DeliverStart,0,MIN(StabLeasedTarget,GE$7,(184-DeliverStart+1)*UnitsLeasedPerMo))</f>
        <v/>
      </c>
      <c r="GF8" s="17">
        <f>IF(185&lt;DeliverStart,0,MIN(StabLeasedTarget,GF$7,(185-DeliverStart+1)*UnitsLeasedPerMo))</f>
        <v/>
      </c>
      <c r="GG8" s="17">
        <f>IF(186&lt;DeliverStart,0,MIN(StabLeasedTarget,GG$7,(186-DeliverStart+1)*UnitsLeasedPerMo))</f>
        <v/>
      </c>
      <c r="GH8" s="17">
        <f>IF(187&lt;DeliverStart,0,MIN(StabLeasedTarget,GH$7,(187-DeliverStart+1)*UnitsLeasedPerMo))</f>
        <v/>
      </c>
      <c r="GI8" s="17">
        <f>IF(188&lt;DeliverStart,0,MIN(StabLeasedTarget,GI$7,(188-DeliverStart+1)*UnitsLeasedPerMo))</f>
        <v/>
      </c>
      <c r="GJ8" s="17">
        <f>IF(189&lt;DeliverStart,0,MIN(StabLeasedTarget,GJ$7,(189-DeliverStart+1)*UnitsLeasedPerMo))</f>
        <v/>
      </c>
      <c r="GK8" s="17">
        <f>IF(190&lt;DeliverStart,0,MIN(StabLeasedTarget,GK$7,(190-DeliverStart+1)*UnitsLeasedPerMo))</f>
        <v/>
      </c>
      <c r="GL8" s="17">
        <f>IF(191&lt;DeliverStart,0,MIN(StabLeasedTarget,GL$7,(191-DeliverStart+1)*UnitsLeasedPerMo))</f>
        <v/>
      </c>
      <c r="GM8" s="17">
        <f>IF(192&lt;DeliverStart,0,MIN(StabLeasedTarget,GM$7,(192-DeliverStart+1)*UnitsLeasedPerMo))</f>
        <v/>
      </c>
      <c r="GN8" s="17">
        <f>IF(193&lt;DeliverStart,0,MIN(StabLeasedTarget,GN$7,(193-DeliverStart+1)*UnitsLeasedPerMo))</f>
        <v/>
      </c>
      <c r="GO8" s="17">
        <f>IF(194&lt;DeliverStart,0,MIN(StabLeasedTarget,GO$7,(194-DeliverStart+1)*UnitsLeasedPerMo))</f>
        <v/>
      </c>
      <c r="GP8" s="17">
        <f>IF(195&lt;DeliverStart,0,MIN(StabLeasedTarget,GP$7,(195-DeliverStart+1)*UnitsLeasedPerMo))</f>
        <v/>
      </c>
      <c r="GQ8" s="17">
        <f>IF(196&lt;DeliverStart,0,MIN(StabLeasedTarget,GQ$7,(196-DeliverStart+1)*UnitsLeasedPerMo))</f>
        <v/>
      </c>
      <c r="GR8" s="17">
        <f>IF(197&lt;DeliverStart,0,MIN(StabLeasedTarget,GR$7,(197-DeliverStart+1)*UnitsLeasedPerMo))</f>
        <v/>
      </c>
      <c r="GS8" s="17">
        <f>IF(198&lt;DeliverStart,0,MIN(StabLeasedTarget,GS$7,(198-DeliverStart+1)*UnitsLeasedPerMo))</f>
        <v/>
      </c>
      <c r="GT8" s="17">
        <f>IF(199&lt;DeliverStart,0,MIN(StabLeasedTarget,GT$7,(199-DeliverStart+1)*UnitsLeasedPerMo))</f>
        <v/>
      </c>
      <c r="GU8" s="17">
        <f>IF(200&lt;DeliverStart,0,MIN(StabLeasedTarget,GU$7,(200-DeliverStart+1)*UnitsLeasedPerMo))</f>
        <v/>
      </c>
      <c r="GV8" s="17">
        <f>IF(201&lt;DeliverStart,0,MIN(StabLeasedTarget,GV$7,(201-DeliverStart+1)*UnitsLeasedPerMo))</f>
        <v/>
      </c>
      <c r="GW8" s="17">
        <f>IF(202&lt;DeliverStart,0,MIN(StabLeasedTarget,GW$7,(202-DeliverStart+1)*UnitsLeasedPerMo))</f>
        <v/>
      </c>
      <c r="GX8" s="17">
        <f>IF(203&lt;DeliverStart,0,MIN(StabLeasedTarget,GX$7,(203-DeliverStart+1)*UnitsLeasedPerMo))</f>
        <v/>
      </c>
      <c r="GY8" s="17">
        <f>IF(204&lt;DeliverStart,0,MIN(StabLeasedTarget,GY$7,(204-DeliverStart+1)*UnitsLeasedPerMo))</f>
        <v/>
      </c>
      <c r="GZ8" s="17">
        <f>IF(205&lt;DeliverStart,0,MIN(StabLeasedTarget,GZ$7,(205-DeliverStart+1)*UnitsLeasedPerMo))</f>
        <v/>
      </c>
      <c r="HA8" s="17">
        <f>IF(206&lt;DeliverStart,0,MIN(StabLeasedTarget,HA$7,(206-DeliverStart+1)*UnitsLeasedPerMo))</f>
        <v/>
      </c>
      <c r="HB8" s="17">
        <f>IF(207&lt;DeliverStart,0,MIN(StabLeasedTarget,HB$7,(207-DeliverStart+1)*UnitsLeasedPerMo))</f>
        <v/>
      </c>
      <c r="HC8" s="17">
        <f>IF(208&lt;DeliverStart,0,MIN(StabLeasedTarget,HC$7,(208-DeliverStart+1)*UnitsLeasedPerMo))</f>
        <v/>
      </c>
      <c r="HD8" s="17">
        <f>IF(209&lt;DeliverStart,0,MIN(StabLeasedTarget,HD$7,(209-DeliverStart+1)*UnitsLeasedPerMo))</f>
        <v/>
      </c>
      <c r="HE8" s="17">
        <f>IF(210&lt;DeliverStart,0,MIN(StabLeasedTarget,HE$7,(210-DeliverStart+1)*UnitsLeasedPerMo))</f>
        <v/>
      </c>
      <c r="HF8" s="17">
        <f>IF(211&lt;DeliverStart,0,MIN(StabLeasedTarget,HF$7,(211-DeliverStart+1)*UnitsLeasedPerMo))</f>
        <v/>
      </c>
      <c r="HG8" s="17">
        <f>IF(212&lt;DeliverStart,0,MIN(StabLeasedTarget,HG$7,(212-DeliverStart+1)*UnitsLeasedPerMo))</f>
        <v/>
      </c>
      <c r="HH8" s="17">
        <f>IF(213&lt;DeliverStart,0,MIN(StabLeasedTarget,HH$7,(213-DeliverStart+1)*UnitsLeasedPerMo))</f>
        <v/>
      </c>
      <c r="HI8" s="17">
        <f>IF(214&lt;DeliverStart,0,MIN(StabLeasedTarget,HI$7,(214-DeliverStart+1)*UnitsLeasedPerMo))</f>
        <v/>
      </c>
      <c r="HJ8" s="17">
        <f>IF(215&lt;DeliverStart,0,MIN(StabLeasedTarget,HJ$7,(215-DeliverStart+1)*UnitsLeasedPerMo))</f>
        <v/>
      </c>
      <c r="HK8" s="17">
        <f>IF(216&lt;DeliverStart,0,MIN(StabLeasedTarget,HK$7,(216-DeliverStart+1)*UnitsLeasedPerMo))</f>
        <v/>
      </c>
      <c r="HL8" s="17">
        <f>IF(217&lt;DeliverStart,0,MIN(StabLeasedTarget,HL$7,(217-DeliverStart+1)*UnitsLeasedPerMo))</f>
        <v/>
      </c>
      <c r="HM8" s="17">
        <f>IF(218&lt;DeliverStart,0,MIN(StabLeasedTarget,HM$7,(218-DeliverStart+1)*UnitsLeasedPerMo))</f>
        <v/>
      </c>
      <c r="HN8" s="17">
        <f>IF(219&lt;DeliverStart,0,MIN(StabLeasedTarget,HN$7,(219-DeliverStart+1)*UnitsLeasedPerMo))</f>
        <v/>
      </c>
      <c r="HO8" s="17">
        <f>IF(220&lt;DeliverStart,0,MIN(StabLeasedTarget,HO$7,(220-DeliverStart+1)*UnitsLeasedPerMo))</f>
        <v/>
      </c>
      <c r="HP8" s="17">
        <f>IF(221&lt;DeliverStart,0,MIN(StabLeasedTarget,HP$7,(221-DeliverStart+1)*UnitsLeasedPerMo))</f>
        <v/>
      </c>
      <c r="HQ8" s="17">
        <f>IF(222&lt;DeliverStart,0,MIN(StabLeasedTarget,HQ$7,(222-DeliverStart+1)*UnitsLeasedPerMo))</f>
        <v/>
      </c>
      <c r="HR8" s="17">
        <f>IF(223&lt;DeliverStart,0,MIN(StabLeasedTarget,HR$7,(223-DeliverStart+1)*UnitsLeasedPerMo))</f>
        <v/>
      </c>
      <c r="HS8" s="17">
        <f>IF(224&lt;DeliverStart,0,MIN(StabLeasedTarget,HS$7,(224-DeliverStart+1)*UnitsLeasedPerMo))</f>
        <v/>
      </c>
      <c r="HT8" s="17">
        <f>IF(225&lt;DeliverStart,0,MIN(StabLeasedTarget,HT$7,(225-DeliverStart+1)*UnitsLeasedPerMo))</f>
        <v/>
      </c>
      <c r="HU8" s="17">
        <f>IF(226&lt;DeliverStart,0,MIN(StabLeasedTarget,HU$7,(226-DeliverStart+1)*UnitsLeasedPerMo))</f>
        <v/>
      </c>
      <c r="HV8" s="17">
        <f>IF(227&lt;DeliverStart,0,MIN(StabLeasedTarget,HV$7,(227-DeliverStart+1)*UnitsLeasedPerMo))</f>
        <v/>
      </c>
      <c r="HW8" s="17">
        <f>IF(228&lt;DeliverStart,0,MIN(StabLeasedTarget,HW$7,(228-DeliverStart+1)*UnitsLeasedPerMo))</f>
        <v/>
      </c>
      <c r="HX8" s="17">
        <f>IF(229&lt;DeliverStart,0,MIN(StabLeasedTarget,HX$7,(229-DeliverStart+1)*UnitsLeasedPerMo))</f>
        <v/>
      </c>
      <c r="HY8" s="17">
        <f>IF(230&lt;DeliverStart,0,MIN(StabLeasedTarget,HY$7,(230-DeliverStart+1)*UnitsLeasedPerMo))</f>
        <v/>
      </c>
      <c r="HZ8" s="17">
        <f>IF(231&lt;DeliverStart,0,MIN(StabLeasedTarget,HZ$7,(231-DeliverStart+1)*UnitsLeasedPerMo))</f>
        <v/>
      </c>
      <c r="IA8" s="17">
        <f>IF(232&lt;DeliverStart,0,MIN(StabLeasedTarget,IA$7,(232-DeliverStart+1)*UnitsLeasedPerMo))</f>
        <v/>
      </c>
      <c r="IB8" s="17">
        <f>IF(233&lt;DeliverStart,0,MIN(StabLeasedTarget,IB$7,(233-DeliverStart+1)*UnitsLeasedPerMo))</f>
        <v/>
      </c>
      <c r="IC8" s="17">
        <f>IF(234&lt;DeliverStart,0,MIN(StabLeasedTarget,IC$7,(234-DeliverStart+1)*UnitsLeasedPerMo))</f>
        <v/>
      </c>
      <c r="ID8" s="17">
        <f>IF(235&lt;DeliverStart,0,MIN(StabLeasedTarget,ID$7,(235-DeliverStart+1)*UnitsLeasedPerMo))</f>
        <v/>
      </c>
      <c r="IE8" s="17">
        <f>IF(236&lt;DeliverStart,0,MIN(StabLeasedTarget,IE$7,(236-DeliverStart+1)*UnitsLeasedPerMo))</f>
        <v/>
      </c>
      <c r="IF8" s="17">
        <f>IF(237&lt;DeliverStart,0,MIN(StabLeasedTarget,IF$7,(237-DeliverStart+1)*UnitsLeasedPerMo))</f>
        <v/>
      </c>
      <c r="IG8" s="17">
        <f>IF(238&lt;DeliverStart,0,MIN(StabLeasedTarget,IG$7,(238-DeliverStart+1)*UnitsLeasedPerMo))</f>
        <v/>
      </c>
      <c r="IH8" s="17">
        <f>IF(239&lt;DeliverStart,0,MIN(StabLeasedTarget,IH$7,(239-DeliverStart+1)*UnitsLeasedPerMo))</f>
        <v/>
      </c>
      <c r="II8" s="17">
        <f>IF(240&lt;DeliverStart,0,MIN(StabLeasedTarget,II$7,(240-DeliverStart+1)*UnitsLeasedPerMo))</f>
        <v/>
      </c>
      <c r="IJ8" s="17">
        <f>IF(241&lt;DeliverStart,0,MIN(StabLeasedTarget,IJ$7,(241-DeliverStart+1)*UnitsLeasedPerMo))</f>
        <v/>
      </c>
      <c r="IK8" s="17">
        <f>IF(242&lt;DeliverStart,0,MIN(StabLeasedTarget,IK$7,(242-DeliverStart+1)*UnitsLeasedPerMo))</f>
        <v/>
      </c>
      <c r="IL8" s="17">
        <f>IF(243&lt;DeliverStart,0,MIN(StabLeasedTarget,IL$7,(243-DeliverStart+1)*UnitsLeasedPerMo))</f>
        <v/>
      </c>
      <c r="IM8" s="17">
        <f>IF(244&lt;DeliverStart,0,MIN(StabLeasedTarget,IM$7,(244-DeliverStart+1)*UnitsLeasedPerMo))</f>
        <v/>
      </c>
      <c r="IN8" s="17">
        <f>IF(245&lt;DeliverStart,0,MIN(StabLeasedTarget,IN$7,(245-DeliverStart+1)*UnitsLeasedPerMo))</f>
        <v/>
      </c>
      <c r="IO8" s="17">
        <f>IF(246&lt;DeliverStart,0,MIN(StabLeasedTarget,IO$7,(246-DeliverStart+1)*UnitsLeasedPerMo))</f>
        <v/>
      </c>
      <c r="IP8" s="17">
        <f>IF(247&lt;DeliverStart,0,MIN(StabLeasedTarget,IP$7,(247-DeliverStart+1)*UnitsLeasedPerMo))</f>
        <v/>
      </c>
      <c r="IQ8" s="17">
        <f>IF(248&lt;DeliverStart,0,MIN(StabLeasedTarget,IQ$7,(248-DeliverStart+1)*UnitsLeasedPerMo))</f>
        <v/>
      </c>
      <c r="IR8" s="17">
        <f>IF(249&lt;DeliverStart,0,MIN(StabLeasedTarget,IR$7,(249-DeliverStart+1)*UnitsLeasedPerMo))</f>
        <v/>
      </c>
      <c r="IS8" s="17">
        <f>IF(250&lt;DeliverStart,0,MIN(StabLeasedTarget,IS$7,(250-DeliverStart+1)*UnitsLeasedPerMo))</f>
        <v/>
      </c>
      <c r="IT8" s="17">
        <f>IF(251&lt;DeliverStart,0,MIN(StabLeasedTarget,IT$7,(251-DeliverStart+1)*UnitsLeasedPerMo))</f>
        <v/>
      </c>
      <c r="IU8" s="17">
        <f>IF(252&lt;DeliverStart,0,MIN(StabLeasedTarget,IU$7,(252-DeliverStart+1)*UnitsLeasedPerMo))</f>
        <v/>
      </c>
      <c r="IV8" s="17">
        <f>IF(253&lt;DeliverStart,0,MIN(StabLeasedTarget,IV$7,(253-DeliverStart+1)*UnitsLeasedPerMo))</f>
        <v/>
      </c>
      <c r="IW8" s="17">
        <f>IF(254&lt;DeliverStart,0,MIN(StabLeasedTarget,IW$7,(254-DeliverStart+1)*UnitsLeasedPerMo))</f>
        <v/>
      </c>
      <c r="IX8" s="17">
        <f>IF(255&lt;DeliverStart,0,MIN(StabLeasedTarget,IX$7,(255-DeliverStart+1)*UnitsLeasedPerMo))</f>
        <v/>
      </c>
      <c r="IY8" s="17">
        <f>IF(256&lt;DeliverStart,0,MIN(StabLeasedTarget,IY$7,(256-DeliverStart+1)*UnitsLeasedPerMo))</f>
        <v/>
      </c>
      <c r="IZ8" s="17">
        <f>IF(257&lt;DeliverStart,0,MIN(StabLeasedTarget,IZ$7,(257-DeliverStart+1)*UnitsLeasedPerMo))</f>
        <v/>
      </c>
      <c r="JA8" s="17">
        <f>IF(258&lt;DeliverStart,0,MIN(StabLeasedTarget,JA$7,(258-DeliverStart+1)*UnitsLeasedPerMo))</f>
        <v/>
      </c>
      <c r="JB8" s="17">
        <f>IF(259&lt;DeliverStart,0,MIN(StabLeasedTarget,JB$7,(259-DeliverStart+1)*UnitsLeasedPerMo))</f>
        <v/>
      </c>
      <c r="JC8" s="17">
        <f>IF(260&lt;DeliverStart,0,MIN(StabLeasedTarget,JC$7,(260-DeliverStart+1)*UnitsLeasedPerMo))</f>
        <v/>
      </c>
      <c r="JD8" s="17">
        <f>IF(261&lt;DeliverStart,0,MIN(StabLeasedTarget,JD$7,(261-DeliverStart+1)*UnitsLeasedPerMo))</f>
        <v/>
      </c>
      <c r="JE8" s="17">
        <f>IF(262&lt;DeliverStart,0,MIN(StabLeasedTarget,JE$7,(262-DeliverStart+1)*UnitsLeasedPerMo))</f>
        <v/>
      </c>
      <c r="JF8" s="17">
        <f>IF(263&lt;DeliverStart,0,MIN(StabLeasedTarget,JF$7,(263-DeliverStart+1)*UnitsLeasedPerMo))</f>
        <v/>
      </c>
      <c r="JG8" s="17">
        <f>IF(264&lt;DeliverStart,0,MIN(StabLeasedTarget,JG$7,(264-DeliverStart+1)*UnitsLeasedPerMo))</f>
        <v/>
      </c>
      <c r="JH8" s="17">
        <f>IF(265&lt;DeliverStart,0,MIN(StabLeasedTarget,JH$7,(265-DeliverStart+1)*UnitsLeasedPerMo))</f>
        <v/>
      </c>
      <c r="JI8" s="17">
        <f>IF(266&lt;DeliverStart,0,MIN(StabLeasedTarget,JI$7,(266-DeliverStart+1)*UnitsLeasedPerMo))</f>
        <v/>
      </c>
      <c r="JJ8" s="17">
        <f>IF(267&lt;DeliverStart,0,MIN(StabLeasedTarget,JJ$7,(267-DeliverStart+1)*UnitsLeasedPerMo))</f>
        <v/>
      </c>
      <c r="JK8" s="17">
        <f>IF(268&lt;DeliverStart,0,MIN(StabLeasedTarget,JK$7,(268-DeliverStart+1)*UnitsLeasedPerMo))</f>
        <v/>
      </c>
      <c r="JL8" s="17">
        <f>IF(269&lt;DeliverStart,0,MIN(StabLeasedTarget,JL$7,(269-DeliverStart+1)*UnitsLeasedPerMo))</f>
        <v/>
      </c>
      <c r="JM8" s="17">
        <f>IF(270&lt;DeliverStart,0,MIN(StabLeasedTarget,JM$7,(270-DeliverStart+1)*UnitsLeasedPerMo))</f>
        <v/>
      </c>
      <c r="JN8" s="17">
        <f>IF(271&lt;DeliverStart,0,MIN(StabLeasedTarget,JN$7,(271-DeliverStart+1)*UnitsLeasedPerMo))</f>
        <v/>
      </c>
      <c r="JO8" s="17">
        <f>IF(272&lt;DeliverStart,0,MIN(StabLeasedTarget,JO$7,(272-DeliverStart+1)*UnitsLeasedPerMo))</f>
        <v/>
      </c>
      <c r="JP8" s="17">
        <f>IF(273&lt;DeliverStart,0,MIN(StabLeasedTarget,JP$7,(273-DeliverStart+1)*UnitsLeasedPerMo))</f>
        <v/>
      </c>
      <c r="JQ8" s="17">
        <f>IF(274&lt;DeliverStart,0,MIN(StabLeasedTarget,JQ$7,(274-DeliverStart+1)*UnitsLeasedPerMo))</f>
        <v/>
      </c>
      <c r="JR8" s="17">
        <f>IF(275&lt;DeliverStart,0,MIN(StabLeasedTarget,JR$7,(275-DeliverStart+1)*UnitsLeasedPerMo))</f>
        <v/>
      </c>
      <c r="JS8" s="17">
        <f>IF(276&lt;DeliverStart,0,MIN(StabLeasedTarget,JS$7,(276-DeliverStart+1)*UnitsLeasedPerMo))</f>
        <v/>
      </c>
      <c r="JT8" s="17">
        <f>IF(277&lt;DeliverStart,0,MIN(StabLeasedTarget,JT$7,(277-DeliverStart+1)*UnitsLeasedPerMo))</f>
        <v/>
      </c>
      <c r="JU8" s="17">
        <f>IF(278&lt;DeliverStart,0,MIN(StabLeasedTarget,JU$7,(278-DeliverStart+1)*UnitsLeasedPerMo))</f>
        <v/>
      </c>
      <c r="JV8" s="17">
        <f>IF(279&lt;DeliverStart,0,MIN(StabLeasedTarget,JV$7,(279-DeliverStart+1)*UnitsLeasedPerMo))</f>
        <v/>
      </c>
      <c r="JW8" s="17">
        <f>IF(280&lt;DeliverStart,0,MIN(StabLeasedTarget,JW$7,(280-DeliverStart+1)*UnitsLeasedPerMo))</f>
        <v/>
      </c>
      <c r="JX8" s="17">
        <f>IF(281&lt;DeliverStart,0,MIN(StabLeasedTarget,JX$7,(281-DeliverStart+1)*UnitsLeasedPerMo))</f>
        <v/>
      </c>
      <c r="JY8" s="17">
        <f>IF(282&lt;DeliverStart,0,MIN(StabLeasedTarget,JY$7,(282-DeliverStart+1)*UnitsLeasedPerMo))</f>
        <v/>
      </c>
      <c r="JZ8" s="17">
        <f>IF(283&lt;DeliverStart,0,MIN(StabLeasedTarget,JZ$7,(283-DeliverStart+1)*UnitsLeasedPerMo))</f>
        <v/>
      </c>
      <c r="KA8" s="17">
        <f>IF(284&lt;DeliverStart,0,MIN(StabLeasedTarget,KA$7,(284-DeliverStart+1)*UnitsLeasedPerMo))</f>
        <v/>
      </c>
      <c r="KB8" s="17">
        <f>IF(285&lt;DeliverStart,0,MIN(StabLeasedTarget,KB$7,(285-DeliverStart+1)*UnitsLeasedPerMo))</f>
        <v/>
      </c>
      <c r="KC8" s="17">
        <f>IF(286&lt;DeliverStart,0,MIN(StabLeasedTarget,KC$7,(286-DeliverStart+1)*UnitsLeasedPerMo))</f>
        <v/>
      </c>
      <c r="KD8" s="17">
        <f>IF(287&lt;DeliverStart,0,MIN(StabLeasedTarget,KD$7,(287-DeliverStart+1)*UnitsLeasedPerMo))</f>
        <v/>
      </c>
      <c r="KE8" s="17">
        <f>IF(288&lt;DeliverStart,0,MIN(StabLeasedTarget,KE$7,(288-DeliverStart+1)*UnitsLeasedPerMo))</f>
        <v/>
      </c>
      <c r="KF8" s="17">
        <f>IF(289&lt;DeliverStart,0,MIN(StabLeasedTarget,KF$7,(289-DeliverStart+1)*UnitsLeasedPerMo))</f>
        <v/>
      </c>
      <c r="KG8" s="17">
        <f>IF(290&lt;DeliverStart,0,MIN(StabLeasedTarget,KG$7,(290-DeliverStart+1)*UnitsLeasedPerMo))</f>
        <v/>
      </c>
      <c r="KH8" s="17">
        <f>IF(291&lt;DeliverStart,0,MIN(StabLeasedTarget,KH$7,(291-DeliverStart+1)*UnitsLeasedPerMo))</f>
        <v/>
      </c>
      <c r="KI8" s="17">
        <f>IF(292&lt;DeliverStart,0,MIN(StabLeasedTarget,KI$7,(292-DeliverStart+1)*UnitsLeasedPerMo))</f>
        <v/>
      </c>
      <c r="KJ8" s="17">
        <f>IF(293&lt;DeliverStart,0,MIN(StabLeasedTarget,KJ$7,(293-DeliverStart+1)*UnitsLeasedPerMo))</f>
        <v/>
      </c>
      <c r="KK8" s="17">
        <f>IF(294&lt;DeliverStart,0,MIN(StabLeasedTarget,KK$7,(294-DeliverStart+1)*UnitsLeasedPerMo))</f>
        <v/>
      </c>
      <c r="KL8" s="17">
        <f>IF(295&lt;DeliverStart,0,MIN(StabLeasedTarget,KL$7,(295-DeliverStart+1)*UnitsLeasedPerMo))</f>
        <v/>
      </c>
      <c r="KM8" s="17">
        <f>IF(296&lt;DeliverStart,0,MIN(StabLeasedTarget,KM$7,(296-DeliverStart+1)*UnitsLeasedPerMo))</f>
        <v/>
      </c>
      <c r="KN8" s="17">
        <f>IF(297&lt;DeliverStart,0,MIN(StabLeasedTarget,KN$7,(297-DeliverStart+1)*UnitsLeasedPerMo))</f>
        <v/>
      </c>
      <c r="KO8" s="17">
        <f>IF(298&lt;DeliverStart,0,MIN(StabLeasedTarget,KO$7,(298-DeliverStart+1)*UnitsLeasedPerMo))</f>
        <v/>
      </c>
      <c r="KP8" s="17">
        <f>IF(299&lt;DeliverStart,0,MIN(StabLeasedTarget,KP$7,(299-DeliverStart+1)*UnitsLeasedPerMo))</f>
        <v/>
      </c>
      <c r="KQ8" s="17">
        <f>IF(300&lt;DeliverStart,0,MIN(StabLeasedTarget,KQ$7,(300-DeliverStart+1)*UnitsLeasedPerMo))</f>
        <v/>
      </c>
      <c r="KR8" s="17">
        <f>IF(301&lt;DeliverStart,0,MIN(StabLeasedTarget,KR$7,(301-DeliverStart+1)*UnitsLeasedPerMo))</f>
        <v/>
      </c>
      <c r="KS8" s="17">
        <f>IF(302&lt;DeliverStart,0,MIN(StabLeasedTarget,KS$7,(302-DeliverStart+1)*UnitsLeasedPerMo))</f>
        <v/>
      </c>
      <c r="KT8" s="17">
        <f>IF(303&lt;DeliverStart,0,MIN(StabLeasedTarget,KT$7,(303-DeliverStart+1)*UnitsLeasedPerMo))</f>
        <v/>
      </c>
      <c r="KU8" s="17">
        <f>IF(304&lt;DeliverStart,0,MIN(StabLeasedTarget,KU$7,(304-DeliverStart+1)*UnitsLeasedPerMo))</f>
        <v/>
      </c>
      <c r="KV8" s="17">
        <f>IF(305&lt;DeliverStart,0,MIN(StabLeasedTarget,KV$7,(305-DeliverStart+1)*UnitsLeasedPerMo))</f>
        <v/>
      </c>
      <c r="KW8" s="17">
        <f>IF(306&lt;DeliverStart,0,MIN(StabLeasedTarget,KW$7,(306-DeliverStart+1)*UnitsLeasedPerMo))</f>
        <v/>
      </c>
      <c r="KX8" s="17">
        <f>IF(307&lt;DeliverStart,0,MIN(StabLeasedTarget,KX$7,(307-DeliverStart+1)*UnitsLeasedPerMo))</f>
        <v/>
      </c>
      <c r="KY8" s="17">
        <f>IF(308&lt;DeliverStart,0,MIN(StabLeasedTarget,KY$7,(308-DeliverStart+1)*UnitsLeasedPerMo))</f>
        <v/>
      </c>
      <c r="KZ8" s="17">
        <f>IF(309&lt;DeliverStart,0,MIN(StabLeasedTarget,KZ$7,(309-DeliverStart+1)*UnitsLeasedPerMo))</f>
        <v/>
      </c>
      <c r="LA8" s="17">
        <f>IF(310&lt;DeliverStart,0,MIN(StabLeasedTarget,LA$7,(310-DeliverStart+1)*UnitsLeasedPerMo))</f>
        <v/>
      </c>
      <c r="LB8" s="17">
        <f>IF(311&lt;DeliverStart,0,MIN(StabLeasedTarget,LB$7,(311-DeliverStart+1)*UnitsLeasedPerMo))</f>
        <v/>
      </c>
      <c r="LC8" s="17">
        <f>IF(312&lt;DeliverStart,0,MIN(StabLeasedTarget,LC$7,(312-DeliverStart+1)*UnitsLeasedPerMo))</f>
        <v/>
      </c>
      <c r="LD8" s="17">
        <f>IF(313&lt;DeliverStart,0,MIN(StabLeasedTarget,LD$7,(313-DeliverStart+1)*UnitsLeasedPerMo))</f>
        <v/>
      </c>
      <c r="LE8" s="17">
        <f>IF(314&lt;DeliverStart,0,MIN(StabLeasedTarget,LE$7,(314-DeliverStart+1)*UnitsLeasedPerMo))</f>
        <v/>
      </c>
      <c r="LF8" s="17">
        <f>IF(315&lt;DeliverStart,0,MIN(StabLeasedTarget,LF$7,(315-DeliverStart+1)*UnitsLeasedPerMo))</f>
        <v/>
      </c>
      <c r="LG8" s="17">
        <f>IF(316&lt;DeliverStart,0,MIN(StabLeasedTarget,LG$7,(316-DeliverStart+1)*UnitsLeasedPerMo))</f>
        <v/>
      </c>
      <c r="LH8" s="17">
        <f>IF(317&lt;DeliverStart,0,MIN(StabLeasedTarget,LH$7,(317-DeliverStart+1)*UnitsLeasedPerMo))</f>
        <v/>
      </c>
      <c r="LI8" s="17">
        <f>IF(318&lt;DeliverStart,0,MIN(StabLeasedTarget,LI$7,(318-DeliverStart+1)*UnitsLeasedPerMo))</f>
        <v/>
      </c>
      <c r="LJ8" s="17">
        <f>IF(319&lt;DeliverStart,0,MIN(StabLeasedTarget,LJ$7,(319-DeliverStart+1)*UnitsLeasedPerMo))</f>
        <v/>
      </c>
      <c r="LK8" s="17">
        <f>IF(320&lt;DeliverStart,0,MIN(StabLeasedTarget,LK$7,(320-DeliverStart+1)*UnitsLeasedPerMo))</f>
        <v/>
      </c>
      <c r="LL8" s="17">
        <f>IF(321&lt;DeliverStart,0,MIN(StabLeasedTarget,LL$7,(321-DeliverStart+1)*UnitsLeasedPerMo))</f>
        <v/>
      </c>
      <c r="LM8" s="17">
        <f>IF(322&lt;DeliverStart,0,MIN(StabLeasedTarget,LM$7,(322-DeliverStart+1)*UnitsLeasedPerMo))</f>
        <v/>
      </c>
      <c r="LN8" s="17">
        <f>IF(323&lt;DeliverStart,0,MIN(StabLeasedTarget,LN$7,(323-DeliverStart+1)*UnitsLeasedPerMo))</f>
        <v/>
      </c>
      <c r="LO8" s="17">
        <f>IF(324&lt;DeliverStart,0,MIN(StabLeasedTarget,LO$7,(324-DeliverStart+1)*UnitsLeasedPerMo))</f>
        <v/>
      </c>
      <c r="LP8" s="17">
        <f>IF(325&lt;DeliverStart,0,MIN(StabLeasedTarget,LP$7,(325-DeliverStart+1)*UnitsLeasedPerMo))</f>
        <v/>
      </c>
      <c r="LQ8" s="17">
        <f>IF(326&lt;DeliverStart,0,MIN(StabLeasedTarget,LQ$7,(326-DeliverStart+1)*UnitsLeasedPerMo))</f>
        <v/>
      </c>
      <c r="LR8" s="17">
        <f>IF(327&lt;DeliverStart,0,MIN(StabLeasedTarget,LR$7,(327-DeliverStart+1)*UnitsLeasedPerMo))</f>
        <v/>
      </c>
      <c r="LS8" s="17">
        <f>IF(328&lt;DeliverStart,0,MIN(StabLeasedTarget,LS$7,(328-DeliverStart+1)*UnitsLeasedPerMo))</f>
        <v/>
      </c>
      <c r="LT8" s="17">
        <f>IF(329&lt;DeliverStart,0,MIN(StabLeasedTarget,LT$7,(329-DeliverStart+1)*UnitsLeasedPerMo))</f>
        <v/>
      </c>
      <c r="LU8" s="17">
        <f>IF(330&lt;DeliverStart,0,MIN(StabLeasedTarget,LU$7,(330-DeliverStart+1)*UnitsLeasedPerMo))</f>
        <v/>
      </c>
      <c r="LV8" s="17">
        <f>IF(331&lt;DeliverStart,0,MIN(StabLeasedTarget,LV$7,(331-DeliverStart+1)*UnitsLeasedPerMo))</f>
        <v/>
      </c>
      <c r="LW8" s="17">
        <f>IF(332&lt;DeliverStart,0,MIN(StabLeasedTarget,LW$7,(332-DeliverStart+1)*UnitsLeasedPerMo))</f>
        <v/>
      </c>
      <c r="LX8" s="17">
        <f>IF(333&lt;DeliverStart,0,MIN(StabLeasedTarget,LX$7,(333-DeliverStart+1)*UnitsLeasedPerMo))</f>
        <v/>
      </c>
      <c r="LY8" s="17">
        <f>IF(334&lt;DeliverStart,0,MIN(StabLeasedTarget,LY$7,(334-DeliverStart+1)*UnitsLeasedPerMo))</f>
        <v/>
      </c>
      <c r="LZ8" s="17">
        <f>IF(335&lt;DeliverStart,0,MIN(StabLeasedTarget,LZ$7,(335-DeliverStart+1)*UnitsLeasedPerMo))</f>
        <v/>
      </c>
      <c r="MA8" s="17">
        <f>IF(336&lt;DeliverStart,0,MIN(StabLeasedTarget,MA$7,(336-DeliverStart+1)*UnitsLeasedPerMo))</f>
        <v/>
      </c>
      <c r="MB8" s="17">
        <f>IF(337&lt;DeliverStart,0,MIN(StabLeasedTarget,MB$7,(337-DeliverStart+1)*UnitsLeasedPerMo))</f>
        <v/>
      </c>
      <c r="MC8" s="17">
        <f>IF(338&lt;DeliverStart,0,MIN(StabLeasedTarget,MC$7,(338-DeliverStart+1)*UnitsLeasedPerMo))</f>
        <v/>
      </c>
      <c r="MD8" s="17">
        <f>IF(339&lt;DeliverStart,0,MIN(StabLeasedTarget,MD$7,(339-DeliverStart+1)*UnitsLeasedPerMo))</f>
        <v/>
      </c>
      <c r="ME8" s="17">
        <f>IF(340&lt;DeliverStart,0,MIN(StabLeasedTarget,ME$7,(340-DeliverStart+1)*UnitsLeasedPerMo))</f>
        <v/>
      </c>
      <c r="MF8" s="17">
        <f>IF(341&lt;DeliverStart,0,MIN(StabLeasedTarget,MF$7,(341-DeliverStart+1)*UnitsLeasedPerMo))</f>
        <v/>
      </c>
      <c r="MG8" s="17">
        <f>IF(342&lt;DeliverStart,0,MIN(StabLeasedTarget,MG$7,(342-DeliverStart+1)*UnitsLeasedPerMo))</f>
        <v/>
      </c>
      <c r="MH8" s="17">
        <f>IF(343&lt;DeliverStart,0,MIN(StabLeasedTarget,MH$7,(343-DeliverStart+1)*UnitsLeasedPerMo))</f>
        <v/>
      </c>
      <c r="MI8" s="17">
        <f>IF(344&lt;DeliverStart,0,MIN(StabLeasedTarget,MI$7,(344-DeliverStart+1)*UnitsLeasedPerMo))</f>
        <v/>
      </c>
      <c r="MJ8" s="17">
        <f>IF(345&lt;DeliverStart,0,MIN(StabLeasedTarget,MJ$7,(345-DeliverStart+1)*UnitsLeasedPerMo))</f>
        <v/>
      </c>
      <c r="MK8" s="17">
        <f>IF(346&lt;DeliverStart,0,MIN(StabLeasedTarget,MK$7,(346-DeliverStart+1)*UnitsLeasedPerMo))</f>
        <v/>
      </c>
      <c r="ML8" s="17">
        <f>IF(347&lt;DeliverStart,0,MIN(StabLeasedTarget,ML$7,(347-DeliverStart+1)*UnitsLeasedPerMo))</f>
        <v/>
      </c>
      <c r="MM8" s="17">
        <f>IF(348&lt;DeliverStart,0,MIN(StabLeasedTarget,MM$7,(348-DeliverStart+1)*UnitsLeasedPerMo))</f>
        <v/>
      </c>
      <c r="MN8" s="17">
        <f>IF(349&lt;DeliverStart,0,MIN(StabLeasedTarget,MN$7,(349-DeliverStart+1)*UnitsLeasedPerMo))</f>
        <v/>
      </c>
      <c r="MO8" s="17">
        <f>IF(350&lt;DeliverStart,0,MIN(StabLeasedTarget,MO$7,(350-DeliverStart+1)*UnitsLeasedPerMo))</f>
        <v/>
      </c>
      <c r="MP8" s="17">
        <f>IF(351&lt;DeliverStart,0,MIN(StabLeasedTarget,MP$7,(351-DeliverStart+1)*UnitsLeasedPerMo))</f>
        <v/>
      </c>
      <c r="MQ8" s="17">
        <f>IF(352&lt;DeliverStart,0,MIN(StabLeasedTarget,MQ$7,(352-DeliverStart+1)*UnitsLeasedPerMo))</f>
        <v/>
      </c>
      <c r="MR8" s="17">
        <f>IF(353&lt;DeliverStart,0,MIN(StabLeasedTarget,MR$7,(353-DeliverStart+1)*UnitsLeasedPerMo))</f>
        <v/>
      </c>
      <c r="MS8" s="17">
        <f>IF(354&lt;DeliverStart,0,MIN(StabLeasedTarget,MS$7,(354-DeliverStart+1)*UnitsLeasedPerMo))</f>
        <v/>
      </c>
      <c r="MT8" s="17">
        <f>IF(355&lt;DeliverStart,0,MIN(StabLeasedTarget,MT$7,(355-DeliverStart+1)*UnitsLeasedPerMo))</f>
        <v/>
      </c>
      <c r="MU8" s="17">
        <f>IF(356&lt;DeliverStart,0,MIN(StabLeasedTarget,MU$7,(356-DeliverStart+1)*UnitsLeasedPerMo))</f>
        <v/>
      </c>
      <c r="MV8" s="17">
        <f>IF(357&lt;DeliverStart,0,MIN(StabLeasedTarget,MV$7,(357-DeliverStart+1)*UnitsLeasedPerMo))</f>
        <v/>
      </c>
      <c r="MW8" s="17">
        <f>IF(358&lt;DeliverStart,0,MIN(StabLeasedTarget,MW$7,(358-DeliverStart+1)*UnitsLeasedPerMo))</f>
        <v/>
      </c>
      <c r="MX8" s="17">
        <f>IF(359&lt;DeliverStart,0,MIN(StabLeasedTarget,MX$7,(359-DeliverStart+1)*UnitsLeasedPerMo))</f>
        <v/>
      </c>
      <c r="MY8" s="17">
        <f>IF(360&lt;DeliverStart,0,MIN(StabLeasedTarget,MY$7,(360-DeliverStart+1)*UnitsLeasedPerMo))</f>
        <v/>
      </c>
      <c r="MZ8" s="17">
        <f>IF(361&lt;DeliverStart,0,MIN(StabLeasedTarget,MZ$7,(361-DeliverStart+1)*UnitsLeasedPerMo))</f>
        <v/>
      </c>
      <c r="NA8" s="17">
        <f>IF(362&lt;DeliverStart,0,MIN(StabLeasedTarget,NA$7,(362-DeliverStart+1)*UnitsLeasedPerMo))</f>
        <v/>
      </c>
      <c r="NB8" s="17">
        <f>IF(363&lt;DeliverStart,0,MIN(StabLeasedTarget,NB$7,(363-DeliverStart+1)*UnitsLeasedPerMo))</f>
        <v/>
      </c>
      <c r="NC8" s="17">
        <f>IF(364&lt;DeliverStart,0,MIN(StabLeasedTarget,NC$7,(364-DeliverStart+1)*UnitsLeasedPerMo))</f>
        <v/>
      </c>
      <c r="ND8" s="17">
        <f>IF(365&lt;DeliverStart,0,MIN(StabLeasedTarget,ND$7,(365-DeliverStart+1)*UnitsLeasedPerMo))</f>
        <v/>
      </c>
      <c r="NE8" s="17">
        <f>IF(366&lt;DeliverStart,0,MIN(StabLeasedTarget,NE$7,(366-DeliverStart+1)*UnitsLeasedPerMo))</f>
        <v/>
      </c>
      <c r="NF8" s="17">
        <f>IF(367&lt;DeliverStart,0,MIN(StabLeasedTarget,NF$7,(367-DeliverStart+1)*UnitsLeasedPerMo))</f>
        <v/>
      </c>
      <c r="NG8" s="17">
        <f>IF(368&lt;DeliverStart,0,MIN(StabLeasedTarget,NG$7,(368-DeliverStart+1)*UnitsLeasedPerMo))</f>
        <v/>
      </c>
      <c r="NH8" s="17">
        <f>IF(369&lt;DeliverStart,0,MIN(StabLeasedTarget,NH$7,(369-DeliverStart+1)*UnitsLeasedPerMo))</f>
        <v/>
      </c>
      <c r="NI8" s="17">
        <f>IF(370&lt;DeliverStart,0,MIN(StabLeasedTarget,NI$7,(370-DeliverStart+1)*UnitsLeasedPerMo))</f>
        <v/>
      </c>
      <c r="NJ8" s="17">
        <f>IF(371&lt;DeliverStart,0,MIN(StabLeasedTarget,NJ$7,(371-DeliverStart+1)*UnitsLeasedPerMo))</f>
        <v/>
      </c>
      <c r="NK8" s="17">
        <f>IF(372&lt;DeliverStart,0,MIN(StabLeasedTarget,NK$7,(372-DeliverStart+1)*UnitsLeasedPerMo))</f>
        <v/>
      </c>
    </row>
    <row r="9">
      <c r="A9" s="5" t="inlineStr">
        <is>
          <t>Physical Occupancy</t>
        </is>
      </c>
      <c r="C9" s="51" t="n"/>
      <c r="D9" s="20">
        <f>IF(TotalUnits=0,0,D$8/TotalUnits)</f>
        <v/>
      </c>
      <c r="E9" s="20">
        <f>IF(TotalUnits=0,0,E$8/TotalUnits)</f>
        <v/>
      </c>
      <c r="F9" s="20">
        <f>IF(TotalUnits=0,0,F$8/TotalUnits)</f>
        <v/>
      </c>
      <c r="G9" s="20">
        <f>IF(TotalUnits=0,0,G$8/TotalUnits)</f>
        <v/>
      </c>
      <c r="H9" s="20">
        <f>IF(TotalUnits=0,0,H$8/TotalUnits)</f>
        <v/>
      </c>
      <c r="I9" s="20">
        <f>IF(TotalUnits=0,0,I$8/TotalUnits)</f>
        <v/>
      </c>
      <c r="J9" s="20">
        <f>IF(TotalUnits=0,0,J$8/TotalUnits)</f>
        <v/>
      </c>
      <c r="K9" s="20">
        <f>IF(TotalUnits=0,0,K$8/TotalUnits)</f>
        <v/>
      </c>
      <c r="L9" s="20">
        <f>IF(TotalUnits=0,0,L$8/TotalUnits)</f>
        <v/>
      </c>
      <c r="M9" s="20">
        <f>IF(TotalUnits=0,0,M$8/TotalUnits)</f>
        <v/>
      </c>
      <c r="N9" s="20">
        <f>IF(TotalUnits=0,0,N$8/TotalUnits)</f>
        <v/>
      </c>
      <c r="O9" s="20">
        <f>IF(TotalUnits=0,0,O$8/TotalUnits)</f>
        <v/>
      </c>
      <c r="P9" s="20">
        <f>IF(TotalUnits=0,0,P$8/TotalUnits)</f>
        <v/>
      </c>
      <c r="Q9" s="20">
        <f>IF(TotalUnits=0,0,Q$8/TotalUnits)</f>
        <v/>
      </c>
      <c r="R9" s="20">
        <f>IF(TotalUnits=0,0,R$8/TotalUnits)</f>
        <v/>
      </c>
      <c r="S9" s="20">
        <f>IF(TotalUnits=0,0,S$8/TotalUnits)</f>
        <v/>
      </c>
      <c r="T9" s="20">
        <f>IF(TotalUnits=0,0,T$8/TotalUnits)</f>
        <v/>
      </c>
      <c r="U9" s="20">
        <f>IF(TotalUnits=0,0,U$8/TotalUnits)</f>
        <v/>
      </c>
      <c r="V9" s="20">
        <f>IF(TotalUnits=0,0,V$8/TotalUnits)</f>
        <v/>
      </c>
      <c r="W9" s="20">
        <f>IF(TotalUnits=0,0,W$8/TotalUnits)</f>
        <v/>
      </c>
      <c r="X9" s="20">
        <f>IF(TotalUnits=0,0,X$8/TotalUnits)</f>
        <v/>
      </c>
      <c r="Y9" s="20">
        <f>IF(TotalUnits=0,0,Y$8/TotalUnits)</f>
        <v/>
      </c>
      <c r="Z9" s="20">
        <f>IF(TotalUnits=0,0,Z$8/TotalUnits)</f>
        <v/>
      </c>
      <c r="AA9" s="20">
        <f>IF(TotalUnits=0,0,AA$8/TotalUnits)</f>
        <v/>
      </c>
      <c r="AB9" s="20">
        <f>IF(TotalUnits=0,0,AB$8/TotalUnits)</f>
        <v/>
      </c>
      <c r="AC9" s="20">
        <f>IF(TotalUnits=0,0,AC$8/TotalUnits)</f>
        <v/>
      </c>
      <c r="AD9" s="20">
        <f>IF(TotalUnits=0,0,AD$8/TotalUnits)</f>
        <v/>
      </c>
      <c r="AE9" s="20">
        <f>IF(TotalUnits=0,0,AE$8/TotalUnits)</f>
        <v/>
      </c>
      <c r="AF9" s="20">
        <f>IF(TotalUnits=0,0,AF$8/TotalUnits)</f>
        <v/>
      </c>
      <c r="AG9" s="20">
        <f>IF(TotalUnits=0,0,AG$8/TotalUnits)</f>
        <v/>
      </c>
      <c r="AH9" s="20">
        <f>IF(TotalUnits=0,0,AH$8/TotalUnits)</f>
        <v/>
      </c>
      <c r="AI9" s="20">
        <f>IF(TotalUnits=0,0,AI$8/TotalUnits)</f>
        <v/>
      </c>
      <c r="AJ9" s="20">
        <f>IF(TotalUnits=0,0,AJ$8/TotalUnits)</f>
        <v/>
      </c>
      <c r="AK9" s="20">
        <f>IF(TotalUnits=0,0,AK$8/TotalUnits)</f>
        <v/>
      </c>
      <c r="AL9" s="20">
        <f>IF(TotalUnits=0,0,AL$8/TotalUnits)</f>
        <v/>
      </c>
      <c r="AM9" s="20">
        <f>IF(TotalUnits=0,0,AM$8/TotalUnits)</f>
        <v/>
      </c>
      <c r="AN9" s="20">
        <f>IF(TotalUnits=0,0,AN$8/TotalUnits)</f>
        <v/>
      </c>
      <c r="AO9" s="20">
        <f>IF(TotalUnits=0,0,AO$8/TotalUnits)</f>
        <v/>
      </c>
      <c r="AP9" s="20">
        <f>IF(TotalUnits=0,0,AP$8/TotalUnits)</f>
        <v/>
      </c>
      <c r="AQ9" s="20">
        <f>IF(TotalUnits=0,0,AQ$8/TotalUnits)</f>
        <v/>
      </c>
      <c r="AR9" s="20">
        <f>IF(TotalUnits=0,0,AR$8/TotalUnits)</f>
        <v/>
      </c>
      <c r="AS9" s="20">
        <f>IF(TotalUnits=0,0,AS$8/TotalUnits)</f>
        <v/>
      </c>
      <c r="AT9" s="20">
        <f>IF(TotalUnits=0,0,AT$8/TotalUnits)</f>
        <v/>
      </c>
      <c r="AU9" s="20">
        <f>IF(TotalUnits=0,0,AU$8/TotalUnits)</f>
        <v/>
      </c>
      <c r="AV9" s="20">
        <f>IF(TotalUnits=0,0,AV$8/TotalUnits)</f>
        <v/>
      </c>
      <c r="AW9" s="20">
        <f>IF(TotalUnits=0,0,AW$8/TotalUnits)</f>
        <v/>
      </c>
      <c r="AX9" s="20">
        <f>IF(TotalUnits=0,0,AX$8/TotalUnits)</f>
        <v/>
      </c>
      <c r="AY9" s="20">
        <f>IF(TotalUnits=0,0,AY$8/TotalUnits)</f>
        <v/>
      </c>
      <c r="AZ9" s="20">
        <f>IF(TotalUnits=0,0,AZ$8/TotalUnits)</f>
        <v/>
      </c>
      <c r="BA9" s="20">
        <f>IF(TotalUnits=0,0,BA$8/TotalUnits)</f>
        <v/>
      </c>
      <c r="BB9" s="20">
        <f>IF(TotalUnits=0,0,BB$8/TotalUnits)</f>
        <v/>
      </c>
      <c r="BC9" s="20">
        <f>IF(TotalUnits=0,0,BC$8/TotalUnits)</f>
        <v/>
      </c>
      <c r="BD9" s="20">
        <f>IF(TotalUnits=0,0,BD$8/TotalUnits)</f>
        <v/>
      </c>
      <c r="BE9" s="20">
        <f>IF(TotalUnits=0,0,BE$8/TotalUnits)</f>
        <v/>
      </c>
      <c r="BF9" s="20">
        <f>IF(TotalUnits=0,0,BF$8/TotalUnits)</f>
        <v/>
      </c>
      <c r="BG9" s="20">
        <f>IF(TotalUnits=0,0,BG$8/TotalUnits)</f>
        <v/>
      </c>
      <c r="BH9" s="20">
        <f>IF(TotalUnits=0,0,BH$8/TotalUnits)</f>
        <v/>
      </c>
      <c r="BI9" s="20">
        <f>IF(TotalUnits=0,0,BI$8/TotalUnits)</f>
        <v/>
      </c>
      <c r="BJ9" s="20">
        <f>IF(TotalUnits=0,0,BJ$8/TotalUnits)</f>
        <v/>
      </c>
      <c r="BK9" s="20">
        <f>IF(TotalUnits=0,0,BK$8/TotalUnits)</f>
        <v/>
      </c>
      <c r="BL9" s="20">
        <f>IF(TotalUnits=0,0,BL$8/TotalUnits)</f>
        <v/>
      </c>
      <c r="BM9" s="20">
        <f>IF(TotalUnits=0,0,BM$8/TotalUnits)</f>
        <v/>
      </c>
      <c r="BN9" s="20">
        <f>IF(TotalUnits=0,0,BN$8/TotalUnits)</f>
        <v/>
      </c>
      <c r="BO9" s="20">
        <f>IF(TotalUnits=0,0,BO$8/TotalUnits)</f>
        <v/>
      </c>
      <c r="BP9" s="20">
        <f>IF(TotalUnits=0,0,BP$8/TotalUnits)</f>
        <v/>
      </c>
      <c r="BQ9" s="20">
        <f>IF(TotalUnits=0,0,BQ$8/TotalUnits)</f>
        <v/>
      </c>
      <c r="BR9" s="20">
        <f>IF(TotalUnits=0,0,BR$8/TotalUnits)</f>
        <v/>
      </c>
      <c r="BS9" s="20">
        <f>IF(TotalUnits=0,0,BS$8/TotalUnits)</f>
        <v/>
      </c>
      <c r="BT9" s="20">
        <f>IF(TotalUnits=0,0,BT$8/TotalUnits)</f>
        <v/>
      </c>
      <c r="BU9" s="20">
        <f>IF(TotalUnits=0,0,BU$8/TotalUnits)</f>
        <v/>
      </c>
      <c r="BV9" s="20">
        <f>IF(TotalUnits=0,0,BV$8/TotalUnits)</f>
        <v/>
      </c>
      <c r="BW9" s="20">
        <f>IF(TotalUnits=0,0,BW$8/TotalUnits)</f>
        <v/>
      </c>
      <c r="BX9" s="20">
        <f>IF(TotalUnits=0,0,BX$8/TotalUnits)</f>
        <v/>
      </c>
      <c r="BY9" s="20">
        <f>IF(TotalUnits=0,0,BY$8/TotalUnits)</f>
        <v/>
      </c>
      <c r="BZ9" s="20">
        <f>IF(TotalUnits=0,0,BZ$8/TotalUnits)</f>
        <v/>
      </c>
      <c r="CA9" s="20">
        <f>IF(TotalUnits=0,0,CA$8/TotalUnits)</f>
        <v/>
      </c>
      <c r="CB9" s="20">
        <f>IF(TotalUnits=0,0,CB$8/TotalUnits)</f>
        <v/>
      </c>
      <c r="CC9" s="20">
        <f>IF(TotalUnits=0,0,CC$8/TotalUnits)</f>
        <v/>
      </c>
      <c r="CD9" s="20">
        <f>IF(TotalUnits=0,0,CD$8/TotalUnits)</f>
        <v/>
      </c>
      <c r="CE9" s="20">
        <f>IF(TotalUnits=0,0,CE$8/TotalUnits)</f>
        <v/>
      </c>
      <c r="CF9" s="20">
        <f>IF(TotalUnits=0,0,CF$8/TotalUnits)</f>
        <v/>
      </c>
      <c r="CG9" s="20">
        <f>IF(TotalUnits=0,0,CG$8/TotalUnits)</f>
        <v/>
      </c>
      <c r="CH9" s="20">
        <f>IF(TotalUnits=0,0,CH$8/TotalUnits)</f>
        <v/>
      </c>
      <c r="CI9" s="20">
        <f>IF(TotalUnits=0,0,CI$8/TotalUnits)</f>
        <v/>
      </c>
      <c r="CJ9" s="20">
        <f>IF(TotalUnits=0,0,CJ$8/TotalUnits)</f>
        <v/>
      </c>
      <c r="CK9" s="20">
        <f>IF(TotalUnits=0,0,CK$8/TotalUnits)</f>
        <v/>
      </c>
      <c r="CL9" s="20">
        <f>IF(TotalUnits=0,0,CL$8/TotalUnits)</f>
        <v/>
      </c>
      <c r="CM9" s="20">
        <f>IF(TotalUnits=0,0,CM$8/TotalUnits)</f>
        <v/>
      </c>
      <c r="CN9" s="20">
        <f>IF(TotalUnits=0,0,CN$8/TotalUnits)</f>
        <v/>
      </c>
      <c r="CO9" s="20">
        <f>IF(TotalUnits=0,0,CO$8/TotalUnits)</f>
        <v/>
      </c>
      <c r="CP9" s="20">
        <f>IF(TotalUnits=0,0,CP$8/TotalUnits)</f>
        <v/>
      </c>
      <c r="CQ9" s="20">
        <f>IF(TotalUnits=0,0,CQ$8/TotalUnits)</f>
        <v/>
      </c>
      <c r="CR9" s="20">
        <f>IF(TotalUnits=0,0,CR$8/TotalUnits)</f>
        <v/>
      </c>
      <c r="CS9" s="20">
        <f>IF(TotalUnits=0,0,CS$8/TotalUnits)</f>
        <v/>
      </c>
      <c r="CT9" s="20">
        <f>IF(TotalUnits=0,0,CT$8/TotalUnits)</f>
        <v/>
      </c>
      <c r="CU9" s="20">
        <f>IF(TotalUnits=0,0,CU$8/TotalUnits)</f>
        <v/>
      </c>
      <c r="CV9" s="20">
        <f>IF(TotalUnits=0,0,CV$8/TotalUnits)</f>
        <v/>
      </c>
      <c r="CW9" s="20">
        <f>IF(TotalUnits=0,0,CW$8/TotalUnits)</f>
        <v/>
      </c>
      <c r="CX9" s="20">
        <f>IF(TotalUnits=0,0,CX$8/TotalUnits)</f>
        <v/>
      </c>
      <c r="CY9" s="20">
        <f>IF(TotalUnits=0,0,CY$8/TotalUnits)</f>
        <v/>
      </c>
      <c r="CZ9" s="20">
        <f>IF(TotalUnits=0,0,CZ$8/TotalUnits)</f>
        <v/>
      </c>
      <c r="DA9" s="20">
        <f>IF(TotalUnits=0,0,DA$8/TotalUnits)</f>
        <v/>
      </c>
      <c r="DB9" s="20">
        <f>IF(TotalUnits=0,0,DB$8/TotalUnits)</f>
        <v/>
      </c>
      <c r="DC9" s="20">
        <f>IF(TotalUnits=0,0,DC$8/TotalUnits)</f>
        <v/>
      </c>
      <c r="DD9" s="20">
        <f>IF(TotalUnits=0,0,DD$8/TotalUnits)</f>
        <v/>
      </c>
      <c r="DE9" s="20">
        <f>IF(TotalUnits=0,0,DE$8/TotalUnits)</f>
        <v/>
      </c>
      <c r="DF9" s="20">
        <f>IF(TotalUnits=0,0,DF$8/TotalUnits)</f>
        <v/>
      </c>
      <c r="DG9" s="20">
        <f>IF(TotalUnits=0,0,DG$8/TotalUnits)</f>
        <v/>
      </c>
      <c r="DH9" s="20">
        <f>IF(TotalUnits=0,0,DH$8/TotalUnits)</f>
        <v/>
      </c>
      <c r="DI9" s="20">
        <f>IF(TotalUnits=0,0,DI$8/TotalUnits)</f>
        <v/>
      </c>
      <c r="DJ9" s="20">
        <f>IF(TotalUnits=0,0,DJ$8/TotalUnits)</f>
        <v/>
      </c>
      <c r="DK9" s="20">
        <f>IF(TotalUnits=0,0,DK$8/TotalUnits)</f>
        <v/>
      </c>
      <c r="DL9" s="20">
        <f>IF(TotalUnits=0,0,DL$8/TotalUnits)</f>
        <v/>
      </c>
      <c r="DM9" s="20">
        <f>IF(TotalUnits=0,0,DM$8/TotalUnits)</f>
        <v/>
      </c>
      <c r="DN9" s="20">
        <f>IF(TotalUnits=0,0,DN$8/TotalUnits)</f>
        <v/>
      </c>
      <c r="DO9" s="20">
        <f>IF(TotalUnits=0,0,DO$8/TotalUnits)</f>
        <v/>
      </c>
      <c r="DP9" s="20">
        <f>IF(TotalUnits=0,0,DP$8/TotalUnits)</f>
        <v/>
      </c>
      <c r="DQ9" s="20">
        <f>IF(TotalUnits=0,0,DQ$8/TotalUnits)</f>
        <v/>
      </c>
      <c r="DR9" s="20">
        <f>IF(TotalUnits=0,0,DR$8/TotalUnits)</f>
        <v/>
      </c>
      <c r="DS9" s="20">
        <f>IF(TotalUnits=0,0,DS$8/TotalUnits)</f>
        <v/>
      </c>
      <c r="DT9" s="20">
        <f>IF(TotalUnits=0,0,DT$8/TotalUnits)</f>
        <v/>
      </c>
      <c r="DU9" s="20">
        <f>IF(TotalUnits=0,0,DU$8/TotalUnits)</f>
        <v/>
      </c>
      <c r="DV9" s="20">
        <f>IF(TotalUnits=0,0,DV$8/TotalUnits)</f>
        <v/>
      </c>
      <c r="DW9" s="20">
        <f>IF(TotalUnits=0,0,DW$8/TotalUnits)</f>
        <v/>
      </c>
      <c r="DX9" s="20">
        <f>IF(TotalUnits=0,0,DX$8/TotalUnits)</f>
        <v/>
      </c>
      <c r="DY9" s="20">
        <f>IF(TotalUnits=0,0,DY$8/TotalUnits)</f>
        <v/>
      </c>
      <c r="DZ9" s="20">
        <f>IF(TotalUnits=0,0,DZ$8/TotalUnits)</f>
        <v/>
      </c>
      <c r="EA9" s="20">
        <f>IF(TotalUnits=0,0,EA$8/TotalUnits)</f>
        <v/>
      </c>
      <c r="EB9" s="20">
        <f>IF(TotalUnits=0,0,EB$8/TotalUnits)</f>
        <v/>
      </c>
      <c r="EC9" s="20">
        <f>IF(TotalUnits=0,0,EC$8/TotalUnits)</f>
        <v/>
      </c>
      <c r="ED9" s="20">
        <f>IF(TotalUnits=0,0,ED$8/TotalUnits)</f>
        <v/>
      </c>
      <c r="EE9" s="20">
        <f>IF(TotalUnits=0,0,EE$8/TotalUnits)</f>
        <v/>
      </c>
      <c r="EF9" s="20">
        <f>IF(TotalUnits=0,0,EF$8/TotalUnits)</f>
        <v/>
      </c>
      <c r="EG9" s="20">
        <f>IF(TotalUnits=0,0,EG$8/TotalUnits)</f>
        <v/>
      </c>
      <c r="EH9" s="20">
        <f>IF(TotalUnits=0,0,EH$8/TotalUnits)</f>
        <v/>
      </c>
      <c r="EI9" s="20">
        <f>IF(TotalUnits=0,0,EI$8/TotalUnits)</f>
        <v/>
      </c>
      <c r="EJ9" s="20">
        <f>IF(TotalUnits=0,0,EJ$8/TotalUnits)</f>
        <v/>
      </c>
      <c r="EK9" s="20">
        <f>IF(TotalUnits=0,0,EK$8/TotalUnits)</f>
        <v/>
      </c>
      <c r="EL9" s="20">
        <f>IF(TotalUnits=0,0,EL$8/TotalUnits)</f>
        <v/>
      </c>
      <c r="EM9" s="20">
        <f>IF(TotalUnits=0,0,EM$8/TotalUnits)</f>
        <v/>
      </c>
      <c r="EN9" s="20">
        <f>IF(TotalUnits=0,0,EN$8/TotalUnits)</f>
        <v/>
      </c>
      <c r="EO9" s="20">
        <f>IF(TotalUnits=0,0,EO$8/TotalUnits)</f>
        <v/>
      </c>
      <c r="EP9" s="20">
        <f>IF(TotalUnits=0,0,EP$8/TotalUnits)</f>
        <v/>
      </c>
      <c r="EQ9" s="20">
        <f>IF(TotalUnits=0,0,EQ$8/TotalUnits)</f>
        <v/>
      </c>
      <c r="ER9" s="20">
        <f>IF(TotalUnits=0,0,ER$8/TotalUnits)</f>
        <v/>
      </c>
      <c r="ES9" s="20">
        <f>IF(TotalUnits=0,0,ES$8/TotalUnits)</f>
        <v/>
      </c>
      <c r="ET9" s="20">
        <f>IF(TotalUnits=0,0,ET$8/TotalUnits)</f>
        <v/>
      </c>
      <c r="EU9" s="20">
        <f>IF(TotalUnits=0,0,EU$8/TotalUnits)</f>
        <v/>
      </c>
      <c r="EV9" s="20">
        <f>IF(TotalUnits=0,0,EV$8/TotalUnits)</f>
        <v/>
      </c>
      <c r="EW9" s="20">
        <f>IF(TotalUnits=0,0,EW$8/TotalUnits)</f>
        <v/>
      </c>
      <c r="EX9" s="20">
        <f>IF(TotalUnits=0,0,EX$8/TotalUnits)</f>
        <v/>
      </c>
      <c r="EY9" s="20">
        <f>IF(TotalUnits=0,0,EY$8/TotalUnits)</f>
        <v/>
      </c>
      <c r="EZ9" s="20">
        <f>IF(TotalUnits=0,0,EZ$8/TotalUnits)</f>
        <v/>
      </c>
      <c r="FA9" s="20">
        <f>IF(TotalUnits=0,0,FA$8/TotalUnits)</f>
        <v/>
      </c>
      <c r="FB9" s="20">
        <f>IF(TotalUnits=0,0,FB$8/TotalUnits)</f>
        <v/>
      </c>
      <c r="FC9" s="20">
        <f>IF(TotalUnits=0,0,FC$8/TotalUnits)</f>
        <v/>
      </c>
      <c r="FD9" s="20">
        <f>IF(TotalUnits=0,0,FD$8/TotalUnits)</f>
        <v/>
      </c>
      <c r="FE9" s="20">
        <f>IF(TotalUnits=0,0,FE$8/TotalUnits)</f>
        <v/>
      </c>
      <c r="FF9" s="20">
        <f>IF(TotalUnits=0,0,FF$8/TotalUnits)</f>
        <v/>
      </c>
      <c r="FG9" s="20">
        <f>IF(TotalUnits=0,0,FG$8/TotalUnits)</f>
        <v/>
      </c>
      <c r="FH9" s="20">
        <f>IF(TotalUnits=0,0,FH$8/TotalUnits)</f>
        <v/>
      </c>
      <c r="FI9" s="20">
        <f>IF(TotalUnits=0,0,FI$8/TotalUnits)</f>
        <v/>
      </c>
      <c r="FJ9" s="20">
        <f>IF(TotalUnits=0,0,FJ$8/TotalUnits)</f>
        <v/>
      </c>
      <c r="FK9" s="20">
        <f>IF(TotalUnits=0,0,FK$8/TotalUnits)</f>
        <v/>
      </c>
      <c r="FL9" s="20">
        <f>IF(TotalUnits=0,0,FL$8/TotalUnits)</f>
        <v/>
      </c>
      <c r="FM9" s="20">
        <f>IF(TotalUnits=0,0,FM$8/TotalUnits)</f>
        <v/>
      </c>
      <c r="FN9" s="20">
        <f>IF(TotalUnits=0,0,FN$8/TotalUnits)</f>
        <v/>
      </c>
      <c r="FO9" s="20">
        <f>IF(TotalUnits=0,0,FO$8/TotalUnits)</f>
        <v/>
      </c>
      <c r="FP9" s="20">
        <f>IF(TotalUnits=0,0,FP$8/TotalUnits)</f>
        <v/>
      </c>
      <c r="FQ9" s="20">
        <f>IF(TotalUnits=0,0,FQ$8/TotalUnits)</f>
        <v/>
      </c>
      <c r="FR9" s="20">
        <f>IF(TotalUnits=0,0,FR$8/TotalUnits)</f>
        <v/>
      </c>
      <c r="FS9" s="20">
        <f>IF(TotalUnits=0,0,FS$8/TotalUnits)</f>
        <v/>
      </c>
      <c r="FT9" s="20">
        <f>IF(TotalUnits=0,0,FT$8/TotalUnits)</f>
        <v/>
      </c>
      <c r="FU9" s="20">
        <f>IF(TotalUnits=0,0,FU$8/TotalUnits)</f>
        <v/>
      </c>
      <c r="FV9" s="20">
        <f>IF(TotalUnits=0,0,FV$8/TotalUnits)</f>
        <v/>
      </c>
      <c r="FW9" s="20">
        <f>IF(TotalUnits=0,0,FW$8/TotalUnits)</f>
        <v/>
      </c>
      <c r="FX9" s="20">
        <f>IF(TotalUnits=0,0,FX$8/TotalUnits)</f>
        <v/>
      </c>
      <c r="FY9" s="20">
        <f>IF(TotalUnits=0,0,FY$8/TotalUnits)</f>
        <v/>
      </c>
      <c r="FZ9" s="20">
        <f>IF(TotalUnits=0,0,FZ$8/TotalUnits)</f>
        <v/>
      </c>
      <c r="GA9" s="20">
        <f>IF(TotalUnits=0,0,GA$8/TotalUnits)</f>
        <v/>
      </c>
      <c r="GB9" s="20">
        <f>IF(TotalUnits=0,0,GB$8/TotalUnits)</f>
        <v/>
      </c>
      <c r="GC9" s="20">
        <f>IF(TotalUnits=0,0,GC$8/TotalUnits)</f>
        <v/>
      </c>
      <c r="GD9" s="20">
        <f>IF(TotalUnits=0,0,GD$8/TotalUnits)</f>
        <v/>
      </c>
      <c r="GE9" s="20">
        <f>IF(TotalUnits=0,0,GE$8/TotalUnits)</f>
        <v/>
      </c>
      <c r="GF9" s="20">
        <f>IF(TotalUnits=0,0,GF$8/TotalUnits)</f>
        <v/>
      </c>
      <c r="GG9" s="20">
        <f>IF(TotalUnits=0,0,GG$8/TotalUnits)</f>
        <v/>
      </c>
      <c r="GH9" s="20">
        <f>IF(TotalUnits=0,0,GH$8/TotalUnits)</f>
        <v/>
      </c>
      <c r="GI9" s="20">
        <f>IF(TotalUnits=0,0,GI$8/TotalUnits)</f>
        <v/>
      </c>
      <c r="GJ9" s="20">
        <f>IF(TotalUnits=0,0,GJ$8/TotalUnits)</f>
        <v/>
      </c>
      <c r="GK9" s="20">
        <f>IF(TotalUnits=0,0,GK$8/TotalUnits)</f>
        <v/>
      </c>
      <c r="GL9" s="20">
        <f>IF(TotalUnits=0,0,GL$8/TotalUnits)</f>
        <v/>
      </c>
      <c r="GM9" s="20">
        <f>IF(TotalUnits=0,0,GM$8/TotalUnits)</f>
        <v/>
      </c>
      <c r="GN9" s="20">
        <f>IF(TotalUnits=0,0,GN$8/TotalUnits)</f>
        <v/>
      </c>
      <c r="GO9" s="20">
        <f>IF(TotalUnits=0,0,GO$8/TotalUnits)</f>
        <v/>
      </c>
      <c r="GP9" s="20">
        <f>IF(TotalUnits=0,0,GP$8/TotalUnits)</f>
        <v/>
      </c>
      <c r="GQ9" s="20">
        <f>IF(TotalUnits=0,0,GQ$8/TotalUnits)</f>
        <v/>
      </c>
      <c r="GR9" s="20">
        <f>IF(TotalUnits=0,0,GR$8/TotalUnits)</f>
        <v/>
      </c>
      <c r="GS9" s="20">
        <f>IF(TotalUnits=0,0,GS$8/TotalUnits)</f>
        <v/>
      </c>
      <c r="GT9" s="20">
        <f>IF(TotalUnits=0,0,GT$8/TotalUnits)</f>
        <v/>
      </c>
      <c r="GU9" s="20">
        <f>IF(TotalUnits=0,0,GU$8/TotalUnits)</f>
        <v/>
      </c>
      <c r="GV9" s="20">
        <f>IF(TotalUnits=0,0,GV$8/TotalUnits)</f>
        <v/>
      </c>
      <c r="GW9" s="20">
        <f>IF(TotalUnits=0,0,GW$8/TotalUnits)</f>
        <v/>
      </c>
      <c r="GX9" s="20">
        <f>IF(TotalUnits=0,0,GX$8/TotalUnits)</f>
        <v/>
      </c>
      <c r="GY9" s="20">
        <f>IF(TotalUnits=0,0,GY$8/TotalUnits)</f>
        <v/>
      </c>
      <c r="GZ9" s="20">
        <f>IF(TotalUnits=0,0,GZ$8/TotalUnits)</f>
        <v/>
      </c>
      <c r="HA9" s="20">
        <f>IF(TotalUnits=0,0,HA$8/TotalUnits)</f>
        <v/>
      </c>
      <c r="HB9" s="20">
        <f>IF(TotalUnits=0,0,HB$8/TotalUnits)</f>
        <v/>
      </c>
      <c r="HC9" s="20">
        <f>IF(TotalUnits=0,0,HC$8/TotalUnits)</f>
        <v/>
      </c>
      <c r="HD9" s="20">
        <f>IF(TotalUnits=0,0,HD$8/TotalUnits)</f>
        <v/>
      </c>
      <c r="HE9" s="20">
        <f>IF(TotalUnits=0,0,HE$8/TotalUnits)</f>
        <v/>
      </c>
      <c r="HF9" s="20">
        <f>IF(TotalUnits=0,0,HF$8/TotalUnits)</f>
        <v/>
      </c>
      <c r="HG9" s="20">
        <f>IF(TotalUnits=0,0,HG$8/TotalUnits)</f>
        <v/>
      </c>
      <c r="HH9" s="20">
        <f>IF(TotalUnits=0,0,HH$8/TotalUnits)</f>
        <v/>
      </c>
      <c r="HI9" s="20">
        <f>IF(TotalUnits=0,0,HI$8/TotalUnits)</f>
        <v/>
      </c>
      <c r="HJ9" s="20">
        <f>IF(TotalUnits=0,0,HJ$8/TotalUnits)</f>
        <v/>
      </c>
      <c r="HK9" s="20">
        <f>IF(TotalUnits=0,0,HK$8/TotalUnits)</f>
        <v/>
      </c>
      <c r="HL9" s="20">
        <f>IF(TotalUnits=0,0,HL$8/TotalUnits)</f>
        <v/>
      </c>
      <c r="HM9" s="20">
        <f>IF(TotalUnits=0,0,HM$8/TotalUnits)</f>
        <v/>
      </c>
      <c r="HN9" s="20">
        <f>IF(TotalUnits=0,0,HN$8/TotalUnits)</f>
        <v/>
      </c>
      <c r="HO9" s="20">
        <f>IF(TotalUnits=0,0,HO$8/TotalUnits)</f>
        <v/>
      </c>
      <c r="HP9" s="20">
        <f>IF(TotalUnits=0,0,HP$8/TotalUnits)</f>
        <v/>
      </c>
      <c r="HQ9" s="20">
        <f>IF(TotalUnits=0,0,HQ$8/TotalUnits)</f>
        <v/>
      </c>
      <c r="HR9" s="20">
        <f>IF(TotalUnits=0,0,HR$8/TotalUnits)</f>
        <v/>
      </c>
      <c r="HS9" s="20">
        <f>IF(TotalUnits=0,0,HS$8/TotalUnits)</f>
        <v/>
      </c>
      <c r="HT9" s="20">
        <f>IF(TotalUnits=0,0,HT$8/TotalUnits)</f>
        <v/>
      </c>
      <c r="HU9" s="20">
        <f>IF(TotalUnits=0,0,HU$8/TotalUnits)</f>
        <v/>
      </c>
      <c r="HV9" s="20">
        <f>IF(TotalUnits=0,0,HV$8/TotalUnits)</f>
        <v/>
      </c>
      <c r="HW9" s="20">
        <f>IF(TotalUnits=0,0,HW$8/TotalUnits)</f>
        <v/>
      </c>
      <c r="HX9" s="20">
        <f>IF(TotalUnits=0,0,HX$8/TotalUnits)</f>
        <v/>
      </c>
      <c r="HY9" s="20">
        <f>IF(TotalUnits=0,0,HY$8/TotalUnits)</f>
        <v/>
      </c>
      <c r="HZ9" s="20">
        <f>IF(TotalUnits=0,0,HZ$8/TotalUnits)</f>
        <v/>
      </c>
      <c r="IA9" s="20">
        <f>IF(TotalUnits=0,0,IA$8/TotalUnits)</f>
        <v/>
      </c>
      <c r="IB9" s="20">
        <f>IF(TotalUnits=0,0,IB$8/TotalUnits)</f>
        <v/>
      </c>
      <c r="IC9" s="20">
        <f>IF(TotalUnits=0,0,IC$8/TotalUnits)</f>
        <v/>
      </c>
      <c r="ID9" s="20">
        <f>IF(TotalUnits=0,0,ID$8/TotalUnits)</f>
        <v/>
      </c>
      <c r="IE9" s="20">
        <f>IF(TotalUnits=0,0,IE$8/TotalUnits)</f>
        <v/>
      </c>
      <c r="IF9" s="20">
        <f>IF(TotalUnits=0,0,IF$8/TotalUnits)</f>
        <v/>
      </c>
      <c r="IG9" s="20">
        <f>IF(TotalUnits=0,0,IG$8/TotalUnits)</f>
        <v/>
      </c>
      <c r="IH9" s="20">
        <f>IF(TotalUnits=0,0,IH$8/TotalUnits)</f>
        <v/>
      </c>
      <c r="II9" s="20">
        <f>IF(TotalUnits=0,0,II$8/TotalUnits)</f>
        <v/>
      </c>
      <c r="IJ9" s="20">
        <f>IF(TotalUnits=0,0,IJ$8/TotalUnits)</f>
        <v/>
      </c>
      <c r="IK9" s="20">
        <f>IF(TotalUnits=0,0,IK$8/TotalUnits)</f>
        <v/>
      </c>
      <c r="IL9" s="20">
        <f>IF(TotalUnits=0,0,IL$8/TotalUnits)</f>
        <v/>
      </c>
      <c r="IM9" s="20">
        <f>IF(TotalUnits=0,0,IM$8/TotalUnits)</f>
        <v/>
      </c>
      <c r="IN9" s="20">
        <f>IF(TotalUnits=0,0,IN$8/TotalUnits)</f>
        <v/>
      </c>
      <c r="IO9" s="20">
        <f>IF(TotalUnits=0,0,IO$8/TotalUnits)</f>
        <v/>
      </c>
      <c r="IP9" s="20">
        <f>IF(TotalUnits=0,0,IP$8/TotalUnits)</f>
        <v/>
      </c>
      <c r="IQ9" s="20">
        <f>IF(TotalUnits=0,0,IQ$8/TotalUnits)</f>
        <v/>
      </c>
      <c r="IR9" s="20">
        <f>IF(TotalUnits=0,0,IR$8/TotalUnits)</f>
        <v/>
      </c>
      <c r="IS9" s="20">
        <f>IF(TotalUnits=0,0,IS$8/TotalUnits)</f>
        <v/>
      </c>
      <c r="IT9" s="20">
        <f>IF(TotalUnits=0,0,IT$8/TotalUnits)</f>
        <v/>
      </c>
      <c r="IU9" s="20">
        <f>IF(TotalUnits=0,0,IU$8/TotalUnits)</f>
        <v/>
      </c>
      <c r="IV9" s="20">
        <f>IF(TotalUnits=0,0,IV$8/TotalUnits)</f>
        <v/>
      </c>
      <c r="IW9" s="20">
        <f>IF(TotalUnits=0,0,IW$8/TotalUnits)</f>
        <v/>
      </c>
      <c r="IX9" s="20">
        <f>IF(TotalUnits=0,0,IX$8/TotalUnits)</f>
        <v/>
      </c>
      <c r="IY9" s="20">
        <f>IF(TotalUnits=0,0,IY$8/TotalUnits)</f>
        <v/>
      </c>
      <c r="IZ9" s="20">
        <f>IF(TotalUnits=0,0,IZ$8/TotalUnits)</f>
        <v/>
      </c>
      <c r="JA9" s="20">
        <f>IF(TotalUnits=0,0,JA$8/TotalUnits)</f>
        <v/>
      </c>
      <c r="JB9" s="20">
        <f>IF(TotalUnits=0,0,JB$8/TotalUnits)</f>
        <v/>
      </c>
      <c r="JC9" s="20">
        <f>IF(TotalUnits=0,0,JC$8/TotalUnits)</f>
        <v/>
      </c>
      <c r="JD9" s="20">
        <f>IF(TotalUnits=0,0,JD$8/TotalUnits)</f>
        <v/>
      </c>
      <c r="JE9" s="20">
        <f>IF(TotalUnits=0,0,JE$8/TotalUnits)</f>
        <v/>
      </c>
      <c r="JF9" s="20">
        <f>IF(TotalUnits=0,0,JF$8/TotalUnits)</f>
        <v/>
      </c>
      <c r="JG9" s="20">
        <f>IF(TotalUnits=0,0,JG$8/TotalUnits)</f>
        <v/>
      </c>
      <c r="JH9" s="20">
        <f>IF(TotalUnits=0,0,JH$8/TotalUnits)</f>
        <v/>
      </c>
      <c r="JI9" s="20">
        <f>IF(TotalUnits=0,0,JI$8/TotalUnits)</f>
        <v/>
      </c>
      <c r="JJ9" s="20">
        <f>IF(TotalUnits=0,0,JJ$8/TotalUnits)</f>
        <v/>
      </c>
      <c r="JK9" s="20">
        <f>IF(TotalUnits=0,0,JK$8/TotalUnits)</f>
        <v/>
      </c>
      <c r="JL9" s="20">
        <f>IF(TotalUnits=0,0,JL$8/TotalUnits)</f>
        <v/>
      </c>
      <c r="JM9" s="20">
        <f>IF(TotalUnits=0,0,JM$8/TotalUnits)</f>
        <v/>
      </c>
      <c r="JN9" s="20">
        <f>IF(TotalUnits=0,0,JN$8/TotalUnits)</f>
        <v/>
      </c>
      <c r="JO9" s="20">
        <f>IF(TotalUnits=0,0,JO$8/TotalUnits)</f>
        <v/>
      </c>
      <c r="JP9" s="20">
        <f>IF(TotalUnits=0,0,JP$8/TotalUnits)</f>
        <v/>
      </c>
      <c r="JQ9" s="20">
        <f>IF(TotalUnits=0,0,JQ$8/TotalUnits)</f>
        <v/>
      </c>
      <c r="JR9" s="20">
        <f>IF(TotalUnits=0,0,JR$8/TotalUnits)</f>
        <v/>
      </c>
      <c r="JS9" s="20">
        <f>IF(TotalUnits=0,0,JS$8/TotalUnits)</f>
        <v/>
      </c>
      <c r="JT9" s="20">
        <f>IF(TotalUnits=0,0,JT$8/TotalUnits)</f>
        <v/>
      </c>
      <c r="JU9" s="20">
        <f>IF(TotalUnits=0,0,JU$8/TotalUnits)</f>
        <v/>
      </c>
      <c r="JV9" s="20">
        <f>IF(TotalUnits=0,0,JV$8/TotalUnits)</f>
        <v/>
      </c>
      <c r="JW9" s="20">
        <f>IF(TotalUnits=0,0,JW$8/TotalUnits)</f>
        <v/>
      </c>
      <c r="JX9" s="20">
        <f>IF(TotalUnits=0,0,JX$8/TotalUnits)</f>
        <v/>
      </c>
      <c r="JY9" s="20">
        <f>IF(TotalUnits=0,0,JY$8/TotalUnits)</f>
        <v/>
      </c>
      <c r="JZ9" s="20">
        <f>IF(TotalUnits=0,0,JZ$8/TotalUnits)</f>
        <v/>
      </c>
      <c r="KA9" s="20">
        <f>IF(TotalUnits=0,0,KA$8/TotalUnits)</f>
        <v/>
      </c>
      <c r="KB9" s="20">
        <f>IF(TotalUnits=0,0,KB$8/TotalUnits)</f>
        <v/>
      </c>
      <c r="KC9" s="20">
        <f>IF(TotalUnits=0,0,KC$8/TotalUnits)</f>
        <v/>
      </c>
      <c r="KD9" s="20">
        <f>IF(TotalUnits=0,0,KD$8/TotalUnits)</f>
        <v/>
      </c>
      <c r="KE9" s="20">
        <f>IF(TotalUnits=0,0,KE$8/TotalUnits)</f>
        <v/>
      </c>
      <c r="KF9" s="20">
        <f>IF(TotalUnits=0,0,KF$8/TotalUnits)</f>
        <v/>
      </c>
      <c r="KG9" s="20">
        <f>IF(TotalUnits=0,0,KG$8/TotalUnits)</f>
        <v/>
      </c>
      <c r="KH9" s="20">
        <f>IF(TotalUnits=0,0,KH$8/TotalUnits)</f>
        <v/>
      </c>
      <c r="KI9" s="20">
        <f>IF(TotalUnits=0,0,KI$8/TotalUnits)</f>
        <v/>
      </c>
      <c r="KJ9" s="20">
        <f>IF(TotalUnits=0,0,KJ$8/TotalUnits)</f>
        <v/>
      </c>
      <c r="KK9" s="20">
        <f>IF(TotalUnits=0,0,KK$8/TotalUnits)</f>
        <v/>
      </c>
      <c r="KL9" s="20">
        <f>IF(TotalUnits=0,0,KL$8/TotalUnits)</f>
        <v/>
      </c>
      <c r="KM9" s="20">
        <f>IF(TotalUnits=0,0,KM$8/TotalUnits)</f>
        <v/>
      </c>
      <c r="KN9" s="20">
        <f>IF(TotalUnits=0,0,KN$8/TotalUnits)</f>
        <v/>
      </c>
      <c r="KO9" s="20">
        <f>IF(TotalUnits=0,0,KO$8/TotalUnits)</f>
        <v/>
      </c>
      <c r="KP9" s="20">
        <f>IF(TotalUnits=0,0,KP$8/TotalUnits)</f>
        <v/>
      </c>
      <c r="KQ9" s="20">
        <f>IF(TotalUnits=0,0,KQ$8/TotalUnits)</f>
        <v/>
      </c>
      <c r="KR9" s="20">
        <f>IF(TotalUnits=0,0,KR$8/TotalUnits)</f>
        <v/>
      </c>
      <c r="KS9" s="20">
        <f>IF(TotalUnits=0,0,KS$8/TotalUnits)</f>
        <v/>
      </c>
      <c r="KT9" s="20">
        <f>IF(TotalUnits=0,0,KT$8/TotalUnits)</f>
        <v/>
      </c>
      <c r="KU9" s="20">
        <f>IF(TotalUnits=0,0,KU$8/TotalUnits)</f>
        <v/>
      </c>
      <c r="KV9" s="20">
        <f>IF(TotalUnits=0,0,KV$8/TotalUnits)</f>
        <v/>
      </c>
      <c r="KW9" s="20">
        <f>IF(TotalUnits=0,0,KW$8/TotalUnits)</f>
        <v/>
      </c>
      <c r="KX9" s="20">
        <f>IF(TotalUnits=0,0,KX$8/TotalUnits)</f>
        <v/>
      </c>
      <c r="KY9" s="20">
        <f>IF(TotalUnits=0,0,KY$8/TotalUnits)</f>
        <v/>
      </c>
      <c r="KZ9" s="20">
        <f>IF(TotalUnits=0,0,KZ$8/TotalUnits)</f>
        <v/>
      </c>
      <c r="LA9" s="20">
        <f>IF(TotalUnits=0,0,LA$8/TotalUnits)</f>
        <v/>
      </c>
      <c r="LB9" s="20">
        <f>IF(TotalUnits=0,0,LB$8/TotalUnits)</f>
        <v/>
      </c>
      <c r="LC9" s="20">
        <f>IF(TotalUnits=0,0,LC$8/TotalUnits)</f>
        <v/>
      </c>
      <c r="LD9" s="20">
        <f>IF(TotalUnits=0,0,LD$8/TotalUnits)</f>
        <v/>
      </c>
      <c r="LE9" s="20">
        <f>IF(TotalUnits=0,0,LE$8/TotalUnits)</f>
        <v/>
      </c>
      <c r="LF9" s="20">
        <f>IF(TotalUnits=0,0,LF$8/TotalUnits)</f>
        <v/>
      </c>
      <c r="LG9" s="20">
        <f>IF(TotalUnits=0,0,LG$8/TotalUnits)</f>
        <v/>
      </c>
      <c r="LH9" s="20">
        <f>IF(TotalUnits=0,0,LH$8/TotalUnits)</f>
        <v/>
      </c>
      <c r="LI9" s="20">
        <f>IF(TotalUnits=0,0,LI$8/TotalUnits)</f>
        <v/>
      </c>
      <c r="LJ9" s="20">
        <f>IF(TotalUnits=0,0,LJ$8/TotalUnits)</f>
        <v/>
      </c>
      <c r="LK9" s="20">
        <f>IF(TotalUnits=0,0,LK$8/TotalUnits)</f>
        <v/>
      </c>
      <c r="LL9" s="20">
        <f>IF(TotalUnits=0,0,LL$8/TotalUnits)</f>
        <v/>
      </c>
      <c r="LM9" s="20">
        <f>IF(TotalUnits=0,0,LM$8/TotalUnits)</f>
        <v/>
      </c>
      <c r="LN9" s="20">
        <f>IF(TotalUnits=0,0,LN$8/TotalUnits)</f>
        <v/>
      </c>
      <c r="LO9" s="20">
        <f>IF(TotalUnits=0,0,LO$8/TotalUnits)</f>
        <v/>
      </c>
      <c r="LP9" s="20">
        <f>IF(TotalUnits=0,0,LP$8/TotalUnits)</f>
        <v/>
      </c>
      <c r="LQ9" s="20">
        <f>IF(TotalUnits=0,0,LQ$8/TotalUnits)</f>
        <v/>
      </c>
      <c r="LR9" s="20">
        <f>IF(TotalUnits=0,0,LR$8/TotalUnits)</f>
        <v/>
      </c>
      <c r="LS9" s="20">
        <f>IF(TotalUnits=0,0,LS$8/TotalUnits)</f>
        <v/>
      </c>
      <c r="LT9" s="20">
        <f>IF(TotalUnits=0,0,LT$8/TotalUnits)</f>
        <v/>
      </c>
      <c r="LU9" s="20">
        <f>IF(TotalUnits=0,0,LU$8/TotalUnits)</f>
        <v/>
      </c>
      <c r="LV9" s="20">
        <f>IF(TotalUnits=0,0,LV$8/TotalUnits)</f>
        <v/>
      </c>
      <c r="LW9" s="20">
        <f>IF(TotalUnits=0,0,LW$8/TotalUnits)</f>
        <v/>
      </c>
      <c r="LX9" s="20">
        <f>IF(TotalUnits=0,0,LX$8/TotalUnits)</f>
        <v/>
      </c>
      <c r="LY9" s="20">
        <f>IF(TotalUnits=0,0,LY$8/TotalUnits)</f>
        <v/>
      </c>
      <c r="LZ9" s="20">
        <f>IF(TotalUnits=0,0,LZ$8/TotalUnits)</f>
        <v/>
      </c>
      <c r="MA9" s="20">
        <f>IF(TotalUnits=0,0,MA$8/TotalUnits)</f>
        <v/>
      </c>
      <c r="MB9" s="20">
        <f>IF(TotalUnits=0,0,MB$8/TotalUnits)</f>
        <v/>
      </c>
      <c r="MC9" s="20">
        <f>IF(TotalUnits=0,0,MC$8/TotalUnits)</f>
        <v/>
      </c>
      <c r="MD9" s="20">
        <f>IF(TotalUnits=0,0,MD$8/TotalUnits)</f>
        <v/>
      </c>
      <c r="ME9" s="20">
        <f>IF(TotalUnits=0,0,ME$8/TotalUnits)</f>
        <v/>
      </c>
      <c r="MF9" s="20">
        <f>IF(TotalUnits=0,0,MF$8/TotalUnits)</f>
        <v/>
      </c>
      <c r="MG9" s="20">
        <f>IF(TotalUnits=0,0,MG$8/TotalUnits)</f>
        <v/>
      </c>
      <c r="MH9" s="20">
        <f>IF(TotalUnits=0,0,MH$8/TotalUnits)</f>
        <v/>
      </c>
      <c r="MI9" s="20">
        <f>IF(TotalUnits=0,0,MI$8/TotalUnits)</f>
        <v/>
      </c>
      <c r="MJ9" s="20">
        <f>IF(TotalUnits=0,0,MJ$8/TotalUnits)</f>
        <v/>
      </c>
      <c r="MK9" s="20">
        <f>IF(TotalUnits=0,0,MK$8/TotalUnits)</f>
        <v/>
      </c>
      <c r="ML9" s="20">
        <f>IF(TotalUnits=0,0,ML$8/TotalUnits)</f>
        <v/>
      </c>
      <c r="MM9" s="20">
        <f>IF(TotalUnits=0,0,MM$8/TotalUnits)</f>
        <v/>
      </c>
      <c r="MN9" s="20">
        <f>IF(TotalUnits=0,0,MN$8/TotalUnits)</f>
        <v/>
      </c>
      <c r="MO9" s="20">
        <f>IF(TotalUnits=0,0,MO$8/TotalUnits)</f>
        <v/>
      </c>
      <c r="MP9" s="20">
        <f>IF(TotalUnits=0,0,MP$8/TotalUnits)</f>
        <v/>
      </c>
      <c r="MQ9" s="20">
        <f>IF(TotalUnits=0,0,MQ$8/TotalUnits)</f>
        <v/>
      </c>
      <c r="MR9" s="20">
        <f>IF(TotalUnits=0,0,MR$8/TotalUnits)</f>
        <v/>
      </c>
      <c r="MS9" s="20">
        <f>IF(TotalUnits=0,0,MS$8/TotalUnits)</f>
        <v/>
      </c>
      <c r="MT9" s="20">
        <f>IF(TotalUnits=0,0,MT$8/TotalUnits)</f>
        <v/>
      </c>
      <c r="MU9" s="20">
        <f>IF(TotalUnits=0,0,MU$8/TotalUnits)</f>
        <v/>
      </c>
      <c r="MV9" s="20">
        <f>IF(TotalUnits=0,0,MV$8/TotalUnits)</f>
        <v/>
      </c>
      <c r="MW9" s="20">
        <f>IF(TotalUnits=0,0,MW$8/TotalUnits)</f>
        <v/>
      </c>
      <c r="MX9" s="20">
        <f>IF(TotalUnits=0,0,MX$8/TotalUnits)</f>
        <v/>
      </c>
      <c r="MY9" s="20">
        <f>IF(TotalUnits=0,0,MY$8/TotalUnits)</f>
        <v/>
      </c>
      <c r="MZ9" s="20">
        <f>IF(TotalUnits=0,0,MZ$8/TotalUnits)</f>
        <v/>
      </c>
      <c r="NA9" s="20">
        <f>IF(TotalUnits=0,0,NA$8/TotalUnits)</f>
        <v/>
      </c>
      <c r="NB9" s="20">
        <f>IF(TotalUnits=0,0,NB$8/TotalUnits)</f>
        <v/>
      </c>
      <c r="NC9" s="20">
        <f>IF(TotalUnits=0,0,NC$8/TotalUnits)</f>
        <v/>
      </c>
      <c r="ND9" s="20">
        <f>IF(TotalUnits=0,0,ND$8/TotalUnits)</f>
        <v/>
      </c>
      <c r="NE9" s="20">
        <f>IF(TotalUnits=0,0,NE$8/TotalUnits)</f>
        <v/>
      </c>
      <c r="NF9" s="20">
        <f>IF(TotalUnits=0,0,NF$8/TotalUnits)</f>
        <v/>
      </c>
      <c r="NG9" s="20">
        <f>IF(TotalUnits=0,0,NG$8/TotalUnits)</f>
        <v/>
      </c>
      <c r="NH9" s="20">
        <f>IF(TotalUnits=0,0,NH$8/TotalUnits)</f>
        <v/>
      </c>
      <c r="NI9" s="20">
        <f>IF(TotalUnits=0,0,NI$8/TotalUnits)</f>
        <v/>
      </c>
      <c r="NJ9" s="20">
        <f>IF(TotalUnits=0,0,NJ$8/TotalUnits)</f>
        <v/>
      </c>
      <c r="NK9" s="20">
        <f>IF(TotalUnits=0,0,NK$8/TotalUnits)</f>
        <v/>
      </c>
    </row>
    <row r="11">
      <c r="A11" s="15" t="inlineStr">
        <is>
          <t>Lease-Up Reconciliation</t>
        </is>
      </c>
      <c r="B11" s="23" t="n"/>
      <c r="C11" s="23" t="n"/>
    </row>
    <row r="12">
      <c r="A12" s="5" t="inlineStr">
        <is>
          <t>Occupancy at Stabilization − target</t>
        </is>
      </c>
      <c r="B12" s="17">
        <f>INDEX(D8:NK8,StabMonth)-StabLeasedTarget</f>
        <v/>
      </c>
    </row>
    <row r="13">
      <c r="A13" s="5" t="inlineStr">
        <is>
          <t>Units delivered at Stabilization</t>
        </is>
      </c>
      <c r="B13" s="17">
        <f>INDEX(D7:NK7,StabMonth)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6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" t="inlineStr">
        <is>
          <t>Growth &amp; Lease-Up Factors</t>
        </is>
      </c>
      <c r="B4" s="4" t="n"/>
      <c r="C4" s="4" t="n"/>
    </row>
    <row r="5">
      <c r="A5" s="5" t="inlineStr">
        <is>
          <t>Growth Factor — Rent</t>
        </is>
      </c>
      <c r="C5" s="52" t="n"/>
      <c r="D5" s="53">
        <f>(1+GrowthRent)^INT((1-1)/12)</f>
        <v/>
      </c>
      <c r="E5" s="53">
        <f>(1+GrowthRent)^INT((2-1)/12)</f>
        <v/>
      </c>
      <c r="F5" s="53">
        <f>(1+GrowthRent)^INT((3-1)/12)</f>
        <v/>
      </c>
      <c r="G5" s="53">
        <f>(1+GrowthRent)^INT((4-1)/12)</f>
        <v/>
      </c>
      <c r="H5" s="53">
        <f>(1+GrowthRent)^INT((5-1)/12)</f>
        <v/>
      </c>
      <c r="I5" s="53">
        <f>(1+GrowthRent)^INT((6-1)/12)</f>
        <v/>
      </c>
      <c r="J5" s="53">
        <f>(1+GrowthRent)^INT((7-1)/12)</f>
        <v/>
      </c>
      <c r="K5" s="53">
        <f>(1+GrowthRent)^INT((8-1)/12)</f>
        <v/>
      </c>
      <c r="L5" s="53">
        <f>(1+GrowthRent)^INT((9-1)/12)</f>
        <v/>
      </c>
      <c r="M5" s="53">
        <f>(1+GrowthRent)^INT((10-1)/12)</f>
        <v/>
      </c>
      <c r="N5" s="53">
        <f>(1+GrowthRent)^INT((11-1)/12)</f>
        <v/>
      </c>
      <c r="O5" s="53">
        <f>(1+GrowthRent)^INT((12-1)/12)</f>
        <v/>
      </c>
      <c r="P5" s="53">
        <f>(1+GrowthRent)^INT((13-1)/12)</f>
        <v/>
      </c>
      <c r="Q5" s="53">
        <f>(1+GrowthRent)^INT((14-1)/12)</f>
        <v/>
      </c>
      <c r="R5" s="53">
        <f>(1+GrowthRent)^INT((15-1)/12)</f>
        <v/>
      </c>
      <c r="S5" s="53">
        <f>(1+GrowthRent)^INT((16-1)/12)</f>
        <v/>
      </c>
      <c r="T5" s="53">
        <f>(1+GrowthRent)^INT((17-1)/12)</f>
        <v/>
      </c>
      <c r="U5" s="53">
        <f>(1+GrowthRent)^INT((18-1)/12)</f>
        <v/>
      </c>
      <c r="V5" s="53">
        <f>(1+GrowthRent)^INT((19-1)/12)</f>
        <v/>
      </c>
      <c r="W5" s="53">
        <f>(1+GrowthRent)^INT((20-1)/12)</f>
        <v/>
      </c>
      <c r="X5" s="53">
        <f>(1+GrowthRent)^INT((21-1)/12)</f>
        <v/>
      </c>
      <c r="Y5" s="53">
        <f>(1+GrowthRent)^INT((22-1)/12)</f>
        <v/>
      </c>
      <c r="Z5" s="53">
        <f>(1+GrowthRent)^INT((23-1)/12)</f>
        <v/>
      </c>
      <c r="AA5" s="53">
        <f>(1+GrowthRent)^INT((24-1)/12)</f>
        <v/>
      </c>
      <c r="AB5" s="53">
        <f>(1+GrowthRent)^INT((25-1)/12)</f>
        <v/>
      </c>
      <c r="AC5" s="53">
        <f>(1+GrowthRent)^INT((26-1)/12)</f>
        <v/>
      </c>
      <c r="AD5" s="53">
        <f>(1+GrowthRent)^INT((27-1)/12)</f>
        <v/>
      </c>
      <c r="AE5" s="53">
        <f>(1+GrowthRent)^INT((28-1)/12)</f>
        <v/>
      </c>
      <c r="AF5" s="53">
        <f>(1+GrowthRent)^INT((29-1)/12)</f>
        <v/>
      </c>
      <c r="AG5" s="53">
        <f>(1+GrowthRent)^INT((30-1)/12)</f>
        <v/>
      </c>
      <c r="AH5" s="53">
        <f>(1+GrowthRent)^INT((31-1)/12)</f>
        <v/>
      </c>
      <c r="AI5" s="53">
        <f>(1+GrowthRent)^INT((32-1)/12)</f>
        <v/>
      </c>
      <c r="AJ5" s="53">
        <f>(1+GrowthRent)^INT((33-1)/12)</f>
        <v/>
      </c>
      <c r="AK5" s="53">
        <f>(1+GrowthRent)^INT((34-1)/12)</f>
        <v/>
      </c>
      <c r="AL5" s="53">
        <f>(1+GrowthRent)^INT((35-1)/12)</f>
        <v/>
      </c>
      <c r="AM5" s="53">
        <f>(1+GrowthRent)^INT((36-1)/12)</f>
        <v/>
      </c>
      <c r="AN5" s="53">
        <f>(1+GrowthRent)^INT((37-1)/12)</f>
        <v/>
      </c>
      <c r="AO5" s="53">
        <f>(1+GrowthRent)^INT((38-1)/12)</f>
        <v/>
      </c>
      <c r="AP5" s="53">
        <f>(1+GrowthRent)^INT((39-1)/12)</f>
        <v/>
      </c>
      <c r="AQ5" s="53">
        <f>(1+GrowthRent)^INT((40-1)/12)</f>
        <v/>
      </c>
      <c r="AR5" s="53">
        <f>(1+GrowthRent)^INT((41-1)/12)</f>
        <v/>
      </c>
      <c r="AS5" s="53">
        <f>(1+GrowthRent)^INT((42-1)/12)</f>
        <v/>
      </c>
      <c r="AT5" s="53">
        <f>(1+GrowthRent)^INT((43-1)/12)</f>
        <v/>
      </c>
      <c r="AU5" s="53">
        <f>(1+GrowthRent)^INT((44-1)/12)</f>
        <v/>
      </c>
      <c r="AV5" s="53">
        <f>(1+GrowthRent)^INT((45-1)/12)</f>
        <v/>
      </c>
      <c r="AW5" s="53">
        <f>(1+GrowthRent)^INT((46-1)/12)</f>
        <v/>
      </c>
      <c r="AX5" s="53">
        <f>(1+GrowthRent)^INT((47-1)/12)</f>
        <v/>
      </c>
      <c r="AY5" s="53">
        <f>(1+GrowthRent)^INT((48-1)/12)</f>
        <v/>
      </c>
      <c r="AZ5" s="53">
        <f>(1+GrowthRent)^INT((49-1)/12)</f>
        <v/>
      </c>
      <c r="BA5" s="53">
        <f>(1+GrowthRent)^INT((50-1)/12)</f>
        <v/>
      </c>
      <c r="BB5" s="53">
        <f>(1+GrowthRent)^INT((51-1)/12)</f>
        <v/>
      </c>
      <c r="BC5" s="53">
        <f>(1+GrowthRent)^INT((52-1)/12)</f>
        <v/>
      </c>
      <c r="BD5" s="53">
        <f>(1+GrowthRent)^INT((53-1)/12)</f>
        <v/>
      </c>
      <c r="BE5" s="53">
        <f>(1+GrowthRent)^INT((54-1)/12)</f>
        <v/>
      </c>
      <c r="BF5" s="53">
        <f>(1+GrowthRent)^INT((55-1)/12)</f>
        <v/>
      </c>
      <c r="BG5" s="53">
        <f>(1+GrowthRent)^INT((56-1)/12)</f>
        <v/>
      </c>
      <c r="BH5" s="53">
        <f>(1+GrowthRent)^INT((57-1)/12)</f>
        <v/>
      </c>
      <c r="BI5" s="53">
        <f>(1+GrowthRent)^INT((58-1)/12)</f>
        <v/>
      </c>
      <c r="BJ5" s="53">
        <f>(1+GrowthRent)^INT((59-1)/12)</f>
        <v/>
      </c>
      <c r="BK5" s="53">
        <f>(1+GrowthRent)^INT((60-1)/12)</f>
        <v/>
      </c>
      <c r="BL5" s="53">
        <f>(1+GrowthRent)^INT((61-1)/12)</f>
        <v/>
      </c>
      <c r="BM5" s="53">
        <f>(1+GrowthRent)^INT((62-1)/12)</f>
        <v/>
      </c>
      <c r="BN5" s="53">
        <f>(1+GrowthRent)^INT((63-1)/12)</f>
        <v/>
      </c>
      <c r="BO5" s="53">
        <f>(1+GrowthRent)^INT((64-1)/12)</f>
        <v/>
      </c>
      <c r="BP5" s="53">
        <f>(1+GrowthRent)^INT((65-1)/12)</f>
        <v/>
      </c>
      <c r="BQ5" s="53">
        <f>(1+GrowthRent)^INT((66-1)/12)</f>
        <v/>
      </c>
      <c r="BR5" s="53">
        <f>(1+GrowthRent)^INT((67-1)/12)</f>
        <v/>
      </c>
      <c r="BS5" s="53">
        <f>(1+GrowthRent)^INT((68-1)/12)</f>
        <v/>
      </c>
      <c r="BT5" s="53">
        <f>(1+GrowthRent)^INT((69-1)/12)</f>
        <v/>
      </c>
      <c r="BU5" s="53">
        <f>(1+GrowthRent)^INT((70-1)/12)</f>
        <v/>
      </c>
      <c r="BV5" s="53">
        <f>(1+GrowthRent)^INT((71-1)/12)</f>
        <v/>
      </c>
      <c r="BW5" s="53">
        <f>(1+GrowthRent)^INT((72-1)/12)</f>
        <v/>
      </c>
      <c r="BX5" s="53">
        <f>(1+GrowthRent)^INT((73-1)/12)</f>
        <v/>
      </c>
      <c r="BY5" s="53">
        <f>(1+GrowthRent)^INT((74-1)/12)</f>
        <v/>
      </c>
      <c r="BZ5" s="53">
        <f>(1+GrowthRent)^INT((75-1)/12)</f>
        <v/>
      </c>
      <c r="CA5" s="53">
        <f>(1+GrowthRent)^INT((76-1)/12)</f>
        <v/>
      </c>
      <c r="CB5" s="53">
        <f>(1+GrowthRent)^INT((77-1)/12)</f>
        <v/>
      </c>
      <c r="CC5" s="53">
        <f>(1+GrowthRent)^INT((78-1)/12)</f>
        <v/>
      </c>
      <c r="CD5" s="53">
        <f>(1+GrowthRent)^INT((79-1)/12)</f>
        <v/>
      </c>
      <c r="CE5" s="53">
        <f>(1+GrowthRent)^INT((80-1)/12)</f>
        <v/>
      </c>
      <c r="CF5" s="53">
        <f>(1+GrowthRent)^INT((81-1)/12)</f>
        <v/>
      </c>
      <c r="CG5" s="53">
        <f>(1+GrowthRent)^INT((82-1)/12)</f>
        <v/>
      </c>
      <c r="CH5" s="53">
        <f>(1+GrowthRent)^INT((83-1)/12)</f>
        <v/>
      </c>
      <c r="CI5" s="53">
        <f>(1+GrowthRent)^INT((84-1)/12)</f>
        <v/>
      </c>
      <c r="CJ5" s="53">
        <f>(1+GrowthRent)^INT((85-1)/12)</f>
        <v/>
      </c>
      <c r="CK5" s="53">
        <f>(1+GrowthRent)^INT((86-1)/12)</f>
        <v/>
      </c>
      <c r="CL5" s="53">
        <f>(1+GrowthRent)^INT((87-1)/12)</f>
        <v/>
      </c>
      <c r="CM5" s="53">
        <f>(1+GrowthRent)^INT((88-1)/12)</f>
        <v/>
      </c>
      <c r="CN5" s="53">
        <f>(1+GrowthRent)^INT((89-1)/12)</f>
        <v/>
      </c>
      <c r="CO5" s="53">
        <f>(1+GrowthRent)^INT((90-1)/12)</f>
        <v/>
      </c>
      <c r="CP5" s="53">
        <f>(1+GrowthRent)^INT((91-1)/12)</f>
        <v/>
      </c>
      <c r="CQ5" s="53">
        <f>(1+GrowthRent)^INT((92-1)/12)</f>
        <v/>
      </c>
      <c r="CR5" s="53">
        <f>(1+GrowthRent)^INT((93-1)/12)</f>
        <v/>
      </c>
      <c r="CS5" s="53">
        <f>(1+GrowthRent)^INT((94-1)/12)</f>
        <v/>
      </c>
      <c r="CT5" s="53">
        <f>(1+GrowthRent)^INT((95-1)/12)</f>
        <v/>
      </c>
      <c r="CU5" s="53">
        <f>(1+GrowthRent)^INT((96-1)/12)</f>
        <v/>
      </c>
      <c r="CV5" s="53">
        <f>(1+GrowthRent)^INT((97-1)/12)</f>
        <v/>
      </c>
      <c r="CW5" s="53">
        <f>(1+GrowthRent)^INT((98-1)/12)</f>
        <v/>
      </c>
      <c r="CX5" s="53">
        <f>(1+GrowthRent)^INT((99-1)/12)</f>
        <v/>
      </c>
      <c r="CY5" s="53">
        <f>(1+GrowthRent)^INT((100-1)/12)</f>
        <v/>
      </c>
      <c r="CZ5" s="53">
        <f>(1+GrowthRent)^INT((101-1)/12)</f>
        <v/>
      </c>
      <c r="DA5" s="53">
        <f>(1+GrowthRent)^INT((102-1)/12)</f>
        <v/>
      </c>
      <c r="DB5" s="53">
        <f>(1+GrowthRent)^INT((103-1)/12)</f>
        <v/>
      </c>
      <c r="DC5" s="53">
        <f>(1+GrowthRent)^INT((104-1)/12)</f>
        <v/>
      </c>
      <c r="DD5" s="53">
        <f>(1+GrowthRent)^INT((105-1)/12)</f>
        <v/>
      </c>
      <c r="DE5" s="53">
        <f>(1+GrowthRent)^INT((106-1)/12)</f>
        <v/>
      </c>
      <c r="DF5" s="53">
        <f>(1+GrowthRent)^INT((107-1)/12)</f>
        <v/>
      </c>
      <c r="DG5" s="53">
        <f>(1+GrowthRent)^INT((108-1)/12)</f>
        <v/>
      </c>
      <c r="DH5" s="53">
        <f>(1+GrowthRent)^INT((109-1)/12)</f>
        <v/>
      </c>
      <c r="DI5" s="53">
        <f>(1+GrowthRent)^INT((110-1)/12)</f>
        <v/>
      </c>
      <c r="DJ5" s="53">
        <f>(1+GrowthRent)^INT((111-1)/12)</f>
        <v/>
      </c>
      <c r="DK5" s="53">
        <f>(1+GrowthRent)^INT((112-1)/12)</f>
        <v/>
      </c>
      <c r="DL5" s="53">
        <f>(1+GrowthRent)^INT((113-1)/12)</f>
        <v/>
      </c>
      <c r="DM5" s="53">
        <f>(1+GrowthRent)^INT((114-1)/12)</f>
        <v/>
      </c>
      <c r="DN5" s="53">
        <f>(1+GrowthRent)^INT((115-1)/12)</f>
        <v/>
      </c>
      <c r="DO5" s="53">
        <f>(1+GrowthRent)^INT((116-1)/12)</f>
        <v/>
      </c>
      <c r="DP5" s="53">
        <f>(1+GrowthRent)^INT((117-1)/12)</f>
        <v/>
      </c>
      <c r="DQ5" s="53">
        <f>(1+GrowthRent)^INT((118-1)/12)</f>
        <v/>
      </c>
      <c r="DR5" s="53">
        <f>(1+GrowthRent)^INT((119-1)/12)</f>
        <v/>
      </c>
      <c r="DS5" s="53">
        <f>(1+GrowthRent)^INT((120-1)/12)</f>
        <v/>
      </c>
      <c r="DT5" s="53">
        <f>(1+GrowthRent)^INT((121-1)/12)</f>
        <v/>
      </c>
      <c r="DU5" s="53">
        <f>(1+GrowthRent)^INT((122-1)/12)</f>
        <v/>
      </c>
      <c r="DV5" s="53">
        <f>(1+GrowthRent)^INT((123-1)/12)</f>
        <v/>
      </c>
      <c r="DW5" s="53">
        <f>(1+GrowthRent)^INT((124-1)/12)</f>
        <v/>
      </c>
      <c r="DX5" s="53">
        <f>(1+GrowthRent)^INT((125-1)/12)</f>
        <v/>
      </c>
      <c r="DY5" s="53">
        <f>(1+GrowthRent)^INT((126-1)/12)</f>
        <v/>
      </c>
      <c r="DZ5" s="53">
        <f>(1+GrowthRent)^INT((127-1)/12)</f>
        <v/>
      </c>
      <c r="EA5" s="53">
        <f>(1+GrowthRent)^INT((128-1)/12)</f>
        <v/>
      </c>
      <c r="EB5" s="53">
        <f>(1+GrowthRent)^INT((129-1)/12)</f>
        <v/>
      </c>
      <c r="EC5" s="53">
        <f>(1+GrowthRent)^INT((130-1)/12)</f>
        <v/>
      </c>
      <c r="ED5" s="53">
        <f>(1+GrowthRent)^INT((131-1)/12)</f>
        <v/>
      </c>
      <c r="EE5" s="53">
        <f>(1+GrowthRent)^INT((132-1)/12)</f>
        <v/>
      </c>
      <c r="EF5" s="53">
        <f>(1+GrowthRent)^INT((133-1)/12)</f>
        <v/>
      </c>
      <c r="EG5" s="53">
        <f>(1+GrowthRent)^INT((134-1)/12)</f>
        <v/>
      </c>
      <c r="EH5" s="53">
        <f>(1+GrowthRent)^INT((135-1)/12)</f>
        <v/>
      </c>
      <c r="EI5" s="53">
        <f>(1+GrowthRent)^INT((136-1)/12)</f>
        <v/>
      </c>
      <c r="EJ5" s="53">
        <f>(1+GrowthRent)^INT((137-1)/12)</f>
        <v/>
      </c>
      <c r="EK5" s="53">
        <f>(1+GrowthRent)^INT((138-1)/12)</f>
        <v/>
      </c>
      <c r="EL5" s="53">
        <f>(1+GrowthRent)^INT((139-1)/12)</f>
        <v/>
      </c>
      <c r="EM5" s="53">
        <f>(1+GrowthRent)^INT((140-1)/12)</f>
        <v/>
      </c>
      <c r="EN5" s="53">
        <f>(1+GrowthRent)^INT((141-1)/12)</f>
        <v/>
      </c>
      <c r="EO5" s="53">
        <f>(1+GrowthRent)^INT((142-1)/12)</f>
        <v/>
      </c>
      <c r="EP5" s="53">
        <f>(1+GrowthRent)^INT((143-1)/12)</f>
        <v/>
      </c>
      <c r="EQ5" s="53">
        <f>(1+GrowthRent)^INT((144-1)/12)</f>
        <v/>
      </c>
      <c r="ER5" s="53">
        <f>(1+GrowthRent)^INT((145-1)/12)</f>
        <v/>
      </c>
      <c r="ES5" s="53">
        <f>(1+GrowthRent)^INT((146-1)/12)</f>
        <v/>
      </c>
      <c r="ET5" s="53">
        <f>(1+GrowthRent)^INT((147-1)/12)</f>
        <v/>
      </c>
      <c r="EU5" s="53">
        <f>(1+GrowthRent)^INT((148-1)/12)</f>
        <v/>
      </c>
      <c r="EV5" s="53">
        <f>(1+GrowthRent)^INT((149-1)/12)</f>
        <v/>
      </c>
      <c r="EW5" s="53">
        <f>(1+GrowthRent)^INT((150-1)/12)</f>
        <v/>
      </c>
      <c r="EX5" s="53">
        <f>(1+GrowthRent)^INT((151-1)/12)</f>
        <v/>
      </c>
      <c r="EY5" s="53">
        <f>(1+GrowthRent)^INT((152-1)/12)</f>
        <v/>
      </c>
      <c r="EZ5" s="53">
        <f>(1+GrowthRent)^INT((153-1)/12)</f>
        <v/>
      </c>
      <c r="FA5" s="53">
        <f>(1+GrowthRent)^INT((154-1)/12)</f>
        <v/>
      </c>
      <c r="FB5" s="53">
        <f>(1+GrowthRent)^INT((155-1)/12)</f>
        <v/>
      </c>
      <c r="FC5" s="53">
        <f>(1+GrowthRent)^INT((156-1)/12)</f>
        <v/>
      </c>
      <c r="FD5" s="53">
        <f>(1+GrowthRent)^INT((157-1)/12)</f>
        <v/>
      </c>
      <c r="FE5" s="53">
        <f>(1+GrowthRent)^INT((158-1)/12)</f>
        <v/>
      </c>
      <c r="FF5" s="53">
        <f>(1+GrowthRent)^INT((159-1)/12)</f>
        <v/>
      </c>
      <c r="FG5" s="53">
        <f>(1+GrowthRent)^INT((160-1)/12)</f>
        <v/>
      </c>
      <c r="FH5" s="53">
        <f>(1+GrowthRent)^INT((161-1)/12)</f>
        <v/>
      </c>
      <c r="FI5" s="53">
        <f>(1+GrowthRent)^INT((162-1)/12)</f>
        <v/>
      </c>
      <c r="FJ5" s="53">
        <f>(1+GrowthRent)^INT((163-1)/12)</f>
        <v/>
      </c>
      <c r="FK5" s="53">
        <f>(1+GrowthRent)^INT((164-1)/12)</f>
        <v/>
      </c>
      <c r="FL5" s="53">
        <f>(1+GrowthRent)^INT((165-1)/12)</f>
        <v/>
      </c>
      <c r="FM5" s="53">
        <f>(1+GrowthRent)^INT((166-1)/12)</f>
        <v/>
      </c>
      <c r="FN5" s="53">
        <f>(1+GrowthRent)^INT((167-1)/12)</f>
        <v/>
      </c>
      <c r="FO5" s="53">
        <f>(1+GrowthRent)^INT((168-1)/12)</f>
        <v/>
      </c>
      <c r="FP5" s="53">
        <f>(1+GrowthRent)^INT((169-1)/12)</f>
        <v/>
      </c>
      <c r="FQ5" s="53">
        <f>(1+GrowthRent)^INT((170-1)/12)</f>
        <v/>
      </c>
      <c r="FR5" s="53">
        <f>(1+GrowthRent)^INT((171-1)/12)</f>
        <v/>
      </c>
      <c r="FS5" s="53">
        <f>(1+GrowthRent)^INT((172-1)/12)</f>
        <v/>
      </c>
      <c r="FT5" s="53">
        <f>(1+GrowthRent)^INT((173-1)/12)</f>
        <v/>
      </c>
      <c r="FU5" s="53">
        <f>(1+GrowthRent)^INT((174-1)/12)</f>
        <v/>
      </c>
      <c r="FV5" s="53">
        <f>(1+GrowthRent)^INT((175-1)/12)</f>
        <v/>
      </c>
      <c r="FW5" s="53">
        <f>(1+GrowthRent)^INT((176-1)/12)</f>
        <v/>
      </c>
      <c r="FX5" s="53">
        <f>(1+GrowthRent)^INT((177-1)/12)</f>
        <v/>
      </c>
      <c r="FY5" s="53">
        <f>(1+GrowthRent)^INT((178-1)/12)</f>
        <v/>
      </c>
      <c r="FZ5" s="53">
        <f>(1+GrowthRent)^INT((179-1)/12)</f>
        <v/>
      </c>
      <c r="GA5" s="53">
        <f>(1+GrowthRent)^INT((180-1)/12)</f>
        <v/>
      </c>
      <c r="GB5" s="53">
        <f>(1+GrowthRent)^INT((181-1)/12)</f>
        <v/>
      </c>
      <c r="GC5" s="53">
        <f>(1+GrowthRent)^INT((182-1)/12)</f>
        <v/>
      </c>
      <c r="GD5" s="53">
        <f>(1+GrowthRent)^INT((183-1)/12)</f>
        <v/>
      </c>
      <c r="GE5" s="53">
        <f>(1+GrowthRent)^INT((184-1)/12)</f>
        <v/>
      </c>
      <c r="GF5" s="53">
        <f>(1+GrowthRent)^INT((185-1)/12)</f>
        <v/>
      </c>
      <c r="GG5" s="53">
        <f>(1+GrowthRent)^INT((186-1)/12)</f>
        <v/>
      </c>
      <c r="GH5" s="53">
        <f>(1+GrowthRent)^INT((187-1)/12)</f>
        <v/>
      </c>
      <c r="GI5" s="53">
        <f>(1+GrowthRent)^INT((188-1)/12)</f>
        <v/>
      </c>
      <c r="GJ5" s="53">
        <f>(1+GrowthRent)^INT((189-1)/12)</f>
        <v/>
      </c>
      <c r="GK5" s="53">
        <f>(1+GrowthRent)^INT((190-1)/12)</f>
        <v/>
      </c>
      <c r="GL5" s="53">
        <f>(1+GrowthRent)^INT((191-1)/12)</f>
        <v/>
      </c>
      <c r="GM5" s="53">
        <f>(1+GrowthRent)^INT((192-1)/12)</f>
        <v/>
      </c>
      <c r="GN5" s="53">
        <f>(1+GrowthRent)^INT((193-1)/12)</f>
        <v/>
      </c>
      <c r="GO5" s="53">
        <f>(1+GrowthRent)^INT((194-1)/12)</f>
        <v/>
      </c>
      <c r="GP5" s="53">
        <f>(1+GrowthRent)^INT((195-1)/12)</f>
        <v/>
      </c>
      <c r="GQ5" s="53">
        <f>(1+GrowthRent)^INT((196-1)/12)</f>
        <v/>
      </c>
      <c r="GR5" s="53">
        <f>(1+GrowthRent)^INT((197-1)/12)</f>
        <v/>
      </c>
      <c r="GS5" s="53">
        <f>(1+GrowthRent)^INT((198-1)/12)</f>
        <v/>
      </c>
      <c r="GT5" s="53">
        <f>(1+GrowthRent)^INT((199-1)/12)</f>
        <v/>
      </c>
      <c r="GU5" s="53">
        <f>(1+GrowthRent)^INT((200-1)/12)</f>
        <v/>
      </c>
      <c r="GV5" s="53">
        <f>(1+GrowthRent)^INT((201-1)/12)</f>
        <v/>
      </c>
      <c r="GW5" s="53">
        <f>(1+GrowthRent)^INT((202-1)/12)</f>
        <v/>
      </c>
      <c r="GX5" s="53">
        <f>(1+GrowthRent)^INT((203-1)/12)</f>
        <v/>
      </c>
      <c r="GY5" s="53">
        <f>(1+GrowthRent)^INT((204-1)/12)</f>
        <v/>
      </c>
      <c r="GZ5" s="53">
        <f>(1+GrowthRent)^INT((205-1)/12)</f>
        <v/>
      </c>
      <c r="HA5" s="53">
        <f>(1+GrowthRent)^INT((206-1)/12)</f>
        <v/>
      </c>
      <c r="HB5" s="53">
        <f>(1+GrowthRent)^INT((207-1)/12)</f>
        <v/>
      </c>
      <c r="HC5" s="53">
        <f>(1+GrowthRent)^INT((208-1)/12)</f>
        <v/>
      </c>
      <c r="HD5" s="53">
        <f>(1+GrowthRent)^INT((209-1)/12)</f>
        <v/>
      </c>
      <c r="HE5" s="53">
        <f>(1+GrowthRent)^INT((210-1)/12)</f>
        <v/>
      </c>
      <c r="HF5" s="53">
        <f>(1+GrowthRent)^INT((211-1)/12)</f>
        <v/>
      </c>
      <c r="HG5" s="53">
        <f>(1+GrowthRent)^INT((212-1)/12)</f>
        <v/>
      </c>
      <c r="HH5" s="53">
        <f>(1+GrowthRent)^INT((213-1)/12)</f>
        <v/>
      </c>
      <c r="HI5" s="53">
        <f>(1+GrowthRent)^INT((214-1)/12)</f>
        <v/>
      </c>
      <c r="HJ5" s="53">
        <f>(1+GrowthRent)^INT((215-1)/12)</f>
        <v/>
      </c>
      <c r="HK5" s="53">
        <f>(1+GrowthRent)^INT((216-1)/12)</f>
        <v/>
      </c>
      <c r="HL5" s="53">
        <f>(1+GrowthRent)^INT((217-1)/12)</f>
        <v/>
      </c>
      <c r="HM5" s="53">
        <f>(1+GrowthRent)^INT((218-1)/12)</f>
        <v/>
      </c>
      <c r="HN5" s="53">
        <f>(1+GrowthRent)^INT((219-1)/12)</f>
        <v/>
      </c>
      <c r="HO5" s="53">
        <f>(1+GrowthRent)^INT((220-1)/12)</f>
        <v/>
      </c>
      <c r="HP5" s="53">
        <f>(1+GrowthRent)^INT((221-1)/12)</f>
        <v/>
      </c>
      <c r="HQ5" s="53">
        <f>(1+GrowthRent)^INT((222-1)/12)</f>
        <v/>
      </c>
      <c r="HR5" s="53">
        <f>(1+GrowthRent)^INT((223-1)/12)</f>
        <v/>
      </c>
      <c r="HS5" s="53">
        <f>(1+GrowthRent)^INT((224-1)/12)</f>
        <v/>
      </c>
      <c r="HT5" s="53">
        <f>(1+GrowthRent)^INT((225-1)/12)</f>
        <v/>
      </c>
      <c r="HU5" s="53">
        <f>(1+GrowthRent)^INT((226-1)/12)</f>
        <v/>
      </c>
      <c r="HV5" s="53">
        <f>(1+GrowthRent)^INT((227-1)/12)</f>
        <v/>
      </c>
      <c r="HW5" s="53">
        <f>(1+GrowthRent)^INT((228-1)/12)</f>
        <v/>
      </c>
      <c r="HX5" s="53">
        <f>(1+GrowthRent)^INT((229-1)/12)</f>
        <v/>
      </c>
      <c r="HY5" s="53">
        <f>(1+GrowthRent)^INT((230-1)/12)</f>
        <v/>
      </c>
      <c r="HZ5" s="53">
        <f>(1+GrowthRent)^INT((231-1)/12)</f>
        <v/>
      </c>
      <c r="IA5" s="53">
        <f>(1+GrowthRent)^INT((232-1)/12)</f>
        <v/>
      </c>
      <c r="IB5" s="53">
        <f>(1+GrowthRent)^INT((233-1)/12)</f>
        <v/>
      </c>
      <c r="IC5" s="53">
        <f>(1+GrowthRent)^INT((234-1)/12)</f>
        <v/>
      </c>
      <c r="ID5" s="53">
        <f>(1+GrowthRent)^INT((235-1)/12)</f>
        <v/>
      </c>
      <c r="IE5" s="53">
        <f>(1+GrowthRent)^INT((236-1)/12)</f>
        <v/>
      </c>
      <c r="IF5" s="53">
        <f>(1+GrowthRent)^INT((237-1)/12)</f>
        <v/>
      </c>
      <c r="IG5" s="53">
        <f>(1+GrowthRent)^INT((238-1)/12)</f>
        <v/>
      </c>
      <c r="IH5" s="53">
        <f>(1+GrowthRent)^INT((239-1)/12)</f>
        <v/>
      </c>
      <c r="II5" s="53">
        <f>(1+GrowthRent)^INT((240-1)/12)</f>
        <v/>
      </c>
      <c r="IJ5" s="53">
        <f>(1+GrowthRent)^INT((241-1)/12)</f>
        <v/>
      </c>
      <c r="IK5" s="53">
        <f>(1+GrowthRent)^INT((242-1)/12)</f>
        <v/>
      </c>
      <c r="IL5" s="53">
        <f>(1+GrowthRent)^INT((243-1)/12)</f>
        <v/>
      </c>
      <c r="IM5" s="53">
        <f>(1+GrowthRent)^INT((244-1)/12)</f>
        <v/>
      </c>
      <c r="IN5" s="53">
        <f>(1+GrowthRent)^INT((245-1)/12)</f>
        <v/>
      </c>
      <c r="IO5" s="53">
        <f>(1+GrowthRent)^INT((246-1)/12)</f>
        <v/>
      </c>
      <c r="IP5" s="53">
        <f>(1+GrowthRent)^INT((247-1)/12)</f>
        <v/>
      </c>
      <c r="IQ5" s="53">
        <f>(1+GrowthRent)^INT((248-1)/12)</f>
        <v/>
      </c>
      <c r="IR5" s="53">
        <f>(1+GrowthRent)^INT((249-1)/12)</f>
        <v/>
      </c>
      <c r="IS5" s="53">
        <f>(1+GrowthRent)^INT((250-1)/12)</f>
        <v/>
      </c>
      <c r="IT5" s="53">
        <f>(1+GrowthRent)^INT((251-1)/12)</f>
        <v/>
      </c>
      <c r="IU5" s="53">
        <f>(1+GrowthRent)^INT((252-1)/12)</f>
        <v/>
      </c>
      <c r="IV5" s="53">
        <f>(1+GrowthRent)^INT((253-1)/12)</f>
        <v/>
      </c>
      <c r="IW5" s="53">
        <f>(1+GrowthRent)^INT((254-1)/12)</f>
        <v/>
      </c>
      <c r="IX5" s="53">
        <f>(1+GrowthRent)^INT((255-1)/12)</f>
        <v/>
      </c>
      <c r="IY5" s="53">
        <f>(1+GrowthRent)^INT((256-1)/12)</f>
        <v/>
      </c>
      <c r="IZ5" s="53">
        <f>(1+GrowthRent)^INT((257-1)/12)</f>
        <v/>
      </c>
      <c r="JA5" s="53">
        <f>(1+GrowthRent)^INT((258-1)/12)</f>
        <v/>
      </c>
      <c r="JB5" s="53">
        <f>(1+GrowthRent)^INT((259-1)/12)</f>
        <v/>
      </c>
      <c r="JC5" s="53">
        <f>(1+GrowthRent)^INT((260-1)/12)</f>
        <v/>
      </c>
      <c r="JD5" s="53">
        <f>(1+GrowthRent)^INT((261-1)/12)</f>
        <v/>
      </c>
      <c r="JE5" s="53">
        <f>(1+GrowthRent)^INT((262-1)/12)</f>
        <v/>
      </c>
      <c r="JF5" s="53">
        <f>(1+GrowthRent)^INT((263-1)/12)</f>
        <v/>
      </c>
      <c r="JG5" s="53">
        <f>(1+GrowthRent)^INT((264-1)/12)</f>
        <v/>
      </c>
      <c r="JH5" s="53">
        <f>(1+GrowthRent)^INT((265-1)/12)</f>
        <v/>
      </c>
      <c r="JI5" s="53">
        <f>(1+GrowthRent)^INT((266-1)/12)</f>
        <v/>
      </c>
      <c r="JJ5" s="53">
        <f>(1+GrowthRent)^INT((267-1)/12)</f>
        <v/>
      </c>
      <c r="JK5" s="53">
        <f>(1+GrowthRent)^INT((268-1)/12)</f>
        <v/>
      </c>
      <c r="JL5" s="53">
        <f>(1+GrowthRent)^INT((269-1)/12)</f>
        <v/>
      </c>
      <c r="JM5" s="53">
        <f>(1+GrowthRent)^INT((270-1)/12)</f>
        <v/>
      </c>
      <c r="JN5" s="53">
        <f>(1+GrowthRent)^INT((271-1)/12)</f>
        <v/>
      </c>
      <c r="JO5" s="53">
        <f>(1+GrowthRent)^INT((272-1)/12)</f>
        <v/>
      </c>
      <c r="JP5" s="53">
        <f>(1+GrowthRent)^INT((273-1)/12)</f>
        <v/>
      </c>
      <c r="JQ5" s="53">
        <f>(1+GrowthRent)^INT((274-1)/12)</f>
        <v/>
      </c>
      <c r="JR5" s="53">
        <f>(1+GrowthRent)^INT((275-1)/12)</f>
        <v/>
      </c>
      <c r="JS5" s="53">
        <f>(1+GrowthRent)^INT((276-1)/12)</f>
        <v/>
      </c>
      <c r="JT5" s="53">
        <f>(1+GrowthRent)^INT((277-1)/12)</f>
        <v/>
      </c>
      <c r="JU5" s="53">
        <f>(1+GrowthRent)^INT((278-1)/12)</f>
        <v/>
      </c>
      <c r="JV5" s="53">
        <f>(1+GrowthRent)^INT((279-1)/12)</f>
        <v/>
      </c>
      <c r="JW5" s="53">
        <f>(1+GrowthRent)^INT((280-1)/12)</f>
        <v/>
      </c>
      <c r="JX5" s="53">
        <f>(1+GrowthRent)^INT((281-1)/12)</f>
        <v/>
      </c>
      <c r="JY5" s="53">
        <f>(1+GrowthRent)^INT((282-1)/12)</f>
        <v/>
      </c>
      <c r="JZ5" s="53">
        <f>(1+GrowthRent)^INT((283-1)/12)</f>
        <v/>
      </c>
      <c r="KA5" s="53">
        <f>(1+GrowthRent)^INT((284-1)/12)</f>
        <v/>
      </c>
      <c r="KB5" s="53">
        <f>(1+GrowthRent)^INT((285-1)/12)</f>
        <v/>
      </c>
      <c r="KC5" s="53">
        <f>(1+GrowthRent)^INT((286-1)/12)</f>
        <v/>
      </c>
      <c r="KD5" s="53">
        <f>(1+GrowthRent)^INT((287-1)/12)</f>
        <v/>
      </c>
      <c r="KE5" s="53">
        <f>(1+GrowthRent)^INT((288-1)/12)</f>
        <v/>
      </c>
      <c r="KF5" s="53">
        <f>(1+GrowthRent)^INT((289-1)/12)</f>
        <v/>
      </c>
      <c r="KG5" s="53">
        <f>(1+GrowthRent)^INT((290-1)/12)</f>
        <v/>
      </c>
      <c r="KH5" s="53">
        <f>(1+GrowthRent)^INT((291-1)/12)</f>
        <v/>
      </c>
      <c r="KI5" s="53">
        <f>(1+GrowthRent)^INT((292-1)/12)</f>
        <v/>
      </c>
      <c r="KJ5" s="53">
        <f>(1+GrowthRent)^INT((293-1)/12)</f>
        <v/>
      </c>
      <c r="KK5" s="53">
        <f>(1+GrowthRent)^INT((294-1)/12)</f>
        <v/>
      </c>
      <c r="KL5" s="53">
        <f>(1+GrowthRent)^INT((295-1)/12)</f>
        <v/>
      </c>
      <c r="KM5" s="53">
        <f>(1+GrowthRent)^INT((296-1)/12)</f>
        <v/>
      </c>
      <c r="KN5" s="53">
        <f>(1+GrowthRent)^INT((297-1)/12)</f>
        <v/>
      </c>
      <c r="KO5" s="53">
        <f>(1+GrowthRent)^INT((298-1)/12)</f>
        <v/>
      </c>
      <c r="KP5" s="53">
        <f>(1+GrowthRent)^INT((299-1)/12)</f>
        <v/>
      </c>
      <c r="KQ5" s="53">
        <f>(1+GrowthRent)^INT((300-1)/12)</f>
        <v/>
      </c>
      <c r="KR5" s="53">
        <f>(1+GrowthRent)^INT((301-1)/12)</f>
        <v/>
      </c>
      <c r="KS5" s="53">
        <f>(1+GrowthRent)^INT((302-1)/12)</f>
        <v/>
      </c>
      <c r="KT5" s="53">
        <f>(1+GrowthRent)^INT((303-1)/12)</f>
        <v/>
      </c>
      <c r="KU5" s="53">
        <f>(1+GrowthRent)^INT((304-1)/12)</f>
        <v/>
      </c>
      <c r="KV5" s="53">
        <f>(1+GrowthRent)^INT((305-1)/12)</f>
        <v/>
      </c>
      <c r="KW5" s="53">
        <f>(1+GrowthRent)^INT((306-1)/12)</f>
        <v/>
      </c>
      <c r="KX5" s="53">
        <f>(1+GrowthRent)^INT((307-1)/12)</f>
        <v/>
      </c>
      <c r="KY5" s="53">
        <f>(1+GrowthRent)^INT((308-1)/12)</f>
        <v/>
      </c>
      <c r="KZ5" s="53">
        <f>(1+GrowthRent)^INT((309-1)/12)</f>
        <v/>
      </c>
      <c r="LA5" s="53">
        <f>(1+GrowthRent)^INT((310-1)/12)</f>
        <v/>
      </c>
      <c r="LB5" s="53">
        <f>(1+GrowthRent)^INT((311-1)/12)</f>
        <v/>
      </c>
      <c r="LC5" s="53">
        <f>(1+GrowthRent)^INT((312-1)/12)</f>
        <v/>
      </c>
      <c r="LD5" s="53">
        <f>(1+GrowthRent)^INT((313-1)/12)</f>
        <v/>
      </c>
      <c r="LE5" s="53">
        <f>(1+GrowthRent)^INT((314-1)/12)</f>
        <v/>
      </c>
      <c r="LF5" s="53">
        <f>(1+GrowthRent)^INT((315-1)/12)</f>
        <v/>
      </c>
      <c r="LG5" s="53">
        <f>(1+GrowthRent)^INT((316-1)/12)</f>
        <v/>
      </c>
      <c r="LH5" s="53">
        <f>(1+GrowthRent)^INT((317-1)/12)</f>
        <v/>
      </c>
      <c r="LI5" s="53">
        <f>(1+GrowthRent)^INT((318-1)/12)</f>
        <v/>
      </c>
      <c r="LJ5" s="53">
        <f>(1+GrowthRent)^INT((319-1)/12)</f>
        <v/>
      </c>
      <c r="LK5" s="53">
        <f>(1+GrowthRent)^INT((320-1)/12)</f>
        <v/>
      </c>
      <c r="LL5" s="53">
        <f>(1+GrowthRent)^INT((321-1)/12)</f>
        <v/>
      </c>
      <c r="LM5" s="53">
        <f>(1+GrowthRent)^INT((322-1)/12)</f>
        <v/>
      </c>
      <c r="LN5" s="53">
        <f>(1+GrowthRent)^INT((323-1)/12)</f>
        <v/>
      </c>
      <c r="LO5" s="53">
        <f>(1+GrowthRent)^INT((324-1)/12)</f>
        <v/>
      </c>
      <c r="LP5" s="53">
        <f>(1+GrowthRent)^INT((325-1)/12)</f>
        <v/>
      </c>
      <c r="LQ5" s="53">
        <f>(1+GrowthRent)^INT((326-1)/12)</f>
        <v/>
      </c>
      <c r="LR5" s="53">
        <f>(1+GrowthRent)^INT((327-1)/12)</f>
        <v/>
      </c>
      <c r="LS5" s="53">
        <f>(1+GrowthRent)^INT((328-1)/12)</f>
        <v/>
      </c>
      <c r="LT5" s="53">
        <f>(1+GrowthRent)^INT((329-1)/12)</f>
        <v/>
      </c>
      <c r="LU5" s="53">
        <f>(1+GrowthRent)^INT((330-1)/12)</f>
        <v/>
      </c>
      <c r="LV5" s="53">
        <f>(1+GrowthRent)^INT((331-1)/12)</f>
        <v/>
      </c>
      <c r="LW5" s="53">
        <f>(1+GrowthRent)^INT((332-1)/12)</f>
        <v/>
      </c>
      <c r="LX5" s="53">
        <f>(1+GrowthRent)^INT((333-1)/12)</f>
        <v/>
      </c>
      <c r="LY5" s="53">
        <f>(1+GrowthRent)^INT((334-1)/12)</f>
        <v/>
      </c>
      <c r="LZ5" s="53">
        <f>(1+GrowthRent)^INT((335-1)/12)</f>
        <v/>
      </c>
      <c r="MA5" s="53">
        <f>(1+GrowthRent)^INT((336-1)/12)</f>
        <v/>
      </c>
      <c r="MB5" s="53">
        <f>(1+GrowthRent)^INT((337-1)/12)</f>
        <v/>
      </c>
      <c r="MC5" s="53">
        <f>(1+GrowthRent)^INT((338-1)/12)</f>
        <v/>
      </c>
      <c r="MD5" s="53">
        <f>(1+GrowthRent)^INT((339-1)/12)</f>
        <v/>
      </c>
      <c r="ME5" s="53">
        <f>(1+GrowthRent)^INT((340-1)/12)</f>
        <v/>
      </c>
      <c r="MF5" s="53">
        <f>(1+GrowthRent)^INT((341-1)/12)</f>
        <v/>
      </c>
      <c r="MG5" s="53">
        <f>(1+GrowthRent)^INT((342-1)/12)</f>
        <v/>
      </c>
      <c r="MH5" s="53">
        <f>(1+GrowthRent)^INT((343-1)/12)</f>
        <v/>
      </c>
      <c r="MI5" s="53">
        <f>(1+GrowthRent)^INT((344-1)/12)</f>
        <v/>
      </c>
      <c r="MJ5" s="53">
        <f>(1+GrowthRent)^INT((345-1)/12)</f>
        <v/>
      </c>
      <c r="MK5" s="53">
        <f>(1+GrowthRent)^INT((346-1)/12)</f>
        <v/>
      </c>
      <c r="ML5" s="53">
        <f>(1+GrowthRent)^INT((347-1)/12)</f>
        <v/>
      </c>
      <c r="MM5" s="53">
        <f>(1+GrowthRent)^INT((348-1)/12)</f>
        <v/>
      </c>
      <c r="MN5" s="53">
        <f>(1+GrowthRent)^INT((349-1)/12)</f>
        <v/>
      </c>
      <c r="MO5" s="53">
        <f>(1+GrowthRent)^INT((350-1)/12)</f>
        <v/>
      </c>
      <c r="MP5" s="53">
        <f>(1+GrowthRent)^INT((351-1)/12)</f>
        <v/>
      </c>
      <c r="MQ5" s="53">
        <f>(1+GrowthRent)^INT((352-1)/12)</f>
        <v/>
      </c>
      <c r="MR5" s="53">
        <f>(1+GrowthRent)^INT((353-1)/12)</f>
        <v/>
      </c>
      <c r="MS5" s="53">
        <f>(1+GrowthRent)^INT((354-1)/12)</f>
        <v/>
      </c>
      <c r="MT5" s="53">
        <f>(1+GrowthRent)^INT((355-1)/12)</f>
        <v/>
      </c>
      <c r="MU5" s="53">
        <f>(1+GrowthRent)^INT((356-1)/12)</f>
        <v/>
      </c>
      <c r="MV5" s="53">
        <f>(1+GrowthRent)^INT((357-1)/12)</f>
        <v/>
      </c>
      <c r="MW5" s="53">
        <f>(1+GrowthRent)^INT((358-1)/12)</f>
        <v/>
      </c>
      <c r="MX5" s="53">
        <f>(1+GrowthRent)^INT((359-1)/12)</f>
        <v/>
      </c>
      <c r="MY5" s="53">
        <f>(1+GrowthRent)^INT((360-1)/12)</f>
        <v/>
      </c>
      <c r="MZ5" s="53">
        <f>(1+GrowthRent)^INT((361-1)/12)</f>
        <v/>
      </c>
      <c r="NA5" s="53">
        <f>(1+GrowthRent)^INT((362-1)/12)</f>
        <v/>
      </c>
      <c r="NB5" s="53">
        <f>(1+GrowthRent)^INT((363-1)/12)</f>
        <v/>
      </c>
      <c r="NC5" s="53">
        <f>(1+GrowthRent)^INT((364-1)/12)</f>
        <v/>
      </c>
      <c r="ND5" s="53">
        <f>(1+GrowthRent)^INT((365-1)/12)</f>
        <v/>
      </c>
      <c r="NE5" s="53">
        <f>(1+GrowthRent)^INT((366-1)/12)</f>
        <v/>
      </c>
      <c r="NF5" s="53">
        <f>(1+GrowthRent)^INT((367-1)/12)</f>
        <v/>
      </c>
      <c r="NG5" s="53">
        <f>(1+GrowthRent)^INT((368-1)/12)</f>
        <v/>
      </c>
      <c r="NH5" s="53">
        <f>(1+GrowthRent)^INT((369-1)/12)</f>
        <v/>
      </c>
      <c r="NI5" s="53">
        <f>(1+GrowthRent)^INT((370-1)/12)</f>
        <v/>
      </c>
      <c r="NJ5" s="53">
        <f>(1+GrowthRent)^INT((371-1)/12)</f>
        <v/>
      </c>
      <c r="NK5" s="53">
        <f>(1+GrowthRent)^INT((372-1)/12)</f>
        <v/>
      </c>
    </row>
    <row r="6">
      <c r="A6" s="5" t="inlineStr">
        <is>
          <t>Growth Factor — Low-Income Rent</t>
        </is>
      </c>
      <c r="C6" s="52" t="n"/>
      <c r="D6" s="53">
        <f>(1+GrowthLowIncRent)^INT((1-1)/12)</f>
        <v/>
      </c>
      <c r="E6" s="53">
        <f>(1+GrowthLowIncRent)^INT((2-1)/12)</f>
        <v/>
      </c>
      <c r="F6" s="53">
        <f>(1+GrowthLowIncRent)^INT((3-1)/12)</f>
        <v/>
      </c>
      <c r="G6" s="53">
        <f>(1+GrowthLowIncRent)^INT((4-1)/12)</f>
        <v/>
      </c>
      <c r="H6" s="53">
        <f>(1+GrowthLowIncRent)^INT((5-1)/12)</f>
        <v/>
      </c>
      <c r="I6" s="53">
        <f>(1+GrowthLowIncRent)^INT((6-1)/12)</f>
        <v/>
      </c>
      <c r="J6" s="53">
        <f>(1+GrowthLowIncRent)^INT((7-1)/12)</f>
        <v/>
      </c>
      <c r="K6" s="53">
        <f>(1+GrowthLowIncRent)^INT((8-1)/12)</f>
        <v/>
      </c>
      <c r="L6" s="53">
        <f>(1+GrowthLowIncRent)^INT((9-1)/12)</f>
        <v/>
      </c>
      <c r="M6" s="53">
        <f>(1+GrowthLowIncRent)^INT((10-1)/12)</f>
        <v/>
      </c>
      <c r="N6" s="53">
        <f>(1+GrowthLowIncRent)^INT((11-1)/12)</f>
        <v/>
      </c>
      <c r="O6" s="53">
        <f>(1+GrowthLowIncRent)^INT((12-1)/12)</f>
        <v/>
      </c>
      <c r="P6" s="53">
        <f>(1+GrowthLowIncRent)^INT((13-1)/12)</f>
        <v/>
      </c>
      <c r="Q6" s="53">
        <f>(1+GrowthLowIncRent)^INT((14-1)/12)</f>
        <v/>
      </c>
      <c r="R6" s="53">
        <f>(1+GrowthLowIncRent)^INT((15-1)/12)</f>
        <v/>
      </c>
      <c r="S6" s="53">
        <f>(1+GrowthLowIncRent)^INT((16-1)/12)</f>
        <v/>
      </c>
      <c r="T6" s="53">
        <f>(1+GrowthLowIncRent)^INT((17-1)/12)</f>
        <v/>
      </c>
      <c r="U6" s="53">
        <f>(1+GrowthLowIncRent)^INT((18-1)/12)</f>
        <v/>
      </c>
      <c r="V6" s="53">
        <f>(1+GrowthLowIncRent)^INT((19-1)/12)</f>
        <v/>
      </c>
      <c r="W6" s="53">
        <f>(1+GrowthLowIncRent)^INT((20-1)/12)</f>
        <v/>
      </c>
      <c r="X6" s="53">
        <f>(1+GrowthLowIncRent)^INT((21-1)/12)</f>
        <v/>
      </c>
      <c r="Y6" s="53">
        <f>(1+GrowthLowIncRent)^INT((22-1)/12)</f>
        <v/>
      </c>
      <c r="Z6" s="53">
        <f>(1+GrowthLowIncRent)^INT((23-1)/12)</f>
        <v/>
      </c>
      <c r="AA6" s="53">
        <f>(1+GrowthLowIncRent)^INT((24-1)/12)</f>
        <v/>
      </c>
      <c r="AB6" s="53">
        <f>(1+GrowthLowIncRent)^INT((25-1)/12)</f>
        <v/>
      </c>
      <c r="AC6" s="53">
        <f>(1+GrowthLowIncRent)^INT((26-1)/12)</f>
        <v/>
      </c>
      <c r="AD6" s="53">
        <f>(1+GrowthLowIncRent)^INT((27-1)/12)</f>
        <v/>
      </c>
      <c r="AE6" s="53">
        <f>(1+GrowthLowIncRent)^INT((28-1)/12)</f>
        <v/>
      </c>
      <c r="AF6" s="53">
        <f>(1+GrowthLowIncRent)^INT((29-1)/12)</f>
        <v/>
      </c>
      <c r="AG6" s="53">
        <f>(1+GrowthLowIncRent)^INT((30-1)/12)</f>
        <v/>
      </c>
      <c r="AH6" s="53">
        <f>(1+GrowthLowIncRent)^INT((31-1)/12)</f>
        <v/>
      </c>
      <c r="AI6" s="53">
        <f>(1+GrowthLowIncRent)^INT((32-1)/12)</f>
        <v/>
      </c>
      <c r="AJ6" s="53">
        <f>(1+GrowthLowIncRent)^INT((33-1)/12)</f>
        <v/>
      </c>
      <c r="AK6" s="53">
        <f>(1+GrowthLowIncRent)^INT((34-1)/12)</f>
        <v/>
      </c>
      <c r="AL6" s="53">
        <f>(1+GrowthLowIncRent)^INT((35-1)/12)</f>
        <v/>
      </c>
      <c r="AM6" s="53">
        <f>(1+GrowthLowIncRent)^INT((36-1)/12)</f>
        <v/>
      </c>
      <c r="AN6" s="53">
        <f>(1+GrowthLowIncRent)^INT((37-1)/12)</f>
        <v/>
      </c>
      <c r="AO6" s="53">
        <f>(1+GrowthLowIncRent)^INT((38-1)/12)</f>
        <v/>
      </c>
      <c r="AP6" s="53">
        <f>(1+GrowthLowIncRent)^INT((39-1)/12)</f>
        <v/>
      </c>
      <c r="AQ6" s="53">
        <f>(1+GrowthLowIncRent)^INT((40-1)/12)</f>
        <v/>
      </c>
      <c r="AR6" s="53">
        <f>(1+GrowthLowIncRent)^INT((41-1)/12)</f>
        <v/>
      </c>
      <c r="AS6" s="53">
        <f>(1+GrowthLowIncRent)^INT((42-1)/12)</f>
        <v/>
      </c>
      <c r="AT6" s="53">
        <f>(1+GrowthLowIncRent)^INT((43-1)/12)</f>
        <v/>
      </c>
      <c r="AU6" s="53">
        <f>(1+GrowthLowIncRent)^INT((44-1)/12)</f>
        <v/>
      </c>
      <c r="AV6" s="53">
        <f>(1+GrowthLowIncRent)^INT((45-1)/12)</f>
        <v/>
      </c>
      <c r="AW6" s="53">
        <f>(1+GrowthLowIncRent)^INT((46-1)/12)</f>
        <v/>
      </c>
      <c r="AX6" s="53">
        <f>(1+GrowthLowIncRent)^INT((47-1)/12)</f>
        <v/>
      </c>
      <c r="AY6" s="53">
        <f>(1+GrowthLowIncRent)^INT((48-1)/12)</f>
        <v/>
      </c>
      <c r="AZ6" s="53">
        <f>(1+GrowthLowIncRent)^INT((49-1)/12)</f>
        <v/>
      </c>
      <c r="BA6" s="53">
        <f>(1+GrowthLowIncRent)^INT((50-1)/12)</f>
        <v/>
      </c>
      <c r="BB6" s="53">
        <f>(1+GrowthLowIncRent)^INT((51-1)/12)</f>
        <v/>
      </c>
      <c r="BC6" s="53">
        <f>(1+GrowthLowIncRent)^INT((52-1)/12)</f>
        <v/>
      </c>
      <c r="BD6" s="53">
        <f>(1+GrowthLowIncRent)^INT((53-1)/12)</f>
        <v/>
      </c>
      <c r="BE6" s="53">
        <f>(1+GrowthLowIncRent)^INT((54-1)/12)</f>
        <v/>
      </c>
      <c r="BF6" s="53">
        <f>(1+GrowthLowIncRent)^INT((55-1)/12)</f>
        <v/>
      </c>
      <c r="BG6" s="53">
        <f>(1+GrowthLowIncRent)^INT((56-1)/12)</f>
        <v/>
      </c>
      <c r="BH6" s="53">
        <f>(1+GrowthLowIncRent)^INT((57-1)/12)</f>
        <v/>
      </c>
      <c r="BI6" s="53">
        <f>(1+GrowthLowIncRent)^INT((58-1)/12)</f>
        <v/>
      </c>
      <c r="BJ6" s="53">
        <f>(1+GrowthLowIncRent)^INT((59-1)/12)</f>
        <v/>
      </c>
      <c r="BK6" s="53">
        <f>(1+GrowthLowIncRent)^INT((60-1)/12)</f>
        <v/>
      </c>
      <c r="BL6" s="53">
        <f>(1+GrowthLowIncRent)^INT((61-1)/12)</f>
        <v/>
      </c>
      <c r="BM6" s="53">
        <f>(1+GrowthLowIncRent)^INT((62-1)/12)</f>
        <v/>
      </c>
      <c r="BN6" s="53">
        <f>(1+GrowthLowIncRent)^INT((63-1)/12)</f>
        <v/>
      </c>
      <c r="BO6" s="53">
        <f>(1+GrowthLowIncRent)^INT((64-1)/12)</f>
        <v/>
      </c>
      <c r="BP6" s="53">
        <f>(1+GrowthLowIncRent)^INT((65-1)/12)</f>
        <v/>
      </c>
      <c r="BQ6" s="53">
        <f>(1+GrowthLowIncRent)^INT((66-1)/12)</f>
        <v/>
      </c>
      <c r="BR6" s="53">
        <f>(1+GrowthLowIncRent)^INT((67-1)/12)</f>
        <v/>
      </c>
      <c r="BS6" s="53">
        <f>(1+GrowthLowIncRent)^INT((68-1)/12)</f>
        <v/>
      </c>
      <c r="BT6" s="53">
        <f>(1+GrowthLowIncRent)^INT((69-1)/12)</f>
        <v/>
      </c>
      <c r="BU6" s="53">
        <f>(1+GrowthLowIncRent)^INT((70-1)/12)</f>
        <v/>
      </c>
      <c r="BV6" s="53">
        <f>(1+GrowthLowIncRent)^INT((71-1)/12)</f>
        <v/>
      </c>
      <c r="BW6" s="53">
        <f>(1+GrowthLowIncRent)^INT((72-1)/12)</f>
        <v/>
      </c>
      <c r="BX6" s="53">
        <f>(1+GrowthLowIncRent)^INT((73-1)/12)</f>
        <v/>
      </c>
      <c r="BY6" s="53">
        <f>(1+GrowthLowIncRent)^INT((74-1)/12)</f>
        <v/>
      </c>
      <c r="BZ6" s="53">
        <f>(1+GrowthLowIncRent)^INT((75-1)/12)</f>
        <v/>
      </c>
      <c r="CA6" s="53">
        <f>(1+GrowthLowIncRent)^INT((76-1)/12)</f>
        <v/>
      </c>
      <c r="CB6" s="53">
        <f>(1+GrowthLowIncRent)^INT((77-1)/12)</f>
        <v/>
      </c>
      <c r="CC6" s="53">
        <f>(1+GrowthLowIncRent)^INT((78-1)/12)</f>
        <v/>
      </c>
      <c r="CD6" s="53">
        <f>(1+GrowthLowIncRent)^INT((79-1)/12)</f>
        <v/>
      </c>
      <c r="CE6" s="53">
        <f>(1+GrowthLowIncRent)^INT((80-1)/12)</f>
        <v/>
      </c>
      <c r="CF6" s="53">
        <f>(1+GrowthLowIncRent)^INT((81-1)/12)</f>
        <v/>
      </c>
      <c r="CG6" s="53">
        <f>(1+GrowthLowIncRent)^INT((82-1)/12)</f>
        <v/>
      </c>
      <c r="CH6" s="53">
        <f>(1+GrowthLowIncRent)^INT((83-1)/12)</f>
        <v/>
      </c>
      <c r="CI6" s="53">
        <f>(1+GrowthLowIncRent)^INT((84-1)/12)</f>
        <v/>
      </c>
      <c r="CJ6" s="53">
        <f>(1+GrowthLowIncRent)^INT((85-1)/12)</f>
        <v/>
      </c>
      <c r="CK6" s="53">
        <f>(1+GrowthLowIncRent)^INT((86-1)/12)</f>
        <v/>
      </c>
      <c r="CL6" s="53">
        <f>(1+GrowthLowIncRent)^INT((87-1)/12)</f>
        <v/>
      </c>
      <c r="CM6" s="53">
        <f>(1+GrowthLowIncRent)^INT((88-1)/12)</f>
        <v/>
      </c>
      <c r="CN6" s="53">
        <f>(1+GrowthLowIncRent)^INT((89-1)/12)</f>
        <v/>
      </c>
      <c r="CO6" s="53">
        <f>(1+GrowthLowIncRent)^INT((90-1)/12)</f>
        <v/>
      </c>
      <c r="CP6" s="53">
        <f>(1+GrowthLowIncRent)^INT((91-1)/12)</f>
        <v/>
      </c>
      <c r="CQ6" s="53">
        <f>(1+GrowthLowIncRent)^INT((92-1)/12)</f>
        <v/>
      </c>
      <c r="CR6" s="53">
        <f>(1+GrowthLowIncRent)^INT((93-1)/12)</f>
        <v/>
      </c>
      <c r="CS6" s="53">
        <f>(1+GrowthLowIncRent)^INT((94-1)/12)</f>
        <v/>
      </c>
      <c r="CT6" s="53">
        <f>(1+GrowthLowIncRent)^INT((95-1)/12)</f>
        <v/>
      </c>
      <c r="CU6" s="53">
        <f>(1+GrowthLowIncRent)^INT((96-1)/12)</f>
        <v/>
      </c>
      <c r="CV6" s="53">
        <f>(1+GrowthLowIncRent)^INT((97-1)/12)</f>
        <v/>
      </c>
      <c r="CW6" s="53">
        <f>(1+GrowthLowIncRent)^INT((98-1)/12)</f>
        <v/>
      </c>
      <c r="CX6" s="53">
        <f>(1+GrowthLowIncRent)^INT((99-1)/12)</f>
        <v/>
      </c>
      <c r="CY6" s="53">
        <f>(1+GrowthLowIncRent)^INT((100-1)/12)</f>
        <v/>
      </c>
      <c r="CZ6" s="53">
        <f>(1+GrowthLowIncRent)^INT((101-1)/12)</f>
        <v/>
      </c>
      <c r="DA6" s="53">
        <f>(1+GrowthLowIncRent)^INT((102-1)/12)</f>
        <v/>
      </c>
      <c r="DB6" s="53">
        <f>(1+GrowthLowIncRent)^INT((103-1)/12)</f>
        <v/>
      </c>
      <c r="DC6" s="53">
        <f>(1+GrowthLowIncRent)^INT((104-1)/12)</f>
        <v/>
      </c>
      <c r="DD6" s="53">
        <f>(1+GrowthLowIncRent)^INT((105-1)/12)</f>
        <v/>
      </c>
      <c r="DE6" s="53">
        <f>(1+GrowthLowIncRent)^INT((106-1)/12)</f>
        <v/>
      </c>
      <c r="DF6" s="53">
        <f>(1+GrowthLowIncRent)^INT((107-1)/12)</f>
        <v/>
      </c>
      <c r="DG6" s="53">
        <f>(1+GrowthLowIncRent)^INT((108-1)/12)</f>
        <v/>
      </c>
      <c r="DH6" s="53">
        <f>(1+GrowthLowIncRent)^INT((109-1)/12)</f>
        <v/>
      </c>
      <c r="DI6" s="53">
        <f>(1+GrowthLowIncRent)^INT((110-1)/12)</f>
        <v/>
      </c>
      <c r="DJ6" s="53">
        <f>(1+GrowthLowIncRent)^INT((111-1)/12)</f>
        <v/>
      </c>
      <c r="DK6" s="53">
        <f>(1+GrowthLowIncRent)^INT((112-1)/12)</f>
        <v/>
      </c>
      <c r="DL6" s="53">
        <f>(1+GrowthLowIncRent)^INT((113-1)/12)</f>
        <v/>
      </c>
      <c r="DM6" s="53">
        <f>(1+GrowthLowIncRent)^INT((114-1)/12)</f>
        <v/>
      </c>
      <c r="DN6" s="53">
        <f>(1+GrowthLowIncRent)^INT((115-1)/12)</f>
        <v/>
      </c>
      <c r="DO6" s="53">
        <f>(1+GrowthLowIncRent)^INT((116-1)/12)</f>
        <v/>
      </c>
      <c r="DP6" s="53">
        <f>(1+GrowthLowIncRent)^INT((117-1)/12)</f>
        <v/>
      </c>
      <c r="DQ6" s="53">
        <f>(1+GrowthLowIncRent)^INT((118-1)/12)</f>
        <v/>
      </c>
      <c r="DR6" s="53">
        <f>(1+GrowthLowIncRent)^INT((119-1)/12)</f>
        <v/>
      </c>
      <c r="DS6" s="53">
        <f>(1+GrowthLowIncRent)^INT((120-1)/12)</f>
        <v/>
      </c>
      <c r="DT6" s="53">
        <f>(1+GrowthLowIncRent)^INT((121-1)/12)</f>
        <v/>
      </c>
      <c r="DU6" s="53">
        <f>(1+GrowthLowIncRent)^INT((122-1)/12)</f>
        <v/>
      </c>
      <c r="DV6" s="53">
        <f>(1+GrowthLowIncRent)^INT((123-1)/12)</f>
        <v/>
      </c>
      <c r="DW6" s="53">
        <f>(1+GrowthLowIncRent)^INT((124-1)/12)</f>
        <v/>
      </c>
      <c r="DX6" s="53">
        <f>(1+GrowthLowIncRent)^INT((125-1)/12)</f>
        <v/>
      </c>
      <c r="DY6" s="53">
        <f>(1+GrowthLowIncRent)^INT((126-1)/12)</f>
        <v/>
      </c>
      <c r="DZ6" s="53">
        <f>(1+GrowthLowIncRent)^INT((127-1)/12)</f>
        <v/>
      </c>
      <c r="EA6" s="53">
        <f>(1+GrowthLowIncRent)^INT((128-1)/12)</f>
        <v/>
      </c>
      <c r="EB6" s="53">
        <f>(1+GrowthLowIncRent)^INT((129-1)/12)</f>
        <v/>
      </c>
      <c r="EC6" s="53">
        <f>(1+GrowthLowIncRent)^INT((130-1)/12)</f>
        <v/>
      </c>
      <c r="ED6" s="53">
        <f>(1+GrowthLowIncRent)^INT((131-1)/12)</f>
        <v/>
      </c>
      <c r="EE6" s="53">
        <f>(1+GrowthLowIncRent)^INT((132-1)/12)</f>
        <v/>
      </c>
      <c r="EF6" s="53">
        <f>(1+GrowthLowIncRent)^INT((133-1)/12)</f>
        <v/>
      </c>
      <c r="EG6" s="53">
        <f>(1+GrowthLowIncRent)^INT((134-1)/12)</f>
        <v/>
      </c>
      <c r="EH6" s="53">
        <f>(1+GrowthLowIncRent)^INT((135-1)/12)</f>
        <v/>
      </c>
      <c r="EI6" s="53">
        <f>(1+GrowthLowIncRent)^INT((136-1)/12)</f>
        <v/>
      </c>
      <c r="EJ6" s="53">
        <f>(1+GrowthLowIncRent)^INT((137-1)/12)</f>
        <v/>
      </c>
      <c r="EK6" s="53">
        <f>(1+GrowthLowIncRent)^INT((138-1)/12)</f>
        <v/>
      </c>
      <c r="EL6" s="53">
        <f>(1+GrowthLowIncRent)^INT((139-1)/12)</f>
        <v/>
      </c>
      <c r="EM6" s="53">
        <f>(1+GrowthLowIncRent)^INT((140-1)/12)</f>
        <v/>
      </c>
      <c r="EN6" s="53">
        <f>(1+GrowthLowIncRent)^INT((141-1)/12)</f>
        <v/>
      </c>
      <c r="EO6" s="53">
        <f>(1+GrowthLowIncRent)^INT((142-1)/12)</f>
        <v/>
      </c>
      <c r="EP6" s="53">
        <f>(1+GrowthLowIncRent)^INT((143-1)/12)</f>
        <v/>
      </c>
      <c r="EQ6" s="53">
        <f>(1+GrowthLowIncRent)^INT((144-1)/12)</f>
        <v/>
      </c>
      <c r="ER6" s="53">
        <f>(1+GrowthLowIncRent)^INT((145-1)/12)</f>
        <v/>
      </c>
      <c r="ES6" s="53">
        <f>(1+GrowthLowIncRent)^INT((146-1)/12)</f>
        <v/>
      </c>
      <c r="ET6" s="53">
        <f>(1+GrowthLowIncRent)^INT((147-1)/12)</f>
        <v/>
      </c>
      <c r="EU6" s="53">
        <f>(1+GrowthLowIncRent)^INT((148-1)/12)</f>
        <v/>
      </c>
      <c r="EV6" s="53">
        <f>(1+GrowthLowIncRent)^INT((149-1)/12)</f>
        <v/>
      </c>
      <c r="EW6" s="53">
        <f>(1+GrowthLowIncRent)^INT((150-1)/12)</f>
        <v/>
      </c>
      <c r="EX6" s="53">
        <f>(1+GrowthLowIncRent)^INT((151-1)/12)</f>
        <v/>
      </c>
      <c r="EY6" s="53">
        <f>(1+GrowthLowIncRent)^INT((152-1)/12)</f>
        <v/>
      </c>
      <c r="EZ6" s="53">
        <f>(1+GrowthLowIncRent)^INT((153-1)/12)</f>
        <v/>
      </c>
      <c r="FA6" s="53">
        <f>(1+GrowthLowIncRent)^INT((154-1)/12)</f>
        <v/>
      </c>
      <c r="FB6" s="53">
        <f>(1+GrowthLowIncRent)^INT((155-1)/12)</f>
        <v/>
      </c>
      <c r="FC6" s="53">
        <f>(1+GrowthLowIncRent)^INT((156-1)/12)</f>
        <v/>
      </c>
      <c r="FD6" s="53">
        <f>(1+GrowthLowIncRent)^INT((157-1)/12)</f>
        <v/>
      </c>
      <c r="FE6" s="53">
        <f>(1+GrowthLowIncRent)^INT((158-1)/12)</f>
        <v/>
      </c>
      <c r="FF6" s="53">
        <f>(1+GrowthLowIncRent)^INT((159-1)/12)</f>
        <v/>
      </c>
      <c r="FG6" s="53">
        <f>(1+GrowthLowIncRent)^INT((160-1)/12)</f>
        <v/>
      </c>
      <c r="FH6" s="53">
        <f>(1+GrowthLowIncRent)^INT((161-1)/12)</f>
        <v/>
      </c>
      <c r="FI6" s="53">
        <f>(1+GrowthLowIncRent)^INT((162-1)/12)</f>
        <v/>
      </c>
      <c r="FJ6" s="53">
        <f>(1+GrowthLowIncRent)^INT((163-1)/12)</f>
        <v/>
      </c>
      <c r="FK6" s="53">
        <f>(1+GrowthLowIncRent)^INT((164-1)/12)</f>
        <v/>
      </c>
      <c r="FL6" s="53">
        <f>(1+GrowthLowIncRent)^INT((165-1)/12)</f>
        <v/>
      </c>
      <c r="FM6" s="53">
        <f>(1+GrowthLowIncRent)^INT((166-1)/12)</f>
        <v/>
      </c>
      <c r="FN6" s="53">
        <f>(1+GrowthLowIncRent)^INT((167-1)/12)</f>
        <v/>
      </c>
      <c r="FO6" s="53">
        <f>(1+GrowthLowIncRent)^INT((168-1)/12)</f>
        <v/>
      </c>
      <c r="FP6" s="53">
        <f>(1+GrowthLowIncRent)^INT((169-1)/12)</f>
        <v/>
      </c>
      <c r="FQ6" s="53">
        <f>(1+GrowthLowIncRent)^INT((170-1)/12)</f>
        <v/>
      </c>
      <c r="FR6" s="53">
        <f>(1+GrowthLowIncRent)^INT((171-1)/12)</f>
        <v/>
      </c>
      <c r="FS6" s="53">
        <f>(1+GrowthLowIncRent)^INT((172-1)/12)</f>
        <v/>
      </c>
      <c r="FT6" s="53">
        <f>(1+GrowthLowIncRent)^INT((173-1)/12)</f>
        <v/>
      </c>
      <c r="FU6" s="53">
        <f>(1+GrowthLowIncRent)^INT((174-1)/12)</f>
        <v/>
      </c>
      <c r="FV6" s="53">
        <f>(1+GrowthLowIncRent)^INT((175-1)/12)</f>
        <v/>
      </c>
      <c r="FW6" s="53">
        <f>(1+GrowthLowIncRent)^INT((176-1)/12)</f>
        <v/>
      </c>
      <c r="FX6" s="53">
        <f>(1+GrowthLowIncRent)^INT((177-1)/12)</f>
        <v/>
      </c>
      <c r="FY6" s="53">
        <f>(1+GrowthLowIncRent)^INT((178-1)/12)</f>
        <v/>
      </c>
      <c r="FZ6" s="53">
        <f>(1+GrowthLowIncRent)^INT((179-1)/12)</f>
        <v/>
      </c>
      <c r="GA6" s="53">
        <f>(1+GrowthLowIncRent)^INT((180-1)/12)</f>
        <v/>
      </c>
      <c r="GB6" s="53">
        <f>(1+GrowthLowIncRent)^INT((181-1)/12)</f>
        <v/>
      </c>
      <c r="GC6" s="53">
        <f>(1+GrowthLowIncRent)^INT((182-1)/12)</f>
        <v/>
      </c>
      <c r="GD6" s="53">
        <f>(1+GrowthLowIncRent)^INT((183-1)/12)</f>
        <v/>
      </c>
      <c r="GE6" s="53">
        <f>(1+GrowthLowIncRent)^INT((184-1)/12)</f>
        <v/>
      </c>
      <c r="GF6" s="53">
        <f>(1+GrowthLowIncRent)^INT((185-1)/12)</f>
        <v/>
      </c>
      <c r="GG6" s="53">
        <f>(1+GrowthLowIncRent)^INT((186-1)/12)</f>
        <v/>
      </c>
      <c r="GH6" s="53">
        <f>(1+GrowthLowIncRent)^INT((187-1)/12)</f>
        <v/>
      </c>
      <c r="GI6" s="53">
        <f>(1+GrowthLowIncRent)^INT((188-1)/12)</f>
        <v/>
      </c>
      <c r="GJ6" s="53">
        <f>(1+GrowthLowIncRent)^INT((189-1)/12)</f>
        <v/>
      </c>
      <c r="GK6" s="53">
        <f>(1+GrowthLowIncRent)^INT((190-1)/12)</f>
        <v/>
      </c>
      <c r="GL6" s="53">
        <f>(1+GrowthLowIncRent)^INT((191-1)/12)</f>
        <v/>
      </c>
      <c r="GM6" s="53">
        <f>(1+GrowthLowIncRent)^INT((192-1)/12)</f>
        <v/>
      </c>
      <c r="GN6" s="53">
        <f>(1+GrowthLowIncRent)^INT((193-1)/12)</f>
        <v/>
      </c>
      <c r="GO6" s="53">
        <f>(1+GrowthLowIncRent)^INT((194-1)/12)</f>
        <v/>
      </c>
      <c r="GP6" s="53">
        <f>(1+GrowthLowIncRent)^INT((195-1)/12)</f>
        <v/>
      </c>
      <c r="GQ6" s="53">
        <f>(1+GrowthLowIncRent)^INT((196-1)/12)</f>
        <v/>
      </c>
      <c r="GR6" s="53">
        <f>(1+GrowthLowIncRent)^INT((197-1)/12)</f>
        <v/>
      </c>
      <c r="GS6" s="53">
        <f>(1+GrowthLowIncRent)^INT((198-1)/12)</f>
        <v/>
      </c>
      <c r="GT6" s="53">
        <f>(1+GrowthLowIncRent)^INT((199-1)/12)</f>
        <v/>
      </c>
      <c r="GU6" s="53">
        <f>(1+GrowthLowIncRent)^INT((200-1)/12)</f>
        <v/>
      </c>
      <c r="GV6" s="53">
        <f>(1+GrowthLowIncRent)^INT((201-1)/12)</f>
        <v/>
      </c>
      <c r="GW6" s="53">
        <f>(1+GrowthLowIncRent)^INT((202-1)/12)</f>
        <v/>
      </c>
      <c r="GX6" s="53">
        <f>(1+GrowthLowIncRent)^INT((203-1)/12)</f>
        <v/>
      </c>
      <c r="GY6" s="53">
        <f>(1+GrowthLowIncRent)^INT((204-1)/12)</f>
        <v/>
      </c>
      <c r="GZ6" s="53">
        <f>(1+GrowthLowIncRent)^INT((205-1)/12)</f>
        <v/>
      </c>
      <c r="HA6" s="53">
        <f>(1+GrowthLowIncRent)^INT((206-1)/12)</f>
        <v/>
      </c>
      <c r="HB6" s="53">
        <f>(1+GrowthLowIncRent)^INT((207-1)/12)</f>
        <v/>
      </c>
      <c r="HC6" s="53">
        <f>(1+GrowthLowIncRent)^INT((208-1)/12)</f>
        <v/>
      </c>
      <c r="HD6" s="53">
        <f>(1+GrowthLowIncRent)^INT((209-1)/12)</f>
        <v/>
      </c>
      <c r="HE6" s="53">
        <f>(1+GrowthLowIncRent)^INT((210-1)/12)</f>
        <v/>
      </c>
      <c r="HF6" s="53">
        <f>(1+GrowthLowIncRent)^INT((211-1)/12)</f>
        <v/>
      </c>
      <c r="HG6" s="53">
        <f>(1+GrowthLowIncRent)^INT((212-1)/12)</f>
        <v/>
      </c>
      <c r="HH6" s="53">
        <f>(1+GrowthLowIncRent)^INT((213-1)/12)</f>
        <v/>
      </c>
      <c r="HI6" s="53">
        <f>(1+GrowthLowIncRent)^INT((214-1)/12)</f>
        <v/>
      </c>
      <c r="HJ6" s="53">
        <f>(1+GrowthLowIncRent)^INT((215-1)/12)</f>
        <v/>
      </c>
      <c r="HK6" s="53">
        <f>(1+GrowthLowIncRent)^INT((216-1)/12)</f>
        <v/>
      </c>
      <c r="HL6" s="53">
        <f>(1+GrowthLowIncRent)^INT((217-1)/12)</f>
        <v/>
      </c>
      <c r="HM6" s="53">
        <f>(1+GrowthLowIncRent)^INT((218-1)/12)</f>
        <v/>
      </c>
      <c r="HN6" s="53">
        <f>(1+GrowthLowIncRent)^INT((219-1)/12)</f>
        <v/>
      </c>
      <c r="HO6" s="53">
        <f>(1+GrowthLowIncRent)^INT((220-1)/12)</f>
        <v/>
      </c>
      <c r="HP6" s="53">
        <f>(1+GrowthLowIncRent)^INT((221-1)/12)</f>
        <v/>
      </c>
      <c r="HQ6" s="53">
        <f>(1+GrowthLowIncRent)^INT((222-1)/12)</f>
        <v/>
      </c>
      <c r="HR6" s="53">
        <f>(1+GrowthLowIncRent)^INT((223-1)/12)</f>
        <v/>
      </c>
      <c r="HS6" s="53">
        <f>(1+GrowthLowIncRent)^INT((224-1)/12)</f>
        <v/>
      </c>
      <c r="HT6" s="53">
        <f>(1+GrowthLowIncRent)^INT((225-1)/12)</f>
        <v/>
      </c>
      <c r="HU6" s="53">
        <f>(1+GrowthLowIncRent)^INT((226-1)/12)</f>
        <v/>
      </c>
      <c r="HV6" s="53">
        <f>(1+GrowthLowIncRent)^INT((227-1)/12)</f>
        <v/>
      </c>
      <c r="HW6" s="53">
        <f>(1+GrowthLowIncRent)^INT((228-1)/12)</f>
        <v/>
      </c>
      <c r="HX6" s="53">
        <f>(1+GrowthLowIncRent)^INT((229-1)/12)</f>
        <v/>
      </c>
      <c r="HY6" s="53">
        <f>(1+GrowthLowIncRent)^INT((230-1)/12)</f>
        <v/>
      </c>
      <c r="HZ6" s="53">
        <f>(1+GrowthLowIncRent)^INT((231-1)/12)</f>
        <v/>
      </c>
      <c r="IA6" s="53">
        <f>(1+GrowthLowIncRent)^INT((232-1)/12)</f>
        <v/>
      </c>
      <c r="IB6" s="53">
        <f>(1+GrowthLowIncRent)^INT((233-1)/12)</f>
        <v/>
      </c>
      <c r="IC6" s="53">
        <f>(1+GrowthLowIncRent)^INT((234-1)/12)</f>
        <v/>
      </c>
      <c r="ID6" s="53">
        <f>(1+GrowthLowIncRent)^INT((235-1)/12)</f>
        <v/>
      </c>
      <c r="IE6" s="53">
        <f>(1+GrowthLowIncRent)^INT((236-1)/12)</f>
        <v/>
      </c>
      <c r="IF6" s="53">
        <f>(1+GrowthLowIncRent)^INT((237-1)/12)</f>
        <v/>
      </c>
      <c r="IG6" s="53">
        <f>(1+GrowthLowIncRent)^INT((238-1)/12)</f>
        <v/>
      </c>
      <c r="IH6" s="53">
        <f>(1+GrowthLowIncRent)^INT((239-1)/12)</f>
        <v/>
      </c>
      <c r="II6" s="53">
        <f>(1+GrowthLowIncRent)^INT((240-1)/12)</f>
        <v/>
      </c>
      <c r="IJ6" s="53">
        <f>(1+GrowthLowIncRent)^INT((241-1)/12)</f>
        <v/>
      </c>
      <c r="IK6" s="53">
        <f>(1+GrowthLowIncRent)^INT((242-1)/12)</f>
        <v/>
      </c>
      <c r="IL6" s="53">
        <f>(1+GrowthLowIncRent)^INT((243-1)/12)</f>
        <v/>
      </c>
      <c r="IM6" s="53">
        <f>(1+GrowthLowIncRent)^INT((244-1)/12)</f>
        <v/>
      </c>
      <c r="IN6" s="53">
        <f>(1+GrowthLowIncRent)^INT((245-1)/12)</f>
        <v/>
      </c>
      <c r="IO6" s="53">
        <f>(1+GrowthLowIncRent)^INT((246-1)/12)</f>
        <v/>
      </c>
      <c r="IP6" s="53">
        <f>(1+GrowthLowIncRent)^INT((247-1)/12)</f>
        <v/>
      </c>
      <c r="IQ6" s="53">
        <f>(1+GrowthLowIncRent)^INT((248-1)/12)</f>
        <v/>
      </c>
      <c r="IR6" s="53">
        <f>(1+GrowthLowIncRent)^INT((249-1)/12)</f>
        <v/>
      </c>
      <c r="IS6" s="53">
        <f>(1+GrowthLowIncRent)^INT((250-1)/12)</f>
        <v/>
      </c>
      <c r="IT6" s="53">
        <f>(1+GrowthLowIncRent)^INT((251-1)/12)</f>
        <v/>
      </c>
      <c r="IU6" s="53">
        <f>(1+GrowthLowIncRent)^INT((252-1)/12)</f>
        <v/>
      </c>
      <c r="IV6" s="53">
        <f>(1+GrowthLowIncRent)^INT((253-1)/12)</f>
        <v/>
      </c>
      <c r="IW6" s="53">
        <f>(1+GrowthLowIncRent)^INT((254-1)/12)</f>
        <v/>
      </c>
      <c r="IX6" s="53">
        <f>(1+GrowthLowIncRent)^INT((255-1)/12)</f>
        <v/>
      </c>
      <c r="IY6" s="53">
        <f>(1+GrowthLowIncRent)^INT((256-1)/12)</f>
        <v/>
      </c>
      <c r="IZ6" s="53">
        <f>(1+GrowthLowIncRent)^INT((257-1)/12)</f>
        <v/>
      </c>
      <c r="JA6" s="53">
        <f>(1+GrowthLowIncRent)^INT((258-1)/12)</f>
        <v/>
      </c>
      <c r="JB6" s="53">
        <f>(1+GrowthLowIncRent)^INT((259-1)/12)</f>
        <v/>
      </c>
      <c r="JC6" s="53">
        <f>(1+GrowthLowIncRent)^INT((260-1)/12)</f>
        <v/>
      </c>
      <c r="JD6" s="53">
        <f>(1+GrowthLowIncRent)^INT((261-1)/12)</f>
        <v/>
      </c>
      <c r="JE6" s="53">
        <f>(1+GrowthLowIncRent)^INT((262-1)/12)</f>
        <v/>
      </c>
      <c r="JF6" s="53">
        <f>(1+GrowthLowIncRent)^INT((263-1)/12)</f>
        <v/>
      </c>
      <c r="JG6" s="53">
        <f>(1+GrowthLowIncRent)^INT((264-1)/12)</f>
        <v/>
      </c>
      <c r="JH6" s="53">
        <f>(1+GrowthLowIncRent)^INT((265-1)/12)</f>
        <v/>
      </c>
      <c r="JI6" s="53">
        <f>(1+GrowthLowIncRent)^INT((266-1)/12)</f>
        <v/>
      </c>
      <c r="JJ6" s="53">
        <f>(1+GrowthLowIncRent)^INT((267-1)/12)</f>
        <v/>
      </c>
      <c r="JK6" s="53">
        <f>(1+GrowthLowIncRent)^INT((268-1)/12)</f>
        <v/>
      </c>
      <c r="JL6" s="53">
        <f>(1+GrowthLowIncRent)^INT((269-1)/12)</f>
        <v/>
      </c>
      <c r="JM6" s="53">
        <f>(1+GrowthLowIncRent)^INT((270-1)/12)</f>
        <v/>
      </c>
      <c r="JN6" s="53">
        <f>(1+GrowthLowIncRent)^INT((271-1)/12)</f>
        <v/>
      </c>
      <c r="JO6" s="53">
        <f>(1+GrowthLowIncRent)^INT((272-1)/12)</f>
        <v/>
      </c>
      <c r="JP6" s="53">
        <f>(1+GrowthLowIncRent)^INT((273-1)/12)</f>
        <v/>
      </c>
      <c r="JQ6" s="53">
        <f>(1+GrowthLowIncRent)^INT((274-1)/12)</f>
        <v/>
      </c>
      <c r="JR6" s="53">
        <f>(1+GrowthLowIncRent)^INT((275-1)/12)</f>
        <v/>
      </c>
      <c r="JS6" s="53">
        <f>(1+GrowthLowIncRent)^INT((276-1)/12)</f>
        <v/>
      </c>
      <c r="JT6" s="53">
        <f>(1+GrowthLowIncRent)^INT((277-1)/12)</f>
        <v/>
      </c>
      <c r="JU6" s="53">
        <f>(1+GrowthLowIncRent)^INT((278-1)/12)</f>
        <v/>
      </c>
      <c r="JV6" s="53">
        <f>(1+GrowthLowIncRent)^INT((279-1)/12)</f>
        <v/>
      </c>
      <c r="JW6" s="53">
        <f>(1+GrowthLowIncRent)^INT((280-1)/12)</f>
        <v/>
      </c>
      <c r="JX6" s="53">
        <f>(1+GrowthLowIncRent)^INT((281-1)/12)</f>
        <v/>
      </c>
      <c r="JY6" s="53">
        <f>(1+GrowthLowIncRent)^INT((282-1)/12)</f>
        <v/>
      </c>
      <c r="JZ6" s="53">
        <f>(1+GrowthLowIncRent)^INT((283-1)/12)</f>
        <v/>
      </c>
      <c r="KA6" s="53">
        <f>(1+GrowthLowIncRent)^INT((284-1)/12)</f>
        <v/>
      </c>
      <c r="KB6" s="53">
        <f>(1+GrowthLowIncRent)^INT((285-1)/12)</f>
        <v/>
      </c>
      <c r="KC6" s="53">
        <f>(1+GrowthLowIncRent)^INT((286-1)/12)</f>
        <v/>
      </c>
      <c r="KD6" s="53">
        <f>(1+GrowthLowIncRent)^INT((287-1)/12)</f>
        <v/>
      </c>
      <c r="KE6" s="53">
        <f>(1+GrowthLowIncRent)^INT((288-1)/12)</f>
        <v/>
      </c>
      <c r="KF6" s="53">
        <f>(1+GrowthLowIncRent)^INT((289-1)/12)</f>
        <v/>
      </c>
      <c r="KG6" s="53">
        <f>(1+GrowthLowIncRent)^INT((290-1)/12)</f>
        <v/>
      </c>
      <c r="KH6" s="53">
        <f>(1+GrowthLowIncRent)^INT((291-1)/12)</f>
        <v/>
      </c>
      <c r="KI6" s="53">
        <f>(1+GrowthLowIncRent)^INT((292-1)/12)</f>
        <v/>
      </c>
      <c r="KJ6" s="53">
        <f>(1+GrowthLowIncRent)^INT((293-1)/12)</f>
        <v/>
      </c>
      <c r="KK6" s="53">
        <f>(1+GrowthLowIncRent)^INT((294-1)/12)</f>
        <v/>
      </c>
      <c r="KL6" s="53">
        <f>(1+GrowthLowIncRent)^INT((295-1)/12)</f>
        <v/>
      </c>
      <c r="KM6" s="53">
        <f>(1+GrowthLowIncRent)^INT((296-1)/12)</f>
        <v/>
      </c>
      <c r="KN6" s="53">
        <f>(1+GrowthLowIncRent)^INT((297-1)/12)</f>
        <v/>
      </c>
      <c r="KO6" s="53">
        <f>(1+GrowthLowIncRent)^INT((298-1)/12)</f>
        <v/>
      </c>
      <c r="KP6" s="53">
        <f>(1+GrowthLowIncRent)^INT((299-1)/12)</f>
        <v/>
      </c>
      <c r="KQ6" s="53">
        <f>(1+GrowthLowIncRent)^INT((300-1)/12)</f>
        <v/>
      </c>
      <c r="KR6" s="53">
        <f>(1+GrowthLowIncRent)^INT((301-1)/12)</f>
        <v/>
      </c>
      <c r="KS6" s="53">
        <f>(1+GrowthLowIncRent)^INT((302-1)/12)</f>
        <v/>
      </c>
      <c r="KT6" s="53">
        <f>(1+GrowthLowIncRent)^INT((303-1)/12)</f>
        <v/>
      </c>
      <c r="KU6" s="53">
        <f>(1+GrowthLowIncRent)^INT((304-1)/12)</f>
        <v/>
      </c>
      <c r="KV6" s="53">
        <f>(1+GrowthLowIncRent)^INT((305-1)/12)</f>
        <v/>
      </c>
      <c r="KW6" s="53">
        <f>(1+GrowthLowIncRent)^INT((306-1)/12)</f>
        <v/>
      </c>
      <c r="KX6" s="53">
        <f>(1+GrowthLowIncRent)^INT((307-1)/12)</f>
        <v/>
      </c>
      <c r="KY6" s="53">
        <f>(1+GrowthLowIncRent)^INT((308-1)/12)</f>
        <v/>
      </c>
      <c r="KZ6" s="53">
        <f>(1+GrowthLowIncRent)^INT((309-1)/12)</f>
        <v/>
      </c>
      <c r="LA6" s="53">
        <f>(1+GrowthLowIncRent)^INT((310-1)/12)</f>
        <v/>
      </c>
      <c r="LB6" s="53">
        <f>(1+GrowthLowIncRent)^INT((311-1)/12)</f>
        <v/>
      </c>
      <c r="LC6" s="53">
        <f>(1+GrowthLowIncRent)^INT((312-1)/12)</f>
        <v/>
      </c>
      <c r="LD6" s="53">
        <f>(1+GrowthLowIncRent)^INT((313-1)/12)</f>
        <v/>
      </c>
      <c r="LE6" s="53">
        <f>(1+GrowthLowIncRent)^INT((314-1)/12)</f>
        <v/>
      </c>
      <c r="LF6" s="53">
        <f>(1+GrowthLowIncRent)^INT((315-1)/12)</f>
        <v/>
      </c>
      <c r="LG6" s="53">
        <f>(1+GrowthLowIncRent)^INT((316-1)/12)</f>
        <v/>
      </c>
      <c r="LH6" s="53">
        <f>(1+GrowthLowIncRent)^INT((317-1)/12)</f>
        <v/>
      </c>
      <c r="LI6" s="53">
        <f>(1+GrowthLowIncRent)^INT((318-1)/12)</f>
        <v/>
      </c>
      <c r="LJ6" s="53">
        <f>(1+GrowthLowIncRent)^INT((319-1)/12)</f>
        <v/>
      </c>
      <c r="LK6" s="53">
        <f>(1+GrowthLowIncRent)^INT((320-1)/12)</f>
        <v/>
      </c>
      <c r="LL6" s="53">
        <f>(1+GrowthLowIncRent)^INT((321-1)/12)</f>
        <v/>
      </c>
      <c r="LM6" s="53">
        <f>(1+GrowthLowIncRent)^INT((322-1)/12)</f>
        <v/>
      </c>
      <c r="LN6" s="53">
        <f>(1+GrowthLowIncRent)^INT((323-1)/12)</f>
        <v/>
      </c>
      <c r="LO6" s="53">
        <f>(1+GrowthLowIncRent)^INT((324-1)/12)</f>
        <v/>
      </c>
      <c r="LP6" s="53">
        <f>(1+GrowthLowIncRent)^INT((325-1)/12)</f>
        <v/>
      </c>
      <c r="LQ6" s="53">
        <f>(1+GrowthLowIncRent)^INT((326-1)/12)</f>
        <v/>
      </c>
      <c r="LR6" s="53">
        <f>(1+GrowthLowIncRent)^INT((327-1)/12)</f>
        <v/>
      </c>
      <c r="LS6" s="53">
        <f>(1+GrowthLowIncRent)^INT((328-1)/12)</f>
        <v/>
      </c>
      <c r="LT6" s="53">
        <f>(1+GrowthLowIncRent)^INT((329-1)/12)</f>
        <v/>
      </c>
      <c r="LU6" s="53">
        <f>(1+GrowthLowIncRent)^INT((330-1)/12)</f>
        <v/>
      </c>
      <c r="LV6" s="53">
        <f>(1+GrowthLowIncRent)^INT((331-1)/12)</f>
        <v/>
      </c>
      <c r="LW6" s="53">
        <f>(1+GrowthLowIncRent)^INT((332-1)/12)</f>
        <v/>
      </c>
      <c r="LX6" s="53">
        <f>(1+GrowthLowIncRent)^INT((333-1)/12)</f>
        <v/>
      </c>
      <c r="LY6" s="53">
        <f>(1+GrowthLowIncRent)^INT((334-1)/12)</f>
        <v/>
      </c>
      <c r="LZ6" s="53">
        <f>(1+GrowthLowIncRent)^INT((335-1)/12)</f>
        <v/>
      </c>
      <c r="MA6" s="53">
        <f>(1+GrowthLowIncRent)^INT((336-1)/12)</f>
        <v/>
      </c>
      <c r="MB6" s="53">
        <f>(1+GrowthLowIncRent)^INT((337-1)/12)</f>
        <v/>
      </c>
      <c r="MC6" s="53">
        <f>(1+GrowthLowIncRent)^INT((338-1)/12)</f>
        <v/>
      </c>
      <c r="MD6" s="53">
        <f>(1+GrowthLowIncRent)^INT((339-1)/12)</f>
        <v/>
      </c>
      <c r="ME6" s="53">
        <f>(1+GrowthLowIncRent)^INT((340-1)/12)</f>
        <v/>
      </c>
      <c r="MF6" s="53">
        <f>(1+GrowthLowIncRent)^INT((341-1)/12)</f>
        <v/>
      </c>
      <c r="MG6" s="53">
        <f>(1+GrowthLowIncRent)^INT((342-1)/12)</f>
        <v/>
      </c>
      <c r="MH6" s="53">
        <f>(1+GrowthLowIncRent)^INT((343-1)/12)</f>
        <v/>
      </c>
      <c r="MI6" s="53">
        <f>(1+GrowthLowIncRent)^INT((344-1)/12)</f>
        <v/>
      </c>
      <c r="MJ6" s="53">
        <f>(1+GrowthLowIncRent)^INT((345-1)/12)</f>
        <v/>
      </c>
      <c r="MK6" s="53">
        <f>(1+GrowthLowIncRent)^INT((346-1)/12)</f>
        <v/>
      </c>
      <c r="ML6" s="53">
        <f>(1+GrowthLowIncRent)^INT((347-1)/12)</f>
        <v/>
      </c>
      <c r="MM6" s="53">
        <f>(1+GrowthLowIncRent)^INT((348-1)/12)</f>
        <v/>
      </c>
      <c r="MN6" s="53">
        <f>(1+GrowthLowIncRent)^INT((349-1)/12)</f>
        <v/>
      </c>
      <c r="MO6" s="53">
        <f>(1+GrowthLowIncRent)^INT((350-1)/12)</f>
        <v/>
      </c>
      <c r="MP6" s="53">
        <f>(1+GrowthLowIncRent)^INT((351-1)/12)</f>
        <v/>
      </c>
      <c r="MQ6" s="53">
        <f>(1+GrowthLowIncRent)^INT((352-1)/12)</f>
        <v/>
      </c>
      <c r="MR6" s="53">
        <f>(1+GrowthLowIncRent)^INT((353-1)/12)</f>
        <v/>
      </c>
      <c r="MS6" s="53">
        <f>(1+GrowthLowIncRent)^INT((354-1)/12)</f>
        <v/>
      </c>
      <c r="MT6" s="53">
        <f>(1+GrowthLowIncRent)^INT((355-1)/12)</f>
        <v/>
      </c>
      <c r="MU6" s="53">
        <f>(1+GrowthLowIncRent)^INT((356-1)/12)</f>
        <v/>
      </c>
      <c r="MV6" s="53">
        <f>(1+GrowthLowIncRent)^INT((357-1)/12)</f>
        <v/>
      </c>
      <c r="MW6" s="53">
        <f>(1+GrowthLowIncRent)^INT((358-1)/12)</f>
        <v/>
      </c>
      <c r="MX6" s="53">
        <f>(1+GrowthLowIncRent)^INT((359-1)/12)</f>
        <v/>
      </c>
      <c r="MY6" s="53">
        <f>(1+GrowthLowIncRent)^INT((360-1)/12)</f>
        <v/>
      </c>
      <c r="MZ6" s="53">
        <f>(1+GrowthLowIncRent)^INT((361-1)/12)</f>
        <v/>
      </c>
      <c r="NA6" s="53">
        <f>(1+GrowthLowIncRent)^INT((362-1)/12)</f>
        <v/>
      </c>
      <c r="NB6" s="53">
        <f>(1+GrowthLowIncRent)^INT((363-1)/12)</f>
        <v/>
      </c>
      <c r="NC6" s="53">
        <f>(1+GrowthLowIncRent)^INT((364-1)/12)</f>
        <v/>
      </c>
      <c r="ND6" s="53">
        <f>(1+GrowthLowIncRent)^INT((365-1)/12)</f>
        <v/>
      </c>
      <c r="NE6" s="53">
        <f>(1+GrowthLowIncRent)^INT((366-1)/12)</f>
        <v/>
      </c>
      <c r="NF6" s="53">
        <f>(1+GrowthLowIncRent)^INT((367-1)/12)</f>
        <v/>
      </c>
      <c r="NG6" s="53">
        <f>(1+GrowthLowIncRent)^INT((368-1)/12)</f>
        <v/>
      </c>
      <c r="NH6" s="53">
        <f>(1+GrowthLowIncRent)^INT((369-1)/12)</f>
        <v/>
      </c>
      <c r="NI6" s="53">
        <f>(1+GrowthLowIncRent)^INT((370-1)/12)</f>
        <v/>
      </c>
      <c r="NJ6" s="53">
        <f>(1+GrowthLowIncRent)^INT((371-1)/12)</f>
        <v/>
      </c>
      <c r="NK6" s="53">
        <f>(1+GrowthLowIncRent)^INT((372-1)/12)</f>
        <v/>
      </c>
    </row>
    <row r="7">
      <c r="A7" s="5" t="inlineStr">
        <is>
          <t>Growth Factor — Expense</t>
        </is>
      </c>
      <c r="C7" s="52" t="n"/>
      <c r="D7" s="53">
        <f>(1+GrowthExpense)^INT((1-1)/12)</f>
        <v/>
      </c>
      <c r="E7" s="53">
        <f>(1+GrowthExpense)^INT((2-1)/12)</f>
        <v/>
      </c>
      <c r="F7" s="53">
        <f>(1+GrowthExpense)^INT((3-1)/12)</f>
        <v/>
      </c>
      <c r="G7" s="53">
        <f>(1+GrowthExpense)^INT((4-1)/12)</f>
        <v/>
      </c>
      <c r="H7" s="53">
        <f>(1+GrowthExpense)^INT((5-1)/12)</f>
        <v/>
      </c>
      <c r="I7" s="53">
        <f>(1+GrowthExpense)^INT((6-1)/12)</f>
        <v/>
      </c>
      <c r="J7" s="53">
        <f>(1+GrowthExpense)^INT((7-1)/12)</f>
        <v/>
      </c>
      <c r="K7" s="53">
        <f>(1+GrowthExpense)^INT((8-1)/12)</f>
        <v/>
      </c>
      <c r="L7" s="53">
        <f>(1+GrowthExpense)^INT((9-1)/12)</f>
        <v/>
      </c>
      <c r="M7" s="53">
        <f>(1+GrowthExpense)^INT((10-1)/12)</f>
        <v/>
      </c>
      <c r="N7" s="53">
        <f>(1+GrowthExpense)^INT((11-1)/12)</f>
        <v/>
      </c>
      <c r="O7" s="53">
        <f>(1+GrowthExpense)^INT((12-1)/12)</f>
        <v/>
      </c>
      <c r="P7" s="53">
        <f>(1+GrowthExpense)^INT((13-1)/12)</f>
        <v/>
      </c>
      <c r="Q7" s="53">
        <f>(1+GrowthExpense)^INT((14-1)/12)</f>
        <v/>
      </c>
      <c r="R7" s="53">
        <f>(1+GrowthExpense)^INT((15-1)/12)</f>
        <v/>
      </c>
      <c r="S7" s="53">
        <f>(1+GrowthExpense)^INT((16-1)/12)</f>
        <v/>
      </c>
      <c r="T7" s="53">
        <f>(1+GrowthExpense)^INT((17-1)/12)</f>
        <v/>
      </c>
      <c r="U7" s="53">
        <f>(1+GrowthExpense)^INT((18-1)/12)</f>
        <v/>
      </c>
      <c r="V7" s="53">
        <f>(1+GrowthExpense)^INT((19-1)/12)</f>
        <v/>
      </c>
      <c r="W7" s="53">
        <f>(1+GrowthExpense)^INT((20-1)/12)</f>
        <v/>
      </c>
      <c r="X7" s="53">
        <f>(1+GrowthExpense)^INT((21-1)/12)</f>
        <v/>
      </c>
      <c r="Y7" s="53">
        <f>(1+GrowthExpense)^INT((22-1)/12)</f>
        <v/>
      </c>
      <c r="Z7" s="53">
        <f>(1+GrowthExpense)^INT((23-1)/12)</f>
        <v/>
      </c>
      <c r="AA7" s="53">
        <f>(1+GrowthExpense)^INT((24-1)/12)</f>
        <v/>
      </c>
      <c r="AB7" s="53">
        <f>(1+GrowthExpense)^INT((25-1)/12)</f>
        <v/>
      </c>
      <c r="AC7" s="53">
        <f>(1+GrowthExpense)^INT((26-1)/12)</f>
        <v/>
      </c>
      <c r="AD7" s="53">
        <f>(1+GrowthExpense)^INT((27-1)/12)</f>
        <v/>
      </c>
      <c r="AE7" s="53">
        <f>(1+GrowthExpense)^INT((28-1)/12)</f>
        <v/>
      </c>
      <c r="AF7" s="53">
        <f>(1+GrowthExpense)^INT((29-1)/12)</f>
        <v/>
      </c>
      <c r="AG7" s="53">
        <f>(1+GrowthExpense)^INT((30-1)/12)</f>
        <v/>
      </c>
      <c r="AH7" s="53">
        <f>(1+GrowthExpense)^INT((31-1)/12)</f>
        <v/>
      </c>
      <c r="AI7" s="53">
        <f>(1+GrowthExpense)^INT((32-1)/12)</f>
        <v/>
      </c>
      <c r="AJ7" s="53">
        <f>(1+GrowthExpense)^INT((33-1)/12)</f>
        <v/>
      </c>
      <c r="AK7" s="53">
        <f>(1+GrowthExpense)^INT((34-1)/12)</f>
        <v/>
      </c>
      <c r="AL7" s="53">
        <f>(1+GrowthExpense)^INT((35-1)/12)</f>
        <v/>
      </c>
      <c r="AM7" s="53">
        <f>(1+GrowthExpense)^INT((36-1)/12)</f>
        <v/>
      </c>
      <c r="AN7" s="53">
        <f>(1+GrowthExpense)^INT((37-1)/12)</f>
        <v/>
      </c>
      <c r="AO7" s="53">
        <f>(1+GrowthExpense)^INT((38-1)/12)</f>
        <v/>
      </c>
      <c r="AP7" s="53">
        <f>(1+GrowthExpense)^INT((39-1)/12)</f>
        <v/>
      </c>
      <c r="AQ7" s="53">
        <f>(1+GrowthExpense)^INT((40-1)/12)</f>
        <v/>
      </c>
      <c r="AR7" s="53">
        <f>(1+GrowthExpense)^INT((41-1)/12)</f>
        <v/>
      </c>
      <c r="AS7" s="53">
        <f>(1+GrowthExpense)^INT((42-1)/12)</f>
        <v/>
      </c>
      <c r="AT7" s="53">
        <f>(1+GrowthExpense)^INT((43-1)/12)</f>
        <v/>
      </c>
      <c r="AU7" s="53">
        <f>(1+GrowthExpense)^INT((44-1)/12)</f>
        <v/>
      </c>
      <c r="AV7" s="53">
        <f>(1+GrowthExpense)^INT((45-1)/12)</f>
        <v/>
      </c>
      <c r="AW7" s="53">
        <f>(1+GrowthExpense)^INT((46-1)/12)</f>
        <v/>
      </c>
      <c r="AX7" s="53">
        <f>(1+GrowthExpense)^INT((47-1)/12)</f>
        <v/>
      </c>
      <c r="AY7" s="53">
        <f>(1+GrowthExpense)^INT((48-1)/12)</f>
        <v/>
      </c>
      <c r="AZ7" s="53">
        <f>(1+GrowthExpense)^INT((49-1)/12)</f>
        <v/>
      </c>
      <c r="BA7" s="53">
        <f>(1+GrowthExpense)^INT((50-1)/12)</f>
        <v/>
      </c>
      <c r="BB7" s="53">
        <f>(1+GrowthExpense)^INT((51-1)/12)</f>
        <v/>
      </c>
      <c r="BC7" s="53">
        <f>(1+GrowthExpense)^INT((52-1)/12)</f>
        <v/>
      </c>
      <c r="BD7" s="53">
        <f>(1+GrowthExpense)^INT((53-1)/12)</f>
        <v/>
      </c>
      <c r="BE7" s="53">
        <f>(1+GrowthExpense)^INT((54-1)/12)</f>
        <v/>
      </c>
      <c r="BF7" s="53">
        <f>(1+GrowthExpense)^INT((55-1)/12)</f>
        <v/>
      </c>
      <c r="BG7" s="53">
        <f>(1+GrowthExpense)^INT((56-1)/12)</f>
        <v/>
      </c>
      <c r="BH7" s="53">
        <f>(1+GrowthExpense)^INT((57-1)/12)</f>
        <v/>
      </c>
      <c r="BI7" s="53">
        <f>(1+GrowthExpense)^INT((58-1)/12)</f>
        <v/>
      </c>
      <c r="BJ7" s="53">
        <f>(1+GrowthExpense)^INT((59-1)/12)</f>
        <v/>
      </c>
      <c r="BK7" s="53">
        <f>(1+GrowthExpense)^INT((60-1)/12)</f>
        <v/>
      </c>
      <c r="BL7" s="53">
        <f>(1+GrowthExpense)^INT((61-1)/12)</f>
        <v/>
      </c>
      <c r="BM7" s="53">
        <f>(1+GrowthExpense)^INT((62-1)/12)</f>
        <v/>
      </c>
      <c r="BN7" s="53">
        <f>(1+GrowthExpense)^INT((63-1)/12)</f>
        <v/>
      </c>
      <c r="BO7" s="53">
        <f>(1+GrowthExpense)^INT((64-1)/12)</f>
        <v/>
      </c>
      <c r="BP7" s="53">
        <f>(1+GrowthExpense)^INT((65-1)/12)</f>
        <v/>
      </c>
      <c r="BQ7" s="53">
        <f>(1+GrowthExpense)^INT((66-1)/12)</f>
        <v/>
      </c>
      <c r="BR7" s="53">
        <f>(1+GrowthExpense)^INT((67-1)/12)</f>
        <v/>
      </c>
      <c r="BS7" s="53">
        <f>(1+GrowthExpense)^INT((68-1)/12)</f>
        <v/>
      </c>
      <c r="BT7" s="53">
        <f>(1+GrowthExpense)^INT((69-1)/12)</f>
        <v/>
      </c>
      <c r="BU7" s="53">
        <f>(1+GrowthExpense)^INT((70-1)/12)</f>
        <v/>
      </c>
      <c r="BV7" s="53">
        <f>(1+GrowthExpense)^INT((71-1)/12)</f>
        <v/>
      </c>
      <c r="BW7" s="53">
        <f>(1+GrowthExpense)^INT((72-1)/12)</f>
        <v/>
      </c>
      <c r="BX7" s="53">
        <f>(1+GrowthExpense)^INT((73-1)/12)</f>
        <v/>
      </c>
      <c r="BY7" s="53">
        <f>(1+GrowthExpense)^INT((74-1)/12)</f>
        <v/>
      </c>
      <c r="BZ7" s="53">
        <f>(1+GrowthExpense)^INT((75-1)/12)</f>
        <v/>
      </c>
      <c r="CA7" s="53">
        <f>(1+GrowthExpense)^INT((76-1)/12)</f>
        <v/>
      </c>
      <c r="CB7" s="53">
        <f>(1+GrowthExpense)^INT((77-1)/12)</f>
        <v/>
      </c>
      <c r="CC7" s="53">
        <f>(1+GrowthExpense)^INT((78-1)/12)</f>
        <v/>
      </c>
      <c r="CD7" s="53">
        <f>(1+GrowthExpense)^INT((79-1)/12)</f>
        <v/>
      </c>
      <c r="CE7" s="53">
        <f>(1+GrowthExpense)^INT((80-1)/12)</f>
        <v/>
      </c>
      <c r="CF7" s="53">
        <f>(1+GrowthExpense)^INT((81-1)/12)</f>
        <v/>
      </c>
      <c r="CG7" s="53">
        <f>(1+GrowthExpense)^INT((82-1)/12)</f>
        <v/>
      </c>
      <c r="CH7" s="53">
        <f>(1+GrowthExpense)^INT((83-1)/12)</f>
        <v/>
      </c>
      <c r="CI7" s="53">
        <f>(1+GrowthExpense)^INT((84-1)/12)</f>
        <v/>
      </c>
      <c r="CJ7" s="53">
        <f>(1+GrowthExpense)^INT((85-1)/12)</f>
        <v/>
      </c>
      <c r="CK7" s="53">
        <f>(1+GrowthExpense)^INT((86-1)/12)</f>
        <v/>
      </c>
      <c r="CL7" s="53">
        <f>(1+GrowthExpense)^INT((87-1)/12)</f>
        <v/>
      </c>
      <c r="CM7" s="53">
        <f>(1+GrowthExpense)^INT((88-1)/12)</f>
        <v/>
      </c>
      <c r="CN7" s="53">
        <f>(1+GrowthExpense)^INT((89-1)/12)</f>
        <v/>
      </c>
      <c r="CO7" s="53">
        <f>(1+GrowthExpense)^INT((90-1)/12)</f>
        <v/>
      </c>
      <c r="CP7" s="53">
        <f>(1+GrowthExpense)^INT((91-1)/12)</f>
        <v/>
      </c>
      <c r="CQ7" s="53">
        <f>(1+GrowthExpense)^INT((92-1)/12)</f>
        <v/>
      </c>
      <c r="CR7" s="53">
        <f>(1+GrowthExpense)^INT((93-1)/12)</f>
        <v/>
      </c>
      <c r="CS7" s="53">
        <f>(1+GrowthExpense)^INT((94-1)/12)</f>
        <v/>
      </c>
      <c r="CT7" s="53">
        <f>(1+GrowthExpense)^INT((95-1)/12)</f>
        <v/>
      </c>
      <c r="CU7" s="53">
        <f>(1+GrowthExpense)^INT((96-1)/12)</f>
        <v/>
      </c>
      <c r="CV7" s="53">
        <f>(1+GrowthExpense)^INT((97-1)/12)</f>
        <v/>
      </c>
      <c r="CW7" s="53">
        <f>(1+GrowthExpense)^INT((98-1)/12)</f>
        <v/>
      </c>
      <c r="CX7" s="53">
        <f>(1+GrowthExpense)^INT((99-1)/12)</f>
        <v/>
      </c>
      <c r="CY7" s="53">
        <f>(1+GrowthExpense)^INT((100-1)/12)</f>
        <v/>
      </c>
      <c r="CZ7" s="53">
        <f>(1+GrowthExpense)^INT((101-1)/12)</f>
        <v/>
      </c>
      <c r="DA7" s="53">
        <f>(1+GrowthExpense)^INT((102-1)/12)</f>
        <v/>
      </c>
      <c r="DB7" s="53">
        <f>(1+GrowthExpense)^INT((103-1)/12)</f>
        <v/>
      </c>
      <c r="DC7" s="53">
        <f>(1+GrowthExpense)^INT((104-1)/12)</f>
        <v/>
      </c>
      <c r="DD7" s="53">
        <f>(1+GrowthExpense)^INT((105-1)/12)</f>
        <v/>
      </c>
      <c r="DE7" s="53">
        <f>(1+GrowthExpense)^INT((106-1)/12)</f>
        <v/>
      </c>
      <c r="DF7" s="53">
        <f>(1+GrowthExpense)^INT((107-1)/12)</f>
        <v/>
      </c>
      <c r="DG7" s="53">
        <f>(1+GrowthExpense)^INT((108-1)/12)</f>
        <v/>
      </c>
      <c r="DH7" s="53">
        <f>(1+GrowthExpense)^INT((109-1)/12)</f>
        <v/>
      </c>
      <c r="DI7" s="53">
        <f>(1+GrowthExpense)^INT((110-1)/12)</f>
        <v/>
      </c>
      <c r="DJ7" s="53">
        <f>(1+GrowthExpense)^INT((111-1)/12)</f>
        <v/>
      </c>
      <c r="DK7" s="53">
        <f>(1+GrowthExpense)^INT((112-1)/12)</f>
        <v/>
      </c>
      <c r="DL7" s="53">
        <f>(1+GrowthExpense)^INT((113-1)/12)</f>
        <v/>
      </c>
      <c r="DM7" s="53">
        <f>(1+GrowthExpense)^INT((114-1)/12)</f>
        <v/>
      </c>
      <c r="DN7" s="53">
        <f>(1+GrowthExpense)^INT((115-1)/12)</f>
        <v/>
      </c>
      <c r="DO7" s="53">
        <f>(1+GrowthExpense)^INT((116-1)/12)</f>
        <v/>
      </c>
      <c r="DP7" s="53">
        <f>(1+GrowthExpense)^INT((117-1)/12)</f>
        <v/>
      </c>
      <c r="DQ7" s="53">
        <f>(1+GrowthExpense)^INT((118-1)/12)</f>
        <v/>
      </c>
      <c r="DR7" s="53">
        <f>(1+GrowthExpense)^INT((119-1)/12)</f>
        <v/>
      </c>
      <c r="DS7" s="53">
        <f>(1+GrowthExpense)^INT((120-1)/12)</f>
        <v/>
      </c>
      <c r="DT7" s="53">
        <f>(1+GrowthExpense)^INT((121-1)/12)</f>
        <v/>
      </c>
      <c r="DU7" s="53">
        <f>(1+GrowthExpense)^INT((122-1)/12)</f>
        <v/>
      </c>
      <c r="DV7" s="53">
        <f>(1+GrowthExpense)^INT((123-1)/12)</f>
        <v/>
      </c>
      <c r="DW7" s="53">
        <f>(1+GrowthExpense)^INT((124-1)/12)</f>
        <v/>
      </c>
      <c r="DX7" s="53">
        <f>(1+GrowthExpense)^INT((125-1)/12)</f>
        <v/>
      </c>
      <c r="DY7" s="53">
        <f>(1+GrowthExpense)^INT((126-1)/12)</f>
        <v/>
      </c>
      <c r="DZ7" s="53">
        <f>(1+GrowthExpense)^INT((127-1)/12)</f>
        <v/>
      </c>
      <c r="EA7" s="53">
        <f>(1+GrowthExpense)^INT((128-1)/12)</f>
        <v/>
      </c>
      <c r="EB7" s="53">
        <f>(1+GrowthExpense)^INT((129-1)/12)</f>
        <v/>
      </c>
      <c r="EC7" s="53">
        <f>(1+GrowthExpense)^INT((130-1)/12)</f>
        <v/>
      </c>
      <c r="ED7" s="53">
        <f>(1+GrowthExpense)^INT((131-1)/12)</f>
        <v/>
      </c>
      <c r="EE7" s="53">
        <f>(1+GrowthExpense)^INT((132-1)/12)</f>
        <v/>
      </c>
      <c r="EF7" s="53">
        <f>(1+GrowthExpense)^INT((133-1)/12)</f>
        <v/>
      </c>
      <c r="EG7" s="53">
        <f>(1+GrowthExpense)^INT((134-1)/12)</f>
        <v/>
      </c>
      <c r="EH7" s="53">
        <f>(1+GrowthExpense)^INT((135-1)/12)</f>
        <v/>
      </c>
      <c r="EI7" s="53">
        <f>(1+GrowthExpense)^INT((136-1)/12)</f>
        <v/>
      </c>
      <c r="EJ7" s="53">
        <f>(1+GrowthExpense)^INT((137-1)/12)</f>
        <v/>
      </c>
      <c r="EK7" s="53">
        <f>(1+GrowthExpense)^INT((138-1)/12)</f>
        <v/>
      </c>
      <c r="EL7" s="53">
        <f>(1+GrowthExpense)^INT((139-1)/12)</f>
        <v/>
      </c>
      <c r="EM7" s="53">
        <f>(1+GrowthExpense)^INT((140-1)/12)</f>
        <v/>
      </c>
      <c r="EN7" s="53">
        <f>(1+GrowthExpense)^INT((141-1)/12)</f>
        <v/>
      </c>
      <c r="EO7" s="53">
        <f>(1+GrowthExpense)^INT((142-1)/12)</f>
        <v/>
      </c>
      <c r="EP7" s="53">
        <f>(1+GrowthExpense)^INT((143-1)/12)</f>
        <v/>
      </c>
      <c r="EQ7" s="53">
        <f>(1+GrowthExpense)^INT((144-1)/12)</f>
        <v/>
      </c>
      <c r="ER7" s="53">
        <f>(1+GrowthExpense)^INT((145-1)/12)</f>
        <v/>
      </c>
      <c r="ES7" s="53">
        <f>(1+GrowthExpense)^INT((146-1)/12)</f>
        <v/>
      </c>
      <c r="ET7" s="53">
        <f>(1+GrowthExpense)^INT((147-1)/12)</f>
        <v/>
      </c>
      <c r="EU7" s="53">
        <f>(1+GrowthExpense)^INT((148-1)/12)</f>
        <v/>
      </c>
      <c r="EV7" s="53">
        <f>(1+GrowthExpense)^INT((149-1)/12)</f>
        <v/>
      </c>
      <c r="EW7" s="53">
        <f>(1+GrowthExpense)^INT((150-1)/12)</f>
        <v/>
      </c>
      <c r="EX7" s="53">
        <f>(1+GrowthExpense)^INT((151-1)/12)</f>
        <v/>
      </c>
      <c r="EY7" s="53">
        <f>(1+GrowthExpense)^INT((152-1)/12)</f>
        <v/>
      </c>
      <c r="EZ7" s="53">
        <f>(1+GrowthExpense)^INT((153-1)/12)</f>
        <v/>
      </c>
      <c r="FA7" s="53">
        <f>(1+GrowthExpense)^INT((154-1)/12)</f>
        <v/>
      </c>
      <c r="FB7" s="53">
        <f>(1+GrowthExpense)^INT((155-1)/12)</f>
        <v/>
      </c>
      <c r="FC7" s="53">
        <f>(1+GrowthExpense)^INT((156-1)/12)</f>
        <v/>
      </c>
      <c r="FD7" s="53">
        <f>(1+GrowthExpense)^INT((157-1)/12)</f>
        <v/>
      </c>
      <c r="FE7" s="53">
        <f>(1+GrowthExpense)^INT((158-1)/12)</f>
        <v/>
      </c>
      <c r="FF7" s="53">
        <f>(1+GrowthExpense)^INT((159-1)/12)</f>
        <v/>
      </c>
      <c r="FG7" s="53">
        <f>(1+GrowthExpense)^INT((160-1)/12)</f>
        <v/>
      </c>
      <c r="FH7" s="53">
        <f>(1+GrowthExpense)^INT((161-1)/12)</f>
        <v/>
      </c>
      <c r="FI7" s="53">
        <f>(1+GrowthExpense)^INT((162-1)/12)</f>
        <v/>
      </c>
      <c r="FJ7" s="53">
        <f>(1+GrowthExpense)^INT((163-1)/12)</f>
        <v/>
      </c>
      <c r="FK7" s="53">
        <f>(1+GrowthExpense)^INT((164-1)/12)</f>
        <v/>
      </c>
      <c r="FL7" s="53">
        <f>(1+GrowthExpense)^INT((165-1)/12)</f>
        <v/>
      </c>
      <c r="FM7" s="53">
        <f>(1+GrowthExpense)^INT((166-1)/12)</f>
        <v/>
      </c>
      <c r="FN7" s="53">
        <f>(1+GrowthExpense)^INT((167-1)/12)</f>
        <v/>
      </c>
      <c r="FO7" s="53">
        <f>(1+GrowthExpense)^INT((168-1)/12)</f>
        <v/>
      </c>
      <c r="FP7" s="53">
        <f>(1+GrowthExpense)^INT((169-1)/12)</f>
        <v/>
      </c>
      <c r="FQ7" s="53">
        <f>(1+GrowthExpense)^INT((170-1)/12)</f>
        <v/>
      </c>
      <c r="FR7" s="53">
        <f>(1+GrowthExpense)^INT((171-1)/12)</f>
        <v/>
      </c>
      <c r="FS7" s="53">
        <f>(1+GrowthExpense)^INT((172-1)/12)</f>
        <v/>
      </c>
      <c r="FT7" s="53">
        <f>(1+GrowthExpense)^INT((173-1)/12)</f>
        <v/>
      </c>
      <c r="FU7" s="53">
        <f>(1+GrowthExpense)^INT((174-1)/12)</f>
        <v/>
      </c>
      <c r="FV7" s="53">
        <f>(1+GrowthExpense)^INT((175-1)/12)</f>
        <v/>
      </c>
      <c r="FW7" s="53">
        <f>(1+GrowthExpense)^INT((176-1)/12)</f>
        <v/>
      </c>
      <c r="FX7" s="53">
        <f>(1+GrowthExpense)^INT((177-1)/12)</f>
        <v/>
      </c>
      <c r="FY7" s="53">
        <f>(1+GrowthExpense)^INT((178-1)/12)</f>
        <v/>
      </c>
      <c r="FZ7" s="53">
        <f>(1+GrowthExpense)^INT((179-1)/12)</f>
        <v/>
      </c>
      <c r="GA7" s="53">
        <f>(1+GrowthExpense)^INT((180-1)/12)</f>
        <v/>
      </c>
      <c r="GB7" s="53">
        <f>(1+GrowthExpense)^INT((181-1)/12)</f>
        <v/>
      </c>
      <c r="GC7" s="53">
        <f>(1+GrowthExpense)^INT((182-1)/12)</f>
        <v/>
      </c>
      <c r="GD7" s="53">
        <f>(1+GrowthExpense)^INT((183-1)/12)</f>
        <v/>
      </c>
      <c r="GE7" s="53">
        <f>(1+GrowthExpense)^INT((184-1)/12)</f>
        <v/>
      </c>
      <c r="GF7" s="53">
        <f>(1+GrowthExpense)^INT((185-1)/12)</f>
        <v/>
      </c>
      <c r="GG7" s="53">
        <f>(1+GrowthExpense)^INT((186-1)/12)</f>
        <v/>
      </c>
      <c r="GH7" s="53">
        <f>(1+GrowthExpense)^INT((187-1)/12)</f>
        <v/>
      </c>
      <c r="GI7" s="53">
        <f>(1+GrowthExpense)^INT((188-1)/12)</f>
        <v/>
      </c>
      <c r="GJ7" s="53">
        <f>(1+GrowthExpense)^INT((189-1)/12)</f>
        <v/>
      </c>
      <c r="GK7" s="53">
        <f>(1+GrowthExpense)^INT((190-1)/12)</f>
        <v/>
      </c>
      <c r="GL7" s="53">
        <f>(1+GrowthExpense)^INT((191-1)/12)</f>
        <v/>
      </c>
      <c r="GM7" s="53">
        <f>(1+GrowthExpense)^INT((192-1)/12)</f>
        <v/>
      </c>
      <c r="GN7" s="53">
        <f>(1+GrowthExpense)^INT((193-1)/12)</f>
        <v/>
      </c>
      <c r="GO7" s="53">
        <f>(1+GrowthExpense)^INT((194-1)/12)</f>
        <v/>
      </c>
      <c r="GP7" s="53">
        <f>(1+GrowthExpense)^INT((195-1)/12)</f>
        <v/>
      </c>
      <c r="GQ7" s="53">
        <f>(1+GrowthExpense)^INT((196-1)/12)</f>
        <v/>
      </c>
      <c r="GR7" s="53">
        <f>(1+GrowthExpense)^INT((197-1)/12)</f>
        <v/>
      </c>
      <c r="GS7" s="53">
        <f>(1+GrowthExpense)^INT((198-1)/12)</f>
        <v/>
      </c>
      <c r="GT7" s="53">
        <f>(1+GrowthExpense)^INT((199-1)/12)</f>
        <v/>
      </c>
      <c r="GU7" s="53">
        <f>(1+GrowthExpense)^INT((200-1)/12)</f>
        <v/>
      </c>
      <c r="GV7" s="53">
        <f>(1+GrowthExpense)^INT((201-1)/12)</f>
        <v/>
      </c>
      <c r="GW7" s="53">
        <f>(1+GrowthExpense)^INT((202-1)/12)</f>
        <v/>
      </c>
      <c r="GX7" s="53">
        <f>(1+GrowthExpense)^INT((203-1)/12)</f>
        <v/>
      </c>
      <c r="GY7" s="53">
        <f>(1+GrowthExpense)^INT((204-1)/12)</f>
        <v/>
      </c>
      <c r="GZ7" s="53">
        <f>(1+GrowthExpense)^INT((205-1)/12)</f>
        <v/>
      </c>
      <c r="HA7" s="53">
        <f>(1+GrowthExpense)^INT((206-1)/12)</f>
        <v/>
      </c>
      <c r="HB7" s="53">
        <f>(1+GrowthExpense)^INT((207-1)/12)</f>
        <v/>
      </c>
      <c r="HC7" s="53">
        <f>(1+GrowthExpense)^INT((208-1)/12)</f>
        <v/>
      </c>
      <c r="HD7" s="53">
        <f>(1+GrowthExpense)^INT((209-1)/12)</f>
        <v/>
      </c>
      <c r="HE7" s="53">
        <f>(1+GrowthExpense)^INT((210-1)/12)</f>
        <v/>
      </c>
      <c r="HF7" s="53">
        <f>(1+GrowthExpense)^INT((211-1)/12)</f>
        <v/>
      </c>
      <c r="HG7" s="53">
        <f>(1+GrowthExpense)^INT((212-1)/12)</f>
        <v/>
      </c>
      <c r="HH7" s="53">
        <f>(1+GrowthExpense)^INT((213-1)/12)</f>
        <v/>
      </c>
      <c r="HI7" s="53">
        <f>(1+GrowthExpense)^INT((214-1)/12)</f>
        <v/>
      </c>
      <c r="HJ7" s="53">
        <f>(1+GrowthExpense)^INT((215-1)/12)</f>
        <v/>
      </c>
      <c r="HK7" s="53">
        <f>(1+GrowthExpense)^INT((216-1)/12)</f>
        <v/>
      </c>
      <c r="HL7" s="53">
        <f>(1+GrowthExpense)^INT((217-1)/12)</f>
        <v/>
      </c>
      <c r="HM7" s="53">
        <f>(1+GrowthExpense)^INT((218-1)/12)</f>
        <v/>
      </c>
      <c r="HN7" s="53">
        <f>(1+GrowthExpense)^INT((219-1)/12)</f>
        <v/>
      </c>
      <c r="HO7" s="53">
        <f>(1+GrowthExpense)^INT((220-1)/12)</f>
        <v/>
      </c>
      <c r="HP7" s="53">
        <f>(1+GrowthExpense)^INT((221-1)/12)</f>
        <v/>
      </c>
      <c r="HQ7" s="53">
        <f>(1+GrowthExpense)^INT((222-1)/12)</f>
        <v/>
      </c>
      <c r="HR7" s="53">
        <f>(1+GrowthExpense)^INT((223-1)/12)</f>
        <v/>
      </c>
      <c r="HS7" s="53">
        <f>(1+GrowthExpense)^INT((224-1)/12)</f>
        <v/>
      </c>
      <c r="HT7" s="53">
        <f>(1+GrowthExpense)^INT((225-1)/12)</f>
        <v/>
      </c>
      <c r="HU7" s="53">
        <f>(1+GrowthExpense)^INT((226-1)/12)</f>
        <v/>
      </c>
      <c r="HV7" s="53">
        <f>(1+GrowthExpense)^INT((227-1)/12)</f>
        <v/>
      </c>
      <c r="HW7" s="53">
        <f>(1+GrowthExpense)^INT((228-1)/12)</f>
        <v/>
      </c>
      <c r="HX7" s="53">
        <f>(1+GrowthExpense)^INT((229-1)/12)</f>
        <v/>
      </c>
      <c r="HY7" s="53">
        <f>(1+GrowthExpense)^INT((230-1)/12)</f>
        <v/>
      </c>
      <c r="HZ7" s="53">
        <f>(1+GrowthExpense)^INT((231-1)/12)</f>
        <v/>
      </c>
      <c r="IA7" s="53">
        <f>(1+GrowthExpense)^INT((232-1)/12)</f>
        <v/>
      </c>
      <c r="IB7" s="53">
        <f>(1+GrowthExpense)^INT((233-1)/12)</f>
        <v/>
      </c>
      <c r="IC7" s="53">
        <f>(1+GrowthExpense)^INT((234-1)/12)</f>
        <v/>
      </c>
      <c r="ID7" s="53">
        <f>(1+GrowthExpense)^INT((235-1)/12)</f>
        <v/>
      </c>
      <c r="IE7" s="53">
        <f>(1+GrowthExpense)^INT((236-1)/12)</f>
        <v/>
      </c>
      <c r="IF7" s="53">
        <f>(1+GrowthExpense)^INT((237-1)/12)</f>
        <v/>
      </c>
      <c r="IG7" s="53">
        <f>(1+GrowthExpense)^INT((238-1)/12)</f>
        <v/>
      </c>
      <c r="IH7" s="53">
        <f>(1+GrowthExpense)^INT((239-1)/12)</f>
        <v/>
      </c>
      <c r="II7" s="53">
        <f>(1+GrowthExpense)^INT((240-1)/12)</f>
        <v/>
      </c>
      <c r="IJ7" s="53">
        <f>(1+GrowthExpense)^INT((241-1)/12)</f>
        <v/>
      </c>
      <c r="IK7" s="53">
        <f>(1+GrowthExpense)^INT((242-1)/12)</f>
        <v/>
      </c>
      <c r="IL7" s="53">
        <f>(1+GrowthExpense)^INT((243-1)/12)</f>
        <v/>
      </c>
      <c r="IM7" s="53">
        <f>(1+GrowthExpense)^INT((244-1)/12)</f>
        <v/>
      </c>
      <c r="IN7" s="53">
        <f>(1+GrowthExpense)^INT((245-1)/12)</f>
        <v/>
      </c>
      <c r="IO7" s="53">
        <f>(1+GrowthExpense)^INT((246-1)/12)</f>
        <v/>
      </c>
      <c r="IP7" s="53">
        <f>(1+GrowthExpense)^INT((247-1)/12)</f>
        <v/>
      </c>
      <c r="IQ7" s="53">
        <f>(1+GrowthExpense)^INT((248-1)/12)</f>
        <v/>
      </c>
      <c r="IR7" s="53">
        <f>(1+GrowthExpense)^INT((249-1)/12)</f>
        <v/>
      </c>
      <c r="IS7" s="53">
        <f>(1+GrowthExpense)^INT((250-1)/12)</f>
        <v/>
      </c>
      <c r="IT7" s="53">
        <f>(1+GrowthExpense)^INT((251-1)/12)</f>
        <v/>
      </c>
      <c r="IU7" s="53">
        <f>(1+GrowthExpense)^INT((252-1)/12)</f>
        <v/>
      </c>
      <c r="IV7" s="53">
        <f>(1+GrowthExpense)^INT((253-1)/12)</f>
        <v/>
      </c>
      <c r="IW7" s="53">
        <f>(1+GrowthExpense)^INT((254-1)/12)</f>
        <v/>
      </c>
      <c r="IX7" s="53">
        <f>(1+GrowthExpense)^INT((255-1)/12)</f>
        <v/>
      </c>
      <c r="IY7" s="53">
        <f>(1+GrowthExpense)^INT((256-1)/12)</f>
        <v/>
      </c>
      <c r="IZ7" s="53">
        <f>(1+GrowthExpense)^INT((257-1)/12)</f>
        <v/>
      </c>
      <c r="JA7" s="53">
        <f>(1+GrowthExpense)^INT((258-1)/12)</f>
        <v/>
      </c>
      <c r="JB7" s="53">
        <f>(1+GrowthExpense)^INT((259-1)/12)</f>
        <v/>
      </c>
      <c r="JC7" s="53">
        <f>(1+GrowthExpense)^INT((260-1)/12)</f>
        <v/>
      </c>
      <c r="JD7" s="53">
        <f>(1+GrowthExpense)^INT((261-1)/12)</f>
        <v/>
      </c>
      <c r="JE7" s="53">
        <f>(1+GrowthExpense)^INT((262-1)/12)</f>
        <v/>
      </c>
      <c r="JF7" s="53">
        <f>(1+GrowthExpense)^INT((263-1)/12)</f>
        <v/>
      </c>
      <c r="JG7" s="53">
        <f>(1+GrowthExpense)^INT((264-1)/12)</f>
        <v/>
      </c>
      <c r="JH7" s="53">
        <f>(1+GrowthExpense)^INT((265-1)/12)</f>
        <v/>
      </c>
      <c r="JI7" s="53">
        <f>(1+GrowthExpense)^INT((266-1)/12)</f>
        <v/>
      </c>
      <c r="JJ7" s="53">
        <f>(1+GrowthExpense)^INT((267-1)/12)</f>
        <v/>
      </c>
      <c r="JK7" s="53">
        <f>(1+GrowthExpense)^INT((268-1)/12)</f>
        <v/>
      </c>
      <c r="JL7" s="53">
        <f>(1+GrowthExpense)^INT((269-1)/12)</f>
        <v/>
      </c>
      <c r="JM7" s="53">
        <f>(1+GrowthExpense)^INT((270-1)/12)</f>
        <v/>
      </c>
      <c r="JN7" s="53">
        <f>(1+GrowthExpense)^INT((271-1)/12)</f>
        <v/>
      </c>
      <c r="JO7" s="53">
        <f>(1+GrowthExpense)^INT((272-1)/12)</f>
        <v/>
      </c>
      <c r="JP7" s="53">
        <f>(1+GrowthExpense)^INT((273-1)/12)</f>
        <v/>
      </c>
      <c r="JQ7" s="53">
        <f>(1+GrowthExpense)^INT((274-1)/12)</f>
        <v/>
      </c>
      <c r="JR7" s="53">
        <f>(1+GrowthExpense)^INT((275-1)/12)</f>
        <v/>
      </c>
      <c r="JS7" s="53">
        <f>(1+GrowthExpense)^INT((276-1)/12)</f>
        <v/>
      </c>
      <c r="JT7" s="53">
        <f>(1+GrowthExpense)^INT((277-1)/12)</f>
        <v/>
      </c>
      <c r="JU7" s="53">
        <f>(1+GrowthExpense)^INT((278-1)/12)</f>
        <v/>
      </c>
      <c r="JV7" s="53">
        <f>(1+GrowthExpense)^INT((279-1)/12)</f>
        <v/>
      </c>
      <c r="JW7" s="53">
        <f>(1+GrowthExpense)^INT((280-1)/12)</f>
        <v/>
      </c>
      <c r="JX7" s="53">
        <f>(1+GrowthExpense)^INT((281-1)/12)</f>
        <v/>
      </c>
      <c r="JY7" s="53">
        <f>(1+GrowthExpense)^INT((282-1)/12)</f>
        <v/>
      </c>
      <c r="JZ7" s="53">
        <f>(1+GrowthExpense)^INT((283-1)/12)</f>
        <v/>
      </c>
      <c r="KA7" s="53">
        <f>(1+GrowthExpense)^INT((284-1)/12)</f>
        <v/>
      </c>
      <c r="KB7" s="53">
        <f>(1+GrowthExpense)^INT((285-1)/12)</f>
        <v/>
      </c>
      <c r="KC7" s="53">
        <f>(1+GrowthExpense)^INT((286-1)/12)</f>
        <v/>
      </c>
      <c r="KD7" s="53">
        <f>(1+GrowthExpense)^INT((287-1)/12)</f>
        <v/>
      </c>
      <c r="KE7" s="53">
        <f>(1+GrowthExpense)^INT((288-1)/12)</f>
        <v/>
      </c>
      <c r="KF7" s="53">
        <f>(1+GrowthExpense)^INT((289-1)/12)</f>
        <v/>
      </c>
      <c r="KG7" s="53">
        <f>(1+GrowthExpense)^INT((290-1)/12)</f>
        <v/>
      </c>
      <c r="KH7" s="53">
        <f>(1+GrowthExpense)^INT((291-1)/12)</f>
        <v/>
      </c>
      <c r="KI7" s="53">
        <f>(1+GrowthExpense)^INT((292-1)/12)</f>
        <v/>
      </c>
      <c r="KJ7" s="53">
        <f>(1+GrowthExpense)^INT((293-1)/12)</f>
        <v/>
      </c>
      <c r="KK7" s="53">
        <f>(1+GrowthExpense)^INT((294-1)/12)</f>
        <v/>
      </c>
      <c r="KL7" s="53">
        <f>(1+GrowthExpense)^INT((295-1)/12)</f>
        <v/>
      </c>
      <c r="KM7" s="53">
        <f>(1+GrowthExpense)^INT((296-1)/12)</f>
        <v/>
      </c>
      <c r="KN7" s="53">
        <f>(1+GrowthExpense)^INT((297-1)/12)</f>
        <v/>
      </c>
      <c r="KO7" s="53">
        <f>(1+GrowthExpense)^INT((298-1)/12)</f>
        <v/>
      </c>
      <c r="KP7" s="53">
        <f>(1+GrowthExpense)^INT((299-1)/12)</f>
        <v/>
      </c>
      <c r="KQ7" s="53">
        <f>(1+GrowthExpense)^INT((300-1)/12)</f>
        <v/>
      </c>
      <c r="KR7" s="53">
        <f>(1+GrowthExpense)^INT((301-1)/12)</f>
        <v/>
      </c>
      <c r="KS7" s="53">
        <f>(1+GrowthExpense)^INT((302-1)/12)</f>
        <v/>
      </c>
      <c r="KT7" s="53">
        <f>(1+GrowthExpense)^INT((303-1)/12)</f>
        <v/>
      </c>
      <c r="KU7" s="53">
        <f>(1+GrowthExpense)^INT((304-1)/12)</f>
        <v/>
      </c>
      <c r="KV7" s="53">
        <f>(1+GrowthExpense)^INT((305-1)/12)</f>
        <v/>
      </c>
      <c r="KW7" s="53">
        <f>(1+GrowthExpense)^INT((306-1)/12)</f>
        <v/>
      </c>
      <c r="KX7" s="53">
        <f>(1+GrowthExpense)^INT((307-1)/12)</f>
        <v/>
      </c>
      <c r="KY7" s="53">
        <f>(1+GrowthExpense)^INT((308-1)/12)</f>
        <v/>
      </c>
      <c r="KZ7" s="53">
        <f>(1+GrowthExpense)^INT((309-1)/12)</f>
        <v/>
      </c>
      <c r="LA7" s="53">
        <f>(1+GrowthExpense)^INT((310-1)/12)</f>
        <v/>
      </c>
      <c r="LB7" s="53">
        <f>(1+GrowthExpense)^INT((311-1)/12)</f>
        <v/>
      </c>
      <c r="LC7" s="53">
        <f>(1+GrowthExpense)^INT((312-1)/12)</f>
        <v/>
      </c>
      <c r="LD7" s="53">
        <f>(1+GrowthExpense)^INT((313-1)/12)</f>
        <v/>
      </c>
      <c r="LE7" s="53">
        <f>(1+GrowthExpense)^INT((314-1)/12)</f>
        <v/>
      </c>
      <c r="LF7" s="53">
        <f>(1+GrowthExpense)^INT((315-1)/12)</f>
        <v/>
      </c>
      <c r="LG7" s="53">
        <f>(1+GrowthExpense)^INT((316-1)/12)</f>
        <v/>
      </c>
      <c r="LH7" s="53">
        <f>(1+GrowthExpense)^INT((317-1)/12)</f>
        <v/>
      </c>
      <c r="LI7" s="53">
        <f>(1+GrowthExpense)^INT((318-1)/12)</f>
        <v/>
      </c>
      <c r="LJ7" s="53">
        <f>(1+GrowthExpense)^INT((319-1)/12)</f>
        <v/>
      </c>
      <c r="LK7" s="53">
        <f>(1+GrowthExpense)^INT((320-1)/12)</f>
        <v/>
      </c>
      <c r="LL7" s="53">
        <f>(1+GrowthExpense)^INT((321-1)/12)</f>
        <v/>
      </c>
      <c r="LM7" s="53">
        <f>(1+GrowthExpense)^INT((322-1)/12)</f>
        <v/>
      </c>
      <c r="LN7" s="53">
        <f>(1+GrowthExpense)^INT((323-1)/12)</f>
        <v/>
      </c>
      <c r="LO7" s="53">
        <f>(1+GrowthExpense)^INT((324-1)/12)</f>
        <v/>
      </c>
      <c r="LP7" s="53">
        <f>(1+GrowthExpense)^INT((325-1)/12)</f>
        <v/>
      </c>
      <c r="LQ7" s="53">
        <f>(1+GrowthExpense)^INT((326-1)/12)</f>
        <v/>
      </c>
      <c r="LR7" s="53">
        <f>(1+GrowthExpense)^INT((327-1)/12)</f>
        <v/>
      </c>
      <c r="LS7" s="53">
        <f>(1+GrowthExpense)^INT((328-1)/12)</f>
        <v/>
      </c>
      <c r="LT7" s="53">
        <f>(1+GrowthExpense)^INT((329-1)/12)</f>
        <v/>
      </c>
      <c r="LU7" s="53">
        <f>(1+GrowthExpense)^INT((330-1)/12)</f>
        <v/>
      </c>
      <c r="LV7" s="53">
        <f>(1+GrowthExpense)^INT((331-1)/12)</f>
        <v/>
      </c>
      <c r="LW7" s="53">
        <f>(1+GrowthExpense)^INT((332-1)/12)</f>
        <v/>
      </c>
      <c r="LX7" s="53">
        <f>(1+GrowthExpense)^INT((333-1)/12)</f>
        <v/>
      </c>
      <c r="LY7" s="53">
        <f>(1+GrowthExpense)^INT((334-1)/12)</f>
        <v/>
      </c>
      <c r="LZ7" s="53">
        <f>(1+GrowthExpense)^INT((335-1)/12)</f>
        <v/>
      </c>
      <c r="MA7" s="53">
        <f>(1+GrowthExpense)^INT((336-1)/12)</f>
        <v/>
      </c>
      <c r="MB7" s="53">
        <f>(1+GrowthExpense)^INT((337-1)/12)</f>
        <v/>
      </c>
      <c r="MC7" s="53">
        <f>(1+GrowthExpense)^INT((338-1)/12)</f>
        <v/>
      </c>
      <c r="MD7" s="53">
        <f>(1+GrowthExpense)^INT((339-1)/12)</f>
        <v/>
      </c>
      <c r="ME7" s="53">
        <f>(1+GrowthExpense)^INT((340-1)/12)</f>
        <v/>
      </c>
      <c r="MF7" s="53">
        <f>(1+GrowthExpense)^INT((341-1)/12)</f>
        <v/>
      </c>
      <c r="MG7" s="53">
        <f>(1+GrowthExpense)^INT((342-1)/12)</f>
        <v/>
      </c>
      <c r="MH7" s="53">
        <f>(1+GrowthExpense)^INT((343-1)/12)</f>
        <v/>
      </c>
      <c r="MI7" s="53">
        <f>(1+GrowthExpense)^INT((344-1)/12)</f>
        <v/>
      </c>
      <c r="MJ7" s="53">
        <f>(1+GrowthExpense)^INT((345-1)/12)</f>
        <v/>
      </c>
      <c r="MK7" s="53">
        <f>(1+GrowthExpense)^INT((346-1)/12)</f>
        <v/>
      </c>
      <c r="ML7" s="53">
        <f>(1+GrowthExpense)^INT((347-1)/12)</f>
        <v/>
      </c>
      <c r="MM7" s="53">
        <f>(1+GrowthExpense)^INT((348-1)/12)</f>
        <v/>
      </c>
      <c r="MN7" s="53">
        <f>(1+GrowthExpense)^INT((349-1)/12)</f>
        <v/>
      </c>
      <c r="MO7" s="53">
        <f>(1+GrowthExpense)^INT((350-1)/12)</f>
        <v/>
      </c>
      <c r="MP7" s="53">
        <f>(1+GrowthExpense)^INT((351-1)/12)</f>
        <v/>
      </c>
      <c r="MQ7" s="53">
        <f>(1+GrowthExpense)^INT((352-1)/12)</f>
        <v/>
      </c>
      <c r="MR7" s="53">
        <f>(1+GrowthExpense)^INT((353-1)/12)</f>
        <v/>
      </c>
      <c r="MS7" s="53">
        <f>(1+GrowthExpense)^INT((354-1)/12)</f>
        <v/>
      </c>
      <c r="MT7" s="53">
        <f>(1+GrowthExpense)^INT((355-1)/12)</f>
        <v/>
      </c>
      <c r="MU7" s="53">
        <f>(1+GrowthExpense)^INT((356-1)/12)</f>
        <v/>
      </c>
      <c r="MV7" s="53">
        <f>(1+GrowthExpense)^INT((357-1)/12)</f>
        <v/>
      </c>
      <c r="MW7" s="53">
        <f>(1+GrowthExpense)^INT((358-1)/12)</f>
        <v/>
      </c>
      <c r="MX7" s="53">
        <f>(1+GrowthExpense)^INT((359-1)/12)</f>
        <v/>
      </c>
      <c r="MY7" s="53">
        <f>(1+GrowthExpense)^INT((360-1)/12)</f>
        <v/>
      </c>
      <c r="MZ7" s="53">
        <f>(1+GrowthExpense)^INT((361-1)/12)</f>
        <v/>
      </c>
      <c r="NA7" s="53">
        <f>(1+GrowthExpense)^INT((362-1)/12)</f>
        <v/>
      </c>
      <c r="NB7" s="53">
        <f>(1+GrowthExpense)^INT((363-1)/12)</f>
        <v/>
      </c>
      <c r="NC7" s="53">
        <f>(1+GrowthExpense)^INT((364-1)/12)</f>
        <v/>
      </c>
      <c r="ND7" s="53">
        <f>(1+GrowthExpense)^INT((365-1)/12)</f>
        <v/>
      </c>
      <c r="NE7" s="53">
        <f>(1+GrowthExpense)^INT((366-1)/12)</f>
        <v/>
      </c>
      <c r="NF7" s="53">
        <f>(1+GrowthExpense)^INT((367-1)/12)</f>
        <v/>
      </c>
      <c r="NG7" s="53">
        <f>(1+GrowthExpense)^INT((368-1)/12)</f>
        <v/>
      </c>
      <c r="NH7" s="53">
        <f>(1+GrowthExpense)^INT((369-1)/12)</f>
        <v/>
      </c>
      <c r="NI7" s="53">
        <f>(1+GrowthExpense)^INT((370-1)/12)</f>
        <v/>
      </c>
      <c r="NJ7" s="53">
        <f>(1+GrowthExpense)^INT((371-1)/12)</f>
        <v/>
      </c>
      <c r="NK7" s="53">
        <f>(1+GrowthExpense)^INT((372-1)/12)</f>
        <v/>
      </c>
    </row>
    <row r="8">
      <c r="A8" s="5" t="inlineStr">
        <is>
          <t>Growth Factor — Utility</t>
        </is>
      </c>
      <c r="C8" s="52" t="n"/>
      <c r="D8" s="53">
        <f>(1+GrowthUtility)^INT((1-1)/12)</f>
        <v/>
      </c>
      <c r="E8" s="53">
        <f>(1+GrowthUtility)^INT((2-1)/12)</f>
        <v/>
      </c>
      <c r="F8" s="53">
        <f>(1+GrowthUtility)^INT((3-1)/12)</f>
        <v/>
      </c>
      <c r="G8" s="53">
        <f>(1+GrowthUtility)^INT((4-1)/12)</f>
        <v/>
      </c>
      <c r="H8" s="53">
        <f>(1+GrowthUtility)^INT((5-1)/12)</f>
        <v/>
      </c>
      <c r="I8" s="53">
        <f>(1+GrowthUtility)^INT((6-1)/12)</f>
        <v/>
      </c>
      <c r="J8" s="53">
        <f>(1+GrowthUtility)^INT((7-1)/12)</f>
        <v/>
      </c>
      <c r="K8" s="53">
        <f>(1+GrowthUtility)^INT((8-1)/12)</f>
        <v/>
      </c>
      <c r="L8" s="53">
        <f>(1+GrowthUtility)^INT((9-1)/12)</f>
        <v/>
      </c>
      <c r="M8" s="53">
        <f>(1+GrowthUtility)^INT((10-1)/12)</f>
        <v/>
      </c>
      <c r="N8" s="53">
        <f>(1+GrowthUtility)^INT((11-1)/12)</f>
        <v/>
      </c>
      <c r="O8" s="53">
        <f>(1+GrowthUtility)^INT((12-1)/12)</f>
        <v/>
      </c>
      <c r="P8" s="53">
        <f>(1+GrowthUtility)^INT((13-1)/12)</f>
        <v/>
      </c>
      <c r="Q8" s="53">
        <f>(1+GrowthUtility)^INT((14-1)/12)</f>
        <v/>
      </c>
      <c r="R8" s="53">
        <f>(1+GrowthUtility)^INT((15-1)/12)</f>
        <v/>
      </c>
      <c r="S8" s="53">
        <f>(1+GrowthUtility)^INT((16-1)/12)</f>
        <v/>
      </c>
      <c r="T8" s="53">
        <f>(1+GrowthUtility)^INT((17-1)/12)</f>
        <v/>
      </c>
      <c r="U8" s="53">
        <f>(1+GrowthUtility)^INT((18-1)/12)</f>
        <v/>
      </c>
      <c r="V8" s="53">
        <f>(1+GrowthUtility)^INT((19-1)/12)</f>
        <v/>
      </c>
      <c r="W8" s="53">
        <f>(1+GrowthUtility)^INT((20-1)/12)</f>
        <v/>
      </c>
      <c r="X8" s="53">
        <f>(1+GrowthUtility)^INT((21-1)/12)</f>
        <v/>
      </c>
      <c r="Y8" s="53">
        <f>(1+GrowthUtility)^INT((22-1)/12)</f>
        <v/>
      </c>
      <c r="Z8" s="53">
        <f>(1+GrowthUtility)^INT((23-1)/12)</f>
        <v/>
      </c>
      <c r="AA8" s="53">
        <f>(1+GrowthUtility)^INT((24-1)/12)</f>
        <v/>
      </c>
      <c r="AB8" s="53">
        <f>(1+GrowthUtility)^INT((25-1)/12)</f>
        <v/>
      </c>
      <c r="AC8" s="53">
        <f>(1+GrowthUtility)^INT((26-1)/12)</f>
        <v/>
      </c>
      <c r="AD8" s="53">
        <f>(1+GrowthUtility)^INT((27-1)/12)</f>
        <v/>
      </c>
      <c r="AE8" s="53">
        <f>(1+GrowthUtility)^INT((28-1)/12)</f>
        <v/>
      </c>
      <c r="AF8" s="53">
        <f>(1+GrowthUtility)^INT((29-1)/12)</f>
        <v/>
      </c>
      <c r="AG8" s="53">
        <f>(1+GrowthUtility)^INT((30-1)/12)</f>
        <v/>
      </c>
      <c r="AH8" s="53">
        <f>(1+GrowthUtility)^INT((31-1)/12)</f>
        <v/>
      </c>
      <c r="AI8" s="53">
        <f>(1+GrowthUtility)^INT((32-1)/12)</f>
        <v/>
      </c>
      <c r="AJ8" s="53">
        <f>(1+GrowthUtility)^INT((33-1)/12)</f>
        <v/>
      </c>
      <c r="AK8" s="53">
        <f>(1+GrowthUtility)^INT((34-1)/12)</f>
        <v/>
      </c>
      <c r="AL8" s="53">
        <f>(1+GrowthUtility)^INT((35-1)/12)</f>
        <v/>
      </c>
      <c r="AM8" s="53">
        <f>(1+GrowthUtility)^INT((36-1)/12)</f>
        <v/>
      </c>
      <c r="AN8" s="53">
        <f>(1+GrowthUtility)^INT((37-1)/12)</f>
        <v/>
      </c>
      <c r="AO8" s="53">
        <f>(1+GrowthUtility)^INT((38-1)/12)</f>
        <v/>
      </c>
      <c r="AP8" s="53">
        <f>(1+GrowthUtility)^INT((39-1)/12)</f>
        <v/>
      </c>
      <c r="AQ8" s="53">
        <f>(1+GrowthUtility)^INT((40-1)/12)</f>
        <v/>
      </c>
      <c r="AR8" s="53">
        <f>(1+GrowthUtility)^INT((41-1)/12)</f>
        <v/>
      </c>
      <c r="AS8" s="53">
        <f>(1+GrowthUtility)^INT((42-1)/12)</f>
        <v/>
      </c>
      <c r="AT8" s="53">
        <f>(1+GrowthUtility)^INT((43-1)/12)</f>
        <v/>
      </c>
      <c r="AU8" s="53">
        <f>(1+GrowthUtility)^INT((44-1)/12)</f>
        <v/>
      </c>
      <c r="AV8" s="53">
        <f>(1+GrowthUtility)^INT((45-1)/12)</f>
        <v/>
      </c>
      <c r="AW8" s="53">
        <f>(1+GrowthUtility)^INT((46-1)/12)</f>
        <v/>
      </c>
      <c r="AX8" s="53">
        <f>(1+GrowthUtility)^INT((47-1)/12)</f>
        <v/>
      </c>
      <c r="AY8" s="53">
        <f>(1+GrowthUtility)^INT((48-1)/12)</f>
        <v/>
      </c>
      <c r="AZ8" s="53">
        <f>(1+GrowthUtility)^INT((49-1)/12)</f>
        <v/>
      </c>
      <c r="BA8" s="53">
        <f>(1+GrowthUtility)^INT((50-1)/12)</f>
        <v/>
      </c>
      <c r="BB8" s="53">
        <f>(1+GrowthUtility)^INT((51-1)/12)</f>
        <v/>
      </c>
      <c r="BC8" s="53">
        <f>(1+GrowthUtility)^INT((52-1)/12)</f>
        <v/>
      </c>
      <c r="BD8" s="53">
        <f>(1+GrowthUtility)^INT((53-1)/12)</f>
        <v/>
      </c>
      <c r="BE8" s="53">
        <f>(1+GrowthUtility)^INT((54-1)/12)</f>
        <v/>
      </c>
      <c r="BF8" s="53">
        <f>(1+GrowthUtility)^INT((55-1)/12)</f>
        <v/>
      </c>
      <c r="BG8" s="53">
        <f>(1+GrowthUtility)^INT((56-1)/12)</f>
        <v/>
      </c>
      <c r="BH8" s="53">
        <f>(1+GrowthUtility)^INT((57-1)/12)</f>
        <v/>
      </c>
      <c r="BI8" s="53">
        <f>(1+GrowthUtility)^INT((58-1)/12)</f>
        <v/>
      </c>
      <c r="BJ8" s="53">
        <f>(1+GrowthUtility)^INT((59-1)/12)</f>
        <v/>
      </c>
      <c r="BK8" s="53">
        <f>(1+GrowthUtility)^INT((60-1)/12)</f>
        <v/>
      </c>
      <c r="BL8" s="53">
        <f>(1+GrowthUtility)^INT((61-1)/12)</f>
        <v/>
      </c>
      <c r="BM8" s="53">
        <f>(1+GrowthUtility)^INT((62-1)/12)</f>
        <v/>
      </c>
      <c r="BN8" s="53">
        <f>(1+GrowthUtility)^INT((63-1)/12)</f>
        <v/>
      </c>
      <c r="BO8" s="53">
        <f>(1+GrowthUtility)^INT((64-1)/12)</f>
        <v/>
      </c>
      <c r="BP8" s="53">
        <f>(1+GrowthUtility)^INT((65-1)/12)</f>
        <v/>
      </c>
      <c r="BQ8" s="53">
        <f>(1+GrowthUtility)^INT((66-1)/12)</f>
        <v/>
      </c>
      <c r="BR8" s="53">
        <f>(1+GrowthUtility)^INT((67-1)/12)</f>
        <v/>
      </c>
      <c r="BS8" s="53">
        <f>(1+GrowthUtility)^INT((68-1)/12)</f>
        <v/>
      </c>
      <c r="BT8" s="53">
        <f>(1+GrowthUtility)^INT((69-1)/12)</f>
        <v/>
      </c>
      <c r="BU8" s="53">
        <f>(1+GrowthUtility)^INT((70-1)/12)</f>
        <v/>
      </c>
      <c r="BV8" s="53">
        <f>(1+GrowthUtility)^INT((71-1)/12)</f>
        <v/>
      </c>
      <c r="BW8" s="53">
        <f>(1+GrowthUtility)^INT((72-1)/12)</f>
        <v/>
      </c>
      <c r="BX8" s="53">
        <f>(1+GrowthUtility)^INT((73-1)/12)</f>
        <v/>
      </c>
      <c r="BY8" s="53">
        <f>(1+GrowthUtility)^INT((74-1)/12)</f>
        <v/>
      </c>
      <c r="BZ8" s="53">
        <f>(1+GrowthUtility)^INT((75-1)/12)</f>
        <v/>
      </c>
      <c r="CA8" s="53">
        <f>(1+GrowthUtility)^INT((76-1)/12)</f>
        <v/>
      </c>
      <c r="CB8" s="53">
        <f>(1+GrowthUtility)^INT((77-1)/12)</f>
        <v/>
      </c>
      <c r="CC8" s="53">
        <f>(1+GrowthUtility)^INT((78-1)/12)</f>
        <v/>
      </c>
      <c r="CD8" s="53">
        <f>(1+GrowthUtility)^INT((79-1)/12)</f>
        <v/>
      </c>
      <c r="CE8" s="53">
        <f>(1+GrowthUtility)^INT((80-1)/12)</f>
        <v/>
      </c>
      <c r="CF8" s="53">
        <f>(1+GrowthUtility)^INT((81-1)/12)</f>
        <v/>
      </c>
      <c r="CG8" s="53">
        <f>(1+GrowthUtility)^INT((82-1)/12)</f>
        <v/>
      </c>
      <c r="CH8" s="53">
        <f>(1+GrowthUtility)^INT((83-1)/12)</f>
        <v/>
      </c>
      <c r="CI8" s="53">
        <f>(1+GrowthUtility)^INT((84-1)/12)</f>
        <v/>
      </c>
      <c r="CJ8" s="53">
        <f>(1+GrowthUtility)^INT((85-1)/12)</f>
        <v/>
      </c>
      <c r="CK8" s="53">
        <f>(1+GrowthUtility)^INT((86-1)/12)</f>
        <v/>
      </c>
      <c r="CL8" s="53">
        <f>(1+GrowthUtility)^INT((87-1)/12)</f>
        <v/>
      </c>
      <c r="CM8" s="53">
        <f>(1+GrowthUtility)^INT((88-1)/12)</f>
        <v/>
      </c>
      <c r="CN8" s="53">
        <f>(1+GrowthUtility)^INT((89-1)/12)</f>
        <v/>
      </c>
      <c r="CO8" s="53">
        <f>(1+GrowthUtility)^INT((90-1)/12)</f>
        <v/>
      </c>
      <c r="CP8" s="53">
        <f>(1+GrowthUtility)^INT((91-1)/12)</f>
        <v/>
      </c>
      <c r="CQ8" s="53">
        <f>(1+GrowthUtility)^INT((92-1)/12)</f>
        <v/>
      </c>
      <c r="CR8" s="53">
        <f>(1+GrowthUtility)^INT((93-1)/12)</f>
        <v/>
      </c>
      <c r="CS8" s="53">
        <f>(1+GrowthUtility)^INT((94-1)/12)</f>
        <v/>
      </c>
      <c r="CT8" s="53">
        <f>(1+GrowthUtility)^INT((95-1)/12)</f>
        <v/>
      </c>
      <c r="CU8" s="53">
        <f>(1+GrowthUtility)^INT((96-1)/12)</f>
        <v/>
      </c>
      <c r="CV8" s="53">
        <f>(1+GrowthUtility)^INT((97-1)/12)</f>
        <v/>
      </c>
      <c r="CW8" s="53">
        <f>(1+GrowthUtility)^INT((98-1)/12)</f>
        <v/>
      </c>
      <c r="CX8" s="53">
        <f>(1+GrowthUtility)^INT((99-1)/12)</f>
        <v/>
      </c>
      <c r="CY8" s="53">
        <f>(1+GrowthUtility)^INT((100-1)/12)</f>
        <v/>
      </c>
      <c r="CZ8" s="53">
        <f>(1+GrowthUtility)^INT((101-1)/12)</f>
        <v/>
      </c>
      <c r="DA8" s="53">
        <f>(1+GrowthUtility)^INT((102-1)/12)</f>
        <v/>
      </c>
      <c r="DB8" s="53">
        <f>(1+GrowthUtility)^INT((103-1)/12)</f>
        <v/>
      </c>
      <c r="DC8" s="53">
        <f>(1+GrowthUtility)^INT((104-1)/12)</f>
        <v/>
      </c>
      <c r="DD8" s="53">
        <f>(1+GrowthUtility)^INT((105-1)/12)</f>
        <v/>
      </c>
      <c r="DE8" s="53">
        <f>(1+GrowthUtility)^INT((106-1)/12)</f>
        <v/>
      </c>
      <c r="DF8" s="53">
        <f>(1+GrowthUtility)^INT((107-1)/12)</f>
        <v/>
      </c>
      <c r="DG8" s="53">
        <f>(1+GrowthUtility)^INT((108-1)/12)</f>
        <v/>
      </c>
      <c r="DH8" s="53">
        <f>(1+GrowthUtility)^INT((109-1)/12)</f>
        <v/>
      </c>
      <c r="DI8" s="53">
        <f>(1+GrowthUtility)^INT((110-1)/12)</f>
        <v/>
      </c>
      <c r="DJ8" s="53">
        <f>(1+GrowthUtility)^INT((111-1)/12)</f>
        <v/>
      </c>
      <c r="DK8" s="53">
        <f>(1+GrowthUtility)^INT((112-1)/12)</f>
        <v/>
      </c>
      <c r="DL8" s="53">
        <f>(1+GrowthUtility)^INT((113-1)/12)</f>
        <v/>
      </c>
      <c r="DM8" s="53">
        <f>(1+GrowthUtility)^INT((114-1)/12)</f>
        <v/>
      </c>
      <c r="DN8" s="53">
        <f>(1+GrowthUtility)^INT((115-1)/12)</f>
        <v/>
      </c>
      <c r="DO8" s="53">
        <f>(1+GrowthUtility)^INT((116-1)/12)</f>
        <v/>
      </c>
      <c r="DP8" s="53">
        <f>(1+GrowthUtility)^INT((117-1)/12)</f>
        <v/>
      </c>
      <c r="DQ8" s="53">
        <f>(1+GrowthUtility)^INT((118-1)/12)</f>
        <v/>
      </c>
      <c r="DR8" s="53">
        <f>(1+GrowthUtility)^INT((119-1)/12)</f>
        <v/>
      </c>
      <c r="DS8" s="53">
        <f>(1+GrowthUtility)^INT((120-1)/12)</f>
        <v/>
      </c>
      <c r="DT8" s="53">
        <f>(1+GrowthUtility)^INT((121-1)/12)</f>
        <v/>
      </c>
      <c r="DU8" s="53">
        <f>(1+GrowthUtility)^INT((122-1)/12)</f>
        <v/>
      </c>
      <c r="DV8" s="53">
        <f>(1+GrowthUtility)^INT((123-1)/12)</f>
        <v/>
      </c>
      <c r="DW8" s="53">
        <f>(1+GrowthUtility)^INT((124-1)/12)</f>
        <v/>
      </c>
      <c r="DX8" s="53">
        <f>(1+GrowthUtility)^INT((125-1)/12)</f>
        <v/>
      </c>
      <c r="DY8" s="53">
        <f>(1+GrowthUtility)^INT((126-1)/12)</f>
        <v/>
      </c>
      <c r="DZ8" s="53">
        <f>(1+GrowthUtility)^INT((127-1)/12)</f>
        <v/>
      </c>
      <c r="EA8" s="53">
        <f>(1+GrowthUtility)^INT((128-1)/12)</f>
        <v/>
      </c>
      <c r="EB8" s="53">
        <f>(1+GrowthUtility)^INT((129-1)/12)</f>
        <v/>
      </c>
      <c r="EC8" s="53">
        <f>(1+GrowthUtility)^INT((130-1)/12)</f>
        <v/>
      </c>
      <c r="ED8" s="53">
        <f>(1+GrowthUtility)^INT((131-1)/12)</f>
        <v/>
      </c>
      <c r="EE8" s="53">
        <f>(1+GrowthUtility)^INT((132-1)/12)</f>
        <v/>
      </c>
      <c r="EF8" s="53">
        <f>(1+GrowthUtility)^INT((133-1)/12)</f>
        <v/>
      </c>
      <c r="EG8" s="53">
        <f>(1+GrowthUtility)^INT((134-1)/12)</f>
        <v/>
      </c>
      <c r="EH8" s="53">
        <f>(1+GrowthUtility)^INT((135-1)/12)</f>
        <v/>
      </c>
      <c r="EI8" s="53">
        <f>(1+GrowthUtility)^INT((136-1)/12)</f>
        <v/>
      </c>
      <c r="EJ8" s="53">
        <f>(1+GrowthUtility)^INT((137-1)/12)</f>
        <v/>
      </c>
      <c r="EK8" s="53">
        <f>(1+GrowthUtility)^INT((138-1)/12)</f>
        <v/>
      </c>
      <c r="EL8" s="53">
        <f>(1+GrowthUtility)^INT((139-1)/12)</f>
        <v/>
      </c>
      <c r="EM8" s="53">
        <f>(1+GrowthUtility)^INT((140-1)/12)</f>
        <v/>
      </c>
      <c r="EN8" s="53">
        <f>(1+GrowthUtility)^INT((141-1)/12)</f>
        <v/>
      </c>
      <c r="EO8" s="53">
        <f>(1+GrowthUtility)^INT((142-1)/12)</f>
        <v/>
      </c>
      <c r="EP8" s="53">
        <f>(1+GrowthUtility)^INT((143-1)/12)</f>
        <v/>
      </c>
      <c r="EQ8" s="53">
        <f>(1+GrowthUtility)^INT((144-1)/12)</f>
        <v/>
      </c>
      <c r="ER8" s="53">
        <f>(1+GrowthUtility)^INT((145-1)/12)</f>
        <v/>
      </c>
      <c r="ES8" s="53">
        <f>(1+GrowthUtility)^INT((146-1)/12)</f>
        <v/>
      </c>
      <c r="ET8" s="53">
        <f>(1+GrowthUtility)^INT((147-1)/12)</f>
        <v/>
      </c>
      <c r="EU8" s="53">
        <f>(1+GrowthUtility)^INT((148-1)/12)</f>
        <v/>
      </c>
      <c r="EV8" s="53">
        <f>(1+GrowthUtility)^INT((149-1)/12)</f>
        <v/>
      </c>
      <c r="EW8" s="53">
        <f>(1+GrowthUtility)^INT((150-1)/12)</f>
        <v/>
      </c>
      <c r="EX8" s="53">
        <f>(1+GrowthUtility)^INT((151-1)/12)</f>
        <v/>
      </c>
      <c r="EY8" s="53">
        <f>(1+GrowthUtility)^INT((152-1)/12)</f>
        <v/>
      </c>
      <c r="EZ8" s="53">
        <f>(1+GrowthUtility)^INT((153-1)/12)</f>
        <v/>
      </c>
      <c r="FA8" s="53">
        <f>(1+GrowthUtility)^INT((154-1)/12)</f>
        <v/>
      </c>
      <c r="FB8" s="53">
        <f>(1+GrowthUtility)^INT((155-1)/12)</f>
        <v/>
      </c>
      <c r="FC8" s="53">
        <f>(1+GrowthUtility)^INT((156-1)/12)</f>
        <v/>
      </c>
      <c r="FD8" s="53">
        <f>(1+GrowthUtility)^INT((157-1)/12)</f>
        <v/>
      </c>
      <c r="FE8" s="53">
        <f>(1+GrowthUtility)^INT((158-1)/12)</f>
        <v/>
      </c>
      <c r="FF8" s="53">
        <f>(1+GrowthUtility)^INT((159-1)/12)</f>
        <v/>
      </c>
      <c r="FG8" s="53">
        <f>(1+GrowthUtility)^INT((160-1)/12)</f>
        <v/>
      </c>
      <c r="FH8" s="53">
        <f>(1+GrowthUtility)^INT((161-1)/12)</f>
        <v/>
      </c>
      <c r="FI8" s="53">
        <f>(1+GrowthUtility)^INT((162-1)/12)</f>
        <v/>
      </c>
      <c r="FJ8" s="53">
        <f>(1+GrowthUtility)^INT((163-1)/12)</f>
        <v/>
      </c>
      <c r="FK8" s="53">
        <f>(1+GrowthUtility)^INT((164-1)/12)</f>
        <v/>
      </c>
      <c r="FL8" s="53">
        <f>(1+GrowthUtility)^INT((165-1)/12)</f>
        <v/>
      </c>
      <c r="FM8" s="53">
        <f>(1+GrowthUtility)^INT((166-1)/12)</f>
        <v/>
      </c>
      <c r="FN8" s="53">
        <f>(1+GrowthUtility)^INT((167-1)/12)</f>
        <v/>
      </c>
      <c r="FO8" s="53">
        <f>(1+GrowthUtility)^INT((168-1)/12)</f>
        <v/>
      </c>
      <c r="FP8" s="53">
        <f>(1+GrowthUtility)^INT((169-1)/12)</f>
        <v/>
      </c>
      <c r="FQ8" s="53">
        <f>(1+GrowthUtility)^INT((170-1)/12)</f>
        <v/>
      </c>
      <c r="FR8" s="53">
        <f>(1+GrowthUtility)^INT((171-1)/12)</f>
        <v/>
      </c>
      <c r="FS8" s="53">
        <f>(1+GrowthUtility)^INT((172-1)/12)</f>
        <v/>
      </c>
      <c r="FT8" s="53">
        <f>(1+GrowthUtility)^INT((173-1)/12)</f>
        <v/>
      </c>
      <c r="FU8" s="53">
        <f>(1+GrowthUtility)^INT((174-1)/12)</f>
        <v/>
      </c>
      <c r="FV8" s="53">
        <f>(1+GrowthUtility)^INT((175-1)/12)</f>
        <v/>
      </c>
      <c r="FW8" s="53">
        <f>(1+GrowthUtility)^INT((176-1)/12)</f>
        <v/>
      </c>
      <c r="FX8" s="53">
        <f>(1+GrowthUtility)^INT((177-1)/12)</f>
        <v/>
      </c>
      <c r="FY8" s="53">
        <f>(1+GrowthUtility)^INT((178-1)/12)</f>
        <v/>
      </c>
      <c r="FZ8" s="53">
        <f>(1+GrowthUtility)^INT((179-1)/12)</f>
        <v/>
      </c>
      <c r="GA8" s="53">
        <f>(1+GrowthUtility)^INT((180-1)/12)</f>
        <v/>
      </c>
      <c r="GB8" s="53">
        <f>(1+GrowthUtility)^INT((181-1)/12)</f>
        <v/>
      </c>
      <c r="GC8" s="53">
        <f>(1+GrowthUtility)^INT((182-1)/12)</f>
        <v/>
      </c>
      <c r="GD8" s="53">
        <f>(1+GrowthUtility)^INT((183-1)/12)</f>
        <v/>
      </c>
      <c r="GE8" s="53">
        <f>(1+GrowthUtility)^INT((184-1)/12)</f>
        <v/>
      </c>
      <c r="GF8" s="53">
        <f>(1+GrowthUtility)^INT((185-1)/12)</f>
        <v/>
      </c>
      <c r="GG8" s="53">
        <f>(1+GrowthUtility)^INT((186-1)/12)</f>
        <v/>
      </c>
      <c r="GH8" s="53">
        <f>(1+GrowthUtility)^INT((187-1)/12)</f>
        <v/>
      </c>
      <c r="GI8" s="53">
        <f>(1+GrowthUtility)^INT((188-1)/12)</f>
        <v/>
      </c>
      <c r="GJ8" s="53">
        <f>(1+GrowthUtility)^INT((189-1)/12)</f>
        <v/>
      </c>
      <c r="GK8" s="53">
        <f>(1+GrowthUtility)^INT((190-1)/12)</f>
        <v/>
      </c>
      <c r="GL8" s="53">
        <f>(1+GrowthUtility)^INT((191-1)/12)</f>
        <v/>
      </c>
      <c r="GM8" s="53">
        <f>(1+GrowthUtility)^INT((192-1)/12)</f>
        <v/>
      </c>
      <c r="GN8" s="53">
        <f>(1+GrowthUtility)^INT((193-1)/12)</f>
        <v/>
      </c>
      <c r="GO8" s="53">
        <f>(1+GrowthUtility)^INT((194-1)/12)</f>
        <v/>
      </c>
      <c r="GP8" s="53">
        <f>(1+GrowthUtility)^INT((195-1)/12)</f>
        <v/>
      </c>
      <c r="GQ8" s="53">
        <f>(1+GrowthUtility)^INT((196-1)/12)</f>
        <v/>
      </c>
      <c r="GR8" s="53">
        <f>(1+GrowthUtility)^INT((197-1)/12)</f>
        <v/>
      </c>
      <c r="GS8" s="53">
        <f>(1+GrowthUtility)^INT((198-1)/12)</f>
        <v/>
      </c>
      <c r="GT8" s="53">
        <f>(1+GrowthUtility)^INT((199-1)/12)</f>
        <v/>
      </c>
      <c r="GU8" s="53">
        <f>(1+GrowthUtility)^INT((200-1)/12)</f>
        <v/>
      </c>
      <c r="GV8" s="53">
        <f>(1+GrowthUtility)^INT((201-1)/12)</f>
        <v/>
      </c>
      <c r="GW8" s="53">
        <f>(1+GrowthUtility)^INT((202-1)/12)</f>
        <v/>
      </c>
      <c r="GX8" s="53">
        <f>(1+GrowthUtility)^INT((203-1)/12)</f>
        <v/>
      </c>
      <c r="GY8" s="53">
        <f>(1+GrowthUtility)^INT((204-1)/12)</f>
        <v/>
      </c>
      <c r="GZ8" s="53">
        <f>(1+GrowthUtility)^INT((205-1)/12)</f>
        <v/>
      </c>
      <c r="HA8" s="53">
        <f>(1+GrowthUtility)^INT((206-1)/12)</f>
        <v/>
      </c>
      <c r="HB8" s="53">
        <f>(1+GrowthUtility)^INT((207-1)/12)</f>
        <v/>
      </c>
      <c r="HC8" s="53">
        <f>(1+GrowthUtility)^INT((208-1)/12)</f>
        <v/>
      </c>
      <c r="HD8" s="53">
        <f>(1+GrowthUtility)^INT((209-1)/12)</f>
        <v/>
      </c>
      <c r="HE8" s="53">
        <f>(1+GrowthUtility)^INT((210-1)/12)</f>
        <v/>
      </c>
      <c r="HF8" s="53">
        <f>(1+GrowthUtility)^INT((211-1)/12)</f>
        <v/>
      </c>
      <c r="HG8" s="53">
        <f>(1+GrowthUtility)^INT((212-1)/12)</f>
        <v/>
      </c>
      <c r="HH8" s="53">
        <f>(1+GrowthUtility)^INT((213-1)/12)</f>
        <v/>
      </c>
      <c r="HI8" s="53">
        <f>(1+GrowthUtility)^INT((214-1)/12)</f>
        <v/>
      </c>
      <c r="HJ8" s="53">
        <f>(1+GrowthUtility)^INT((215-1)/12)</f>
        <v/>
      </c>
      <c r="HK8" s="53">
        <f>(1+GrowthUtility)^INT((216-1)/12)</f>
        <v/>
      </c>
      <c r="HL8" s="53">
        <f>(1+GrowthUtility)^INT((217-1)/12)</f>
        <v/>
      </c>
      <c r="HM8" s="53">
        <f>(1+GrowthUtility)^INT((218-1)/12)</f>
        <v/>
      </c>
      <c r="HN8" s="53">
        <f>(1+GrowthUtility)^INT((219-1)/12)</f>
        <v/>
      </c>
      <c r="HO8" s="53">
        <f>(1+GrowthUtility)^INT((220-1)/12)</f>
        <v/>
      </c>
      <c r="HP8" s="53">
        <f>(1+GrowthUtility)^INT((221-1)/12)</f>
        <v/>
      </c>
      <c r="HQ8" s="53">
        <f>(1+GrowthUtility)^INT((222-1)/12)</f>
        <v/>
      </c>
      <c r="HR8" s="53">
        <f>(1+GrowthUtility)^INT((223-1)/12)</f>
        <v/>
      </c>
      <c r="HS8" s="53">
        <f>(1+GrowthUtility)^INT((224-1)/12)</f>
        <v/>
      </c>
      <c r="HT8" s="53">
        <f>(1+GrowthUtility)^INT((225-1)/12)</f>
        <v/>
      </c>
      <c r="HU8" s="53">
        <f>(1+GrowthUtility)^INT((226-1)/12)</f>
        <v/>
      </c>
      <c r="HV8" s="53">
        <f>(1+GrowthUtility)^INT((227-1)/12)</f>
        <v/>
      </c>
      <c r="HW8" s="53">
        <f>(1+GrowthUtility)^INT((228-1)/12)</f>
        <v/>
      </c>
      <c r="HX8" s="53">
        <f>(1+GrowthUtility)^INT((229-1)/12)</f>
        <v/>
      </c>
      <c r="HY8" s="53">
        <f>(1+GrowthUtility)^INT((230-1)/12)</f>
        <v/>
      </c>
      <c r="HZ8" s="53">
        <f>(1+GrowthUtility)^INT((231-1)/12)</f>
        <v/>
      </c>
      <c r="IA8" s="53">
        <f>(1+GrowthUtility)^INT((232-1)/12)</f>
        <v/>
      </c>
      <c r="IB8" s="53">
        <f>(1+GrowthUtility)^INT((233-1)/12)</f>
        <v/>
      </c>
      <c r="IC8" s="53">
        <f>(1+GrowthUtility)^INT((234-1)/12)</f>
        <v/>
      </c>
      <c r="ID8" s="53">
        <f>(1+GrowthUtility)^INT((235-1)/12)</f>
        <v/>
      </c>
      <c r="IE8" s="53">
        <f>(1+GrowthUtility)^INT((236-1)/12)</f>
        <v/>
      </c>
      <c r="IF8" s="53">
        <f>(1+GrowthUtility)^INT((237-1)/12)</f>
        <v/>
      </c>
      <c r="IG8" s="53">
        <f>(1+GrowthUtility)^INT((238-1)/12)</f>
        <v/>
      </c>
      <c r="IH8" s="53">
        <f>(1+GrowthUtility)^INT((239-1)/12)</f>
        <v/>
      </c>
      <c r="II8" s="53">
        <f>(1+GrowthUtility)^INT((240-1)/12)</f>
        <v/>
      </c>
      <c r="IJ8" s="53">
        <f>(1+GrowthUtility)^INT((241-1)/12)</f>
        <v/>
      </c>
      <c r="IK8" s="53">
        <f>(1+GrowthUtility)^INT((242-1)/12)</f>
        <v/>
      </c>
      <c r="IL8" s="53">
        <f>(1+GrowthUtility)^INT((243-1)/12)</f>
        <v/>
      </c>
      <c r="IM8" s="53">
        <f>(1+GrowthUtility)^INT((244-1)/12)</f>
        <v/>
      </c>
      <c r="IN8" s="53">
        <f>(1+GrowthUtility)^INT((245-1)/12)</f>
        <v/>
      </c>
      <c r="IO8" s="53">
        <f>(1+GrowthUtility)^INT((246-1)/12)</f>
        <v/>
      </c>
      <c r="IP8" s="53">
        <f>(1+GrowthUtility)^INT((247-1)/12)</f>
        <v/>
      </c>
      <c r="IQ8" s="53">
        <f>(1+GrowthUtility)^INT((248-1)/12)</f>
        <v/>
      </c>
      <c r="IR8" s="53">
        <f>(1+GrowthUtility)^INT((249-1)/12)</f>
        <v/>
      </c>
      <c r="IS8" s="53">
        <f>(1+GrowthUtility)^INT((250-1)/12)</f>
        <v/>
      </c>
      <c r="IT8" s="53">
        <f>(1+GrowthUtility)^INT((251-1)/12)</f>
        <v/>
      </c>
      <c r="IU8" s="53">
        <f>(1+GrowthUtility)^INT((252-1)/12)</f>
        <v/>
      </c>
      <c r="IV8" s="53">
        <f>(1+GrowthUtility)^INT((253-1)/12)</f>
        <v/>
      </c>
      <c r="IW8" s="53">
        <f>(1+GrowthUtility)^INT((254-1)/12)</f>
        <v/>
      </c>
      <c r="IX8" s="53">
        <f>(1+GrowthUtility)^INT((255-1)/12)</f>
        <v/>
      </c>
      <c r="IY8" s="53">
        <f>(1+GrowthUtility)^INT((256-1)/12)</f>
        <v/>
      </c>
      <c r="IZ8" s="53">
        <f>(1+GrowthUtility)^INT((257-1)/12)</f>
        <v/>
      </c>
      <c r="JA8" s="53">
        <f>(1+GrowthUtility)^INT((258-1)/12)</f>
        <v/>
      </c>
      <c r="JB8" s="53">
        <f>(1+GrowthUtility)^INT((259-1)/12)</f>
        <v/>
      </c>
      <c r="JC8" s="53">
        <f>(1+GrowthUtility)^INT((260-1)/12)</f>
        <v/>
      </c>
      <c r="JD8" s="53">
        <f>(1+GrowthUtility)^INT((261-1)/12)</f>
        <v/>
      </c>
      <c r="JE8" s="53">
        <f>(1+GrowthUtility)^INT((262-1)/12)</f>
        <v/>
      </c>
      <c r="JF8" s="53">
        <f>(1+GrowthUtility)^INT((263-1)/12)</f>
        <v/>
      </c>
      <c r="JG8" s="53">
        <f>(1+GrowthUtility)^INT((264-1)/12)</f>
        <v/>
      </c>
      <c r="JH8" s="53">
        <f>(1+GrowthUtility)^INT((265-1)/12)</f>
        <v/>
      </c>
      <c r="JI8" s="53">
        <f>(1+GrowthUtility)^INT((266-1)/12)</f>
        <v/>
      </c>
      <c r="JJ8" s="53">
        <f>(1+GrowthUtility)^INT((267-1)/12)</f>
        <v/>
      </c>
      <c r="JK8" s="53">
        <f>(1+GrowthUtility)^INT((268-1)/12)</f>
        <v/>
      </c>
      <c r="JL8" s="53">
        <f>(1+GrowthUtility)^INT((269-1)/12)</f>
        <v/>
      </c>
      <c r="JM8" s="53">
        <f>(1+GrowthUtility)^INT((270-1)/12)</f>
        <v/>
      </c>
      <c r="JN8" s="53">
        <f>(1+GrowthUtility)^INT((271-1)/12)</f>
        <v/>
      </c>
      <c r="JO8" s="53">
        <f>(1+GrowthUtility)^INT((272-1)/12)</f>
        <v/>
      </c>
      <c r="JP8" s="53">
        <f>(1+GrowthUtility)^INT((273-1)/12)</f>
        <v/>
      </c>
      <c r="JQ8" s="53">
        <f>(1+GrowthUtility)^INT((274-1)/12)</f>
        <v/>
      </c>
      <c r="JR8" s="53">
        <f>(1+GrowthUtility)^INT((275-1)/12)</f>
        <v/>
      </c>
      <c r="JS8" s="53">
        <f>(1+GrowthUtility)^INT((276-1)/12)</f>
        <v/>
      </c>
      <c r="JT8" s="53">
        <f>(1+GrowthUtility)^INT((277-1)/12)</f>
        <v/>
      </c>
      <c r="JU8" s="53">
        <f>(1+GrowthUtility)^INT((278-1)/12)</f>
        <v/>
      </c>
      <c r="JV8" s="53">
        <f>(1+GrowthUtility)^INT((279-1)/12)</f>
        <v/>
      </c>
      <c r="JW8" s="53">
        <f>(1+GrowthUtility)^INT((280-1)/12)</f>
        <v/>
      </c>
      <c r="JX8" s="53">
        <f>(1+GrowthUtility)^INT((281-1)/12)</f>
        <v/>
      </c>
      <c r="JY8" s="53">
        <f>(1+GrowthUtility)^INT((282-1)/12)</f>
        <v/>
      </c>
      <c r="JZ8" s="53">
        <f>(1+GrowthUtility)^INT((283-1)/12)</f>
        <v/>
      </c>
      <c r="KA8" s="53">
        <f>(1+GrowthUtility)^INT((284-1)/12)</f>
        <v/>
      </c>
      <c r="KB8" s="53">
        <f>(1+GrowthUtility)^INT((285-1)/12)</f>
        <v/>
      </c>
      <c r="KC8" s="53">
        <f>(1+GrowthUtility)^INT((286-1)/12)</f>
        <v/>
      </c>
      <c r="KD8" s="53">
        <f>(1+GrowthUtility)^INT((287-1)/12)</f>
        <v/>
      </c>
      <c r="KE8" s="53">
        <f>(1+GrowthUtility)^INT((288-1)/12)</f>
        <v/>
      </c>
      <c r="KF8" s="53">
        <f>(1+GrowthUtility)^INT((289-1)/12)</f>
        <v/>
      </c>
      <c r="KG8" s="53">
        <f>(1+GrowthUtility)^INT((290-1)/12)</f>
        <v/>
      </c>
      <c r="KH8" s="53">
        <f>(1+GrowthUtility)^INT((291-1)/12)</f>
        <v/>
      </c>
      <c r="KI8" s="53">
        <f>(1+GrowthUtility)^INT((292-1)/12)</f>
        <v/>
      </c>
      <c r="KJ8" s="53">
        <f>(1+GrowthUtility)^INT((293-1)/12)</f>
        <v/>
      </c>
      <c r="KK8" s="53">
        <f>(1+GrowthUtility)^INT((294-1)/12)</f>
        <v/>
      </c>
      <c r="KL8" s="53">
        <f>(1+GrowthUtility)^INT((295-1)/12)</f>
        <v/>
      </c>
      <c r="KM8" s="53">
        <f>(1+GrowthUtility)^INT((296-1)/12)</f>
        <v/>
      </c>
      <c r="KN8" s="53">
        <f>(1+GrowthUtility)^INT((297-1)/12)</f>
        <v/>
      </c>
      <c r="KO8" s="53">
        <f>(1+GrowthUtility)^INT((298-1)/12)</f>
        <v/>
      </c>
      <c r="KP8" s="53">
        <f>(1+GrowthUtility)^INT((299-1)/12)</f>
        <v/>
      </c>
      <c r="KQ8" s="53">
        <f>(1+GrowthUtility)^INT((300-1)/12)</f>
        <v/>
      </c>
      <c r="KR8" s="53">
        <f>(1+GrowthUtility)^INT((301-1)/12)</f>
        <v/>
      </c>
      <c r="KS8" s="53">
        <f>(1+GrowthUtility)^INT((302-1)/12)</f>
        <v/>
      </c>
      <c r="KT8" s="53">
        <f>(1+GrowthUtility)^INT((303-1)/12)</f>
        <v/>
      </c>
      <c r="KU8" s="53">
        <f>(1+GrowthUtility)^INT((304-1)/12)</f>
        <v/>
      </c>
      <c r="KV8" s="53">
        <f>(1+GrowthUtility)^INT((305-1)/12)</f>
        <v/>
      </c>
      <c r="KW8" s="53">
        <f>(1+GrowthUtility)^INT((306-1)/12)</f>
        <v/>
      </c>
      <c r="KX8" s="53">
        <f>(1+GrowthUtility)^INT((307-1)/12)</f>
        <v/>
      </c>
      <c r="KY8" s="53">
        <f>(1+GrowthUtility)^INT((308-1)/12)</f>
        <v/>
      </c>
      <c r="KZ8" s="53">
        <f>(1+GrowthUtility)^INT((309-1)/12)</f>
        <v/>
      </c>
      <c r="LA8" s="53">
        <f>(1+GrowthUtility)^INT((310-1)/12)</f>
        <v/>
      </c>
      <c r="LB8" s="53">
        <f>(1+GrowthUtility)^INT((311-1)/12)</f>
        <v/>
      </c>
      <c r="LC8" s="53">
        <f>(1+GrowthUtility)^INT((312-1)/12)</f>
        <v/>
      </c>
      <c r="LD8" s="53">
        <f>(1+GrowthUtility)^INT((313-1)/12)</f>
        <v/>
      </c>
      <c r="LE8" s="53">
        <f>(1+GrowthUtility)^INT((314-1)/12)</f>
        <v/>
      </c>
      <c r="LF8" s="53">
        <f>(1+GrowthUtility)^INT((315-1)/12)</f>
        <v/>
      </c>
      <c r="LG8" s="53">
        <f>(1+GrowthUtility)^INT((316-1)/12)</f>
        <v/>
      </c>
      <c r="LH8" s="53">
        <f>(1+GrowthUtility)^INT((317-1)/12)</f>
        <v/>
      </c>
      <c r="LI8" s="53">
        <f>(1+GrowthUtility)^INT((318-1)/12)</f>
        <v/>
      </c>
      <c r="LJ8" s="53">
        <f>(1+GrowthUtility)^INT((319-1)/12)</f>
        <v/>
      </c>
      <c r="LK8" s="53">
        <f>(1+GrowthUtility)^INT((320-1)/12)</f>
        <v/>
      </c>
      <c r="LL8" s="53">
        <f>(1+GrowthUtility)^INT((321-1)/12)</f>
        <v/>
      </c>
      <c r="LM8" s="53">
        <f>(1+GrowthUtility)^INT((322-1)/12)</f>
        <v/>
      </c>
      <c r="LN8" s="53">
        <f>(1+GrowthUtility)^INT((323-1)/12)</f>
        <v/>
      </c>
      <c r="LO8" s="53">
        <f>(1+GrowthUtility)^INT((324-1)/12)</f>
        <v/>
      </c>
      <c r="LP8" s="53">
        <f>(1+GrowthUtility)^INT((325-1)/12)</f>
        <v/>
      </c>
      <c r="LQ8" s="53">
        <f>(1+GrowthUtility)^INT((326-1)/12)</f>
        <v/>
      </c>
      <c r="LR8" s="53">
        <f>(1+GrowthUtility)^INT((327-1)/12)</f>
        <v/>
      </c>
      <c r="LS8" s="53">
        <f>(1+GrowthUtility)^INT((328-1)/12)</f>
        <v/>
      </c>
      <c r="LT8" s="53">
        <f>(1+GrowthUtility)^INT((329-1)/12)</f>
        <v/>
      </c>
      <c r="LU8" s="53">
        <f>(1+GrowthUtility)^INT((330-1)/12)</f>
        <v/>
      </c>
      <c r="LV8" s="53">
        <f>(1+GrowthUtility)^INT((331-1)/12)</f>
        <v/>
      </c>
      <c r="LW8" s="53">
        <f>(1+GrowthUtility)^INT((332-1)/12)</f>
        <v/>
      </c>
      <c r="LX8" s="53">
        <f>(1+GrowthUtility)^INT((333-1)/12)</f>
        <v/>
      </c>
      <c r="LY8" s="53">
        <f>(1+GrowthUtility)^INT((334-1)/12)</f>
        <v/>
      </c>
      <c r="LZ8" s="53">
        <f>(1+GrowthUtility)^INT((335-1)/12)</f>
        <v/>
      </c>
      <c r="MA8" s="53">
        <f>(1+GrowthUtility)^INT((336-1)/12)</f>
        <v/>
      </c>
      <c r="MB8" s="53">
        <f>(1+GrowthUtility)^INT((337-1)/12)</f>
        <v/>
      </c>
      <c r="MC8" s="53">
        <f>(1+GrowthUtility)^INT((338-1)/12)</f>
        <v/>
      </c>
      <c r="MD8" s="53">
        <f>(1+GrowthUtility)^INT((339-1)/12)</f>
        <v/>
      </c>
      <c r="ME8" s="53">
        <f>(1+GrowthUtility)^INT((340-1)/12)</f>
        <v/>
      </c>
      <c r="MF8" s="53">
        <f>(1+GrowthUtility)^INT((341-1)/12)</f>
        <v/>
      </c>
      <c r="MG8" s="53">
        <f>(1+GrowthUtility)^INT((342-1)/12)</f>
        <v/>
      </c>
      <c r="MH8" s="53">
        <f>(1+GrowthUtility)^INT((343-1)/12)</f>
        <v/>
      </c>
      <c r="MI8" s="53">
        <f>(1+GrowthUtility)^INT((344-1)/12)</f>
        <v/>
      </c>
      <c r="MJ8" s="53">
        <f>(1+GrowthUtility)^INT((345-1)/12)</f>
        <v/>
      </c>
      <c r="MK8" s="53">
        <f>(1+GrowthUtility)^INT((346-1)/12)</f>
        <v/>
      </c>
      <c r="ML8" s="53">
        <f>(1+GrowthUtility)^INT((347-1)/12)</f>
        <v/>
      </c>
      <c r="MM8" s="53">
        <f>(1+GrowthUtility)^INT((348-1)/12)</f>
        <v/>
      </c>
      <c r="MN8" s="53">
        <f>(1+GrowthUtility)^INT((349-1)/12)</f>
        <v/>
      </c>
      <c r="MO8" s="53">
        <f>(1+GrowthUtility)^INT((350-1)/12)</f>
        <v/>
      </c>
      <c r="MP8" s="53">
        <f>(1+GrowthUtility)^INT((351-1)/12)</f>
        <v/>
      </c>
      <c r="MQ8" s="53">
        <f>(1+GrowthUtility)^INT((352-1)/12)</f>
        <v/>
      </c>
      <c r="MR8" s="53">
        <f>(1+GrowthUtility)^INT((353-1)/12)</f>
        <v/>
      </c>
      <c r="MS8" s="53">
        <f>(1+GrowthUtility)^INT((354-1)/12)</f>
        <v/>
      </c>
      <c r="MT8" s="53">
        <f>(1+GrowthUtility)^INT((355-1)/12)</f>
        <v/>
      </c>
      <c r="MU8" s="53">
        <f>(1+GrowthUtility)^INT((356-1)/12)</f>
        <v/>
      </c>
      <c r="MV8" s="53">
        <f>(1+GrowthUtility)^INT((357-1)/12)</f>
        <v/>
      </c>
      <c r="MW8" s="53">
        <f>(1+GrowthUtility)^INT((358-1)/12)</f>
        <v/>
      </c>
      <c r="MX8" s="53">
        <f>(1+GrowthUtility)^INT((359-1)/12)</f>
        <v/>
      </c>
      <c r="MY8" s="53">
        <f>(1+GrowthUtility)^INT((360-1)/12)</f>
        <v/>
      </c>
      <c r="MZ8" s="53">
        <f>(1+GrowthUtility)^INT((361-1)/12)</f>
        <v/>
      </c>
      <c r="NA8" s="53">
        <f>(1+GrowthUtility)^INT((362-1)/12)</f>
        <v/>
      </c>
      <c r="NB8" s="53">
        <f>(1+GrowthUtility)^INT((363-1)/12)</f>
        <v/>
      </c>
      <c r="NC8" s="53">
        <f>(1+GrowthUtility)^INT((364-1)/12)</f>
        <v/>
      </c>
      <c r="ND8" s="53">
        <f>(1+GrowthUtility)^INT((365-1)/12)</f>
        <v/>
      </c>
      <c r="NE8" s="53">
        <f>(1+GrowthUtility)^INT((366-1)/12)</f>
        <v/>
      </c>
      <c r="NF8" s="53">
        <f>(1+GrowthUtility)^INT((367-1)/12)</f>
        <v/>
      </c>
      <c r="NG8" s="53">
        <f>(1+GrowthUtility)^INT((368-1)/12)</f>
        <v/>
      </c>
      <c r="NH8" s="53">
        <f>(1+GrowthUtility)^INT((369-1)/12)</f>
        <v/>
      </c>
      <c r="NI8" s="53">
        <f>(1+GrowthUtility)^INT((370-1)/12)</f>
        <v/>
      </c>
      <c r="NJ8" s="53">
        <f>(1+GrowthUtility)^INT((371-1)/12)</f>
        <v/>
      </c>
      <c r="NK8" s="53">
        <f>(1+GrowthUtility)^INT((372-1)/12)</f>
        <v/>
      </c>
    </row>
    <row r="9">
      <c r="A9" s="5" t="inlineStr">
        <is>
          <t>Growth Factor — Other Income</t>
        </is>
      </c>
      <c r="C9" s="52" t="n"/>
      <c r="D9" s="53">
        <f>(1+GrowthOther)^INT((1-1)/12)</f>
        <v/>
      </c>
      <c r="E9" s="53">
        <f>(1+GrowthOther)^INT((2-1)/12)</f>
        <v/>
      </c>
      <c r="F9" s="53">
        <f>(1+GrowthOther)^INT((3-1)/12)</f>
        <v/>
      </c>
      <c r="G9" s="53">
        <f>(1+GrowthOther)^INT((4-1)/12)</f>
        <v/>
      </c>
      <c r="H9" s="53">
        <f>(1+GrowthOther)^INT((5-1)/12)</f>
        <v/>
      </c>
      <c r="I9" s="53">
        <f>(1+GrowthOther)^INT((6-1)/12)</f>
        <v/>
      </c>
      <c r="J9" s="53">
        <f>(1+GrowthOther)^INT((7-1)/12)</f>
        <v/>
      </c>
      <c r="K9" s="53">
        <f>(1+GrowthOther)^INT((8-1)/12)</f>
        <v/>
      </c>
      <c r="L9" s="53">
        <f>(1+GrowthOther)^INT((9-1)/12)</f>
        <v/>
      </c>
      <c r="M9" s="53">
        <f>(1+GrowthOther)^INT((10-1)/12)</f>
        <v/>
      </c>
      <c r="N9" s="53">
        <f>(1+GrowthOther)^INT((11-1)/12)</f>
        <v/>
      </c>
      <c r="O9" s="53">
        <f>(1+GrowthOther)^INT((12-1)/12)</f>
        <v/>
      </c>
      <c r="P9" s="53">
        <f>(1+GrowthOther)^INT((13-1)/12)</f>
        <v/>
      </c>
      <c r="Q9" s="53">
        <f>(1+GrowthOther)^INT((14-1)/12)</f>
        <v/>
      </c>
      <c r="R9" s="53">
        <f>(1+GrowthOther)^INT((15-1)/12)</f>
        <v/>
      </c>
      <c r="S9" s="53">
        <f>(1+GrowthOther)^INT((16-1)/12)</f>
        <v/>
      </c>
      <c r="T9" s="53">
        <f>(1+GrowthOther)^INT((17-1)/12)</f>
        <v/>
      </c>
      <c r="U9" s="53">
        <f>(1+GrowthOther)^INT((18-1)/12)</f>
        <v/>
      </c>
      <c r="V9" s="53">
        <f>(1+GrowthOther)^INT((19-1)/12)</f>
        <v/>
      </c>
      <c r="W9" s="53">
        <f>(1+GrowthOther)^INT((20-1)/12)</f>
        <v/>
      </c>
      <c r="X9" s="53">
        <f>(1+GrowthOther)^INT((21-1)/12)</f>
        <v/>
      </c>
      <c r="Y9" s="53">
        <f>(1+GrowthOther)^INT((22-1)/12)</f>
        <v/>
      </c>
      <c r="Z9" s="53">
        <f>(1+GrowthOther)^INT((23-1)/12)</f>
        <v/>
      </c>
      <c r="AA9" s="53">
        <f>(1+GrowthOther)^INT((24-1)/12)</f>
        <v/>
      </c>
      <c r="AB9" s="53">
        <f>(1+GrowthOther)^INT((25-1)/12)</f>
        <v/>
      </c>
      <c r="AC9" s="53">
        <f>(1+GrowthOther)^INT((26-1)/12)</f>
        <v/>
      </c>
      <c r="AD9" s="53">
        <f>(1+GrowthOther)^INT((27-1)/12)</f>
        <v/>
      </c>
      <c r="AE9" s="53">
        <f>(1+GrowthOther)^INT((28-1)/12)</f>
        <v/>
      </c>
      <c r="AF9" s="53">
        <f>(1+GrowthOther)^INT((29-1)/12)</f>
        <v/>
      </c>
      <c r="AG9" s="53">
        <f>(1+GrowthOther)^INT((30-1)/12)</f>
        <v/>
      </c>
      <c r="AH9" s="53">
        <f>(1+GrowthOther)^INT((31-1)/12)</f>
        <v/>
      </c>
      <c r="AI9" s="53">
        <f>(1+GrowthOther)^INT((32-1)/12)</f>
        <v/>
      </c>
      <c r="AJ9" s="53">
        <f>(1+GrowthOther)^INT((33-1)/12)</f>
        <v/>
      </c>
      <c r="AK9" s="53">
        <f>(1+GrowthOther)^INT((34-1)/12)</f>
        <v/>
      </c>
      <c r="AL9" s="53">
        <f>(1+GrowthOther)^INT((35-1)/12)</f>
        <v/>
      </c>
      <c r="AM9" s="53">
        <f>(1+GrowthOther)^INT((36-1)/12)</f>
        <v/>
      </c>
      <c r="AN9" s="53">
        <f>(1+GrowthOther)^INT((37-1)/12)</f>
        <v/>
      </c>
      <c r="AO9" s="53">
        <f>(1+GrowthOther)^INT((38-1)/12)</f>
        <v/>
      </c>
      <c r="AP9" s="53">
        <f>(1+GrowthOther)^INT((39-1)/12)</f>
        <v/>
      </c>
      <c r="AQ9" s="53">
        <f>(1+GrowthOther)^INT((40-1)/12)</f>
        <v/>
      </c>
      <c r="AR9" s="53">
        <f>(1+GrowthOther)^INT((41-1)/12)</f>
        <v/>
      </c>
      <c r="AS9" s="53">
        <f>(1+GrowthOther)^INT((42-1)/12)</f>
        <v/>
      </c>
      <c r="AT9" s="53">
        <f>(1+GrowthOther)^INT((43-1)/12)</f>
        <v/>
      </c>
      <c r="AU9" s="53">
        <f>(1+GrowthOther)^INT((44-1)/12)</f>
        <v/>
      </c>
      <c r="AV9" s="53">
        <f>(1+GrowthOther)^INT((45-1)/12)</f>
        <v/>
      </c>
      <c r="AW9" s="53">
        <f>(1+GrowthOther)^INT((46-1)/12)</f>
        <v/>
      </c>
      <c r="AX9" s="53">
        <f>(1+GrowthOther)^INT((47-1)/12)</f>
        <v/>
      </c>
      <c r="AY9" s="53">
        <f>(1+GrowthOther)^INT((48-1)/12)</f>
        <v/>
      </c>
      <c r="AZ9" s="53">
        <f>(1+GrowthOther)^INT((49-1)/12)</f>
        <v/>
      </c>
      <c r="BA9" s="53">
        <f>(1+GrowthOther)^INT((50-1)/12)</f>
        <v/>
      </c>
      <c r="BB9" s="53">
        <f>(1+GrowthOther)^INT((51-1)/12)</f>
        <v/>
      </c>
      <c r="BC9" s="53">
        <f>(1+GrowthOther)^INT((52-1)/12)</f>
        <v/>
      </c>
      <c r="BD9" s="53">
        <f>(1+GrowthOther)^INT((53-1)/12)</f>
        <v/>
      </c>
      <c r="BE9" s="53">
        <f>(1+GrowthOther)^INT((54-1)/12)</f>
        <v/>
      </c>
      <c r="BF9" s="53">
        <f>(1+GrowthOther)^INT((55-1)/12)</f>
        <v/>
      </c>
      <c r="BG9" s="53">
        <f>(1+GrowthOther)^INT((56-1)/12)</f>
        <v/>
      </c>
      <c r="BH9" s="53">
        <f>(1+GrowthOther)^INT((57-1)/12)</f>
        <v/>
      </c>
      <c r="BI9" s="53">
        <f>(1+GrowthOther)^INT((58-1)/12)</f>
        <v/>
      </c>
      <c r="BJ9" s="53">
        <f>(1+GrowthOther)^INT((59-1)/12)</f>
        <v/>
      </c>
      <c r="BK9" s="53">
        <f>(1+GrowthOther)^INT((60-1)/12)</f>
        <v/>
      </c>
      <c r="BL9" s="53">
        <f>(1+GrowthOther)^INT((61-1)/12)</f>
        <v/>
      </c>
      <c r="BM9" s="53">
        <f>(1+GrowthOther)^INT((62-1)/12)</f>
        <v/>
      </c>
      <c r="BN9" s="53">
        <f>(1+GrowthOther)^INT((63-1)/12)</f>
        <v/>
      </c>
      <c r="BO9" s="53">
        <f>(1+GrowthOther)^INT((64-1)/12)</f>
        <v/>
      </c>
      <c r="BP9" s="53">
        <f>(1+GrowthOther)^INT((65-1)/12)</f>
        <v/>
      </c>
      <c r="BQ9" s="53">
        <f>(1+GrowthOther)^INT((66-1)/12)</f>
        <v/>
      </c>
      <c r="BR9" s="53">
        <f>(1+GrowthOther)^INT((67-1)/12)</f>
        <v/>
      </c>
      <c r="BS9" s="53">
        <f>(1+GrowthOther)^INT((68-1)/12)</f>
        <v/>
      </c>
      <c r="BT9" s="53">
        <f>(1+GrowthOther)^INT((69-1)/12)</f>
        <v/>
      </c>
      <c r="BU9" s="53">
        <f>(1+GrowthOther)^INT((70-1)/12)</f>
        <v/>
      </c>
      <c r="BV9" s="53">
        <f>(1+GrowthOther)^INT((71-1)/12)</f>
        <v/>
      </c>
      <c r="BW9" s="53">
        <f>(1+GrowthOther)^INT((72-1)/12)</f>
        <v/>
      </c>
      <c r="BX9" s="53">
        <f>(1+GrowthOther)^INT((73-1)/12)</f>
        <v/>
      </c>
      <c r="BY9" s="53">
        <f>(1+GrowthOther)^INT((74-1)/12)</f>
        <v/>
      </c>
      <c r="BZ9" s="53">
        <f>(1+GrowthOther)^INT((75-1)/12)</f>
        <v/>
      </c>
      <c r="CA9" s="53">
        <f>(1+GrowthOther)^INT((76-1)/12)</f>
        <v/>
      </c>
      <c r="CB9" s="53">
        <f>(1+GrowthOther)^INT((77-1)/12)</f>
        <v/>
      </c>
      <c r="CC9" s="53">
        <f>(1+GrowthOther)^INT((78-1)/12)</f>
        <v/>
      </c>
      <c r="CD9" s="53">
        <f>(1+GrowthOther)^INT((79-1)/12)</f>
        <v/>
      </c>
      <c r="CE9" s="53">
        <f>(1+GrowthOther)^INT((80-1)/12)</f>
        <v/>
      </c>
      <c r="CF9" s="53">
        <f>(1+GrowthOther)^INT((81-1)/12)</f>
        <v/>
      </c>
      <c r="CG9" s="53">
        <f>(1+GrowthOther)^INT((82-1)/12)</f>
        <v/>
      </c>
      <c r="CH9" s="53">
        <f>(1+GrowthOther)^INT((83-1)/12)</f>
        <v/>
      </c>
      <c r="CI9" s="53">
        <f>(1+GrowthOther)^INT((84-1)/12)</f>
        <v/>
      </c>
      <c r="CJ9" s="53">
        <f>(1+GrowthOther)^INT((85-1)/12)</f>
        <v/>
      </c>
      <c r="CK9" s="53">
        <f>(1+GrowthOther)^INT((86-1)/12)</f>
        <v/>
      </c>
      <c r="CL9" s="53">
        <f>(1+GrowthOther)^INT((87-1)/12)</f>
        <v/>
      </c>
      <c r="CM9" s="53">
        <f>(1+GrowthOther)^INT((88-1)/12)</f>
        <v/>
      </c>
      <c r="CN9" s="53">
        <f>(1+GrowthOther)^INT((89-1)/12)</f>
        <v/>
      </c>
      <c r="CO9" s="53">
        <f>(1+GrowthOther)^INT((90-1)/12)</f>
        <v/>
      </c>
      <c r="CP9" s="53">
        <f>(1+GrowthOther)^INT((91-1)/12)</f>
        <v/>
      </c>
      <c r="CQ9" s="53">
        <f>(1+GrowthOther)^INT((92-1)/12)</f>
        <v/>
      </c>
      <c r="CR9" s="53">
        <f>(1+GrowthOther)^INT((93-1)/12)</f>
        <v/>
      </c>
      <c r="CS9" s="53">
        <f>(1+GrowthOther)^INT((94-1)/12)</f>
        <v/>
      </c>
      <c r="CT9" s="53">
        <f>(1+GrowthOther)^INT((95-1)/12)</f>
        <v/>
      </c>
      <c r="CU9" s="53">
        <f>(1+GrowthOther)^INT((96-1)/12)</f>
        <v/>
      </c>
      <c r="CV9" s="53">
        <f>(1+GrowthOther)^INT((97-1)/12)</f>
        <v/>
      </c>
      <c r="CW9" s="53">
        <f>(1+GrowthOther)^INT((98-1)/12)</f>
        <v/>
      </c>
      <c r="CX9" s="53">
        <f>(1+GrowthOther)^INT((99-1)/12)</f>
        <v/>
      </c>
      <c r="CY9" s="53">
        <f>(1+GrowthOther)^INT((100-1)/12)</f>
        <v/>
      </c>
      <c r="CZ9" s="53">
        <f>(1+GrowthOther)^INT((101-1)/12)</f>
        <v/>
      </c>
      <c r="DA9" s="53">
        <f>(1+GrowthOther)^INT((102-1)/12)</f>
        <v/>
      </c>
      <c r="DB9" s="53">
        <f>(1+GrowthOther)^INT((103-1)/12)</f>
        <v/>
      </c>
      <c r="DC9" s="53">
        <f>(1+GrowthOther)^INT((104-1)/12)</f>
        <v/>
      </c>
      <c r="DD9" s="53">
        <f>(1+GrowthOther)^INT((105-1)/12)</f>
        <v/>
      </c>
      <c r="DE9" s="53">
        <f>(1+GrowthOther)^INT((106-1)/12)</f>
        <v/>
      </c>
      <c r="DF9" s="53">
        <f>(1+GrowthOther)^INT((107-1)/12)</f>
        <v/>
      </c>
      <c r="DG9" s="53">
        <f>(1+GrowthOther)^INT((108-1)/12)</f>
        <v/>
      </c>
      <c r="DH9" s="53">
        <f>(1+GrowthOther)^INT((109-1)/12)</f>
        <v/>
      </c>
      <c r="DI9" s="53">
        <f>(1+GrowthOther)^INT((110-1)/12)</f>
        <v/>
      </c>
      <c r="DJ9" s="53">
        <f>(1+GrowthOther)^INT((111-1)/12)</f>
        <v/>
      </c>
      <c r="DK9" s="53">
        <f>(1+GrowthOther)^INT((112-1)/12)</f>
        <v/>
      </c>
      <c r="DL9" s="53">
        <f>(1+GrowthOther)^INT((113-1)/12)</f>
        <v/>
      </c>
      <c r="DM9" s="53">
        <f>(1+GrowthOther)^INT((114-1)/12)</f>
        <v/>
      </c>
      <c r="DN9" s="53">
        <f>(1+GrowthOther)^INT((115-1)/12)</f>
        <v/>
      </c>
      <c r="DO9" s="53">
        <f>(1+GrowthOther)^INT((116-1)/12)</f>
        <v/>
      </c>
      <c r="DP9" s="53">
        <f>(1+GrowthOther)^INT((117-1)/12)</f>
        <v/>
      </c>
      <c r="DQ9" s="53">
        <f>(1+GrowthOther)^INT((118-1)/12)</f>
        <v/>
      </c>
      <c r="DR9" s="53">
        <f>(1+GrowthOther)^INT((119-1)/12)</f>
        <v/>
      </c>
      <c r="DS9" s="53">
        <f>(1+GrowthOther)^INT((120-1)/12)</f>
        <v/>
      </c>
      <c r="DT9" s="53">
        <f>(1+GrowthOther)^INT((121-1)/12)</f>
        <v/>
      </c>
      <c r="DU9" s="53">
        <f>(1+GrowthOther)^INT((122-1)/12)</f>
        <v/>
      </c>
      <c r="DV9" s="53">
        <f>(1+GrowthOther)^INT((123-1)/12)</f>
        <v/>
      </c>
      <c r="DW9" s="53">
        <f>(1+GrowthOther)^INT((124-1)/12)</f>
        <v/>
      </c>
      <c r="DX9" s="53">
        <f>(1+GrowthOther)^INT((125-1)/12)</f>
        <v/>
      </c>
      <c r="DY9" s="53">
        <f>(1+GrowthOther)^INT((126-1)/12)</f>
        <v/>
      </c>
      <c r="DZ9" s="53">
        <f>(1+GrowthOther)^INT((127-1)/12)</f>
        <v/>
      </c>
      <c r="EA9" s="53">
        <f>(1+GrowthOther)^INT((128-1)/12)</f>
        <v/>
      </c>
      <c r="EB9" s="53">
        <f>(1+GrowthOther)^INT((129-1)/12)</f>
        <v/>
      </c>
      <c r="EC9" s="53">
        <f>(1+GrowthOther)^INT((130-1)/12)</f>
        <v/>
      </c>
      <c r="ED9" s="53">
        <f>(1+GrowthOther)^INT((131-1)/12)</f>
        <v/>
      </c>
      <c r="EE9" s="53">
        <f>(1+GrowthOther)^INT((132-1)/12)</f>
        <v/>
      </c>
      <c r="EF9" s="53">
        <f>(1+GrowthOther)^INT((133-1)/12)</f>
        <v/>
      </c>
      <c r="EG9" s="53">
        <f>(1+GrowthOther)^INT((134-1)/12)</f>
        <v/>
      </c>
      <c r="EH9" s="53">
        <f>(1+GrowthOther)^INT((135-1)/12)</f>
        <v/>
      </c>
      <c r="EI9" s="53">
        <f>(1+GrowthOther)^INT((136-1)/12)</f>
        <v/>
      </c>
      <c r="EJ9" s="53">
        <f>(1+GrowthOther)^INT((137-1)/12)</f>
        <v/>
      </c>
      <c r="EK9" s="53">
        <f>(1+GrowthOther)^INT((138-1)/12)</f>
        <v/>
      </c>
      <c r="EL9" s="53">
        <f>(1+GrowthOther)^INT((139-1)/12)</f>
        <v/>
      </c>
      <c r="EM9" s="53">
        <f>(1+GrowthOther)^INT((140-1)/12)</f>
        <v/>
      </c>
      <c r="EN9" s="53">
        <f>(1+GrowthOther)^INT((141-1)/12)</f>
        <v/>
      </c>
      <c r="EO9" s="53">
        <f>(1+GrowthOther)^INT((142-1)/12)</f>
        <v/>
      </c>
      <c r="EP9" s="53">
        <f>(1+GrowthOther)^INT((143-1)/12)</f>
        <v/>
      </c>
      <c r="EQ9" s="53">
        <f>(1+GrowthOther)^INT((144-1)/12)</f>
        <v/>
      </c>
      <c r="ER9" s="53">
        <f>(1+GrowthOther)^INT((145-1)/12)</f>
        <v/>
      </c>
      <c r="ES9" s="53">
        <f>(1+GrowthOther)^INT((146-1)/12)</f>
        <v/>
      </c>
      <c r="ET9" s="53">
        <f>(1+GrowthOther)^INT((147-1)/12)</f>
        <v/>
      </c>
      <c r="EU9" s="53">
        <f>(1+GrowthOther)^INT((148-1)/12)</f>
        <v/>
      </c>
      <c r="EV9" s="53">
        <f>(1+GrowthOther)^INT((149-1)/12)</f>
        <v/>
      </c>
      <c r="EW9" s="53">
        <f>(1+GrowthOther)^INT((150-1)/12)</f>
        <v/>
      </c>
      <c r="EX9" s="53">
        <f>(1+GrowthOther)^INT((151-1)/12)</f>
        <v/>
      </c>
      <c r="EY9" s="53">
        <f>(1+GrowthOther)^INT((152-1)/12)</f>
        <v/>
      </c>
      <c r="EZ9" s="53">
        <f>(1+GrowthOther)^INT((153-1)/12)</f>
        <v/>
      </c>
      <c r="FA9" s="53">
        <f>(1+GrowthOther)^INT((154-1)/12)</f>
        <v/>
      </c>
      <c r="FB9" s="53">
        <f>(1+GrowthOther)^INT((155-1)/12)</f>
        <v/>
      </c>
      <c r="FC9" s="53">
        <f>(1+GrowthOther)^INT((156-1)/12)</f>
        <v/>
      </c>
      <c r="FD9" s="53">
        <f>(1+GrowthOther)^INT((157-1)/12)</f>
        <v/>
      </c>
      <c r="FE9" s="53">
        <f>(1+GrowthOther)^INT((158-1)/12)</f>
        <v/>
      </c>
      <c r="FF9" s="53">
        <f>(1+GrowthOther)^INT((159-1)/12)</f>
        <v/>
      </c>
      <c r="FG9" s="53">
        <f>(1+GrowthOther)^INT((160-1)/12)</f>
        <v/>
      </c>
      <c r="FH9" s="53">
        <f>(1+GrowthOther)^INT((161-1)/12)</f>
        <v/>
      </c>
      <c r="FI9" s="53">
        <f>(1+GrowthOther)^INT((162-1)/12)</f>
        <v/>
      </c>
      <c r="FJ9" s="53">
        <f>(1+GrowthOther)^INT((163-1)/12)</f>
        <v/>
      </c>
      <c r="FK9" s="53">
        <f>(1+GrowthOther)^INT((164-1)/12)</f>
        <v/>
      </c>
      <c r="FL9" s="53">
        <f>(1+GrowthOther)^INT((165-1)/12)</f>
        <v/>
      </c>
      <c r="FM9" s="53">
        <f>(1+GrowthOther)^INT((166-1)/12)</f>
        <v/>
      </c>
      <c r="FN9" s="53">
        <f>(1+GrowthOther)^INT((167-1)/12)</f>
        <v/>
      </c>
      <c r="FO9" s="53">
        <f>(1+GrowthOther)^INT((168-1)/12)</f>
        <v/>
      </c>
      <c r="FP9" s="53">
        <f>(1+GrowthOther)^INT((169-1)/12)</f>
        <v/>
      </c>
      <c r="FQ9" s="53">
        <f>(1+GrowthOther)^INT((170-1)/12)</f>
        <v/>
      </c>
      <c r="FR9" s="53">
        <f>(1+GrowthOther)^INT((171-1)/12)</f>
        <v/>
      </c>
      <c r="FS9" s="53">
        <f>(1+GrowthOther)^INT((172-1)/12)</f>
        <v/>
      </c>
      <c r="FT9" s="53">
        <f>(1+GrowthOther)^INT((173-1)/12)</f>
        <v/>
      </c>
      <c r="FU9" s="53">
        <f>(1+GrowthOther)^INT((174-1)/12)</f>
        <v/>
      </c>
      <c r="FV9" s="53">
        <f>(1+GrowthOther)^INT((175-1)/12)</f>
        <v/>
      </c>
      <c r="FW9" s="53">
        <f>(1+GrowthOther)^INT((176-1)/12)</f>
        <v/>
      </c>
      <c r="FX9" s="53">
        <f>(1+GrowthOther)^INT((177-1)/12)</f>
        <v/>
      </c>
      <c r="FY9" s="53">
        <f>(1+GrowthOther)^INT((178-1)/12)</f>
        <v/>
      </c>
      <c r="FZ9" s="53">
        <f>(1+GrowthOther)^INT((179-1)/12)</f>
        <v/>
      </c>
      <c r="GA9" s="53">
        <f>(1+GrowthOther)^INT((180-1)/12)</f>
        <v/>
      </c>
      <c r="GB9" s="53">
        <f>(1+GrowthOther)^INT((181-1)/12)</f>
        <v/>
      </c>
      <c r="GC9" s="53">
        <f>(1+GrowthOther)^INT((182-1)/12)</f>
        <v/>
      </c>
      <c r="GD9" s="53">
        <f>(1+GrowthOther)^INT((183-1)/12)</f>
        <v/>
      </c>
      <c r="GE9" s="53">
        <f>(1+GrowthOther)^INT((184-1)/12)</f>
        <v/>
      </c>
      <c r="GF9" s="53">
        <f>(1+GrowthOther)^INT((185-1)/12)</f>
        <v/>
      </c>
      <c r="GG9" s="53">
        <f>(1+GrowthOther)^INT((186-1)/12)</f>
        <v/>
      </c>
      <c r="GH9" s="53">
        <f>(1+GrowthOther)^INT((187-1)/12)</f>
        <v/>
      </c>
      <c r="GI9" s="53">
        <f>(1+GrowthOther)^INT((188-1)/12)</f>
        <v/>
      </c>
      <c r="GJ9" s="53">
        <f>(1+GrowthOther)^INT((189-1)/12)</f>
        <v/>
      </c>
      <c r="GK9" s="53">
        <f>(1+GrowthOther)^INT((190-1)/12)</f>
        <v/>
      </c>
      <c r="GL9" s="53">
        <f>(1+GrowthOther)^INT((191-1)/12)</f>
        <v/>
      </c>
      <c r="GM9" s="53">
        <f>(1+GrowthOther)^INT((192-1)/12)</f>
        <v/>
      </c>
      <c r="GN9" s="53">
        <f>(1+GrowthOther)^INT((193-1)/12)</f>
        <v/>
      </c>
      <c r="GO9" s="53">
        <f>(1+GrowthOther)^INT((194-1)/12)</f>
        <v/>
      </c>
      <c r="GP9" s="53">
        <f>(1+GrowthOther)^INT((195-1)/12)</f>
        <v/>
      </c>
      <c r="GQ9" s="53">
        <f>(1+GrowthOther)^INT((196-1)/12)</f>
        <v/>
      </c>
      <c r="GR9" s="53">
        <f>(1+GrowthOther)^INT((197-1)/12)</f>
        <v/>
      </c>
      <c r="GS9" s="53">
        <f>(1+GrowthOther)^INT((198-1)/12)</f>
        <v/>
      </c>
      <c r="GT9" s="53">
        <f>(1+GrowthOther)^INT((199-1)/12)</f>
        <v/>
      </c>
      <c r="GU9" s="53">
        <f>(1+GrowthOther)^INT((200-1)/12)</f>
        <v/>
      </c>
      <c r="GV9" s="53">
        <f>(1+GrowthOther)^INT((201-1)/12)</f>
        <v/>
      </c>
      <c r="GW9" s="53">
        <f>(1+GrowthOther)^INT((202-1)/12)</f>
        <v/>
      </c>
      <c r="GX9" s="53">
        <f>(1+GrowthOther)^INT((203-1)/12)</f>
        <v/>
      </c>
      <c r="GY9" s="53">
        <f>(1+GrowthOther)^INT((204-1)/12)</f>
        <v/>
      </c>
      <c r="GZ9" s="53">
        <f>(1+GrowthOther)^INT((205-1)/12)</f>
        <v/>
      </c>
      <c r="HA9" s="53">
        <f>(1+GrowthOther)^INT((206-1)/12)</f>
        <v/>
      </c>
      <c r="HB9" s="53">
        <f>(1+GrowthOther)^INT((207-1)/12)</f>
        <v/>
      </c>
      <c r="HC9" s="53">
        <f>(1+GrowthOther)^INT((208-1)/12)</f>
        <v/>
      </c>
      <c r="HD9" s="53">
        <f>(1+GrowthOther)^INT((209-1)/12)</f>
        <v/>
      </c>
      <c r="HE9" s="53">
        <f>(1+GrowthOther)^INT((210-1)/12)</f>
        <v/>
      </c>
      <c r="HF9" s="53">
        <f>(1+GrowthOther)^INT((211-1)/12)</f>
        <v/>
      </c>
      <c r="HG9" s="53">
        <f>(1+GrowthOther)^INT((212-1)/12)</f>
        <v/>
      </c>
      <c r="HH9" s="53">
        <f>(1+GrowthOther)^INT((213-1)/12)</f>
        <v/>
      </c>
      <c r="HI9" s="53">
        <f>(1+GrowthOther)^INT((214-1)/12)</f>
        <v/>
      </c>
      <c r="HJ9" s="53">
        <f>(1+GrowthOther)^INT((215-1)/12)</f>
        <v/>
      </c>
      <c r="HK9" s="53">
        <f>(1+GrowthOther)^INT((216-1)/12)</f>
        <v/>
      </c>
      <c r="HL9" s="53">
        <f>(1+GrowthOther)^INT((217-1)/12)</f>
        <v/>
      </c>
      <c r="HM9" s="53">
        <f>(1+GrowthOther)^INT((218-1)/12)</f>
        <v/>
      </c>
      <c r="HN9" s="53">
        <f>(1+GrowthOther)^INT((219-1)/12)</f>
        <v/>
      </c>
      <c r="HO9" s="53">
        <f>(1+GrowthOther)^INT((220-1)/12)</f>
        <v/>
      </c>
      <c r="HP9" s="53">
        <f>(1+GrowthOther)^INT((221-1)/12)</f>
        <v/>
      </c>
      <c r="HQ9" s="53">
        <f>(1+GrowthOther)^INT((222-1)/12)</f>
        <v/>
      </c>
      <c r="HR9" s="53">
        <f>(1+GrowthOther)^INT((223-1)/12)</f>
        <v/>
      </c>
      <c r="HS9" s="53">
        <f>(1+GrowthOther)^INT((224-1)/12)</f>
        <v/>
      </c>
      <c r="HT9" s="53">
        <f>(1+GrowthOther)^INT((225-1)/12)</f>
        <v/>
      </c>
      <c r="HU9" s="53">
        <f>(1+GrowthOther)^INT((226-1)/12)</f>
        <v/>
      </c>
      <c r="HV9" s="53">
        <f>(1+GrowthOther)^INT((227-1)/12)</f>
        <v/>
      </c>
      <c r="HW9" s="53">
        <f>(1+GrowthOther)^INT((228-1)/12)</f>
        <v/>
      </c>
      <c r="HX9" s="53">
        <f>(1+GrowthOther)^INT((229-1)/12)</f>
        <v/>
      </c>
      <c r="HY9" s="53">
        <f>(1+GrowthOther)^INT((230-1)/12)</f>
        <v/>
      </c>
      <c r="HZ9" s="53">
        <f>(1+GrowthOther)^INT((231-1)/12)</f>
        <v/>
      </c>
      <c r="IA9" s="53">
        <f>(1+GrowthOther)^INT((232-1)/12)</f>
        <v/>
      </c>
      <c r="IB9" s="53">
        <f>(1+GrowthOther)^INT((233-1)/12)</f>
        <v/>
      </c>
      <c r="IC9" s="53">
        <f>(1+GrowthOther)^INT((234-1)/12)</f>
        <v/>
      </c>
      <c r="ID9" s="53">
        <f>(1+GrowthOther)^INT((235-1)/12)</f>
        <v/>
      </c>
      <c r="IE9" s="53">
        <f>(1+GrowthOther)^INT((236-1)/12)</f>
        <v/>
      </c>
      <c r="IF9" s="53">
        <f>(1+GrowthOther)^INT((237-1)/12)</f>
        <v/>
      </c>
      <c r="IG9" s="53">
        <f>(1+GrowthOther)^INT((238-1)/12)</f>
        <v/>
      </c>
      <c r="IH9" s="53">
        <f>(1+GrowthOther)^INT((239-1)/12)</f>
        <v/>
      </c>
      <c r="II9" s="53">
        <f>(1+GrowthOther)^INT((240-1)/12)</f>
        <v/>
      </c>
      <c r="IJ9" s="53">
        <f>(1+GrowthOther)^INT((241-1)/12)</f>
        <v/>
      </c>
      <c r="IK9" s="53">
        <f>(1+GrowthOther)^INT((242-1)/12)</f>
        <v/>
      </c>
      <c r="IL9" s="53">
        <f>(1+GrowthOther)^INT((243-1)/12)</f>
        <v/>
      </c>
      <c r="IM9" s="53">
        <f>(1+GrowthOther)^INT((244-1)/12)</f>
        <v/>
      </c>
      <c r="IN9" s="53">
        <f>(1+GrowthOther)^INT((245-1)/12)</f>
        <v/>
      </c>
      <c r="IO9" s="53">
        <f>(1+GrowthOther)^INT((246-1)/12)</f>
        <v/>
      </c>
      <c r="IP9" s="53">
        <f>(1+GrowthOther)^INT((247-1)/12)</f>
        <v/>
      </c>
      <c r="IQ9" s="53">
        <f>(1+GrowthOther)^INT((248-1)/12)</f>
        <v/>
      </c>
      <c r="IR9" s="53">
        <f>(1+GrowthOther)^INT((249-1)/12)</f>
        <v/>
      </c>
      <c r="IS9" s="53">
        <f>(1+GrowthOther)^INT((250-1)/12)</f>
        <v/>
      </c>
      <c r="IT9" s="53">
        <f>(1+GrowthOther)^INT((251-1)/12)</f>
        <v/>
      </c>
      <c r="IU9" s="53">
        <f>(1+GrowthOther)^INT((252-1)/12)</f>
        <v/>
      </c>
      <c r="IV9" s="53">
        <f>(1+GrowthOther)^INT((253-1)/12)</f>
        <v/>
      </c>
      <c r="IW9" s="53">
        <f>(1+GrowthOther)^INT((254-1)/12)</f>
        <v/>
      </c>
      <c r="IX9" s="53">
        <f>(1+GrowthOther)^INT((255-1)/12)</f>
        <v/>
      </c>
      <c r="IY9" s="53">
        <f>(1+GrowthOther)^INT((256-1)/12)</f>
        <v/>
      </c>
      <c r="IZ9" s="53">
        <f>(1+GrowthOther)^INT((257-1)/12)</f>
        <v/>
      </c>
      <c r="JA9" s="53">
        <f>(1+GrowthOther)^INT((258-1)/12)</f>
        <v/>
      </c>
      <c r="JB9" s="53">
        <f>(1+GrowthOther)^INT((259-1)/12)</f>
        <v/>
      </c>
      <c r="JC9" s="53">
        <f>(1+GrowthOther)^INT((260-1)/12)</f>
        <v/>
      </c>
      <c r="JD9" s="53">
        <f>(1+GrowthOther)^INT((261-1)/12)</f>
        <v/>
      </c>
      <c r="JE9" s="53">
        <f>(1+GrowthOther)^INT((262-1)/12)</f>
        <v/>
      </c>
      <c r="JF9" s="53">
        <f>(1+GrowthOther)^INT((263-1)/12)</f>
        <v/>
      </c>
      <c r="JG9" s="53">
        <f>(1+GrowthOther)^INT((264-1)/12)</f>
        <v/>
      </c>
      <c r="JH9" s="53">
        <f>(1+GrowthOther)^INT((265-1)/12)</f>
        <v/>
      </c>
      <c r="JI9" s="53">
        <f>(1+GrowthOther)^INT((266-1)/12)</f>
        <v/>
      </c>
      <c r="JJ9" s="53">
        <f>(1+GrowthOther)^INT((267-1)/12)</f>
        <v/>
      </c>
      <c r="JK9" s="53">
        <f>(1+GrowthOther)^INT((268-1)/12)</f>
        <v/>
      </c>
      <c r="JL9" s="53">
        <f>(1+GrowthOther)^INT((269-1)/12)</f>
        <v/>
      </c>
      <c r="JM9" s="53">
        <f>(1+GrowthOther)^INT((270-1)/12)</f>
        <v/>
      </c>
      <c r="JN9" s="53">
        <f>(1+GrowthOther)^INT((271-1)/12)</f>
        <v/>
      </c>
      <c r="JO9" s="53">
        <f>(1+GrowthOther)^INT((272-1)/12)</f>
        <v/>
      </c>
      <c r="JP9" s="53">
        <f>(1+GrowthOther)^INT((273-1)/12)</f>
        <v/>
      </c>
      <c r="JQ9" s="53">
        <f>(1+GrowthOther)^INT((274-1)/12)</f>
        <v/>
      </c>
      <c r="JR9" s="53">
        <f>(1+GrowthOther)^INT((275-1)/12)</f>
        <v/>
      </c>
      <c r="JS9" s="53">
        <f>(1+GrowthOther)^INT((276-1)/12)</f>
        <v/>
      </c>
      <c r="JT9" s="53">
        <f>(1+GrowthOther)^INT((277-1)/12)</f>
        <v/>
      </c>
      <c r="JU9" s="53">
        <f>(1+GrowthOther)^INT((278-1)/12)</f>
        <v/>
      </c>
      <c r="JV9" s="53">
        <f>(1+GrowthOther)^INT((279-1)/12)</f>
        <v/>
      </c>
      <c r="JW9" s="53">
        <f>(1+GrowthOther)^INT((280-1)/12)</f>
        <v/>
      </c>
      <c r="JX9" s="53">
        <f>(1+GrowthOther)^INT((281-1)/12)</f>
        <v/>
      </c>
      <c r="JY9" s="53">
        <f>(1+GrowthOther)^INT((282-1)/12)</f>
        <v/>
      </c>
      <c r="JZ9" s="53">
        <f>(1+GrowthOther)^INT((283-1)/12)</f>
        <v/>
      </c>
      <c r="KA9" s="53">
        <f>(1+GrowthOther)^INT((284-1)/12)</f>
        <v/>
      </c>
      <c r="KB9" s="53">
        <f>(1+GrowthOther)^INT((285-1)/12)</f>
        <v/>
      </c>
      <c r="KC9" s="53">
        <f>(1+GrowthOther)^INT((286-1)/12)</f>
        <v/>
      </c>
      <c r="KD9" s="53">
        <f>(1+GrowthOther)^INT((287-1)/12)</f>
        <v/>
      </c>
      <c r="KE9" s="53">
        <f>(1+GrowthOther)^INT((288-1)/12)</f>
        <v/>
      </c>
      <c r="KF9" s="53">
        <f>(1+GrowthOther)^INT((289-1)/12)</f>
        <v/>
      </c>
      <c r="KG9" s="53">
        <f>(1+GrowthOther)^INT((290-1)/12)</f>
        <v/>
      </c>
      <c r="KH9" s="53">
        <f>(1+GrowthOther)^INT((291-1)/12)</f>
        <v/>
      </c>
      <c r="KI9" s="53">
        <f>(1+GrowthOther)^INT((292-1)/12)</f>
        <v/>
      </c>
      <c r="KJ9" s="53">
        <f>(1+GrowthOther)^INT((293-1)/12)</f>
        <v/>
      </c>
      <c r="KK9" s="53">
        <f>(1+GrowthOther)^INT((294-1)/12)</f>
        <v/>
      </c>
      <c r="KL9" s="53">
        <f>(1+GrowthOther)^INT((295-1)/12)</f>
        <v/>
      </c>
      <c r="KM9" s="53">
        <f>(1+GrowthOther)^INT((296-1)/12)</f>
        <v/>
      </c>
      <c r="KN9" s="53">
        <f>(1+GrowthOther)^INT((297-1)/12)</f>
        <v/>
      </c>
      <c r="KO9" s="53">
        <f>(1+GrowthOther)^INT((298-1)/12)</f>
        <v/>
      </c>
      <c r="KP9" s="53">
        <f>(1+GrowthOther)^INT((299-1)/12)</f>
        <v/>
      </c>
      <c r="KQ9" s="53">
        <f>(1+GrowthOther)^INT((300-1)/12)</f>
        <v/>
      </c>
      <c r="KR9" s="53">
        <f>(1+GrowthOther)^INT((301-1)/12)</f>
        <v/>
      </c>
      <c r="KS9" s="53">
        <f>(1+GrowthOther)^INT((302-1)/12)</f>
        <v/>
      </c>
      <c r="KT9" s="53">
        <f>(1+GrowthOther)^INT((303-1)/12)</f>
        <v/>
      </c>
      <c r="KU9" s="53">
        <f>(1+GrowthOther)^INT((304-1)/12)</f>
        <v/>
      </c>
      <c r="KV9" s="53">
        <f>(1+GrowthOther)^INT((305-1)/12)</f>
        <v/>
      </c>
      <c r="KW9" s="53">
        <f>(1+GrowthOther)^INT((306-1)/12)</f>
        <v/>
      </c>
      <c r="KX9" s="53">
        <f>(1+GrowthOther)^INT((307-1)/12)</f>
        <v/>
      </c>
      <c r="KY9" s="53">
        <f>(1+GrowthOther)^INT((308-1)/12)</f>
        <v/>
      </c>
      <c r="KZ9" s="53">
        <f>(1+GrowthOther)^INT((309-1)/12)</f>
        <v/>
      </c>
      <c r="LA9" s="53">
        <f>(1+GrowthOther)^INT((310-1)/12)</f>
        <v/>
      </c>
      <c r="LB9" s="53">
        <f>(1+GrowthOther)^INT((311-1)/12)</f>
        <v/>
      </c>
      <c r="LC9" s="53">
        <f>(1+GrowthOther)^INT((312-1)/12)</f>
        <v/>
      </c>
      <c r="LD9" s="53">
        <f>(1+GrowthOther)^INT((313-1)/12)</f>
        <v/>
      </c>
      <c r="LE9" s="53">
        <f>(1+GrowthOther)^INT((314-1)/12)</f>
        <v/>
      </c>
      <c r="LF9" s="53">
        <f>(1+GrowthOther)^INT((315-1)/12)</f>
        <v/>
      </c>
      <c r="LG9" s="53">
        <f>(1+GrowthOther)^INT((316-1)/12)</f>
        <v/>
      </c>
      <c r="LH9" s="53">
        <f>(1+GrowthOther)^INT((317-1)/12)</f>
        <v/>
      </c>
      <c r="LI9" s="53">
        <f>(1+GrowthOther)^INT((318-1)/12)</f>
        <v/>
      </c>
      <c r="LJ9" s="53">
        <f>(1+GrowthOther)^INT((319-1)/12)</f>
        <v/>
      </c>
      <c r="LK9" s="53">
        <f>(1+GrowthOther)^INT((320-1)/12)</f>
        <v/>
      </c>
      <c r="LL9" s="53">
        <f>(1+GrowthOther)^INT((321-1)/12)</f>
        <v/>
      </c>
      <c r="LM9" s="53">
        <f>(1+GrowthOther)^INT((322-1)/12)</f>
        <v/>
      </c>
      <c r="LN9" s="53">
        <f>(1+GrowthOther)^INT((323-1)/12)</f>
        <v/>
      </c>
      <c r="LO9" s="53">
        <f>(1+GrowthOther)^INT((324-1)/12)</f>
        <v/>
      </c>
      <c r="LP9" s="53">
        <f>(1+GrowthOther)^INT((325-1)/12)</f>
        <v/>
      </c>
      <c r="LQ9" s="53">
        <f>(1+GrowthOther)^INT((326-1)/12)</f>
        <v/>
      </c>
      <c r="LR9" s="53">
        <f>(1+GrowthOther)^INT((327-1)/12)</f>
        <v/>
      </c>
      <c r="LS9" s="53">
        <f>(1+GrowthOther)^INT((328-1)/12)</f>
        <v/>
      </c>
      <c r="LT9" s="53">
        <f>(1+GrowthOther)^INT((329-1)/12)</f>
        <v/>
      </c>
      <c r="LU9" s="53">
        <f>(1+GrowthOther)^INT((330-1)/12)</f>
        <v/>
      </c>
      <c r="LV9" s="53">
        <f>(1+GrowthOther)^INT((331-1)/12)</f>
        <v/>
      </c>
      <c r="LW9" s="53">
        <f>(1+GrowthOther)^INT((332-1)/12)</f>
        <v/>
      </c>
      <c r="LX9" s="53">
        <f>(1+GrowthOther)^INT((333-1)/12)</f>
        <v/>
      </c>
      <c r="LY9" s="53">
        <f>(1+GrowthOther)^INT((334-1)/12)</f>
        <v/>
      </c>
      <c r="LZ9" s="53">
        <f>(1+GrowthOther)^INT((335-1)/12)</f>
        <v/>
      </c>
      <c r="MA9" s="53">
        <f>(1+GrowthOther)^INT((336-1)/12)</f>
        <v/>
      </c>
      <c r="MB9" s="53">
        <f>(1+GrowthOther)^INT((337-1)/12)</f>
        <v/>
      </c>
      <c r="MC9" s="53">
        <f>(1+GrowthOther)^INT((338-1)/12)</f>
        <v/>
      </c>
      <c r="MD9" s="53">
        <f>(1+GrowthOther)^INT((339-1)/12)</f>
        <v/>
      </c>
      <c r="ME9" s="53">
        <f>(1+GrowthOther)^INT((340-1)/12)</f>
        <v/>
      </c>
      <c r="MF9" s="53">
        <f>(1+GrowthOther)^INT((341-1)/12)</f>
        <v/>
      </c>
      <c r="MG9" s="53">
        <f>(1+GrowthOther)^INT((342-1)/12)</f>
        <v/>
      </c>
      <c r="MH9" s="53">
        <f>(1+GrowthOther)^INT((343-1)/12)</f>
        <v/>
      </c>
      <c r="MI9" s="53">
        <f>(1+GrowthOther)^INT((344-1)/12)</f>
        <v/>
      </c>
      <c r="MJ9" s="53">
        <f>(1+GrowthOther)^INT((345-1)/12)</f>
        <v/>
      </c>
      <c r="MK9" s="53">
        <f>(1+GrowthOther)^INT((346-1)/12)</f>
        <v/>
      </c>
      <c r="ML9" s="53">
        <f>(1+GrowthOther)^INT((347-1)/12)</f>
        <v/>
      </c>
      <c r="MM9" s="53">
        <f>(1+GrowthOther)^INT((348-1)/12)</f>
        <v/>
      </c>
      <c r="MN9" s="53">
        <f>(1+GrowthOther)^INT((349-1)/12)</f>
        <v/>
      </c>
      <c r="MO9" s="53">
        <f>(1+GrowthOther)^INT((350-1)/12)</f>
        <v/>
      </c>
      <c r="MP9" s="53">
        <f>(1+GrowthOther)^INT((351-1)/12)</f>
        <v/>
      </c>
      <c r="MQ9" s="53">
        <f>(1+GrowthOther)^INT((352-1)/12)</f>
        <v/>
      </c>
      <c r="MR9" s="53">
        <f>(1+GrowthOther)^INT((353-1)/12)</f>
        <v/>
      </c>
      <c r="MS9" s="53">
        <f>(1+GrowthOther)^INT((354-1)/12)</f>
        <v/>
      </c>
      <c r="MT9" s="53">
        <f>(1+GrowthOther)^INT((355-1)/12)</f>
        <v/>
      </c>
      <c r="MU9" s="53">
        <f>(1+GrowthOther)^INT((356-1)/12)</f>
        <v/>
      </c>
      <c r="MV9" s="53">
        <f>(1+GrowthOther)^INT((357-1)/12)</f>
        <v/>
      </c>
      <c r="MW9" s="53">
        <f>(1+GrowthOther)^INT((358-1)/12)</f>
        <v/>
      </c>
      <c r="MX9" s="53">
        <f>(1+GrowthOther)^INT((359-1)/12)</f>
        <v/>
      </c>
      <c r="MY9" s="53">
        <f>(1+GrowthOther)^INT((360-1)/12)</f>
        <v/>
      </c>
      <c r="MZ9" s="53">
        <f>(1+GrowthOther)^INT((361-1)/12)</f>
        <v/>
      </c>
      <c r="NA9" s="53">
        <f>(1+GrowthOther)^INT((362-1)/12)</f>
        <v/>
      </c>
      <c r="NB9" s="53">
        <f>(1+GrowthOther)^INT((363-1)/12)</f>
        <v/>
      </c>
      <c r="NC9" s="53">
        <f>(1+GrowthOther)^INT((364-1)/12)</f>
        <v/>
      </c>
      <c r="ND9" s="53">
        <f>(1+GrowthOther)^INT((365-1)/12)</f>
        <v/>
      </c>
      <c r="NE9" s="53">
        <f>(1+GrowthOther)^INT((366-1)/12)</f>
        <v/>
      </c>
      <c r="NF9" s="53">
        <f>(1+GrowthOther)^INT((367-1)/12)</f>
        <v/>
      </c>
      <c r="NG9" s="53">
        <f>(1+GrowthOther)^INT((368-1)/12)</f>
        <v/>
      </c>
      <c r="NH9" s="53">
        <f>(1+GrowthOther)^INT((369-1)/12)</f>
        <v/>
      </c>
      <c r="NI9" s="53">
        <f>(1+GrowthOther)^INT((370-1)/12)</f>
        <v/>
      </c>
      <c r="NJ9" s="53">
        <f>(1+GrowthOther)^INT((371-1)/12)</f>
        <v/>
      </c>
      <c r="NK9" s="53">
        <f>(1+GrowthOther)^INT((372-1)/12)</f>
        <v/>
      </c>
    </row>
    <row r="10">
      <c r="A10" s="5" t="inlineStr">
        <is>
          <t>Var-Expense Ramp Factor</t>
        </is>
      </c>
      <c r="C10" s="52" t="n"/>
      <c r="D10" s="53">
        <f>IF(1&lt;DeliverStart,LeaseUpRampPct,MIN(1,LeaseUpRampPct+(1-LeaseUpRampPct)*'LeaseUp'!D$9/StabilizedOccupancy))</f>
        <v/>
      </c>
      <c r="E10" s="53">
        <f>IF(2&lt;DeliverStart,LeaseUpRampPct,MIN(1,LeaseUpRampPct+(1-LeaseUpRampPct)*'LeaseUp'!E$9/StabilizedOccupancy))</f>
        <v/>
      </c>
      <c r="F10" s="53">
        <f>IF(3&lt;DeliverStart,LeaseUpRampPct,MIN(1,LeaseUpRampPct+(1-LeaseUpRampPct)*'LeaseUp'!F$9/StabilizedOccupancy))</f>
        <v/>
      </c>
      <c r="G10" s="53">
        <f>IF(4&lt;DeliverStart,LeaseUpRampPct,MIN(1,LeaseUpRampPct+(1-LeaseUpRampPct)*'LeaseUp'!G$9/StabilizedOccupancy))</f>
        <v/>
      </c>
      <c r="H10" s="53">
        <f>IF(5&lt;DeliverStart,LeaseUpRampPct,MIN(1,LeaseUpRampPct+(1-LeaseUpRampPct)*'LeaseUp'!H$9/StabilizedOccupancy))</f>
        <v/>
      </c>
      <c r="I10" s="53">
        <f>IF(6&lt;DeliverStart,LeaseUpRampPct,MIN(1,LeaseUpRampPct+(1-LeaseUpRampPct)*'LeaseUp'!I$9/StabilizedOccupancy))</f>
        <v/>
      </c>
      <c r="J10" s="53">
        <f>IF(7&lt;DeliverStart,LeaseUpRampPct,MIN(1,LeaseUpRampPct+(1-LeaseUpRampPct)*'LeaseUp'!J$9/StabilizedOccupancy))</f>
        <v/>
      </c>
      <c r="K10" s="53">
        <f>IF(8&lt;DeliverStart,LeaseUpRampPct,MIN(1,LeaseUpRampPct+(1-LeaseUpRampPct)*'LeaseUp'!K$9/StabilizedOccupancy))</f>
        <v/>
      </c>
      <c r="L10" s="53">
        <f>IF(9&lt;DeliverStart,LeaseUpRampPct,MIN(1,LeaseUpRampPct+(1-LeaseUpRampPct)*'LeaseUp'!L$9/StabilizedOccupancy))</f>
        <v/>
      </c>
      <c r="M10" s="53">
        <f>IF(10&lt;DeliverStart,LeaseUpRampPct,MIN(1,LeaseUpRampPct+(1-LeaseUpRampPct)*'LeaseUp'!M$9/StabilizedOccupancy))</f>
        <v/>
      </c>
      <c r="N10" s="53">
        <f>IF(11&lt;DeliverStart,LeaseUpRampPct,MIN(1,LeaseUpRampPct+(1-LeaseUpRampPct)*'LeaseUp'!N$9/StabilizedOccupancy))</f>
        <v/>
      </c>
      <c r="O10" s="53">
        <f>IF(12&lt;DeliverStart,LeaseUpRampPct,MIN(1,LeaseUpRampPct+(1-LeaseUpRampPct)*'LeaseUp'!O$9/StabilizedOccupancy))</f>
        <v/>
      </c>
      <c r="P10" s="53">
        <f>IF(13&lt;DeliverStart,LeaseUpRampPct,MIN(1,LeaseUpRampPct+(1-LeaseUpRampPct)*'LeaseUp'!P$9/StabilizedOccupancy))</f>
        <v/>
      </c>
      <c r="Q10" s="53">
        <f>IF(14&lt;DeliverStart,LeaseUpRampPct,MIN(1,LeaseUpRampPct+(1-LeaseUpRampPct)*'LeaseUp'!Q$9/StabilizedOccupancy))</f>
        <v/>
      </c>
      <c r="R10" s="53">
        <f>IF(15&lt;DeliverStart,LeaseUpRampPct,MIN(1,LeaseUpRampPct+(1-LeaseUpRampPct)*'LeaseUp'!R$9/StabilizedOccupancy))</f>
        <v/>
      </c>
      <c r="S10" s="53">
        <f>IF(16&lt;DeliverStart,LeaseUpRampPct,MIN(1,LeaseUpRampPct+(1-LeaseUpRampPct)*'LeaseUp'!S$9/StabilizedOccupancy))</f>
        <v/>
      </c>
      <c r="T10" s="53">
        <f>IF(17&lt;DeliverStart,LeaseUpRampPct,MIN(1,LeaseUpRampPct+(1-LeaseUpRampPct)*'LeaseUp'!T$9/StabilizedOccupancy))</f>
        <v/>
      </c>
      <c r="U10" s="53">
        <f>IF(18&lt;DeliverStart,LeaseUpRampPct,MIN(1,LeaseUpRampPct+(1-LeaseUpRampPct)*'LeaseUp'!U$9/StabilizedOccupancy))</f>
        <v/>
      </c>
      <c r="V10" s="53">
        <f>IF(19&lt;DeliverStart,LeaseUpRampPct,MIN(1,LeaseUpRampPct+(1-LeaseUpRampPct)*'LeaseUp'!V$9/StabilizedOccupancy))</f>
        <v/>
      </c>
      <c r="W10" s="53">
        <f>IF(20&lt;DeliverStart,LeaseUpRampPct,MIN(1,LeaseUpRampPct+(1-LeaseUpRampPct)*'LeaseUp'!W$9/StabilizedOccupancy))</f>
        <v/>
      </c>
      <c r="X10" s="53">
        <f>IF(21&lt;DeliverStart,LeaseUpRampPct,MIN(1,LeaseUpRampPct+(1-LeaseUpRampPct)*'LeaseUp'!X$9/StabilizedOccupancy))</f>
        <v/>
      </c>
      <c r="Y10" s="53">
        <f>IF(22&lt;DeliverStart,LeaseUpRampPct,MIN(1,LeaseUpRampPct+(1-LeaseUpRampPct)*'LeaseUp'!Y$9/StabilizedOccupancy))</f>
        <v/>
      </c>
      <c r="Z10" s="53">
        <f>IF(23&lt;DeliverStart,LeaseUpRampPct,MIN(1,LeaseUpRampPct+(1-LeaseUpRampPct)*'LeaseUp'!Z$9/StabilizedOccupancy))</f>
        <v/>
      </c>
      <c r="AA10" s="53">
        <f>IF(24&lt;DeliverStart,LeaseUpRampPct,MIN(1,LeaseUpRampPct+(1-LeaseUpRampPct)*'LeaseUp'!AA$9/StabilizedOccupancy))</f>
        <v/>
      </c>
      <c r="AB10" s="53">
        <f>IF(25&lt;DeliverStart,LeaseUpRampPct,MIN(1,LeaseUpRampPct+(1-LeaseUpRampPct)*'LeaseUp'!AB$9/StabilizedOccupancy))</f>
        <v/>
      </c>
      <c r="AC10" s="53">
        <f>IF(26&lt;DeliverStart,LeaseUpRampPct,MIN(1,LeaseUpRampPct+(1-LeaseUpRampPct)*'LeaseUp'!AC$9/StabilizedOccupancy))</f>
        <v/>
      </c>
      <c r="AD10" s="53">
        <f>IF(27&lt;DeliverStart,LeaseUpRampPct,MIN(1,LeaseUpRampPct+(1-LeaseUpRampPct)*'LeaseUp'!AD$9/StabilizedOccupancy))</f>
        <v/>
      </c>
      <c r="AE10" s="53">
        <f>IF(28&lt;DeliverStart,LeaseUpRampPct,MIN(1,LeaseUpRampPct+(1-LeaseUpRampPct)*'LeaseUp'!AE$9/StabilizedOccupancy))</f>
        <v/>
      </c>
      <c r="AF10" s="53">
        <f>IF(29&lt;DeliverStart,LeaseUpRampPct,MIN(1,LeaseUpRampPct+(1-LeaseUpRampPct)*'LeaseUp'!AF$9/StabilizedOccupancy))</f>
        <v/>
      </c>
      <c r="AG10" s="53">
        <f>IF(30&lt;DeliverStart,LeaseUpRampPct,MIN(1,LeaseUpRampPct+(1-LeaseUpRampPct)*'LeaseUp'!AG$9/StabilizedOccupancy))</f>
        <v/>
      </c>
      <c r="AH10" s="53">
        <f>IF(31&lt;DeliverStart,LeaseUpRampPct,MIN(1,LeaseUpRampPct+(1-LeaseUpRampPct)*'LeaseUp'!AH$9/StabilizedOccupancy))</f>
        <v/>
      </c>
      <c r="AI10" s="53">
        <f>IF(32&lt;DeliverStart,LeaseUpRampPct,MIN(1,LeaseUpRampPct+(1-LeaseUpRampPct)*'LeaseUp'!AI$9/StabilizedOccupancy))</f>
        <v/>
      </c>
      <c r="AJ10" s="53">
        <f>IF(33&lt;DeliverStart,LeaseUpRampPct,MIN(1,LeaseUpRampPct+(1-LeaseUpRampPct)*'LeaseUp'!AJ$9/StabilizedOccupancy))</f>
        <v/>
      </c>
      <c r="AK10" s="53">
        <f>IF(34&lt;DeliverStart,LeaseUpRampPct,MIN(1,LeaseUpRampPct+(1-LeaseUpRampPct)*'LeaseUp'!AK$9/StabilizedOccupancy))</f>
        <v/>
      </c>
      <c r="AL10" s="53">
        <f>IF(35&lt;DeliverStart,LeaseUpRampPct,MIN(1,LeaseUpRampPct+(1-LeaseUpRampPct)*'LeaseUp'!AL$9/StabilizedOccupancy))</f>
        <v/>
      </c>
      <c r="AM10" s="53">
        <f>IF(36&lt;DeliverStart,LeaseUpRampPct,MIN(1,LeaseUpRampPct+(1-LeaseUpRampPct)*'LeaseUp'!AM$9/StabilizedOccupancy))</f>
        <v/>
      </c>
      <c r="AN10" s="53">
        <f>IF(37&lt;DeliverStart,LeaseUpRampPct,MIN(1,LeaseUpRampPct+(1-LeaseUpRampPct)*'LeaseUp'!AN$9/StabilizedOccupancy))</f>
        <v/>
      </c>
      <c r="AO10" s="53">
        <f>IF(38&lt;DeliverStart,LeaseUpRampPct,MIN(1,LeaseUpRampPct+(1-LeaseUpRampPct)*'LeaseUp'!AO$9/StabilizedOccupancy))</f>
        <v/>
      </c>
      <c r="AP10" s="53">
        <f>IF(39&lt;DeliverStart,LeaseUpRampPct,MIN(1,LeaseUpRampPct+(1-LeaseUpRampPct)*'LeaseUp'!AP$9/StabilizedOccupancy))</f>
        <v/>
      </c>
      <c r="AQ10" s="53">
        <f>IF(40&lt;DeliverStart,LeaseUpRampPct,MIN(1,LeaseUpRampPct+(1-LeaseUpRampPct)*'LeaseUp'!AQ$9/StabilizedOccupancy))</f>
        <v/>
      </c>
      <c r="AR10" s="53">
        <f>IF(41&lt;DeliverStart,LeaseUpRampPct,MIN(1,LeaseUpRampPct+(1-LeaseUpRampPct)*'LeaseUp'!AR$9/StabilizedOccupancy))</f>
        <v/>
      </c>
      <c r="AS10" s="53">
        <f>IF(42&lt;DeliverStart,LeaseUpRampPct,MIN(1,LeaseUpRampPct+(1-LeaseUpRampPct)*'LeaseUp'!AS$9/StabilizedOccupancy))</f>
        <v/>
      </c>
      <c r="AT10" s="53">
        <f>IF(43&lt;DeliverStart,LeaseUpRampPct,MIN(1,LeaseUpRampPct+(1-LeaseUpRampPct)*'LeaseUp'!AT$9/StabilizedOccupancy))</f>
        <v/>
      </c>
      <c r="AU10" s="53">
        <f>IF(44&lt;DeliverStart,LeaseUpRampPct,MIN(1,LeaseUpRampPct+(1-LeaseUpRampPct)*'LeaseUp'!AU$9/StabilizedOccupancy))</f>
        <v/>
      </c>
      <c r="AV10" s="53">
        <f>IF(45&lt;DeliverStart,LeaseUpRampPct,MIN(1,LeaseUpRampPct+(1-LeaseUpRampPct)*'LeaseUp'!AV$9/StabilizedOccupancy))</f>
        <v/>
      </c>
      <c r="AW10" s="53">
        <f>IF(46&lt;DeliverStart,LeaseUpRampPct,MIN(1,LeaseUpRampPct+(1-LeaseUpRampPct)*'LeaseUp'!AW$9/StabilizedOccupancy))</f>
        <v/>
      </c>
      <c r="AX10" s="53">
        <f>IF(47&lt;DeliverStart,LeaseUpRampPct,MIN(1,LeaseUpRampPct+(1-LeaseUpRampPct)*'LeaseUp'!AX$9/StabilizedOccupancy))</f>
        <v/>
      </c>
      <c r="AY10" s="53">
        <f>IF(48&lt;DeliverStart,LeaseUpRampPct,MIN(1,LeaseUpRampPct+(1-LeaseUpRampPct)*'LeaseUp'!AY$9/StabilizedOccupancy))</f>
        <v/>
      </c>
      <c r="AZ10" s="53">
        <f>IF(49&lt;DeliverStart,LeaseUpRampPct,MIN(1,LeaseUpRampPct+(1-LeaseUpRampPct)*'LeaseUp'!AZ$9/StabilizedOccupancy))</f>
        <v/>
      </c>
      <c r="BA10" s="53">
        <f>IF(50&lt;DeliverStart,LeaseUpRampPct,MIN(1,LeaseUpRampPct+(1-LeaseUpRampPct)*'LeaseUp'!BA$9/StabilizedOccupancy))</f>
        <v/>
      </c>
      <c r="BB10" s="53">
        <f>IF(51&lt;DeliverStart,LeaseUpRampPct,MIN(1,LeaseUpRampPct+(1-LeaseUpRampPct)*'LeaseUp'!BB$9/StabilizedOccupancy))</f>
        <v/>
      </c>
      <c r="BC10" s="53">
        <f>IF(52&lt;DeliverStart,LeaseUpRampPct,MIN(1,LeaseUpRampPct+(1-LeaseUpRampPct)*'LeaseUp'!BC$9/StabilizedOccupancy))</f>
        <v/>
      </c>
      <c r="BD10" s="53">
        <f>IF(53&lt;DeliverStart,LeaseUpRampPct,MIN(1,LeaseUpRampPct+(1-LeaseUpRampPct)*'LeaseUp'!BD$9/StabilizedOccupancy))</f>
        <v/>
      </c>
      <c r="BE10" s="53">
        <f>IF(54&lt;DeliverStart,LeaseUpRampPct,MIN(1,LeaseUpRampPct+(1-LeaseUpRampPct)*'LeaseUp'!BE$9/StabilizedOccupancy))</f>
        <v/>
      </c>
      <c r="BF10" s="53">
        <f>IF(55&lt;DeliverStart,LeaseUpRampPct,MIN(1,LeaseUpRampPct+(1-LeaseUpRampPct)*'LeaseUp'!BF$9/StabilizedOccupancy))</f>
        <v/>
      </c>
      <c r="BG10" s="53">
        <f>IF(56&lt;DeliverStart,LeaseUpRampPct,MIN(1,LeaseUpRampPct+(1-LeaseUpRampPct)*'LeaseUp'!BG$9/StabilizedOccupancy))</f>
        <v/>
      </c>
      <c r="BH10" s="53">
        <f>IF(57&lt;DeliverStart,LeaseUpRampPct,MIN(1,LeaseUpRampPct+(1-LeaseUpRampPct)*'LeaseUp'!BH$9/StabilizedOccupancy))</f>
        <v/>
      </c>
      <c r="BI10" s="53">
        <f>IF(58&lt;DeliverStart,LeaseUpRampPct,MIN(1,LeaseUpRampPct+(1-LeaseUpRampPct)*'LeaseUp'!BI$9/StabilizedOccupancy))</f>
        <v/>
      </c>
      <c r="BJ10" s="53">
        <f>IF(59&lt;DeliverStart,LeaseUpRampPct,MIN(1,LeaseUpRampPct+(1-LeaseUpRampPct)*'LeaseUp'!BJ$9/StabilizedOccupancy))</f>
        <v/>
      </c>
      <c r="BK10" s="53">
        <f>IF(60&lt;DeliverStart,LeaseUpRampPct,MIN(1,LeaseUpRampPct+(1-LeaseUpRampPct)*'LeaseUp'!BK$9/StabilizedOccupancy))</f>
        <v/>
      </c>
      <c r="BL10" s="53">
        <f>IF(61&lt;DeliverStart,LeaseUpRampPct,MIN(1,LeaseUpRampPct+(1-LeaseUpRampPct)*'LeaseUp'!BL$9/StabilizedOccupancy))</f>
        <v/>
      </c>
      <c r="BM10" s="53">
        <f>IF(62&lt;DeliverStart,LeaseUpRampPct,MIN(1,LeaseUpRampPct+(1-LeaseUpRampPct)*'LeaseUp'!BM$9/StabilizedOccupancy))</f>
        <v/>
      </c>
      <c r="BN10" s="53">
        <f>IF(63&lt;DeliverStart,LeaseUpRampPct,MIN(1,LeaseUpRampPct+(1-LeaseUpRampPct)*'LeaseUp'!BN$9/StabilizedOccupancy))</f>
        <v/>
      </c>
      <c r="BO10" s="53">
        <f>IF(64&lt;DeliverStart,LeaseUpRampPct,MIN(1,LeaseUpRampPct+(1-LeaseUpRampPct)*'LeaseUp'!BO$9/StabilizedOccupancy))</f>
        <v/>
      </c>
      <c r="BP10" s="53">
        <f>IF(65&lt;DeliverStart,LeaseUpRampPct,MIN(1,LeaseUpRampPct+(1-LeaseUpRampPct)*'LeaseUp'!BP$9/StabilizedOccupancy))</f>
        <v/>
      </c>
      <c r="BQ10" s="53">
        <f>IF(66&lt;DeliverStart,LeaseUpRampPct,MIN(1,LeaseUpRampPct+(1-LeaseUpRampPct)*'LeaseUp'!BQ$9/StabilizedOccupancy))</f>
        <v/>
      </c>
      <c r="BR10" s="53">
        <f>IF(67&lt;DeliverStart,LeaseUpRampPct,MIN(1,LeaseUpRampPct+(1-LeaseUpRampPct)*'LeaseUp'!BR$9/StabilizedOccupancy))</f>
        <v/>
      </c>
      <c r="BS10" s="53">
        <f>IF(68&lt;DeliverStart,LeaseUpRampPct,MIN(1,LeaseUpRampPct+(1-LeaseUpRampPct)*'LeaseUp'!BS$9/StabilizedOccupancy))</f>
        <v/>
      </c>
      <c r="BT10" s="53">
        <f>IF(69&lt;DeliverStart,LeaseUpRampPct,MIN(1,LeaseUpRampPct+(1-LeaseUpRampPct)*'LeaseUp'!BT$9/StabilizedOccupancy))</f>
        <v/>
      </c>
      <c r="BU10" s="53">
        <f>IF(70&lt;DeliverStart,LeaseUpRampPct,MIN(1,LeaseUpRampPct+(1-LeaseUpRampPct)*'LeaseUp'!BU$9/StabilizedOccupancy))</f>
        <v/>
      </c>
      <c r="BV10" s="53">
        <f>IF(71&lt;DeliverStart,LeaseUpRampPct,MIN(1,LeaseUpRampPct+(1-LeaseUpRampPct)*'LeaseUp'!BV$9/StabilizedOccupancy))</f>
        <v/>
      </c>
      <c r="BW10" s="53">
        <f>IF(72&lt;DeliverStart,LeaseUpRampPct,MIN(1,LeaseUpRampPct+(1-LeaseUpRampPct)*'LeaseUp'!BW$9/StabilizedOccupancy))</f>
        <v/>
      </c>
      <c r="BX10" s="53">
        <f>IF(73&lt;DeliverStart,LeaseUpRampPct,MIN(1,LeaseUpRampPct+(1-LeaseUpRampPct)*'LeaseUp'!BX$9/StabilizedOccupancy))</f>
        <v/>
      </c>
      <c r="BY10" s="53">
        <f>IF(74&lt;DeliverStart,LeaseUpRampPct,MIN(1,LeaseUpRampPct+(1-LeaseUpRampPct)*'LeaseUp'!BY$9/StabilizedOccupancy))</f>
        <v/>
      </c>
      <c r="BZ10" s="53">
        <f>IF(75&lt;DeliverStart,LeaseUpRampPct,MIN(1,LeaseUpRampPct+(1-LeaseUpRampPct)*'LeaseUp'!BZ$9/StabilizedOccupancy))</f>
        <v/>
      </c>
      <c r="CA10" s="53">
        <f>IF(76&lt;DeliverStart,LeaseUpRampPct,MIN(1,LeaseUpRampPct+(1-LeaseUpRampPct)*'LeaseUp'!CA$9/StabilizedOccupancy))</f>
        <v/>
      </c>
      <c r="CB10" s="53">
        <f>IF(77&lt;DeliverStart,LeaseUpRampPct,MIN(1,LeaseUpRampPct+(1-LeaseUpRampPct)*'LeaseUp'!CB$9/StabilizedOccupancy))</f>
        <v/>
      </c>
      <c r="CC10" s="53">
        <f>IF(78&lt;DeliverStart,LeaseUpRampPct,MIN(1,LeaseUpRampPct+(1-LeaseUpRampPct)*'LeaseUp'!CC$9/StabilizedOccupancy))</f>
        <v/>
      </c>
      <c r="CD10" s="53">
        <f>IF(79&lt;DeliverStart,LeaseUpRampPct,MIN(1,LeaseUpRampPct+(1-LeaseUpRampPct)*'LeaseUp'!CD$9/StabilizedOccupancy))</f>
        <v/>
      </c>
      <c r="CE10" s="53">
        <f>IF(80&lt;DeliverStart,LeaseUpRampPct,MIN(1,LeaseUpRampPct+(1-LeaseUpRampPct)*'LeaseUp'!CE$9/StabilizedOccupancy))</f>
        <v/>
      </c>
      <c r="CF10" s="53">
        <f>IF(81&lt;DeliverStart,LeaseUpRampPct,MIN(1,LeaseUpRampPct+(1-LeaseUpRampPct)*'LeaseUp'!CF$9/StabilizedOccupancy))</f>
        <v/>
      </c>
      <c r="CG10" s="53">
        <f>IF(82&lt;DeliverStart,LeaseUpRampPct,MIN(1,LeaseUpRampPct+(1-LeaseUpRampPct)*'LeaseUp'!CG$9/StabilizedOccupancy))</f>
        <v/>
      </c>
      <c r="CH10" s="53">
        <f>IF(83&lt;DeliverStart,LeaseUpRampPct,MIN(1,LeaseUpRampPct+(1-LeaseUpRampPct)*'LeaseUp'!CH$9/StabilizedOccupancy))</f>
        <v/>
      </c>
      <c r="CI10" s="53">
        <f>IF(84&lt;DeliverStart,LeaseUpRampPct,MIN(1,LeaseUpRampPct+(1-LeaseUpRampPct)*'LeaseUp'!CI$9/StabilizedOccupancy))</f>
        <v/>
      </c>
      <c r="CJ10" s="53">
        <f>IF(85&lt;DeliverStart,LeaseUpRampPct,MIN(1,LeaseUpRampPct+(1-LeaseUpRampPct)*'LeaseUp'!CJ$9/StabilizedOccupancy))</f>
        <v/>
      </c>
      <c r="CK10" s="53">
        <f>IF(86&lt;DeliverStart,LeaseUpRampPct,MIN(1,LeaseUpRampPct+(1-LeaseUpRampPct)*'LeaseUp'!CK$9/StabilizedOccupancy))</f>
        <v/>
      </c>
      <c r="CL10" s="53">
        <f>IF(87&lt;DeliverStart,LeaseUpRampPct,MIN(1,LeaseUpRampPct+(1-LeaseUpRampPct)*'LeaseUp'!CL$9/StabilizedOccupancy))</f>
        <v/>
      </c>
      <c r="CM10" s="53">
        <f>IF(88&lt;DeliverStart,LeaseUpRampPct,MIN(1,LeaseUpRampPct+(1-LeaseUpRampPct)*'LeaseUp'!CM$9/StabilizedOccupancy))</f>
        <v/>
      </c>
      <c r="CN10" s="53">
        <f>IF(89&lt;DeliverStart,LeaseUpRampPct,MIN(1,LeaseUpRampPct+(1-LeaseUpRampPct)*'LeaseUp'!CN$9/StabilizedOccupancy))</f>
        <v/>
      </c>
      <c r="CO10" s="53">
        <f>IF(90&lt;DeliverStart,LeaseUpRampPct,MIN(1,LeaseUpRampPct+(1-LeaseUpRampPct)*'LeaseUp'!CO$9/StabilizedOccupancy))</f>
        <v/>
      </c>
      <c r="CP10" s="53">
        <f>IF(91&lt;DeliverStart,LeaseUpRampPct,MIN(1,LeaseUpRampPct+(1-LeaseUpRampPct)*'LeaseUp'!CP$9/StabilizedOccupancy))</f>
        <v/>
      </c>
      <c r="CQ10" s="53">
        <f>IF(92&lt;DeliverStart,LeaseUpRampPct,MIN(1,LeaseUpRampPct+(1-LeaseUpRampPct)*'LeaseUp'!CQ$9/StabilizedOccupancy))</f>
        <v/>
      </c>
      <c r="CR10" s="53">
        <f>IF(93&lt;DeliverStart,LeaseUpRampPct,MIN(1,LeaseUpRampPct+(1-LeaseUpRampPct)*'LeaseUp'!CR$9/StabilizedOccupancy))</f>
        <v/>
      </c>
      <c r="CS10" s="53">
        <f>IF(94&lt;DeliverStart,LeaseUpRampPct,MIN(1,LeaseUpRampPct+(1-LeaseUpRampPct)*'LeaseUp'!CS$9/StabilizedOccupancy))</f>
        <v/>
      </c>
      <c r="CT10" s="53">
        <f>IF(95&lt;DeliverStart,LeaseUpRampPct,MIN(1,LeaseUpRampPct+(1-LeaseUpRampPct)*'LeaseUp'!CT$9/StabilizedOccupancy))</f>
        <v/>
      </c>
      <c r="CU10" s="53">
        <f>IF(96&lt;DeliverStart,LeaseUpRampPct,MIN(1,LeaseUpRampPct+(1-LeaseUpRampPct)*'LeaseUp'!CU$9/StabilizedOccupancy))</f>
        <v/>
      </c>
      <c r="CV10" s="53">
        <f>IF(97&lt;DeliverStart,LeaseUpRampPct,MIN(1,LeaseUpRampPct+(1-LeaseUpRampPct)*'LeaseUp'!CV$9/StabilizedOccupancy))</f>
        <v/>
      </c>
      <c r="CW10" s="53">
        <f>IF(98&lt;DeliverStart,LeaseUpRampPct,MIN(1,LeaseUpRampPct+(1-LeaseUpRampPct)*'LeaseUp'!CW$9/StabilizedOccupancy))</f>
        <v/>
      </c>
      <c r="CX10" s="53">
        <f>IF(99&lt;DeliverStart,LeaseUpRampPct,MIN(1,LeaseUpRampPct+(1-LeaseUpRampPct)*'LeaseUp'!CX$9/StabilizedOccupancy))</f>
        <v/>
      </c>
      <c r="CY10" s="53">
        <f>IF(100&lt;DeliverStart,LeaseUpRampPct,MIN(1,LeaseUpRampPct+(1-LeaseUpRampPct)*'LeaseUp'!CY$9/StabilizedOccupancy))</f>
        <v/>
      </c>
      <c r="CZ10" s="53">
        <f>IF(101&lt;DeliverStart,LeaseUpRampPct,MIN(1,LeaseUpRampPct+(1-LeaseUpRampPct)*'LeaseUp'!CZ$9/StabilizedOccupancy))</f>
        <v/>
      </c>
      <c r="DA10" s="53">
        <f>IF(102&lt;DeliverStart,LeaseUpRampPct,MIN(1,LeaseUpRampPct+(1-LeaseUpRampPct)*'LeaseUp'!DA$9/StabilizedOccupancy))</f>
        <v/>
      </c>
      <c r="DB10" s="53">
        <f>IF(103&lt;DeliverStart,LeaseUpRampPct,MIN(1,LeaseUpRampPct+(1-LeaseUpRampPct)*'LeaseUp'!DB$9/StabilizedOccupancy))</f>
        <v/>
      </c>
      <c r="DC10" s="53">
        <f>IF(104&lt;DeliverStart,LeaseUpRampPct,MIN(1,LeaseUpRampPct+(1-LeaseUpRampPct)*'LeaseUp'!DC$9/StabilizedOccupancy))</f>
        <v/>
      </c>
      <c r="DD10" s="53">
        <f>IF(105&lt;DeliverStart,LeaseUpRampPct,MIN(1,LeaseUpRampPct+(1-LeaseUpRampPct)*'LeaseUp'!DD$9/StabilizedOccupancy))</f>
        <v/>
      </c>
      <c r="DE10" s="53">
        <f>IF(106&lt;DeliverStart,LeaseUpRampPct,MIN(1,LeaseUpRampPct+(1-LeaseUpRampPct)*'LeaseUp'!DE$9/StabilizedOccupancy))</f>
        <v/>
      </c>
      <c r="DF10" s="53">
        <f>IF(107&lt;DeliverStart,LeaseUpRampPct,MIN(1,LeaseUpRampPct+(1-LeaseUpRampPct)*'LeaseUp'!DF$9/StabilizedOccupancy))</f>
        <v/>
      </c>
      <c r="DG10" s="53">
        <f>IF(108&lt;DeliverStart,LeaseUpRampPct,MIN(1,LeaseUpRampPct+(1-LeaseUpRampPct)*'LeaseUp'!DG$9/StabilizedOccupancy))</f>
        <v/>
      </c>
      <c r="DH10" s="53">
        <f>IF(109&lt;DeliverStart,LeaseUpRampPct,MIN(1,LeaseUpRampPct+(1-LeaseUpRampPct)*'LeaseUp'!DH$9/StabilizedOccupancy))</f>
        <v/>
      </c>
      <c r="DI10" s="53">
        <f>IF(110&lt;DeliverStart,LeaseUpRampPct,MIN(1,LeaseUpRampPct+(1-LeaseUpRampPct)*'LeaseUp'!DI$9/StabilizedOccupancy))</f>
        <v/>
      </c>
      <c r="DJ10" s="53">
        <f>IF(111&lt;DeliverStart,LeaseUpRampPct,MIN(1,LeaseUpRampPct+(1-LeaseUpRampPct)*'LeaseUp'!DJ$9/StabilizedOccupancy))</f>
        <v/>
      </c>
      <c r="DK10" s="53">
        <f>IF(112&lt;DeliverStart,LeaseUpRampPct,MIN(1,LeaseUpRampPct+(1-LeaseUpRampPct)*'LeaseUp'!DK$9/StabilizedOccupancy))</f>
        <v/>
      </c>
      <c r="DL10" s="53">
        <f>IF(113&lt;DeliverStart,LeaseUpRampPct,MIN(1,LeaseUpRampPct+(1-LeaseUpRampPct)*'LeaseUp'!DL$9/StabilizedOccupancy))</f>
        <v/>
      </c>
      <c r="DM10" s="53">
        <f>IF(114&lt;DeliverStart,LeaseUpRampPct,MIN(1,LeaseUpRampPct+(1-LeaseUpRampPct)*'LeaseUp'!DM$9/StabilizedOccupancy))</f>
        <v/>
      </c>
      <c r="DN10" s="53">
        <f>IF(115&lt;DeliverStart,LeaseUpRampPct,MIN(1,LeaseUpRampPct+(1-LeaseUpRampPct)*'LeaseUp'!DN$9/StabilizedOccupancy))</f>
        <v/>
      </c>
      <c r="DO10" s="53">
        <f>IF(116&lt;DeliverStart,LeaseUpRampPct,MIN(1,LeaseUpRampPct+(1-LeaseUpRampPct)*'LeaseUp'!DO$9/StabilizedOccupancy))</f>
        <v/>
      </c>
      <c r="DP10" s="53">
        <f>IF(117&lt;DeliverStart,LeaseUpRampPct,MIN(1,LeaseUpRampPct+(1-LeaseUpRampPct)*'LeaseUp'!DP$9/StabilizedOccupancy))</f>
        <v/>
      </c>
      <c r="DQ10" s="53">
        <f>IF(118&lt;DeliverStart,LeaseUpRampPct,MIN(1,LeaseUpRampPct+(1-LeaseUpRampPct)*'LeaseUp'!DQ$9/StabilizedOccupancy))</f>
        <v/>
      </c>
      <c r="DR10" s="53">
        <f>IF(119&lt;DeliverStart,LeaseUpRampPct,MIN(1,LeaseUpRampPct+(1-LeaseUpRampPct)*'LeaseUp'!DR$9/StabilizedOccupancy))</f>
        <v/>
      </c>
      <c r="DS10" s="53">
        <f>IF(120&lt;DeliverStart,LeaseUpRampPct,MIN(1,LeaseUpRampPct+(1-LeaseUpRampPct)*'LeaseUp'!DS$9/StabilizedOccupancy))</f>
        <v/>
      </c>
      <c r="DT10" s="53">
        <f>IF(121&lt;DeliverStart,LeaseUpRampPct,MIN(1,LeaseUpRampPct+(1-LeaseUpRampPct)*'LeaseUp'!DT$9/StabilizedOccupancy))</f>
        <v/>
      </c>
      <c r="DU10" s="53">
        <f>IF(122&lt;DeliverStart,LeaseUpRampPct,MIN(1,LeaseUpRampPct+(1-LeaseUpRampPct)*'LeaseUp'!DU$9/StabilizedOccupancy))</f>
        <v/>
      </c>
      <c r="DV10" s="53">
        <f>IF(123&lt;DeliverStart,LeaseUpRampPct,MIN(1,LeaseUpRampPct+(1-LeaseUpRampPct)*'LeaseUp'!DV$9/StabilizedOccupancy))</f>
        <v/>
      </c>
      <c r="DW10" s="53">
        <f>IF(124&lt;DeliverStart,LeaseUpRampPct,MIN(1,LeaseUpRampPct+(1-LeaseUpRampPct)*'LeaseUp'!DW$9/StabilizedOccupancy))</f>
        <v/>
      </c>
      <c r="DX10" s="53">
        <f>IF(125&lt;DeliverStart,LeaseUpRampPct,MIN(1,LeaseUpRampPct+(1-LeaseUpRampPct)*'LeaseUp'!DX$9/StabilizedOccupancy))</f>
        <v/>
      </c>
      <c r="DY10" s="53">
        <f>IF(126&lt;DeliverStart,LeaseUpRampPct,MIN(1,LeaseUpRampPct+(1-LeaseUpRampPct)*'LeaseUp'!DY$9/StabilizedOccupancy))</f>
        <v/>
      </c>
      <c r="DZ10" s="53">
        <f>IF(127&lt;DeliverStart,LeaseUpRampPct,MIN(1,LeaseUpRampPct+(1-LeaseUpRampPct)*'LeaseUp'!DZ$9/StabilizedOccupancy))</f>
        <v/>
      </c>
      <c r="EA10" s="53">
        <f>IF(128&lt;DeliverStart,LeaseUpRampPct,MIN(1,LeaseUpRampPct+(1-LeaseUpRampPct)*'LeaseUp'!EA$9/StabilizedOccupancy))</f>
        <v/>
      </c>
      <c r="EB10" s="53">
        <f>IF(129&lt;DeliverStart,LeaseUpRampPct,MIN(1,LeaseUpRampPct+(1-LeaseUpRampPct)*'LeaseUp'!EB$9/StabilizedOccupancy))</f>
        <v/>
      </c>
      <c r="EC10" s="53">
        <f>IF(130&lt;DeliverStart,LeaseUpRampPct,MIN(1,LeaseUpRampPct+(1-LeaseUpRampPct)*'LeaseUp'!EC$9/StabilizedOccupancy))</f>
        <v/>
      </c>
      <c r="ED10" s="53">
        <f>IF(131&lt;DeliverStart,LeaseUpRampPct,MIN(1,LeaseUpRampPct+(1-LeaseUpRampPct)*'LeaseUp'!ED$9/StabilizedOccupancy))</f>
        <v/>
      </c>
      <c r="EE10" s="53">
        <f>IF(132&lt;DeliverStart,LeaseUpRampPct,MIN(1,LeaseUpRampPct+(1-LeaseUpRampPct)*'LeaseUp'!EE$9/StabilizedOccupancy))</f>
        <v/>
      </c>
      <c r="EF10" s="53">
        <f>IF(133&lt;DeliverStart,LeaseUpRampPct,MIN(1,LeaseUpRampPct+(1-LeaseUpRampPct)*'LeaseUp'!EF$9/StabilizedOccupancy))</f>
        <v/>
      </c>
      <c r="EG10" s="53">
        <f>IF(134&lt;DeliverStart,LeaseUpRampPct,MIN(1,LeaseUpRampPct+(1-LeaseUpRampPct)*'LeaseUp'!EG$9/StabilizedOccupancy))</f>
        <v/>
      </c>
      <c r="EH10" s="53">
        <f>IF(135&lt;DeliverStart,LeaseUpRampPct,MIN(1,LeaseUpRampPct+(1-LeaseUpRampPct)*'LeaseUp'!EH$9/StabilizedOccupancy))</f>
        <v/>
      </c>
      <c r="EI10" s="53">
        <f>IF(136&lt;DeliverStart,LeaseUpRampPct,MIN(1,LeaseUpRampPct+(1-LeaseUpRampPct)*'LeaseUp'!EI$9/StabilizedOccupancy))</f>
        <v/>
      </c>
      <c r="EJ10" s="53">
        <f>IF(137&lt;DeliverStart,LeaseUpRampPct,MIN(1,LeaseUpRampPct+(1-LeaseUpRampPct)*'LeaseUp'!EJ$9/StabilizedOccupancy))</f>
        <v/>
      </c>
      <c r="EK10" s="53">
        <f>IF(138&lt;DeliverStart,LeaseUpRampPct,MIN(1,LeaseUpRampPct+(1-LeaseUpRampPct)*'LeaseUp'!EK$9/StabilizedOccupancy))</f>
        <v/>
      </c>
      <c r="EL10" s="53">
        <f>IF(139&lt;DeliverStart,LeaseUpRampPct,MIN(1,LeaseUpRampPct+(1-LeaseUpRampPct)*'LeaseUp'!EL$9/StabilizedOccupancy))</f>
        <v/>
      </c>
      <c r="EM10" s="53">
        <f>IF(140&lt;DeliverStart,LeaseUpRampPct,MIN(1,LeaseUpRampPct+(1-LeaseUpRampPct)*'LeaseUp'!EM$9/StabilizedOccupancy))</f>
        <v/>
      </c>
      <c r="EN10" s="53">
        <f>IF(141&lt;DeliverStart,LeaseUpRampPct,MIN(1,LeaseUpRampPct+(1-LeaseUpRampPct)*'LeaseUp'!EN$9/StabilizedOccupancy))</f>
        <v/>
      </c>
      <c r="EO10" s="53">
        <f>IF(142&lt;DeliverStart,LeaseUpRampPct,MIN(1,LeaseUpRampPct+(1-LeaseUpRampPct)*'LeaseUp'!EO$9/StabilizedOccupancy))</f>
        <v/>
      </c>
      <c r="EP10" s="53">
        <f>IF(143&lt;DeliverStart,LeaseUpRampPct,MIN(1,LeaseUpRampPct+(1-LeaseUpRampPct)*'LeaseUp'!EP$9/StabilizedOccupancy))</f>
        <v/>
      </c>
      <c r="EQ10" s="53">
        <f>IF(144&lt;DeliverStart,LeaseUpRampPct,MIN(1,LeaseUpRampPct+(1-LeaseUpRampPct)*'LeaseUp'!EQ$9/StabilizedOccupancy))</f>
        <v/>
      </c>
      <c r="ER10" s="53">
        <f>IF(145&lt;DeliverStart,LeaseUpRampPct,MIN(1,LeaseUpRampPct+(1-LeaseUpRampPct)*'LeaseUp'!ER$9/StabilizedOccupancy))</f>
        <v/>
      </c>
      <c r="ES10" s="53">
        <f>IF(146&lt;DeliverStart,LeaseUpRampPct,MIN(1,LeaseUpRampPct+(1-LeaseUpRampPct)*'LeaseUp'!ES$9/StabilizedOccupancy))</f>
        <v/>
      </c>
      <c r="ET10" s="53">
        <f>IF(147&lt;DeliverStart,LeaseUpRampPct,MIN(1,LeaseUpRampPct+(1-LeaseUpRampPct)*'LeaseUp'!ET$9/StabilizedOccupancy))</f>
        <v/>
      </c>
      <c r="EU10" s="53">
        <f>IF(148&lt;DeliverStart,LeaseUpRampPct,MIN(1,LeaseUpRampPct+(1-LeaseUpRampPct)*'LeaseUp'!EU$9/StabilizedOccupancy))</f>
        <v/>
      </c>
      <c r="EV10" s="53">
        <f>IF(149&lt;DeliverStart,LeaseUpRampPct,MIN(1,LeaseUpRampPct+(1-LeaseUpRampPct)*'LeaseUp'!EV$9/StabilizedOccupancy))</f>
        <v/>
      </c>
      <c r="EW10" s="53">
        <f>IF(150&lt;DeliverStart,LeaseUpRampPct,MIN(1,LeaseUpRampPct+(1-LeaseUpRampPct)*'LeaseUp'!EW$9/StabilizedOccupancy))</f>
        <v/>
      </c>
      <c r="EX10" s="53">
        <f>IF(151&lt;DeliverStart,LeaseUpRampPct,MIN(1,LeaseUpRampPct+(1-LeaseUpRampPct)*'LeaseUp'!EX$9/StabilizedOccupancy))</f>
        <v/>
      </c>
      <c r="EY10" s="53">
        <f>IF(152&lt;DeliverStart,LeaseUpRampPct,MIN(1,LeaseUpRampPct+(1-LeaseUpRampPct)*'LeaseUp'!EY$9/StabilizedOccupancy))</f>
        <v/>
      </c>
      <c r="EZ10" s="53">
        <f>IF(153&lt;DeliverStart,LeaseUpRampPct,MIN(1,LeaseUpRampPct+(1-LeaseUpRampPct)*'LeaseUp'!EZ$9/StabilizedOccupancy))</f>
        <v/>
      </c>
      <c r="FA10" s="53">
        <f>IF(154&lt;DeliverStart,LeaseUpRampPct,MIN(1,LeaseUpRampPct+(1-LeaseUpRampPct)*'LeaseUp'!FA$9/StabilizedOccupancy))</f>
        <v/>
      </c>
      <c r="FB10" s="53">
        <f>IF(155&lt;DeliverStart,LeaseUpRampPct,MIN(1,LeaseUpRampPct+(1-LeaseUpRampPct)*'LeaseUp'!FB$9/StabilizedOccupancy))</f>
        <v/>
      </c>
      <c r="FC10" s="53">
        <f>IF(156&lt;DeliverStart,LeaseUpRampPct,MIN(1,LeaseUpRampPct+(1-LeaseUpRampPct)*'LeaseUp'!FC$9/StabilizedOccupancy))</f>
        <v/>
      </c>
      <c r="FD10" s="53">
        <f>IF(157&lt;DeliverStart,LeaseUpRampPct,MIN(1,LeaseUpRampPct+(1-LeaseUpRampPct)*'LeaseUp'!FD$9/StabilizedOccupancy))</f>
        <v/>
      </c>
      <c r="FE10" s="53">
        <f>IF(158&lt;DeliverStart,LeaseUpRampPct,MIN(1,LeaseUpRampPct+(1-LeaseUpRampPct)*'LeaseUp'!FE$9/StabilizedOccupancy))</f>
        <v/>
      </c>
      <c r="FF10" s="53">
        <f>IF(159&lt;DeliverStart,LeaseUpRampPct,MIN(1,LeaseUpRampPct+(1-LeaseUpRampPct)*'LeaseUp'!FF$9/StabilizedOccupancy))</f>
        <v/>
      </c>
      <c r="FG10" s="53">
        <f>IF(160&lt;DeliverStart,LeaseUpRampPct,MIN(1,LeaseUpRampPct+(1-LeaseUpRampPct)*'LeaseUp'!FG$9/StabilizedOccupancy))</f>
        <v/>
      </c>
      <c r="FH10" s="53">
        <f>IF(161&lt;DeliverStart,LeaseUpRampPct,MIN(1,LeaseUpRampPct+(1-LeaseUpRampPct)*'LeaseUp'!FH$9/StabilizedOccupancy))</f>
        <v/>
      </c>
      <c r="FI10" s="53">
        <f>IF(162&lt;DeliverStart,LeaseUpRampPct,MIN(1,LeaseUpRampPct+(1-LeaseUpRampPct)*'LeaseUp'!FI$9/StabilizedOccupancy))</f>
        <v/>
      </c>
      <c r="FJ10" s="53">
        <f>IF(163&lt;DeliverStart,LeaseUpRampPct,MIN(1,LeaseUpRampPct+(1-LeaseUpRampPct)*'LeaseUp'!FJ$9/StabilizedOccupancy))</f>
        <v/>
      </c>
      <c r="FK10" s="53">
        <f>IF(164&lt;DeliverStart,LeaseUpRampPct,MIN(1,LeaseUpRampPct+(1-LeaseUpRampPct)*'LeaseUp'!FK$9/StabilizedOccupancy))</f>
        <v/>
      </c>
      <c r="FL10" s="53">
        <f>IF(165&lt;DeliverStart,LeaseUpRampPct,MIN(1,LeaseUpRampPct+(1-LeaseUpRampPct)*'LeaseUp'!FL$9/StabilizedOccupancy))</f>
        <v/>
      </c>
      <c r="FM10" s="53">
        <f>IF(166&lt;DeliverStart,LeaseUpRampPct,MIN(1,LeaseUpRampPct+(1-LeaseUpRampPct)*'LeaseUp'!FM$9/StabilizedOccupancy))</f>
        <v/>
      </c>
      <c r="FN10" s="53">
        <f>IF(167&lt;DeliverStart,LeaseUpRampPct,MIN(1,LeaseUpRampPct+(1-LeaseUpRampPct)*'LeaseUp'!FN$9/StabilizedOccupancy))</f>
        <v/>
      </c>
      <c r="FO10" s="53">
        <f>IF(168&lt;DeliverStart,LeaseUpRampPct,MIN(1,LeaseUpRampPct+(1-LeaseUpRampPct)*'LeaseUp'!FO$9/StabilizedOccupancy))</f>
        <v/>
      </c>
      <c r="FP10" s="53">
        <f>IF(169&lt;DeliverStart,LeaseUpRampPct,MIN(1,LeaseUpRampPct+(1-LeaseUpRampPct)*'LeaseUp'!FP$9/StabilizedOccupancy))</f>
        <v/>
      </c>
      <c r="FQ10" s="53">
        <f>IF(170&lt;DeliverStart,LeaseUpRampPct,MIN(1,LeaseUpRampPct+(1-LeaseUpRampPct)*'LeaseUp'!FQ$9/StabilizedOccupancy))</f>
        <v/>
      </c>
      <c r="FR10" s="53">
        <f>IF(171&lt;DeliverStart,LeaseUpRampPct,MIN(1,LeaseUpRampPct+(1-LeaseUpRampPct)*'LeaseUp'!FR$9/StabilizedOccupancy))</f>
        <v/>
      </c>
      <c r="FS10" s="53">
        <f>IF(172&lt;DeliverStart,LeaseUpRampPct,MIN(1,LeaseUpRampPct+(1-LeaseUpRampPct)*'LeaseUp'!FS$9/StabilizedOccupancy))</f>
        <v/>
      </c>
      <c r="FT10" s="53">
        <f>IF(173&lt;DeliverStart,LeaseUpRampPct,MIN(1,LeaseUpRampPct+(1-LeaseUpRampPct)*'LeaseUp'!FT$9/StabilizedOccupancy))</f>
        <v/>
      </c>
      <c r="FU10" s="53">
        <f>IF(174&lt;DeliverStart,LeaseUpRampPct,MIN(1,LeaseUpRampPct+(1-LeaseUpRampPct)*'LeaseUp'!FU$9/StabilizedOccupancy))</f>
        <v/>
      </c>
      <c r="FV10" s="53">
        <f>IF(175&lt;DeliverStart,LeaseUpRampPct,MIN(1,LeaseUpRampPct+(1-LeaseUpRampPct)*'LeaseUp'!FV$9/StabilizedOccupancy))</f>
        <v/>
      </c>
      <c r="FW10" s="53">
        <f>IF(176&lt;DeliverStart,LeaseUpRampPct,MIN(1,LeaseUpRampPct+(1-LeaseUpRampPct)*'LeaseUp'!FW$9/StabilizedOccupancy))</f>
        <v/>
      </c>
      <c r="FX10" s="53">
        <f>IF(177&lt;DeliverStart,LeaseUpRampPct,MIN(1,LeaseUpRampPct+(1-LeaseUpRampPct)*'LeaseUp'!FX$9/StabilizedOccupancy))</f>
        <v/>
      </c>
      <c r="FY10" s="53">
        <f>IF(178&lt;DeliverStart,LeaseUpRampPct,MIN(1,LeaseUpRampPct+(1-LeaseUpRampPct)*'LeaseUp'!FY$9/StabilizedOccupancy))</f>
        <v/>
      </c>
      <c r="FZ10" s="53">
        <f>IF(179&lt;DeliverStart,LeaseUpRampPct,MIN(1,LeaseUpRampPct+(1-LeaseUpRampPct)*'LeaseUp'!FZ$9/StabilizedOccupancy))</f>
        <v/>
      </c>
      <c r="GA10" s="53">
        <f>IF(180&lt;DeliverStart,LeaseUpRampPct,MIN(1,LeaseUpRampPct+(1-LeaseUpRampPct)*'LeaseUp'!GA$9/StabilizedOccupancy))</f>
        <v/>
      </c>
      <c r="GB10" s="53">
        <f>IF(181&lt;DeliverStart,LeaseUpRampPct,MIN(1,LeaseUpRampPct+(1-LeaseUpRampPct)*'LeaseUp'!GB$9/StabilizedOccupancy))</f>
        <v/>
      </c>
      <c r="GC10" s="53">
        <f>IF(182&lt;DeliverStart,LeaseUpRampPct,MIN(1,LeaseUpRampPct+(1-LeaseUpRampPct)*'LeaseUp'!GC$9/StabilizedOccupancy))</f>
        <v/>
      </c>
      <c r="GD10" s="53">
        <f>IF(183&lt;DeliverStart,LeaseUpRampPct,MIN(1,LeaseUpRampPct+(1-LeaseUpRampPct)*'LeaseUp'!GD$9/StabilizedOccupancy))</f>
        <v/>
      </c>
      <c r="GE10" s="53">
        <f>IF(184&lt;DeliverStart,LeaseUpRampPct,MIN(1,LeaseUpRampPct+(1-LeaseUpRampPct)*'LeaseUp'!GE$9/StabilizedOccupancy))</f>
        <v/>
      </c>
      <c r="GF10" s="53">
        <f>IF(185&lt;DeliverStart,LeaseUpRampPct,MIN(1,LeaseUpRampPct+(1-LeaseUpRampPct)*'LeaseUp'!GF$9/StabilizedOccupancy))</f>
        <v/>
      </c>
      <c r="GG10" s="53">
        <f>IF(186&lt;DeliverStart,LeaseUpRampPct,MIN(1,LeaseUpRampPct+(1-LeaseUpRampPct)*'LeaseUp'!GG$9/StabilizedOccupancy))</f>
        <v/>
      </c>
      <c r="GH10" s="53">
        <f>IF(187&lt;DeliverStart,LeaseUpRampPct,MIN(1,LeaseUpRampPct+(1-LeaseUpRampPct)*'LeaseUp'!GH$9/StabilizedOccupancy))</f>
        <v/>
      </c>
      <c r="GI10" s="53">
        <f>IF(188&lt;DeliverStart,LeaseUpRampPct,MIN(1,LeaseUpRampPct+(1-LeaseUpRampPct)*'LeaseUp'!GI$9/StabilizedOccupancy))</f>
        <v/>
      </c>
      <c r="GJ10" s="53">
        <f>IF(189&lt;DeliverStart,LeaseUpRampPct,MIN(1,LeaseUpRampPct+(1-LeaseUpRampPct)*'LeaseUp'!GJ$9/StabilizedOccupancy))</f>
        <v/>
      </c>
      <c r="GK10" s="53">
        <f>IF(190&lt;DeliverStart,LeaseUpRampPct,MIN(1,LeaseUpRampPct+(1-LeaseUpRampPct)*'LeaseUp'!GK$9/StabilizedOccupancy))</f>
        <v/>
      </c>
      <c r="GL10" s="53">
        <f>IF(191&lt;DeliverStart,LeaseUpRampPct,MIN(1,LeaseUpRampPct+(1-LeaseUpRampPct)*'LeaseUp'!GL$9/StabilizedOccupancy))</f>
        <v/>
      </c>
      <c r="GM10" s="53">
        <f>IF(192&lt;DeliverStart,LeaseUpRampPct,MIN(1,LeaseUpRampPct+(1-LeaseUpRampPct)*'LeaseUp'!GM$9/StabilizedOccupancy))</f>
        <v/>
      </c>
      <c r="GN10" s="53">
        <f>IF(193&lt;DeliverStart,LeaseUpRampPct,MIN(1,LeaseUpRampPct+(1-LeaseUpRampPct)*'LeaseUp'!GN$9/StabilizedOccupancy))</f>
        <v/>
      </c>
      <c r="GO10" s="53">
        <f>IF(194&lt;DeliverStart,LeaseUpRampPct,MIN(1,LeaseUpRampPct+(1-LeaseUpRampPct)*'LeaseUp'!GO$9/StabilizedOccupancy))</f>
        <v/>
      </c>
      <c r="GP10" s="53">
        <f>IF(195&lt;DeliverStart,LeaseUpRampPct,MIN(1,LeaseUpRampPct+(1-LeaseUpRampPct)*'LeaseUp'!GP$9/StabilizedOccupancy))</f>
        <v/>
      </c>
      <c r="GQ10" s="53">
        <f>IF(196&lt;DeliverStart,LeaseUpRampPct,MIN(1,LeaseUpRampPct+(1-LeaseUpRampPct)*'LeaseUp'!GQ$9/StabilizedOccupancy))</f>
        <v/>
      </c>
      <c r="GR10" s="53">
        <f>IF(197&lt;DeliverStart,LeaseUpRampPct,MIN(1,LeaseUpRampPct+(1-LeaseUpRampPct)*'LeaseUp'!GR$9/StabilizedOccupancy))</f>
        <v/>
      </c>
      <c r="GS10" s="53">
        <f>IF(198&lt;DeliverStart,LeaseUpRampPct,MIN(1,LeaseUpRampPct+(1-LeaseUpRampPct)*'LeaseUp'!GS$9/StabilizedOccupancy))</f>
        <v/>
      </c>
      <c r="GT10" s="53">
        <f>IF(199&lt;DeliverStart,LeaseUpRampPct,MIN(1,LeaseUpRampPct+(1-LeaseUpRampPct)*'LeaseUp'!GT$9/StabilizedOccupancy))</f>
        <v/>
      </c>
      <c r="GU10" s="53">
        <f>IF(200&lt;DeliverStart,LeaseUpRampPct,MIN(1,LeaseUpRampPct+(1-LeaseUpRampPct)*'LeaseUp'!GU$9/StabilizedOccupancy))</f>
        <v/>
      </c>
      <c r="GV10" s="53">
        <f>IF(201&lt;DeliverStart,LeaseUpRampPct,MIN(1,LeaseUpRampPct+(1-LeaseUpRampPct)*'LeaseUp'!GV$9/StabilizedOccupancy))</f>
        <v/>
      </c>
      <c r="GW10" s="53">
        <f>IF(202&lt;DeliverStart,LeaseUpRampPct,MIN(1,LeaseUpRampPct+(1-LeaseUpRampPct)*'LeaseUp'!GW$9/StabilizedOccupancy))</f>
        <v/>
      </c>
      <c r="GX10" s="53">
        <f>IF(203&lt;DeliverStart,LeaseUpRampPct,MIN(1,LeaseUpRampPct+(1-LeaseUpRampPct)*'LeaseUp'!GX$9/StabilizedOccupancy))</f>
        <v/>
      </c>
      <c r="GY10" s="53">
        <f>IF(204&lt;DeliverStart,LeaseUpRampPct,MIN(1,LeaseUpRampPct+(1-LeaseUpRampPct)*'LeaseUp'!GY$9/StabilizedOccupancy))</f>
        <v/>
      </c>
      <c r="GZ10" s="53">
        <f>IF(205&lt;DeliverStart,LeaseUpRampPct,MIN(1,LeaseUpRampPct+(1-LeaseUpRampPct)*'LeaseUp'!GZ$9/StabilizedOccupancy))</f>
        <v/>
      </c>
      <c r="HA10" s="53">
        <f>IF(206&lt;DeliverStart,LeaseUpRampPct,MIN(1,LeaseUpRampPct+(1-LeaseUpRampPct)*'LeaseUp'!HA$9/StabilizedOccupancy))</f>
        <v/>
      </c>
      <c r="HB10" s="53">
        <f>IF(207&lt;DeliverStart,LeaseUpRampPct,MIN(1,LeaseUpRampPct+(1-LeaseUpRampPct)*'LeaseUp'!HB$9/StabilizedOccupancy))</f>
        <v/>
      </c>
      <c r="HC10" s="53">
        <f>IF(208&lt;DeliverStart,LeaseUpRampPct,MIN(1,LeaseUpRampPct+(1-LeaseUpRampPct)*'LeaseUp'!HC$9/StabilizedOccupancy))</f>
        <v/>
      </c>
      <c r="HD10" s="53">
        <f>IF(209&lt;DeliverStart,LeaseUpRampPct,MIN(1,LeaseUpRampPct+(1-LeaseUpRampPct)*'LeaseUp'!HD$9/StabilizedOccupancy))</f>
        <v/>
      </c>
      <c r="HE10" s="53">
        <f>IF(210&lt;DeliverStart,LeaseUpRampPct,MIN(1,LeaseUpRampPct+(1-LeaseUpRampPct)*'LeaseUp'!HE$9/StabilizedOccupancy))</f>
        <v/>
      </c>
      <c r="HF10" s="53">
        <f>IF(211&lt;DeliverStart,LeaseUpRampPct,MIN(1,LeaseUpRampPct+(1-LeaseUpRampPct)*'LeaseUp'!HF$9/StabilizedOccupancy))</f>
        <v/>
      </c>
      <c r="HG10" s="53">
        <f>IF(212&lt;DeliverStart,LeaseUpRampPct,MIN(1,LeaseUpRampPct+(1-LeaseUpRampPct)*'LeaseUp'!HG$9/StabilizedOccupancy))</f>
        <v/>
      </c>
      <c r="HH10" s="53">
        <f>IF(213&lt;DeliverStart,LeaseUpRampPct,MIN(1,LeaseUpRampPct+(1-LeaseUpRampPct)*'LeaseUp'!HH$9/StabilizedOccupancy))</f>
        <v/>
      </c>
      <c r="HI10" s="53">
        <f>IF(214&lt;DeliverStart,LeaseUpRampPct,MIN(1,LeaseUpRampPct+(1-LeaseUpRampPct)*'LeaseUp'!HI$9/StabilizedOccupancy))</f>
        <v/>
      </c>
      <c r="HJ10" s="53">
        <f>IF(215&lt;DeliverStart,LeaseUpRampPct,MIN(1,LeaseUpRampPct+(1-LeaseUpRampPct)*'LeaseUp'!HJ$9/StabilizedOccupancy))</f>
        <v/>
      </c>
      <c r="HK10" s="53">
        <f>IF(216&lt;DeliverStart,LeaseUpRampPct,MIN(1,LeaseUpRampPct+(1-LeaseUpRampPct)*'LeaseUp'!HK$9/StabilizedOccupancy))</f>
        <v/>
      </c>
      <c r="HL10" s="53">
        <f>IF(217&lt;DeliverStart,LeaseUpRampPct,MIN(1,LeaseUpRampPct+(1-LeaseUpRampPct)*'LeaseUp'!HL$9/StabilizedOccupancy))</f>
        <v/>
      </c>
      <c r="HM10" s="53">
        <f>IF(218&lt;DeliverStart,LeaseUpRampPct,MIN(1,LeaseUpRampPct+(1-LeaseUpRampPct)*'LeaseUp'!HM$9/StabilizedOccupancy))</f>
        <v/>
      </c>
      <c r="HN10" s="53">
        <f>IF(219&lt;DeliverStart,LeaseUpRampPct,MIN(1,LeaseUpRampPct+(1-LeaseUpRampPct)*'LeaseUp'!HN$9/StabilizedOccupancy))</f>
        <v/>
      </c>
      <c r="HO10" s="53">
        <f>IF(220&lt;DeliverStart,LeaseUpRampPct,MIN(1,LeaseUpRampPct+(1-LeaseUpRampPct)*'LeaseUp'!HO$9/StabilizedOccupancy))</f>
        <v/>
      </c>
      <c r="HP10" s="53">
        <f>IF(221&lt;DeliverStart,LeaseUpRampPct,MIN(1,LeaseUpRampPct+(1-LeaseUpRampPct)*'LeaseUp'!HP$9/StabilizedOccupancy))</f>
        <v/>
      </c>
      <c r="HQ10" s="53">
        <f>IF(222&lt;DeliverStart,LeaseUpRampPct,MIN(1,LeaseUpRampPct+(1-LeaseUpRampPct)*'LeaseUp'!HQ$9/StabilizedOccupancy))</f>
        <v/>
      </c>
      <c r="HR10" s="53">
        <f>IF(223&lt;DeliverStart,LeaseUpRampPct,MIN(1,LeaseUpRampPct+(1-LeaseUpRampPct)*'LeaseUp'!HR$9/StabilizedOccupancy))</f>
        <v/>
      </c>
      <c r="HS10" s="53">
        <f>IF(224&lt;DeliverStart,LeaseUpRampPct,MIN(1,LeaseUpRampPct+(1-LeaseUpRampPct)*'LeaseUp'!HS$9/StabilizedOccupancy))</f>
        <v/>
      </c>
      <c r="HT10" s="53">
        <f>IF(225&lt;DeliverStart,LeaseUpRampPct,MIN(1,LeaseUpRampPct+(1-LeaseUpRampPct)*'LeaseUp'!HT$9/StabilizedOccupancy))</f>
        <v/>
      </c>
      <c r="HU10" s="53">
        <f>IF(226&lt;DeliverStart,LeaseUpRampPct,MIN(1,LeaseUpRampPct+(1-LeaseUpRampPct)*'LeaseUp'!HU$9/StabilizedOccupancy))</f>
        <v/>
      </c>
      <c r="HV10" s="53">
        <f>IF(227&lt;DeliverStart,LeaseUpRampPct,MIN(1,LeaseUpRampPct+(1-LeaseUpRampPct)*'LeaseUp'!HV$9/StabilizedOccupancy))</f>
        <v/>
      </c>
      <c r="HW10" s="53">
        <f>IF(228&lt;DeliverStart,LeaseUpRampPct,MIN(1,LeaseUpRampPct+(1-LeaseUpRampPct)*'LeaseUp'!HW$9/StabilizedOccupancy))</f>
        <v/>
      </c>
      <c r="HX10" s="53">
        <f>IF(229&lt;DeliverStart,LeaseUpRampPct,MIN(1,LeaseUpRampPct+(1-LeaseUpRampPct)*'LeaseUp'!HX$9/StabilizedOccupancy))</f>
        <v/>
      </c>
      <c r="HY10" s="53">
        <f>IF(230&lt;DeliverStart,LeaseUpRampPct,MIN(1,LeaseUpRampPct+(1-LeaseUpRampPct)*'LeaseUp'!HY$9/StabilizedOccupancy))</f>
        <v/>
      </c>
      <c r="HZ10" s="53">
        <f>IF(231&lt;DeliverStart,LeaseUpRampPct,MIN(1,LeaseUpRampPct+(1-LeaseUpRampPct)*'LeaseUp'!HZ$9/StabilizedOccupancy))</f>
        <v/>
      </c>
      <c r="IA10" s="53">
        <f>IF(232&lt;DeliverStart,LeaseUpRampPct,MIN(1,LeaseUpRampPct+(1-LeaseUpRampPct)*'LeaseUp'!IA$9/StabilizedOccupancy))</f>
        <v/>
      </c>
      <c r="IB10" s="53">
        <f>IF(233&lt;DeliverStart,LeaseUpRampPct,MIN(1,LeaseUpRampPct+(1-LeaseUpRampPct)*'LeaseUp'!IB$9/StabilizedOccupancy))</f>
        <v/>
      </c>
      <c r="IC10" s="53">
        <f>IF(234&lt;DeliverStart,LeaseUpRampPct,MIN(1,LeaseUpRampPct+(1-LeaseUpRampPct)*'LeaseUp'!IC$9/StabilizedOccupancy))</f>
        <v/>
      </c>
      <c r="ID10" s="53">
        <f>IF(235&lt;DeliverStart,LeaseUpRampPct,MIN(1,LeaseUpRampPct+(1-LeaseUpRampPct)*'LeaseUp'!ID$9/StabilizedOccupancy))</f>
        <v/>
      </c>
      <c r="IE10" s="53">
        <f>IF(236&lt;DeliverStart,LeaseUpRampPct,MIN(1,LeaseUpRampPct+(1-LeaseUpRampPct)*'LeaseUp'!IE$9/StabilizedOccupancy))</f>
        <v/>
      </c>
      <c r="IF10" s="53">
        <f>IF(237&lt;DeliverStart,LeaseUpRampPct,MIN(1,LeaseUpRampPct+(1-LeaseUpRampPct)*'LeaseUp'!IF$9/StabilizedOccupancy))</f>
        <v/>
      </c>
      <c r="IG10" s="53">
        <f>IF(238&lt;DeliverStart,LeaseUpRampPct,MIN(1,LeaseUpRampPct+(1-LeaseUpRampPct)*'LeaseUp'!IG$9/StabilizedOccupancy))</f>
        <v/>
      </c>
      <c r="IH10" s="53">
        <f>IF(239&lt;DeliverStart,LeaseUpRampPct,MIN(1,LeaseUpRampPct+(1-LeaseUpRampPct)*'LeaseUp'!IH$9/StabilizedOccupancy))</f>
        <v/>
      </c>
      <c r="II10" s="53">
        <f>IF(240&lt;DeliverStart,LeaseUpRampPct,MIN(1,LeaseUpRampPct+(1-LeaseUpRampPct)*'LeaseUp'!II$9/StabilizedOccupancy))</f>
        <v/>
      </c>
      <c r="IJ10" s="53">
        <f>IF(241&lt;DeliverStart,LeaseUpRampPct,MIN(1,LeaseUpRampPct+(1-LeaseUpRampPct)*'LeaseUp'!IJ$9/StabilizedOccupancy))</f>
        <v/>
      </c>
      <c r="IK10" s="53">
        <f>IF(242&lt;DeliverStart,LeaseUpRampPct,MIN(1,LeaseUpRampPct+(1-LeaseUpRampPct)*'LeaseUp'!IK$9/StabilizedOccupancy))</f>
        <v/>
      </c>
      <c r="IL10" s="53">
        <f>IF(243&lt;DeliverStart,LeaseUpRampPct,MIN(1,LeaseUpRampPct+(1-LeaseUpRampPct)*'LeaseUp'!IL$9/StabilizedOccupancy))</f>
        <v/>
      </c>
      <c r="IM10" s="53">
        <f>IF(244&lt;DeliverStart,LeaseUpRampPct,MIN(1,LeaseUpRampPct+(1-LeaseUpRampPct)*'LeaseUp'!IM$9/StabilizedOccupancy))</f>
        <v/>
      </c>
      <c r="IN10" s="53">
        <f>IF(245&lt;DeliverStart,LeaseUpRampPct,MIN(1,LeaseUpRampPct+(1-LeaseUpRampPct)*'LeaseUp'!IN$9/StabilizedOccupancy))</f>
        <v/>
      </c>
      <c r="IO10" s="53">
        <f>IF(246&lt;DeliverStart,LeaseUpRampPct,MIN(1,LeaseUpRampPct+(1-LeaseUpRampPct)*'LeaseUp'!IO$9/StabilizedOccupancy))</f>
        <v/>
      </c>
      <c r="IP10" s="53">
        <f>IF(247&lt;DeliverStart,LeaseUpRampPct,MIN(1,LeaseUpRampPct+(1-LeaseUpRampPct)*'LeaseUp'!IP$9/StabilizedOccupancy))</f>
        <v/>
      </c>
      <c r="IQ10" s="53">
        <f>IF(248&lt;DeliverStart,LeaseUpRampPct,MIN(1,LeaseUpRampPct+(1-LeaseUpRampPct)*'LeaseUp'!IQ$9/StabilizedOccupancy))</f>
        <v/>
      </c>
      <c r="IR10" s="53">
        <f>IF(249&lt;DeliverStart,LeaseUpRampPct,MIN(1,LeaseUpRampPct+(1-LeaseUpRampPct)*'LeaseUp'!IR$9/StabilizedOccupancy))</f>
        <v/>
      </c>
      <c r="IS10" s="53">
        <f>IF(250&lt;DeliverStart,LeaseUpRampPct,MIN(1,LeaseUpRampPct+(1-LeaseUpRampPct)*'LeaseUp'!IS$9/StabilizedOccupancy))</f>
        <v/>
      </c>
      <c r="IT10" s="53">
        <f>IF(251&lt;DeliverStart,LeaseUpRampPct,MIN(1,LeaseUpRampPct+(1-LeaseUpRampPct)*'LeaseUp'!IT$9/StabilizedOccupancy))</f>
        <v/>
      </c>
      <c r="IU10" s="53">
        <f>IF(252&lt;DeliverStart,LeaseUpRampPct,MIN(1,LeaseUpRampPct+(1-LeaseUpRampPct)*'LeaseUp'!IU$9/StabilizedOccupancy))</f>
        <v/>
      </c>
      <c r="IV10" s="53">
        <f>IF(253&lt;DeliverStart,LeaseUpRampPct,MIN(1,LeaseUpRampPct+(1-LeaseUpRampPct)*'LeaseUp'!IV$9/StabilizedOccupancy))</f>
        <v/>
      </c>
      <c r="IW10" s="53">
        <f>IF(254&lt;DeliverStart,LeaseUpRampPct,MIN(1,LeaseUpRampPct+(1-LeaseUpRampPct)*'LeaseUp'!IW$9/StabilizedOccupancy))</f>
        <v/>
      </c>
      <c r="IX10" s="53">
        <f>IF(255&lt;DeliverStart,LeaseUpRampPct,MIN(1,LeaseUpRampPct+(1-LeaseUpRampPct)*'LeaseUp'!IX$9/StabilizedOccupancy))</f>
        <v/>
      </c>
      <c r="IY10" s="53">
        <f>IF(256&lt;DeliverStart,LeaseUpRampPct,MIN(1,LeaseUpRampPct+(1-LeaseUpRampPct)*'LeaseUp'!IY$9/StabilizedOccupancy))</f>
        <v/>
      </c>
      <c r="IZ10" s="53">
        <f>IF(257&lt;DeliverStart,LeaseUpRampPct,MIN(1,LeaseUpRampPct+(1-LeaseUpRampPct)*'LeaseUp'!IZ$9/StabilizedOccupancy))</f>
        <v/>
      </c>
      <c r="JA10" s="53">
        <f>IF(258&lt;DeliverStart,LeaseUpRampPct,MIN(1,LeaseUpRampPct+(1-LeaseUpRampPct)*'LeaseUp'!JA$9/StabilizedOccupancy))</f>
        <v/>
      </c>
      <c r="JB10" s="53">
        <f>IF(259&lt;DeliverStart,LeaseUpRampPct,MIN(1,LeaseUpRampPct+(1-LeaseUpRampPct)*'LeaseUp'!JB$9/StabilizedOccupancy))</f>
        <v/>
      </c>
      <c r="JC10" s="53">
        <f>IF(260&lt;DeliverStart,LeaseUpRampPct,MIN(1,LeaseUpRampPct+(1-LeaseUpRampPct)*'LeaseUp'!JC$9/StabilizedOccupancy))</f>
        <v/>
      </c>
      <c r="JD10" s="53">
        <f>IF(261&lt;DeliverStart,LeaseUpRampPct,MIN(1,LeaseUpRampPct+(1-LeaseUpRampPct)*'LeaseUp'!JD$9/StabilizedOccupancy))</f>
        <v/>
      </c>
      <c r="JE10" s="53">
        <f>IF(262&lt;DeliverStart,LeaseUpRampPct,MIN(1,LeaseUpRampPct+(1-LeaseUpRampPct)*'LeaseUp'!JE$9/StabilizedOccupancy))</f>
        <v/>
      </c>
      <c r="JF10" s="53">
        <f>IF(263&lt;DeliverStart,LeaseUpRampPct,MIN(1,LeaseUpRampPct+(1-LeaseUpRampPct)*'LeaseUp'!JF$9/StabilizedOccupancy))</f>
        <v/>
      </c>
      <c r="JG10" s="53">
        <f>IF(264&lt;DeliverStart,LeaseUpRampPct,MIN(1,LeaseUpRampPct+(1-LeaseUpRampPct)*'LeaseUp'!JG$9/StabilizedOccupancy))</f>
        <v/>
      </c>
      <c r="JH10" s="53">
        <f>IF(265&lt;DeliverStart,LeaseUpRampPct,MIN(1,LeaseUpRampPct+(1-LeaseUpRampPct)*'LeaseUp'!JH$9/StabilizedOccupancy))</f>
        <v/>
      </c>
      <c r="JI10" s="53">
        <f>IF(266&lt;DeliverStart,LeaseUpRampPct,MIN(1,LeaseUpRampPct+(1-LeaseUpRampPct)*'LeaseUp'!JI$9/StabilizedOccupancy))</f>
        <v/>
      </c>
      <c r="JJ10" s="53">
        <f>IF(267&lt;DeliverStart,LeaseUpRampPct,MIN(1,LeaseUpRampPct+(1-LeaseUpRampPct)*'LeaseUp'!JJ$9/StabilizedOccupancy))</f>
        <v/>
      </c>
      <c r="JK10" s="53">
        <f>IF(268&lt;DeliverStart,LeaseUpRampPct,MIN(1,LeaseUpRampPct+(1-LeaseUpRampPct)*'LeaseUp'!JK$9/StabilizedOccupancy))</f>
        <v/>
      </c>
      <c r="JL10" s="53">
        <f>IF(269&lt;DeliverStart,LeaseUpRampPct,MIN(1,LeaseUpRampPct+(1-LeaseUpRampPct)*'LeaseUp'!JL$9/StabilizedOccupancy))</f>
        <v/>
      </c>
      <c r="JM10" s="53">
        <f>IF(270&lt;DeliverStart,LeaseUpRampPct,MIN(1,LeaseUpRampPct+(1-LeaseUpRampPct)*'LeaseUp'!JM$9/StabilizedOccupancy))</f>
        <v/>
      </c>
      <c r="JN10" s="53">
        <f>IF(271&lt;DeliverStart,LeaseUpRampPct,MIN(1,LeaseUpRampPct+(1-LeaseUpRampPct)*'LeaseUp'!JN$9/StabilizedOccupancy))</f>
        <v/>
      </c>
      <c r="JO10" s="53">
        <f>IF(272&lt;DeliverStart,LeaseUpRampPct,MIN(1,LeaseUpRampPct+(1-LeaseUpRampPct)*'LeaseUp'!JO$9/StabilizedOccupancy))</f>
        <v/>
      </c>
      <c r="JP10" s="53">
        <f>IF(273&lt;DeliverStart,LeaseUpRampPct,MIN(1,LeaseUpRampPct+(1-LeaseUpRampPct)*'LeaseUp'!JP$9/StabilizedOccupancy))</f>
        <v/>
      </c>
      <c r="JQ10" s="53">
        <f>IF(274&lt;DeliverStart,LeaseUpRampPct,MIN(1,LeaseUpRampPct+(1-LeaseUpRampPct)*'LeaseUp'!JQ$9/StabilizedOccupancy))</f>
        <v/>
      </c>
      <c r="JR10" s="53">
        <f>IF(275&lt;DeliverStart,LeaseUpRampPct,MIN(1,LeaseUpRampPct+(1-LeaseUpRampPct)*'LeaseUp'!JR$9/StabilizedOccupancy))</f>
        <v/>
      </c>
      <c r="JS10" s="53">
        <f>IF(276&lt;DeliverStart,LeaseUpRampPct,MIN(1,LeaseUpRampPct+(1-LeaseUpRampPct)*'LeaseUp'!JS$9/StabilizedOccupancy))</f>
        <v/>
      </c>
      <c r="JT10" s="53">
        <f>IF(277&lt;DeliverStart,LeaseUpRampPct,MIN(1,LeaseUpRampPct+(1-LeaseUpRampPct)*'LeaseUp'!JT$9/StabilizedOccupancy))</f>
        <v/>
      </c>
      <c r="JU10" s="53">
        <f>IF(278&lt;DeliverStart,LeaseUpRampPct,MIN(1,LeaseUpRampPct+(1-LeaseUpRampPct)*'LeaseUp'!JU$9/StabilizedOccupancy))</f>
        <v/>
      </c>
      <c r="JV10" s="53">
        <f>IF(279&lt;DeliverStart,LeaseUpRampPct,MIN(1,LeaseUpRampPct+(1-LeaseUpRampPct)*'LeaseUp'!JV$9/StabilizedOccupancy))</f>
        <v/>
      </c>
      <c r="JW10" s="53">
        <f>IF(280&lt;DeliverStart,LeaseUpRampPct,MIN(1,LeaseUpRampPct+(1-LeaseUpRampPct)*'LeaseUp'!JW$9/StabilizedOccupancy))</f>
        <v/>
      </c>
      <c r="JX10" s="53">
        <f>IF(281&lt;DeliverStart,LeaseUpRampPct,MIN(1,LeaseUpRampPct+(1-LeaseUpRampPct)*'LeaseUp'!JX$9/StabilizedOccupancy))</f>
        <v/>
      </c>
      <c r="JY10" s="53">
        <f>IF(282&lt;DeliverStart,LeaseUpRampPct,MIN(1,LeaseUpRampPct+(1-LeaseUpRampPct)*'LeaseUp'!JY$9/StabilizedOccupancy))</f>
        <v/>
      </c>
      <c r="JZ10" s="53">
        <f>IF(283&lt;DeliverStart,LeaseUpRampPct,MIN(1,LeaseUpRampPct+(1-LeaseUpRampPct)*'LeaseUp'!JZ$9/StabilizedOccupancy))</f>
        <v/>
      </c>
      <c r="KA10" s="53">
        <f>IF(284&lt;DeliverStart,LeaseUpRampPct,MIN(1,LeaseUpRampPct+(1-LeaseUpRampPct)*'LeaseUp'!KA$9/StabilizedOccupancy))</f>
        <v/>
      </c>
      <c r="KB10" s="53">
        <f>IF(285&lt;DeliverStart,LeaseUpRampPct,MIN(1,LeaseUpRampPct+(1-LeaseUpRampPct)*'LeaseUp'!KB$9/StabilizedOccupancy))</f>
        <v/>
      </c>
      <c r="KC10" s="53">
        <f>IF(286&lt;DeliverStart,LeaseUpRampPct,MIN(1,LeaseUpRampPct+(1-LeaseUpRampPct)*'LeaseUp'!KC$9/StabilizedOccupancy))</f>
        <v/>
      </c>
      <c r="KD10" s="53">
        <f>IF(287&lt;DeliverStart,LeaseUpRampPct,MIN(1,LeaseUpRampPct+(1-LeaseUpRampPct)*'LeaseUp'!KD$9/StabilizedOccupancy))</f>
        <v/>
      </c>
      <c r="KE10" s="53">
        <f>IF(288&lt;DeliverStart,LeaseUpRampPct,MIN(1,LeaseUpRampPct+(1-LeaseUpRampPct)*'LeaseUp'!KE$9/StabilizedOccupancy))</f>
        <v/>
      </c>
      <c r="KF10" s="53">
        <f>IF(289&lt;DeliverStart,LeaseUpRampPct,MIN(1,LeaseUpRampPct+(1-LeaseUpRampPct)*'LeaseUp'!KF$9/StabilizedOccupancy))</f>
        <v/>
      </c>
      <c r="KG10" s="53">
        <f>IF(290&lt;DeliverStart,LeaseUpRampPct,MIN(1,LeaseUpRampPct+(1-LeaseUpRampPct)*'LeaseUp'!KG$9/StabilizedOccupancy))</f>
        <v/>
      </c>
      <c r="KH10" s="53">
        <f>IF(291&lt;DeliverStart,LeaseUpRampPct,MIN(1,LeaseUpRampPct+(1-LeaseUpRampPct)*'LeaseUp'!KH$9/StabilizedOccupancy))</f>
        <v/>
      </c>
      <c r="KI10" s="53">
        <f>IF(292&lt;DeliverStart,LeaseUpRampPct,MIN(1,LeaseUpRampPct+(1-LeaseUpRampPct)*'LeaseUp'!KI$9/StabilizedOccupancy))</f>
        <v/>
      </c>
      <c r="KJ10" s="53">
        <f>IF(293&lt;DeliverStart,LeaseUpRampPct,MIN(1,LeaseUpRampPct+(1-LeaseUpRampPct)*'LeaseUp'!KJ$9/StabilizedOccupancy))</f>
        <v/>
      </c>
      <c r="KK10" s="53">
        <f>IF(294&lt;DeliverStart,LeaseUpRampPct,MIN(1,LeaseUpRampPct+(1-LeaseUpRampPct)*'LeaseUp'!KK$9/StabilizedOccupancy))</f>
        <v/>
      </c>
      <c r="KL10" s="53">
        <f>IF(295&lt;DeliverStart,LeaseUpRampPct,MIN(1,LeaseUpRampPct+(1-LeaseUpRampPct)*'LeaseUp'!KL$9/StabilizedOccupancy))</f>
        <v/>
      </c>
      <c r="KM10" s="53">
        <f>IF(296&lt;DeliverStart,LeaseUpRampPct,MIN(1,LeaseUpRampPct+(1-LeaseUpRampPct)*'LeaseUp'!KM$9/StabilizedOccupancy))</f>
        <v/>
      </c>
      <c r="KN10" s="53">
        <f>IF(297&lt;DeliverStart,LeaseUpRampPct,MIN(1,LeaseUpRampPct+(1-LeaseUpRampPct)*'LeaseUp'!KN$9/StabilizedOccupancy))</f>
        <v/>
      </c>
      <c r="KO10" s="53">
        <f>IF(298&lt;DeliverStart,LeaseUpRampPct,MIN(1,LeaseUpRampPct+(1-LeaseUpRampPct)*'LeaseUp'!KO$9/StabilizedOccupancy))</f>
        <v/>
      </c>
      <c r="KP10" s="53">
        <f>IF(299&lt;DeliverStart,LeaseUpRampPct,MIN(1,LeaseUpRampPct+(1-LeaseUpRampPct)*'LeaseUp'!KP$9/StabilizedOccupancy))</f>
        <v/>
      </c>
      <c r="KQ10" s="53">
        <f>IF(300&lt;DeliverStart,LeaseUpRampPct,MIN(1,LeaseUpRampPct+(1-LeaseUpRampPct)*'LeaseUp'!KQ$9/StabilizedOccupancy))</f>
        <v/>
      </c>
      <c r="KR10" s="53">
        <f>IF(301&lt;DeliverStart,LeaseUpRampPct,MIN(1,LeaseUpRampPct+(1-LeaseUpRampPct)*'LeaseUp'!KR$9/StabilizedOccupancy))</f>
        <v/>
      </c>
      <c r="KS10" s="53">
        <f>IF(302&lt;DeliverStart,LeaseUpRampPct,MIN(1,LeaseUpRampPct+(1-LeaseUpRampPct)*'LeaseUp'!KS$9/StabilizedOccupancy))</f>
        <v/>
      </c>
      <c r="KT10" s="53">
        <f>IF(303&lt;DeliverStart,LeaseUpRampPct,MIN(1,LeaseUpRampPct+(1-LeaseUpRampPct)*'LeaseUp'!KT$9/StabilizedOccupancy))</f>
        <v/>
      </c>
      <c r="KU10" s="53">
        <f>IF(304&lt;DeliverStart,LeaseUpRampPct,MIN(1,LeaseUpRampPct+(1-LeaseUpRampPct)*'LeaseUp'!KU$9/StabilizedOccupancy))</f>
        <v/>
      </c>
      <c r="KV10" s="53">
        <f>IF(305&lt;DeliverStart,LeaseUpRampPct,MIN(1,LeaseUpRampPct+(1-LeaseUpRampPct)*'LeaseUp'!KV$9/StabilizedOccupancy))</f>
        <v/>
      </c>
      <c r="KW10" s="53">
        <f>IF(306&lt;DeliverStart,LeaseUpRampPct,MIN(1,LeaseUpRampPct+(1-LeaseUpRampPct)*'LeaseUp'!KW$9/StabilizedOccupancy))</f>
        <v/>
      </c>
      <c r="KX10" s="53">
        <f>IF(307&lt;DeliverStart,LeaseUpRampPct,MIN(1,LeaseUpRampPct+(1-LeaseUpRampPct)*'LeaseUp'!KX$9/StabilizedOccupancy))</f>
        <v/>
      </c>
      <c r="KY10" s="53">
        <f>IF(308&lt;DeliverStart,LeaseUpRampPct,MIN(1,LeaseUpRampPct+(1-LeaseUpRampPct)*'LeaseUp'!KY$9/StabilizedOccupancy))</f>
        <v/>
      </c>
      <c r="KZ10" s="53">
        <f>IF(309&lt;DeliverStart,LeaseUpRampPct,MIN(1,LeaseUpRampPct+(1-LeaseUpRampPct)*'LeaseUp'!KZ$9/StabilizedOccupancy))</f>
        <v/>
      </c>
      <c r="LA10" s="53">
        <f>IF(310&lt;DeliverStart,LeaseUpRampPct,MIN(1,LeaseUpRampPct+(1-LeaseUpRampPct)*'LeaseUp'!LA$9/StabilizedOccupancy))</f>
        <v/>
      </c>
      <c r="LB10" s="53">
        <f>IF(311&lt;DeliverStart,LeaseUpRampPct,MIN(1,LeaseUpRampPct+(1-LeaseUpRampPct)*'LeaseUp'!LB$9/StabilizedOccupancy))</f>
        <v/>
      </c>
      <c r="LC10" s="53">
        <f>IF(312&lt;DeliverStart,LeaseUpRampPct,MIN(1,LeaseUpRampPct+(1-LeaseUpRampPct)*'LeaseUp'!LC$9/StabilizedOccupancy))</f>
        <v/>
      </c>
      <c r="LD10" s="53">
        <f>IF(313&lt;DeliverStart,LeaseUpRampPct,MIN(1,LeaseUpRampPct+(1-LeaseUpRampPct)*'LeaseUp'!LD$9/StabilizedOccupancy))</f>
        <v/>
      </c>
      <c r="LE10" s="53">
        <f>IF(314&lt;DeliverStart,LeaseUpRampPct,MIN(1,LeaseUpRampPct+(1-LeaseUpRampPct)*'LeaseUp'!LE$9/StabilizedOccupancy))</f>
        <v/>
      </c>
      <c r="LF10" s="53">
        <f>IF(315&lt;DeliverStart,LeaseUpRampPct,MIN(1,LeaseUpRampPct+(1-LeaseUpRampPct)*'LeaseUp'!LF$9/StabilizedOccupancy))</f>
        <v/>
      </c>
      <c r="LG10" s="53">
        <f>IF(316&lt;DeliverStart,LeaseUpRampPct,MIN(1,LeaseUpRampPct+(1-LeaseUpRampPct)*'LeaseUp'!LG$9/StabilizedOccupancy))</f>
        <v/>
      </c>
      <c r="LH10" s="53">
        <f>IF(317&lt;DeliverStart,LeaseUpRampPct,MIN(1,LeaseUpRampPct+(1-LeaseUpRampPct)*'LeaseUp'!LH$9/StabilizedOccupancy))</f>
        <v/>
      </c>
      <c r="LI10" s="53">
        <f>IF(318&lt;DeliverStart,LeaseUpRampPct,MIN(1,LeaseUpRampPct+(1-LeaseUpRampPct)*'LeaseUp'!LI$9/StabilizedOccupancy))</f>
        <v/>
      </c>
      <c r="LJ10" s="53">
        <f>IF(319&lt;DeliverStart,LeaseUpRampPct,MIN(1,LeaseUpRampPct+(1-LeaseUpRampPct)*'LeaseUp'!LJ$9/StabilizedOccupancy))</f>
        <v/>
      </c>
      <c r="LK10" s="53">
        <f>IF(320&lt;DeliverStart,LeaseUpRampPct,MIN(1,LeaseUpRampPct+(1-LeaseUpRampPct)*'LeaseUp'!LK$9/StabilizedOccupancy))</f>
        <v/>
      </c>
      <c r="LL10" s="53">
        <f>IF(321&lt;DeliverStart,LeaseUpRampPct,MIN(1,LeaseUpRampPct+(1-LeaseUpRampPct)*'LeaseUp'!LL$9/StabilizedOccupancy))</f>
        <v/>
      </c>
      <c r="LM10" s="53">
        <f>IF(322&lt;DeliverStart,LeaseUpRampPct,MIN(1,LeaseUpRampPct+(1-LeaseUpRampPct)*'LeaseUp'!LM$9/StabilizedOccupancy))</f>
        <v/>
      </c>
      <c r="LN10" s="53">
        <f>IF(323&lt;DeliverStart,LeaseUpRampPct,MIN(1,LeaseUpRampPct+(1-LeaseUpRampPct)*'LeaseUp'!LN$9/StabilizedOccupancy))</f>
        <v/>
      </c>
      <c r="LO10" s="53">
        <f>IF(324&lt;DeliverStart,LeaseUpRampPct,MIN(1,LeaseUpRampPct+(1-LeaseUpRampPct)*'LeaseUp'!LO$9/StabilizedOccupancy))</f>
        <v/>
      </c>
      <c r="LP10" s="53">
        <f>IF(325&lt;DeliverStart,LeaseUpRampPct,MIN(1,LeaseUpRampPct+(1-LeaseUpRampPct)*'LeaseUp'!LP$9/StabilizedOccupancy))</f>
        <v/>
      </c>
      <c r="LQ10" s="53">
        <f>IF(326&lt;DeliverStart,LeaseUpRampPct,MIN(1,LeaseUpRampPct+(1-LeaseUpRampPct)*'LeaseUp'!LQ$9/StabilizedOccupancy))</f>
        <v/>
      </c>
      <c r="LR10" s="53">
        <f>IF(327&lt;DeliverStart,LeaseUpRampPct,MIN(1,LeaseUpRampPct+(1-LeaseUpRampPct)*'LeaseUp'!LR$9/StabilizedOccupancy))</f>
        <v/>
      </c>
      <c r="LS10" s="53">
        <f>IF(328&lt;DeliverStart,LeaseUpRampPct,MIN(1,LeaseUpRampPct+(1-LeaseUpRampPct)*'LeaseUp'!LS$9/StabilizedOccupancy))</f>
        <v/>
      </c>
      <c r="LT10" s="53">
        <f>IF(329&lt;DeliverStart,LeaseUpRampPct,MIN(1,LeaseUpRampPct+(1-LeaseUpRampPct)*'LeaseUp'!LT$9/StabilizedOccupancy))</f>
        <v/>
      </c>
      <c r="LU10" s="53">
        <f>IF(330&lt;DeliverStart,LeaseUpRampPct,MIN(1,LeaseUpRampPct+(1-LeaseUpRampPct)*'LeaseUp'!LU$9/StabilizedOccupancy))</f>
        <v/>
      </c>
      <c r="LV10" s="53">
        <f>IF(331&lt;DeliverStart,LeaseUpRampPct,MIN(1,LeaseUpRampPct+(1-LeaseUpRampPct)*'LeaseUp'!LV$9/StabilizedOccupancy))</f>
        <v/>
      </c>
      <c r="LW10" s="53">
        <f>IF(332&lt;DeliverStart,LeaseUpRampPct,MIN(1,LeaseUpRampPct+(1-LeaseUpRampPct)*'LeaseUp'!LW$9/StabilizedOccupancy))</f>
        <v/>
      </c>
      <c r="LX10" s="53">
        <f>IF(333&lt;DeliverStart,LeaseUpRampPct,MIN(1,LeaseUpRampPct+(1-LeaseUpRampPct)*'LeaseUp'!LX$9/StabilizedOccupancy))</f>
        <v/>
      </c>
      <c r="LY10" s="53">
        <f>IF(334&lt;DeliverStart,LeaseUpRampPct,MIN(1,LeaseUpRampPct+(1-LeaseUpRampPct)*'LeaseUp'!LY$9/StabilizedOccupancy))</f>
        <v/>
      </c>
      <c r="LZ10" s="53">
        <f>IF(335&lt;DeliverStart,LeaseUpRampPct,MIN(1,LeaseUpRampPct+(1-LeaseUpRampPct)*'LeaseUp'!LZ$9/StabilizedOccupancy))</f>
        <v/>
      </c>
      <c r="MA10" s="53">
        <f>IF(336&lt;DeliverStart,LeaseUpRampPct,MIN(1,LeaseUpRampPct+(1-LeaseUpRampPct)*'LeaseUp'!MA$9/StabilizedOccupancy))</f>
        <v/>
      </c>
      <c r="MB10" s="53">
        <f>IF(337&lt;DeliverStart,LeaseUpRampPct,MIN(1,LeaseUpRampPct+(1-LeaseUpRampPct)*'LeaseUp'!MB$9/StabilizedOccupancy))</f>
        <v/>
      </c>
      <c r="MC10" s="53">
        <f>IF(338&lt;DeliverStart,LeaseUpRampPct,MIN(1,LeaseUpRampPct+(1-LeaseUpRampPct)*'LeaseUp'!MC$9/StabilizedOccupancy))</f>
        <v/>
      </c>
      <c r="MD10" s="53">
        <f>IF(339&lt;DeliverStart,LeaseUpRampPct,MIN(1,LeaseUpRampPct+(1-LeaseUpRampPct)*'LeaseUp'!MD$9/StabilizedOccupancy))</f>
        <v/>
      </c>
      <c r="ME10" s="53">
        <f>IF(340&lt;DeliverStart,LeaseUpRampPct,MIN(1,LeaseUpRampPct+(1-LeaseUpRampPct)*'LeaseUp'!ME$9/StabilizedOccupancy))</f>
        <v/>
      </c>
      <c r="MF10" s="53">
        <f>IF(341&lt;DeliverStart,LeaseUpRampPct,MIN(1,LeaseUpRampPct+(1-LeaseUpRampPct)*'LeaseUp'!MF$9/StabilizedOccupancy))</f>
        <v/>
      </c>
      <c r="MG10" s="53">
        <f>IF(342&lt;DeliverStart,LeaseUpRampPct,MIN(1,LeaseUpRampPct+(1-LeaseUpRampPct)*'LeaseUp'!MG$9/StabilizedOccupancy))</f>
        <v/>
      </c>
      <c r="MH10" s="53">
        <f>IF(343&lt;DeliverStart,LeaseUpRampPct,MIN(1,LeaseUpRampPct+(1-LeaseUpRampPct)*'LeaseUp'!MH$9/StabilizedOccupancy))</f>
        <v/>
      </c>
      <c r="MI10" s="53">
        <f>IF(344&lt;DeliverStart,LeaseUpRampPct,MIN(1,LeaseUpRampPct+(1-LeaseUpRampPct)*'LeaseUp'!MI$9/StabilizedOccupancy))</f>
        <v/>
      </c>
      <c r="MJ10" s="53">
        <f>IF(345&lt;DeliverStart,LeaseUpRampPct,MIN(1,LeaseUpRampPct+(1-LeaseUpRampPct)*'LeaseUp'!MJ$9/StabilizedOccupancy))</f>
        <v/>
      </c>
      <c r="MK10" s="53">
        <f>IF(346&lt;DeliverStart,LeaseUpRampPct,MIN(1,LeaseUpRampPct+(1-LeaseUpRampPct)*'LeaseUp'!MK$9/StabilizedOccupancy))</f>
        <v/>
      </c>
      <c r="ML10" s="53">
        <f>IF(347&lt;DeliverStart,LeaseUpRampPct,MIN(1,LeaseUpRampPct+(1-LeaseUpRampPct)*'LeaseUp'!ML$9/StabilizedOccupancy))</f>
        <v/>
      </c>
      <c r="MM10" s="53">
        <f>IF(348&lt;DeliverStart,LeaseUpRampPct,MIN(1,LeaseUpRampPct+(1-LeaseUpRampPct)*'LeaseUp'!MM$9/StabilizedOccupancy))</f>
        <v/>
      </c>
      <c r="MN10" s="53">
        <f>IF(349&lt;DeliverStart,LeaseUpRampPct,MIN(1,LeaseUpRampPct+(1-LeaseUpRampPct)*'LeaseUp'!MN$9/StabilizedOccupancy))</f>
        <v/>
      </c>
      <c r="MO10" s="53">
        <f>IF(350&lt;DeliverStart,LeaseUpRampPct,MIN(1,LeaseUpRampPct+(1-LeaseUpRampPct)*'LeaseUp'!MO$9/StabilizedOccupancy))</f>
        <v/>
      </c>
      <c r="MP10" s="53">
        <f>IF(351&lt;DeliverStart,LeaseUpRampPct,MIN(1,LeaseUpRampPct+(1-LeaseUpRampPct)*'LeaseUp'!MP$9/StabilizedOccupancy))</f>
        <v/>
      </c>
      <c r="MQ10" s="53">
        <f>IF(352&lt;DeliverStart,LeaseUpRampPct,MIN(1,LeaseUpRampPct+(1-LeaseUpRampPct)*'LeaseUp'!MQ$9/StabilizedOccupancy))</f>
        <v/>
      </c>
      <c r="MR10" s="53">
        <f>IF(353&lt;DeliverStart,LeaseUpRampPct,MIN(1,LeaseUpRampPct+(1-LeaseUpRampPct)*'LeaseUp'!MR$9/StabilizedOccupancy))</f>
        <v/>
      </c>
      <c r="MS10" s="53">
        <f>IF(354&lt;DeliverStart,LeaseUpRampPct,MIN(1,LeaseUpRampPct+(1-LeaseUpRampPct)*'LeaseUp'!MS$9/StabilizedOccupancy))</f>
        <v/>
      </c>
      <c r="MT10" s="53">
        <f>IF(355&lt;DeliverStart,LeaseUpRampPct,MIN(1,LeaseUpRampPct+(1-LeaseUpRampPct)*'LeaseUp'!MT$9/StabilizedOccupancy))</f>
        <v/>
      </c>
      <c r="MU10" s="53">
        <f>IF(356&lt;DeliverStart,LeaseUpRampPct,MIN(1,LeaseUpRampPct+(1-LeaseUpRampPct)*'LeaseUp'!MU$9/StabilizedOccupancy))</f>
        <v/>
      </c>
      <c r="MV10" s="53">
        <f>IF(357&lt;DeliverStart,LeaseUpRampPct,MIN(1,LeaseUpRampPct+(1-LeaseUpRampPct)*'LeaseUp'!MV$9/StabilizedOccupancy))</f>
        <v/>
      </c>
      <c r="MW10" s="53">
        <f>IF(358&lt;DeliverStart,LeaseUpRampPct,MIN(1,LeaseUpRampPct+(1-LeaseUpRampPct)*'LeaseUp'!MW$9/StabilizedOccupancy))</f>
        <v/>
      </c>
      <c r="MX10" s="53">
        <f>IF(359&lt;DeliverStart,LeaseUpRampPct,MIN(1,LeaseUpRampPct+(1-LeaseUpRampPct)*'LeaseUp'!MX$9/StabilizedOccupancy))</f>
        <v/>
      </c>
      <c r="MY10" s="53">
        <f>IF(360&lt;DeliverStart,LeaseUpRampPct,MIN(1,LeaseUpRampPct+(1-LeaseUpRampPct)*'LeaseUp'!MY$9/StabilizedOccupancy))</f>
        <v/>
      </c>
      <c r="MZ10" s="53">
        <f>IF(361&lt;DeliverStart,LeaseUpRampPct,MIN(1,LeaseUpRampPct+(1-LeaseUpRampPct)*'LeaseUp'!MZ$9/StabilizedOccupancy))</f>
        <v/>
      </c>
      <c r="NA10" s="53">
        <f>IF(362&lt;DeliverStart,LeaseUpRampPct,MIN(1,LeaseUpRampPct+(1-LeaseUpRampPct)*'LeaseUp'!NA$9/StabilizedOccupancy))</f>
        <v/>
      </c>
      <c r="NB10" s="53">
        <f>IF(363&lt;DeliverStart,LeaseUpRampPct,MIN(1,LeaseUpRampPct+(1-LeaseUpRampPct)*'LeaseUp'!NB$9/StabilizedOccupancy))</f>
        <v/>
      </c>
      <c r="NC10" s="53">
        <f>IF(364&lt;DeliverStart,LeaseUpRampPct,MIN(1,LeaseUpRampPct+(1-LeaseUpRampPct)*'LeaseUp'!NC$9/StabilizedOccupancy))</f>
        <v/>
      </c>
      <c r="ND10" s="53">
        <f>IF(365&lt;DeliverStart,LeaseUpRampPct,MIN(1,LeaseUpRampPct+(1-LeaseUpRampPct)*'LeaseUp'!ND$9/StabilizedOccupancy))</f>
        <v/>
      </c>
      <c r="NE10" s="53">
        <f>IF(366&lt;DeliverStart,LeaseUpRampPct,MIN(1,LeaseUpRampPct+(1-LeaseUpRampPct)*'LeaseUp'!NE$9/StabilizedOccupancy))</f>
        <v/>
      </c>
      <c r="NF10" s="53">
        <f>IF(367&lt;DeliverStart,LeaseUpRampPct,MIN(1,LeaseUpRampPct+(1-LeaseUpRampPct)*'LeaseUp'!NF$9/StabilizedOccupancy))</f>
        <v/>
      </c>
      <c r="NG10" s="53">
        <f>IF(368&lt;DeliverStart,LeaseUpRampPct,MIN(1,LeaseUpRampPct+(1-LeaseUpRampPct)*'LeaseUp'!NG$9/StabilizedOccupancy))</f>
        <v/>
      </c>
      <c r="NH10" s="53">
        <f>IF(369&lt;DeliverStart,LeaseUpRampPct,MIN(1,LeaseUpRampPct+(1-LeaseUpRampPct)*'LeaseUp'!NH$9/StabilizedOccupancy))</f>
        <v/>
      </c>
      <c r="NI10" s="53">
        <f>IF(370&lt;DeliverStart,LeaseUpRampPct,MIN(1,LeaseUpRampPct+(1-LeaseUpRampPct)*'LeaseUp'!NI$9/StabilizedOccupancy))</f>
        <v/>
      </c>
      <c r="NJ10" s="53">
        <f>IF(371&lt;DeliverStart,LeaseUpRampPct,MIN(1,LeaseUpRampPct+(1-LeaseUpRampPct)*'LeaseUp'!NJ$9/StabilizedOccupancy))</f>
        <v/>
      </c>
      <c r="NK10" s="53">
        <f>IF(372&lt;DeliverStart,LeaseUpRampPct,MIN(1,LeaseUpRampPct+(1-LeaseUpRampPct)*'LeaseUp'!NK$9/StabilizedOccupancy))</f>
        <v/>
      </c>
    </row>
    <row r="11">
      <c r="A11" s="5" t="inlineStr">
        <is>
          <t>Elevated-Expense Factor</t>
        </is>
      </c>
      <c r="C11" s="52" t="n"/>
      <c r="D11" s="53">
        <f>1+LeaseUpElevationPct*MAX(0,1-'LeaseUp'!D$9/StabilizedOccupancy)</f>
        <v/>
      </c>
      <c r="E11" s="53">
        <f>1+LeaseUpElevationPct*MAX(0,1-'LeaseUp'!E$9/StabilizedOccupancy)</f>
        <v/>
      </c>
      <c r="F11" s="53">
        <f>1+LeaseUpElevationPct*MAX(0,1-'LeaseUp'!F$9/StabilizedOccupancy)</f>
        <v/>
      </c>
      <c r="G11" s="53">
        <f>1+LeaseUpElevationPct*MAX(0,1-'LeaseUp'!G$9/StabilizedOccupancy)</f>
        <v/>
      </c>
      <c r="H11" s="53">
        <f>1+LeaseUpElevationPct*MAX(0,1-'LeaseUp'!H$9/StabilizedOccupancy)</f>
        <v/>
      </c>
      <c r="I11" s="53">
        <f>1+LeaseUpElevationPct*MAX(0,1-'LeaseUp'!I$9/StabilizedOccupancy)</f>
        <v/>
      </c>
      <c r="J11" s="53">
        <f>1+LeaseUpElevationPct*MAX(0,1-'LeaseUp'!J$9/StabilizedOccupancy)</f>
        <v/>
      </c>
      <c r="K11" s="53">
        <f>1+LeaseUpElevationPct*MAX(0,1-'LeaseUp'!K$9/StabilizedOccupancy)</f>
        <v/>
      </c>
      <c r="L11" s="53">
        <f>1+LeaseUpElevationPct*MAX(0,1-'LeaseUp'!L$9/StabilizedOccupancy)</f>
        <v/>
      </c>
      <c r="M11" s="53">
        <f>1+LeaseUpElevationPct*MAX(0,1-'LeaseUp'!M$9/StabilizedOccupancy)</f>
        <v/>
      </c>
      <c r="N11" s="53">
        <f>1+LeaseUpElevationPct*MAX(0,1-'LeaseUp'!N$9/StabilizedOccupancy)</f>
        <v/>
      </c>
      <c r="O11" s="53">
        <f>1+LeaseUpElevationPct*MAX(0,1-'LeaseUp'!O$9/StabilizedOccupancy)</f>
        <v/>
      </c>
      <c r="P11" s="53">
        <f>1+LeaseUpElevationPct*MAX(0,1-'LeaseUp'!P$9/StabilizedOccupancy)</f>
        <v/>
      </c>
      <c r="Q11" s="53">
        <f>1+LeaseUpElevationPct*MAX(0,1-'LeaseUp'!Q$9/StabilizedOccupancy)</f>
        <v/>
      </c>
      <c r="R11" s="53">
        <f>1+LeaseUpElevationPct*MAX(0,1-'LeaseUp'!R$9/StabilizedOccupancy)</f>
        <v/>
      </c>
      <c r="S11" s="53">
        <f>1+LeaseUpElevationPct*MAX(0,1-'LeaseUp'!S$9/StabilizedOccupancy)</f>
        <v/>
      </c>
      <c r="T11" s="53">
        <f>1+LeaseUpElevationPct*MAX(0,1-'LeaseUp'!T$9/StabilizedOccupancy)</f>
        <v/>
      </c>
      <c r="U11" s="53">
        <f>1+LeaseUpElevationPct*MAX(0,1-'LeaseUp'!U$9/StabilizedOccupancy)</f>
        <v/>
      </c>
      <c r="V11" s="53">
        <f>1+LeaseUpElevationPct*MAX(0,1-'LeaseUp'!V$9/StabilizedOccupancy)</f>
        <v/>
      </c>
      <c r="W11" s="53">
        <f>1+LeaseUpElevationPct*MAX(0,1-'LeaseUp'!W$9/StabilizedOccupancy)</f>
        <v/>
      </c>
      <c r="X11" s="53">
        <f>1+LeaseUpElevationPct*MAX(0,1-'LeaseUp'!X$9/StabilizedOccupancy)</f>
        <v/>
      </c>
      <c r="Y11" s="53">
        <f>1+LeaseUpElevationPct*MAX(0,1-'LeaseUp'!Y$9/StabilizedOccupancy)</f>
        <v/>
      </c>
      <c r="Z11" s="53">
        <f>1+LeaseUpElevationPct*MAX(0,1-'LeaseUp'!Z$9/StabilizedOccupancy)</f>
        <v/>
      </c>
      <c r="AA11" s="53">
        <f>1+LeaseUpElevationPct*MAX(0,1-'LeaseUp'!AA$9/StabilizedOccupancy)</f>
        <v/>
      </c>
      <c r="AB11" s="53">
        <f>1+LeaseUpElevationPct*MAX(0,1-'LeaseUp'!AB$9/StabilizedOccupancy)</f>
        <v/>
      </c>
      <c r="AC11" s="53">
        <f>1+LeaseUpElevationPct*MAX(0,1-'LeaseUp'!AC$9/StabilizedOccupancy)</f>
        <v/>
      </c>
      <c r="AD11" s="53">
        <f>1+LeaseUpElevationPct*MAX(0,1-'LeaseUp'!AD$9/StabilizedOccupancy)</f>
        <v/>
      </c>
      <c r="AE11" s="53">
        <f>1+LeaseUpElevationPct*MAX(0,1-'LeaseUp'!AE$9/StabilizedOccupancy)</f>
        <v/>
      </c>
      <c r="AF11" s="53">
        <f>1+LeaseUpElevationPct*MAX(0,1-'LeaseUp'!AF$9/StabilizedOccupancy)</f>
        <v/>
      </c>
      <c r="AG11" s="53">
        <f>1+LeaseUpElevationPct*MAX(0,1-'LeaseUp'!AG$9/StabilizedOccupancy)</f>
        <v/>
      </c>
      <c r="AH11" s="53">
        <f>1+LeaseUpElevationPct*MAX(0,1-'LeaseUp'!AH$9/StabilizedOccupancy)</f>
        <v/>
      </c>
      <c r="AI11" s="53">
        <f>1+LeaseUpElevationPct*MAX(0,1-'LeaseUp'!AI$9/StabilizedOccupancy)</f>
        <v/>
      </c>
      <c r="AJ11" s="53">
        <f>1+LeaseUpElevationPct*MAX(0,1-'LeaseUp'!AJ$9/StabilizedOccupancy)</f>
        <v/>
      </c>
      <c r="AK11" s="53">
        <f>1+LeaseUpElevationPct*MAX(0,1-'LeaseUp'!AK$9/StabilizedOccupancy)</f>
        <v/>
      </c>
      <c r="AL11" s="53">
        <f>1+LeaseUpElevationPct*MAX(0,1-'LeaseUp'!AL$9/StabilizedOccupancy)</f>
        <v/>
      </c>
      <c r="AM11" s="53">
        <f>1+LeaseUpElevationPct*MAX(0,1-'LeaseUp'!AM$9/StabilizedOccupancy)</f>
        <v/>
      </c>
      <c r="AN11" s="53">
        <f>1+LeaseUpElevationPct*MAX(0,1-'LeaseUp'!AN$9/StabilizedOccupancy)</f>
        <v/>
      </c>
      <c r="AO11" s="53">
        <f>1+LeaseUpElevationPct*MAX(0,1-'LeaseUp'!AO$9/StabilizedOccupancy)</f>
        <v/>
      </c>
      <c r="AP11" s="53">
        <f>1+LeaseUpElevationPct*MAX(0,1-'LeaseUp'!AP$9/StabilizedOccupancy)</f>
        <v/>
      </c>
      <c r="AQ11" s="53">
        <f>1+LeaseUpElevationPct*MAX(0,1-'LeaseUp'!AQ$9/StabilizedOccupancy)</f>
        <v/>
      </c>
      <c r="AR11" s="53">
        <f>1+LeaseUpElevationPct*MAX(0,1-'LeaseUp'!AR$9/StabilizedOccupancy)</f>
        <v/>
      </c>
      <c r="AS11" s="53">
        <f>1+LeaseUpElevationPct*MAX(0,1-'LeaseUp'!AS$9/StabilizedOccupancy)</f>
        <v/>
      </c>
      <c r="AT11" s="53">
        <f>1+LeaseUpElevationPct*MAX(0,1-'LeaseUp'!AT$9/StabilizedOccupancy)</f>
        <v/>
      </c>
      <c r="AU11" s="53">
        <f>1+LeaseUpElevationPct*MAX(0,1-'LeaseUp'!AU$9/StabilizedOccupancy)</f>
        <v/>
      </c>
      <c r="AV11" s="53">
        <f>1+LeaseUpElevationPct*MAX(0,1-'LeaseUp'!AV$9/StabilizedOccupancy)</f>
        <v/>
      </c>
      <c r="AW11" s="53">
        <f>1+LeaseUpElevationPct*MAX(0,1-'LeaseUp'!AW$9/StabilizedOccupancy)</f>
        <v/>
      </c>
      <c r="AX11" s="53">
        <f>1+LeaseUpElevationPct*MAX(0,1-'LeaseUp'!AX$9/StabilizedOccupancy)</f>
        <v/>
      </c>
      <c r="AY11" s="53">
        <f>1+LeaseUpElevationPct*MAX(0,1-'LeaseUp'!AY$9/StabilizedOccupancy)</f>
        <v/>
      </c>
      <c r="AZ11" s="53">
        <f>1+LeaseUpElevationPct*MAX(0,1-'LeaseUp'!AZ$9/StabilizedOccupancy)</f>
        <v/>
      </c>
      <c r="BA11" s="53">
        <f>1+LeaseUpElevationPct*MAX(0,1-'LeaseUp'!BA$9/StabilizedOccupancy)</f>
        <v/>
      </c>
      <c r="BB11" s="53">
        <f>1+LeaseUpElevationPct*MAX(0,1-'LeaseUp'!BB$9/StabilizedOccupancy)</f>
        <v/>
      </c>
      <c r="BC11" s="53">
        <f>1+LeaseUpElevationPct*MAX(0,1-'LeaseUp'!BC$9/StabilizedOccupancy)</f>
        <v/>
      </c>
      <c r="BD11" s="53">
        <f>1+LeaseUpElevationPct*MAX(0,1-'LeaseUp'!BD$9/StabilizedOccupancy)</f>
        <v/>
      </c>
      <c r="BE11" s="53">
        <f>1+LeaseUpElevationPct*MAX(0,1-'LeaseUp'!BE$9/StabilizedOccupancy)</f>
        <v/>
      </c>
      <c r="BF11" s="53">
        <f>1+LeaseUpElevationPct*MAX(0,1-'LeaseUp'!BF$9/StabilizedOccupancy)</f>
        <v/>
      </c>
      <c r="BG11" s="53">
        <f>1+LeaseUpElevationPct*MAX(0,1-'LeaseUp'!BG$9/StabilizedOccupancy)</f>
        <v/>
      </c>
      <c r="BH11" s="53">
        <f>1+LeaseUpElevationPct*MAX(0,1-'LeaseUp'!BH$9/StabilizedOccupancy)</f>
        <v/>
      </c>
      <c r="BI11" s="53">
        <f>1+LeaseUpElevationPct*MAX(0,1-'LeaseUp'!BI$9/StabilizedOccupancy)</f>
        <v/>
      </c>
      <c r="BJ11" s="53">
        <f>1+LeaseUpElevationPct*MAX(0,1-'LeaseUp'!BJ$9/StabilizedOccupancy)</f>
        <v/>
      </c>
      <c r="BK11" s="53">
        <f>1+LeaseUpElevationPct*MAX(0,1-'LeaseUp'!BK$9/StabilizedOccupancy)</f>
        <v/>
      </c>
      <c r="BL11" s="53">
        <f>1+LeaseUpElevationPct*MAX(0,1-'LeaseUp'!BL$9/StabilizedOccupancy)</f>
        <v/>
      </c>
      <c r="BM11" s="53">
        <f>1+LeaseUpElevationPct*MAX(0,1-'LeaseUp'!BM$9/StabilizedOccupancy)</f>
        <v/>
      </c>
      <c r="BN11" s="53">
        <f>1+LeaseUpElevationPct*MAX(0,1-'LeaseUp'!BN$9/StabilizedOccupancy)</f>
        <v/>
      </c>
      <c r="BO11" s="53">
        <f>1+LeaseUpElevationPct*MAX(0,1-'LeaseUp'!BO$9/StabilizedOccupancy)</f>
        <v/>
      </c>
      <c r="BP11" s="53">
        <f>1+LeaseUpElevationPct*MAX(0,1-'LeaseUp'!BP$9/StabilizedOccupancy)</f>
        <v/>
      </c>
      <c r="BQ11" s="53">
        <f>1+LeaseUpElevationPct*MAX(0,1-'LeaseUp'!BQ$9/StabilizedOccupancy)</f>
        <v/>
      </c>
      <c r="BR11" s="53">
        <f>1+LeaseUpElevationPct*MAX(0,1-'LeaseUp'!BR$9/StabilizedOccupancy)</f>
        <v/>
      </c>
      <c r="BS11" s="53">
        <f>1+LeaseUpElevationPct*MAX(0,1-'LeaseUp'!BS$9/StabilizedOccupancy)</f>
        <v/>
      </c>
      <c r="BT11" s="53">
        <f>1+LeaseUpElevationPct*MAX(0,1-'LeaseUp'!BT$9/StabilizedOccupancy)</f>
        <v/>
      </c>
      <c r="BU11" s="53">
        <f>1+LeaseUpElevationPct*MAX(0,1-'LeaseUp'!BU$9/StabilizedOccupancy)</f>
        <v/>
      </c>
      <c r="BV11" s="53">
        <f>1+LeaseUpElevationPct*MAX(0,1-'LeaseUp'!BV$9/StabilizedOccupancy)</f>
        <v/>
      </c>
      <c r="BW11" s="53">
        <f>1+LeaseUpElevationPct*MAX(0,1-'LeaseUp'!BW$9/StabilizedOccupancy)</f>
        <v/>
      </c>
      <c r="BX11" s="53">
        <f>1+LeaseUpElevationPct*MAX(0,1-'LeaseUp'!BX$9/StabilizedOccupancy)</f>
        <v/>
      </c>
      <c r="BY11" s="53">
        <f>1+LeaseUpElevationPct*MAX(0,1-'LeaseUp'!BY$9/StabilizedOccupancy)</f>
        <v/>
      </c>
      <c r="BZ11" s="53">
        <f>1+LeaseUpElevationPct*MAX(0,1-'LeaseUp'!BZ$9/StabilizedOccupancy)</f>
        <v/>
      </c>
      <c r="CA11" s="53">
        <f>1+LeaseUpElevationPct*MAX(0,1-'LeaseUp'!CA$9/StabilizedOccupancy)</f>
        <v/>
      </c>
      <c r="CB11" s="53">
        <f>1+LeaseUpElevationPct*MAX(0,1-'LeaseUp'!CB$9/StabilizedOccupancy)</f>
        <v/>
      </c>
      <c r="CC11" s="53">
        <f>1+LeaseUpElevationPct*MAX(0,1-'LeaseUp'!CC$9/StabilizedOccupancy)</f>
        <v/>
      </c>
      <c r="CD11" s="53">
        <f>1+LeaseUpElevationPct*MAX(0,1-'LeaseUp'!CD$9/StabilizedOccupancy)</f>
        <v/>
      </c>
      <c r="CE11" s="53">
        <f>1+LeaseUpElevationPct*MAX(0,1-'LeaseUp'!CE$9/StabilizedOccupancy)</f>
        <v/>
      </c>
      <c r="CF11" s="53">
        <f>1+LeaseUpElevationPct*MAX(0,1-'LeaseUp'!CF$9/StabilizedOccupancy)</f>
        <v/>
      </c>
      <c r="CG11" s="53">
        <f>1+LeaseUpElevationPct*MAX(0,1-'LeaseUp'!CG$9/StabilizedOccupancy)</f>
        <v/>
      </c>
      <c r="CH11" s="53">
        <f>1+LeaseUpElevationPct*MAX(0,1-'LeaseUp'!CH$9/StabilizedOccupancy)</f>
        <v/>
      </c>
      <c r="CI11" s="53">
        <f>1+LeaseUpElevationPct*MAX(0,1-'LeaseUp'!CI$9/StabilizedOccupancy)</f>
        <v/>
      </c>
      <c r="CJ11" s="53">
        <f>1+LeaseUpElevationPct*MAX(0,1-'LeaseUp'!CJ$9/StabilizedOccupancy)</f>
        <v/>
      </c>
      <c r="CK11" s="53">
        <f>1+LeaseUpElevationPct*MAX(0,1-'LeaseUp'!CK$9/StabilizedOccupancy)</f>
        <v/>
      </c>
      <c r="CL11" s="53">
        <f>1+LeaseUpElevationPct*MAX(0,1-'LeaseUp'!CL$9/StabilizedOccupancy)</f>
        <v/>
      </c>
      <c r="CM11" s="53">
        <f>1+LeaseUpElevationPct*MAX(0,1-'LeaseUp'!CM$9/StabilizedOccupancy)</f>
        <v/>
      </c>
      <c r="CN11" s="53">
        <f>1+LeaseUpElevationPct*MAX(0,1-'LeaseUp'!CN$9/StabilizedOccupancy)</f>
        <v/>
      </c>
      <c r="CO11" s="53">
        <f>1+LeaseUpElevationPct*MAX(0,1-'LeaseUp'!CO$9/StabilizedOccupancy)</f>
        <v/>
      </c>
      <c r="CP11" s="53">
        <f>1+LeaseUpElevationPct*MAX(0,1-'LeaseUp'!CP$9/StabilizedOccupancy)</f>
        <v/>
      </c>
      <c r="CQ11" s="53">
        <f>1+LeaseUpElevationPct*MAX(0,1-'LeaseUp'!CQ$9/StabilizedOccupancy)</f>
        <v/>
      </c>
      <c r="CR11" s="53">
        <f>1+LeaseUpElevationPct*MAX(0,1-'LeaseUp'!CR$9/StabilizedOccupancy)</f>
        <v/>
      </c>
      <c r="CS11" s="53">
        <f>1+LeaseUpElevationPct*MAX(0,1-'LeaseUp'!CS$9/StabilizedOccupancy)</f>
        <v/>
      </c>
      <c r="CT11" s="53">
        <f>1+LeaseUpElevationPct*MAX(0,1-'LeaseUp'!CT$9/StabilizedOccupancy)</f>
        <v/>
      </c>
      <c r="CU11" s="53">
        <f>1+LeaseUpElevationPct*MAX(0,1-'LeaseUp'!CU$9/StabilizedOccupancy)</f>
        <v/>
      </c>
      <c r="CV11" s="53">
        <f>1+LeaseUpElevationPct*MAX(0,1-'LeaseUp'!CV$9/StabilizedOccupancy)</f>
        <v/>
      </c>
      <c r="CW11" s="53">
        <f>1+LeaseUpElevationPct*MAX(0,1-'LeaseUp'!CW$9/StabilizedOccupancy)</f>
        <v/>
      </c>
      <c r="CX11" s="53">
        <f>1+LeaseUpElevationPct*MAX(0,1-'LeaseUp'!CX$9/StabilizedOccupancy)</f>
        <v/>
      </c>
      <c r="CY11" s="53">
        <f>1+LeaseUpElevationPct*MAX(0,1-'LeaseUp'!CY$9/StabilizedOccupancy)</f>
        <v/>
      </c>
      <c r="CZ11" s="53">
        <f>1+LeaseUpElevationPct*MAX(0,1-'LeaseUp'!CZ$9/StabilizedOccupancy)</f>
        <v/>
      </c>
      <c r="DA11" s="53">
        <f>1+LeaseUpElevationPct*MAX(0,1-'LeaseUp'!DA$9/StabilizedOccupancy)</f>
        <v/>
      </c>
      <c r="DB11" s="53">
        <f>1+LeaseUpElevationPct*MAX(0,1-'LeaseUp'!DB$9/StabilizedOccupancy)</f>
        <v/>
      </c>
      <c r="DC11" s="53">
        <f>1+LeaseUpElevationPct*MAX(0,1-'LeaseUp'!DC$9/StabilizedOccupancy)</f>
        <v/>
      </c>
      <c r="DD11" s="53">
        <f>1+LeaseUpElevationPct*MAX(0,1-'LeaseUp'!DD$9/StabilizedOccupancy)</f>
        <v/>
      </c>
      <c r="DE11" s="53">
        <f>1+LeaseUpElevationPct*MAX(0,1-'LeaseUp'!DE$9/StabilizedOccupancy)</f>
        <v/>
      </c>
      <c r="DF11" s="53">
        <f>1+LeaseUpElevationPct*MAX(0,1-'LeaseUp'!DF$9/StabilizedOccupancy)</f>
        <v/>
      </c>
      <c r="DG11" s="53">
        <f>1+LeaseUpElevationPct*MAX(0,1-'LeaseUp'!DG$9/StabilizedOccupancy)</f>
        <v/>
      </c>
      <c r="DH11" s="53">
        <f>1+LeaseUpElevationPct*MAX(0,1-'LeaseUp'!DH$9/StabilizedOccupancy)</f>
        <v/>
      </c>
      <c r="DI11" s="53">
        <f>1+LeaseUpElevationPct*MAX(0,1-'LeaseUp'!DI$9/StabilizedOccupancy)</f>
        <v/>
      </c>
      <c r="DJ11" s="53">
        <f>1+LeaseUpElevationPct*MAX(0,1-'LeaseUp'!DJ$9/StabilizedOccupancy)</f>
        <v/>
      </c>
      <c r="DK11" s="53">
        <f>1+LeaseUpElevationPct*MAX(0,1-'LeaseUp'!DK$9/StabilizedOccupancy)</f>
        <v/>
      </c>
      <c r="DL11" s="53">
        <f>1+LeaseUpElevationPct*MAX(0,1-'LeaseUp'!DL$9/StabilizedOccupancy)</f>
        <v/>
      </c>
      <c r="DM11" s="53">
        <f>1+LeaseUpElevationPct*MAX(0,1-'LeaseUp'!DM$9/StabilizedOccupancy)</f>
        <v/>
      </c>
      <c r="DN11" s="53">
        <f>1+LeaseUpElevationPct*MAX(0,1-'LeaseUp'!DN$9/StabilizedOccupancy)</f>
        <v/>
      </c>
      <c r="DO11" s="53">
        <f>1+LeaseUpElevationPct*MAX(0,1-'LeaseUp'!DO$9/StabilizedOccupancy)</f>
        <v/>
      </c>
      <c r="DP11" s="53">
        <f>1+LeaseUpElevationPct*MAX(0,1-'LeaseUp'!DP$9/StabilizedOccupancy)</f>
        <v/>
      </c>
      <c r="DQ11" s="53">
        <f>1+LeaseUpElevationPct*MAX(0,1-'LeaseUp'!DQ$9/StabilizedOccupancy)</f>
        <v/>
      </c>
      <c r="DR11" s="53">
        <f>1+LeaseUpElevationPct*MAX(0,1-'LeaseUp'!DR$9/StabilizedOccupancy)</f>
        <v/>
      </c>
      <c r="DS11" s="53">
        <f>1+LeaseUpElevationPct*MAX(0,1-'LeaseUp'!DS$9/StabilizedOccupancy)</f>
        <v/>
      </c>
      <c r="DT11" s="53">
        <f>1+LeaseUpElevationPct*MAX(0,1-'LeaseUp'!DT$9/StabilizedOccupancy)</f>
        <v/>
      </c>
      <c r="DU11" s="53">
        <f>1+LeaseUpElevationPct*MAX(0,1-'LeaseUp'!DU$9/StabilizedOccupancy)</f>
        <v/>
      </c>
      <c r="DV11" s="53">
        <f>1+LeaseUpElevationPct*MAX(0,1-'LeaseUp'!DV$9/StabilizedOccupancy)</f>
        <v/>
      </c>
      <c r="DW11" s="53">
        <f>1+LeaseUpElevationPct*MAX(0,1-'LeaseUp'!DW$9/StabilizedOccupancy)</f>
        <v/>
      </c>
      <c r="DX11" s="53">
        <f>1+LeaseUpElevationPct*MAX(0,1-'LeaseUp'!DX$9/StabilizedOccupancy)</f>
        <v/>
      </c>
      <c r="DY11" s="53">
        <f>1+LeaseUpElevationPct*MAX(0,1-'LeaseUp'!DY$9/StabilizedOccupancy)</f>
        <v/>
      </c>
      <c r="DZ11" s="53">
        <f>1+LeaseUpElevationPct*MAX(0,1-'LeaseUp'!DZ$9/StabilizedOccupancy)</f>
        <v/>
      </c>
      <c r="EA11" s="53">
        <f>1+LeaseUpElevationPct*MAX(0,1-'LeaseUp'!EA$9/StabilizedOccupancy)</f>
        <v/>
      </c>
      <c r="EB11" s="53">
        <f>1+LeaseUpElevationPct*MAX(0,1-'LeaseUp'!EB$9/StabilizedOccupancy)</f>
        <v/>
      </c>
      <c r="EC11" s="53">
        <f>1+LeaseUpElevationPct*MAX(0,1-'LeaseUp'!EC$9/StabilizedOccupancy)</f>
        <v/>
      </c>
      <c r="ED11" s="53">
        <f>1+LeaseUpElevationPct*MAX(0,1-'LeaseUp'!ED$9/StabilizedOccupancy)</f>
        <v/>
      </c>
      <c r="EE11" s="53">
        <f>1+LeaseUpElevationPct*MAX(0,1-'LeaseUp'!EE$9/StabilizedOccupancy)</f>
        <v/>
      </c>
      <c r="EF11" s="53">
        <f>1+LeaseUpElevationPct*MAX(0,1-'LeaseUp'!EF$9/StabilizedOccupancy)</f>
        <v/>
      </c>
      <c r="EG11" s="53">
        <f>1+LeaseUpElevationPct*MAX(0,1-'LeaseUp'!EG$9/StabilizedOccupancy)</f>
        <v/>
      </c>
      <c r="EH11" s="53">
        <f>1+LeaseUpElevationPct*MAX(0,1-'LeaseUp'!EH$9/StabilizedOccupancy)</f>
        <v/>
      </c>
      <c r="EI11" s="53">
        <f>1+LeaseUpElevationPct*MAX(0,1-'LeaseUp'!EI$9/StabilizedOccupancy)</f>
        <v/>
      </c>
      <c r="EJ11" s="53">
        <f>1+LeaseUpElevationPct*MAX(0,1-'LeaseUp'!EJ$9/StabilizedOccupancy)</f>
        <v/>
      </c>
      <c r="EK11" s="53">
        <f>1+LeaseUpElevationPct*MAX(0,1-'LeaseUp'!EK$9/StabilizedOccupancy)</f>
        <v/>
      </c>
      <c r="EL11" s="53">
        <f>1+LeaseUpElevationPct*MAX(0,1-'LeaseUp'!EL$9/StabilizedOccupancy)</f>
        <v/>
      </c>
      <c r="EM11" s="53">
        <f>1+LeaseUpElevationPct*MAX(0,1-'LeaseUp'!EM$9/StabilizedOccupancy)</f>
        <v/>
      </c>
      <c r="EN11" s="53">
        <f>1+LeaseUpElevationPct*MAX(0,1-'LeaseUp'!EN$9/StabilizedOccupancy)</f>
        <v/>
      </c>
      <c r="EO11" s="53">
        <f>1+LeaseUpElevationPct*MAX(0,1-'LeaseUp'!EO$9/StabilizedOccupancy)</f>
        <v/>
      </c>
      <c r="EP11" s="53">
        <f>1+LeaseUpElevationPct*MAX(0,1-'LeaseUp'!EP$9/StabilizedOccupancy)</f>
        <v/>
      </c>
      <c r="EQ11" s="53">
        <f>1+LeaseUpElevationPct*MAX(0,1-'LeaseUp'!EQ$9/StabilizedOccupancy)</f>
        <v/>
      </c>
      <c r="ER11" s="53">
        <f>1+LeaseUpElevationPct*MAX(0,1-'LeaseUp'!ER$9/StabilizedOccupancy)</f>
        <v/>
      </c>
      <c r="ES11" s="53">
        <f>1+LeaseUpElevationPct*MAX(0,1-'LeaseUp'!ES$9/StabilizedOccupancy)</f>
        <v/>
      </c>
      <c r="ET11" s="53">
        <f>1+LeaseUpElevationPct*MAX(0,1-'LeaseUp'!ET$9/StabilizedOccupancy)</f>
        <v/>
      </c>
      <c r="EU11" s="53">
        <f>1+LeaseUpElevationPct*MAX(0,1-'LeaseUp'!EU$9/StabilizedOccupancy)</f>
        <v/>
      </c>
      <c r="EV11" s="53">
        <f>1+LeaseUpElevationPct*MAX(0,1-'LeaseUp'!EV$9/StabilizedOccupancy)</f>
        <v/>
      </c>
      <c r="EW11" s="53">
        <f>1+LeaseUpElevationPct*MAX(0,1-'LeaseUp'!EW$9/StabilizedOccupancy)</f>
        <v/>
      </c>
      <c r="EX11" s="53">
        <f>1+LeaseUpElevationPct*MAX(0,1-'LeaseUp'!EX$9/StabilizedOccupancy)</f>
        <v/>
      </c>
      <c r="EY11" s="53">
        <f>1+LeaseUpElevationPct*MAX(0,1-'LeaseUp'!EY$9/StabilizedOccupancy)</f>
        <v/>
      </c>
      <c r="EZ11" s="53">
        <f>1+LeaseUpElevationPct*MAX(0,1-'LeaseUp'!EZ$9/StabilizedOccupancy)</f>
        <v/>
      </c>
      <c r="FA11" s="53">
        <f>1+LeaseUpElevationPct*MAX(0,1-'LeaseUp'!FA$9/StabilizedOccupancy)</f>
        <v/>
      </c>
      <c r="FB11" s="53">
        <f>1+LeaseUpElevationPct*MAX(0,1-'LeaseUp'!FB$9/StabilizedOccupancy)</f>
        <v/>
      </c>
      <c r="FC11" s="53">
        <f>1+LeaseUpElevationPct*MAX(0,1-'LeaseUp'!FC$9/StabilizedOccupancy)</f>
        <v/>
      </c>
      <c r="FD11" s="53">
        <f>1+LeaseUpElevationPct*MAX(0,1-'LeaseUp'!FD$9/StabilizedOccupancy)</f>
        <v/>
      </c>
      <c r="FE11" s="53">
        <f>1+LeaseUpElevationPct*MAX(0,1-'LeaseUp'!FE$9/StabilizedOccupancy)</f>
        <v/>
      </c>
      <c r="FF11" s="53">
        <f>1+LeaseUpElevationPct*MAX(0,1-'LeaseUp'!FF$9/StabilizedOccupancy)</f>
        <v/>
      </c>
      <c r="FG11" s="53">
        <f>1+LeaseUpElevationPct*MAX(0,1-'LeaseUp'!FG$9/StabilizedOccupancy)</f>
        <v/>
      </c>
      <c r="FH11" s="53">
        <f>1+LeaseUpElevationPct*MAX(0,1-'LeaseUp'!FH$9/StabilizedOccupancy)</f>
        <v/>
      </c>
      <c r="FI11" s="53">
        <f>1+LeaseUpElevationPct*MAX(0,1-'LeaseUp'!FI$9/StabilizedOccupancy)</f>
        <v/>
      </c>
      <c r="FJ11" s="53">
        <f>1+LeaseUpElevationPct*MAX(0,1-'LeaseUp'!FJ$9/StabilizedOccupancy)</f>
        <v/>
      </c>
      <c r="FK11" s="53">
        <f>1+LeaseUpElevationPct*MAX(0,1-'LeaseUp'!FK$9/StabilizedOccupancy)</f>
        <v/>
      </c>
      <c r="FL11" s="53">
        <f>1+LeaseUpElevationPct*MAX(0,1-'LeaseUp'!FL$9/StabilizedOccupancy)</f>
        <v/>
      </c>
      <c r="FM11" s="53">
        <f>1+LeaseUpElevationPct*MAX(0,1-'LeaseUp'!FM$9/StabilizedOccupancy)</f>
        <v/>
      </c>
      <c r="FN11" s="53">
        <f>1+LeaseUpElevationPct*MAX(0,1-'LeaseUp'!FN$9/StabilizedOccupancy)</f>
        <v/>
      </c>
      <c r="FO11" s="53">
        <f>1+LeaseUpElevationPct*MAX(0,1-'LeaseUp'!FO$9/StabilizedOccupancy)</f>
        <v/>
      </c>
      <c r="FP11" s="53">
        <f>1+LeaseUpElevationPct*MAX(0,1-'LeaseUp'!FP$9/StabilizedOccupancy)</f>
        <v/>
      </c>
      <c r="FQ11" s="53">
        <f>1+LeaseUpElevationPct*MAX(0,1-'LeaseUp'!FQ$9/StabilizedOccupancy)</f>
        <v/>
      </c>
      <c r="FR11" s="53">
        <f>1+LeaseUpElevationPct*MAX(0,1-'LeaseUp'!FR$9/StabilizedOccupancy)</f>
        <v/>
      </c>
      <c r="FS11" s="53">
        <f>1+LeaseUpElevationPct*MAX(0,1-'LeaseUp'!FS$9/StabilizedOccupancy)</f>
        <v/>
      </c>
      <c r="FT11" s="53">
        <f>1+LeaseUpElevationPct*MAX(0,1-'LeaseUp'!FT$9/StabilizedOccupancy)</f>
        <v/>
      </c>
      <c r="FU11" s="53">
        <f>1+LeaseUpElevationPct*MAX(0,1-'LeaseUp'!FU$9/StabilizedOccupancy)</f>
        <v/>
      </c>
      <c r="FV11" s="53">
        <f>1+LeaseUpElevationPct*MAX(0,1-'LeaseUp'!FV$9/StabilizedOccupancy)</f>
        <v/>
      </c>
      <c r="FW11" s="53">
        <f>1+LeaseUpElevationPct*MAX(0,1-'LeaseUp'!FW$9/StabilizedOccupancy)</f>
        <v/>
      </c>
      <c r="FX11" s="53">
        <f>1+LeaseUpElevationPct*MAX(0,1-'LeaseUp'!FX$9/StabilizedOccupancy)</f>
        <v/>
      </c>
      <c r="FY11" s="53">
        <f>1+LeaseUpElevationPct*MAX(0,1-'LeaseUp'!FY$9/StabilizedOccupancy)</f>
        <v/>
      </c>
      <c r="FZ11" s="53">
        <f>1+LeaseUpElevationPct*MAX(0,1-'LeaseUp'!FZ$9/StabilizedOccupancy)</f>
        <v/>
      </c>
      <c r="GA11" s="53">
        <f>1+LeaseUpElevationPct*MAX(0,1-'LeaseUp'!GA$9/StabilizedOccupancy)</f>
        <v/>
      </c>
      <c r="GB11" s="53">
        <f>1+LeaseUpElevationPct*MAX(0,1-'LeaseUp'!GB$9/StabilizedOccupancy)</f>
        <v/>
      </c>
      <c r="GC11" s="53">
        <f>1+LeaseUpElevationPct*MAX(0,1-'LeaseUp'!GC$9/StabilizedOccupancy)</f>
        <v/>
      </c>
      <c r="GD11" s="53">
        <f>1+LeaseUpElevationPct*MAX(0,1-'LeaseUp'!GD$9/StabilizedOccupancy)</f>
        <v/>
      </c>
      <c r="GE11" s="53">
        <f>1+LeaseUpElevationPct*MAX(0,1-'LeaseUp'!GE$9/StabilizedOccupancy)</f>
        <v/>
      </c>
      <c r="GF11" s="53">
        <f>1+LeaseUpElevationPct*MAX(0,1-'LeaseUp'!GF$9/StabilizedOccupancy)</f>
        <v/>
      </c>
      <c r="GG11" s="53">
        <f>1+LeaseUpElevationPct*MAX(0,1-'LeaseUp'!GG$9/StabilizedOccupancy)</f>
        <v/>
      </c>
      <c r="GH11" s="53">
        <f>1+LeaseUpElevationPct*MAX(0,1-'LeaseUp'!GH$9/StabilizedOccupancy)</f>
        <v/>
      </c>
      <c r="GI11" s="53">
        <f>1+LeaseUpElevationPct*MAX(0,1-'LeaseUp'!GI$9/StabilizedOccupancy)</f>
        <v/>
      </c>
      <c r="GJ11" s="53">
        <f>1+LeaseUpElevationPct*MAX(0,1-'LeaseUp'!GJ$9/StabilizedOccupancy)</f>
        <v/>
      </c>
      <c r="GK11" s="53">
        <f>1+LeaseUpElevationPct*MAX(0,1-'LeaseUp'!GK$9/StabilizedOccupancy)</f>
        <v/>
      </c>
      <c r="GL11" s="53">
        <f>1+LeaseUpElevationPct*MAX(0,1-'LeaseUp'!GL$9/StabilizedOccupancy)</f>
        <v/>
      </c>
      <c r="GM11" s="53">
        <f>1+LeaseUpElevationPct*MAX(0,1-'LeaseUp'!GM$9/StabilizedOccupancy)</f>
        <v/>
      </c>
      <c r="GN11" s="53">
        <f>1+LeaseUpElevationPct*MAX(0,1-'LeaseUp'!GN$9/StabilizedOccupancy)</f>
        <v/>
      </c>
      <c r="GO11" s="53">
        <f>1+LeaseUpElevationPct*MAX(0,1-'LeaseUp'!GO$9/StabilizedOccupancy)</f>
        <v/>
      </c>
      <c r="GP11" s="53">
        <f>1+LeaseUpElevationPct*MAX(0,1-'LeaseUp'!GP$9/StabilizedOccupancy)</f>
        <v/>
      </c>
      <c r="GQ11" s="53">
        <f>1+LeaseUpElevationPct*MAX(0,1-'LeaseUp'!GQ$9/StabilizedOccupancy)</f>
        <v/>
      </c>
      <c r="GR11" s="53">
        <f>1+LeaseUpElevationPct*MAX(0,1-'LeaseUp'!GR$9/StabilizedOccupancy)</f>
        <v/>
      </c>
      <c r="GS11" s="53">
        <f>1+LeaseUpElevationPct*MAX(0,1-'LeaseUp'!GS$9/StabilizedOccupancy)</f>
        <v/>
      </c>
      <c r="GT11" s="53">
        <f>1+LeaseUpElevationPct*MAX(0,1-'LeaseUp'!GT$9/StabilizedOccupancy)</f>
        <v/>
      </c>
      <c r="GU11" s="53">
        <f>1+LeaseUpElevationPct*MAX(0,1-'LeaseUp'!GU$9/StabilizedOccupancy)</f>
        <v/>
      </c>
      <c r="GV11" s="53">
        <f>1+LeaseUpElevationPct*MAX(0,1-'LeaseUp'!GV$9/StabilizedOccupancy)</f>
        <v/>
      </c>
      <c r="GW11" s="53">
        <f>1+LeaseUpElevationPct*MAX(0,1-'LeaseUp'!GW$9/StabilizedOccupancy)</f>
        <v/>
      </c>
      <c r="GX11" s="53">
        <f>1+LeaseUpElevationPct*MAX(0,1-'LeaseUp'!GX$9/StabilizedOccupancy)</f>
        <v/>
      </c>
      <c r="GY11" s="53">
        <f>1+LeaseUpElevationPct*MAX(0,1-'LeaseUp'!GY$9/StabilizedOccupancy)</f>
        <v/>
      </c>
      <c r="GZ11" s="53">
        <f>1+LeaseUpElevationPct*MAX(0,1-'LeaseUp'!GZ$9/StabilizedOccupancy)</f>
        <v/>
      </c>
      <c r="HA11" s="53">
        <f>1+LeaseUpElevationPct*MAX(0,1-'LeaseUp'!HA$9/StabilizedOccupancy)</f>
        <v/>
      </c>
      <c r="HB11" s="53">
        <f>1+LeaseUpElevationPct*MAX(0,1-'LeaseUp'!HB$9/StabilizedOccupancy)</f>
        <v/>
      </c>
      <c r="HC11" s="53">
        <f>1+LeaseUpElevationPct*MAX(0,1-'LeaseUp'!HC$9/StabilizedOccupancy)</f>
        <v/>
      </c>
      <c r="HD11" s="53">
        <f>1+LeaseUpElevationPct*MAX(0,1-'LeaseUp'!HD$9/StabilizedOccupancy)</f>
        <v/>
      </c>
      <c r="HE11" s="53">
        <f>1+LeaseUpElevationPct*MAX(0,1-'LeaseUp'!HE$9/StabilizedOccupancy)</f>
        <v/>
      </c>
      <c r="HF11" s="53">
        <f>1+LeaseUpElevationPct*MAX(0,1-'LeaseUp'!HF$9/StabilizedOccupancy)</f>
        <v/>
      </c>
      <c r="HG11" s="53">
        <f>1+LeaseUpElevationPct*MAX(0,1-'LeaseUp'!HG$9/StabilizedOccupancy)</f>
        <v/>
      </c>
      <c r="HH11" s="53">
        <f>1+LeaseUpElevationPct*MAX(0,1-'LeaseUp'!HH$9/StabilizedOccupancy)</f>
        <v/>
      </c>
      <c r="HI11" s="53">
        <f>1+LeaseUpElevationPct*MAX(0,1-'LeaseUp'!HI$9/StabilizedOccupancy)</f>
        <v/>
      </c>
      <c r="HJ11" s="53">
        <f>1+LeaseUpElevationPct*MAX(0,1-'LeaseUp'!HJ$9/StabilizedOccupancy)</f>
        <v/>
      </c>
      <c r="HK11" s="53">
        <f>1+LeaseUpElevationPct*MAX(0,1-'LeaseUp'!HK$9/StabilizedOccupancy)</f>
        <v/>
      </c>
      <c r="HL11" s="53">
        <f>1+LeaseUpElevationPct*MAX(0,1-'LeaseUp'!HL$9/StabilizedOccupancy)</f>
        <v/>
      </c>
      <c r="HM11" s="53">
        <f>1+LeaseUpElevationPct*MAX(0,1-'LeaseUp'!HM$9/StabilizedOccupancy)</f>
        <v/>
      </c>
      <c r="HN11" s="53">
        <f>1+LeaseUpElevationPct*MAX(0,1-'LeaseUp'!HN$9/StabilizedOccupancy)</f>
        <v/>
      </c>
      <c r="HO11" s="53">
        <f>1+LeaseUpElevationPct*MAX(0,1-'LeaseUp'!HO$9/StabilizedOccupancy)</f>
        <v/>
      </c>
      <c r="HP11" s="53">
        <f>1+LeaseUpElevationPct*MAX(0,1-'LeaseUp'!HP$9/StabilizedOccupancy)</f>
        <v/>
      </c>
      <c r="HQ11" s="53">
        <f>1+LeaseUpElevationPct*MAX(0,1-'LeaseUp'!HQ$9/StabilizedOccupancy)</f>
        <v/>
      </c>
      <c r="HR11" s="53">
        <f>1+LeaseUpElevationPct*MAX(0,1-'LeaseUp'!HR$9/StabilizedOccupancy)</f>
        <v/>
      </c>
      <c r="HS11" s="53">
        <f>1+LeaseUpElevationPct*MAX(0,1-'LeaseUp'!HS$9/StabilizedOccupancy)</f>
        <v/>
      </c>
      <c r="HT11" s="53">
        <f>1+LeaseUpElevationPct*MAX(0,1-'LeaseUp'!HT$9/StabilizedOccupancy)</f>
        <v/>
      </c>
      <c r="HU11" s="53">
        <f>1+LeaseUpElevationPct*MAX(0,1-'LeaseUp'!HU$9/StabilizedOccupancy)</f>
        <v/>
      </c>
      <c r="HV11" s="53">
        <f>1+LeaseUpElevationPct*MAX(0,1-'LeaseUp'!HV$9/StabilizedOccupancy)</f>
        <v/>
      </c>
      <c r="HW11" s="53">
        <f>1+LeaseUpElevationPct*MAX(0,1-'LeaseUp'!HW$9/StabilizedOccupancy)</f>
        <v/>
      </c>
      <c r="HX11" s="53">
        <f>1+LeaseUpElevationPct*MAX(0,1-'LeaseUp'!HX$9/StabilizedOccupancy)</f>
        <v/>
      </c>
      <c r="HY11" s="53">
        <f>1+LeaseUpElevationPct*MAX(0,1-'LeaseUp'!HY$9/StabilizedOccupancy)</f>
        <v/>
      </c>
      <c r="HZ11" s="53">
        <f>1+LeaseUpElevationPct*MAX(0,1-'LeaseUp'!HZ$9/StabilizedOccupancy)</f>
        <v/>
      </c>
      <c r="IA11" s="53">
        <f>1+LeaseUpElevationPct*MAX(0,1-'LeaseUp'!IA$9/StabilizedOccupancy)</f>
        <v/>
      </c>
      <c r="IB11" s="53">
        <f>1+LeaseUpElevationPct*MAX(0,1-'LeaseUp'!IB$9/StabilizedOccupancy)</f>
        <v/>
      </c>
      <c r="IC11" s="53">
        <f>1+LeaseUpElevationPct*MAX(0,1-'LeaseUp'!IC$9/StabilizedOccupancy)</f>
        <v/>
      </c>
      <c r="ID11" s="53">
        <f>1+LeaseUpElevationPct*MAX(0,1-'LeaseUp'!ID$9/StabilizedOccupancy)</f>
        <v/>
      </c>
      <c r="IE11" s="53">
        <f>1+LeaseUpElevationPct*MAX(0,1-'LeaseUp'!IE$9/StabilizedOccupancy)</f>
        <v/>
      </c>
      <c r="IF11" s="53">
        <f>1+LeaseUpElevationPct*MAX(0,1-'LeaseUp'!IF$9/StabilizedOccupancy)</f>
        <v/>
      </c>
      <c r="IG11" s="53">
        <f>1+LeaseUpElevationPct*MAX(0,1-'LeaseUp'!IG$9/StabilizedOccupancy)</f>
        <v/>
      </c>
      <c r="IH11" s="53">
        <f>1+LeaseUpElevationPct*MAX(0,1-'LeaseUp'!IH$9/StabilizedOccupancy)</f>
        <v/>
      </c>
      <c r="II11" s="53">
        <f>1+LeaseUpElevationPct*MAX(0,1-'LeaseUp'!II$9/StabilizedOccupancy)</f>
        <v/>
      </c>
      <c r="IJ11" s="53">
        <f>1+LeaseUpElevationPct*MAX(0,1-'LeaseUp'!IJ$9/StabilizedOccupancy)</f>
        <v/>
      </c>
      <c r="IK11" s="53">
        <f>1+LeaseUpElevationPct*MAX(0,1-'LeaseUp'!IK$9/StabilizedOccupancy)</f>
        <v/>
      </c>
      <c r="IL11" s="53">
        <f>1+LeaseUpElevationPct*MAX(0,1-'LeaseUp'!IL$9/StabilizedOccupancy)</f>
        <v/>
      </c>
      <c r="IM11" s="53">
        <f>1+LeaseUpElevationPct*MAX(0,1-'LeaseUp'!IM$9/StabilizedOccupancy)</f>
        <v/>
      </c>
      <c r="IN11" s="53">
        <f>1+LeaseUpElevationPct*MAX(0,1-'LeaseUp'!IN$9/StabilizedOccupancy)</f>
        <v/>
      </c>
      <c r="IO11" s="53">
        <f>1+LeaseUpElevationPct*MAX(0,1-'LeaseUp'!IO$9/StabilizedOccupancy)</f>
        <v/>
      </c>
      <c r="IP11" s="53">
        <f>1+LeaseUpElevationPct*MAX(0,1-'LeaseUp'!IP$9/StabilizedOccupancy)</f>
        <v/>
      </c>
      <c r="IQ11" s="53">
        <f>1+LeaseUpElevationPct*MAX(0,1-'LeaseUp'!IQ$9/StabilizedOccupancy)</f>
        <v/>
      </c>
      <c r="IR11" s="53">
        <f>1+LeaseUpElevationPct*MAX(0,1-'LeaseUp'!IR$9/StabilizedOccupancy)</f>
        <v/>
      </c>
      <c r="IS11" s="53">
        <f>1+LeaseUpElevationPct*MAX(0,1-'LeaseUp'!IS$9/StabilizedOccupancy)</f>
        <v/>
      </c>
      <c r="IT11" s="53">
        <f>1+LeaseUpElevationPct*MAX(0,1-'LeaseUp'!IT$9/StabilizedOccupancy)</f>
        <v/>
      </c>
      <c r="IU11" s="53">
        <f>1+LeaseUpElevationPct*MAX(0,1-'LeaseUp'!IU$9/StabilizedOccupancy)</f>
        <v/>
      </c>
      <c r="IV11" s="53">
        <f>1+LeaseUpElevationPct*MAX(0,1-'LeaseUp'!IV$9/StabilizedOccupancy)</f>
        <v/>
      </c>
      <c r="IW11" s="53">
        <f>1+LeaseUpElevationPct*MAX(0,1-'LeaseUp'!IW$9/StabilizedOccupancy)</f>
        <v/>
      </c>
      <c r="IX11" s="53">
        <f>1+LeaseUpElevationPct*MAX(0,1-'LeaseUp'!IX$9/StabilizedOccupancy)</f>
        <v/>
      </c>
      <c r="IY11" s="53">
        <f>1+LeaseUpElevationPct*MAX(0,1-'LeaseUp'!IY$9/StabilizedOccupancy)</f>
        <v/>
      </c>
      <c r="IZ11" s="53">
        <f>1+LeaseUpElevationPct*MAX(0,1-'LeaseUp'!IZ$9/StabilizedOccupancy)</f>
        <v/>
      </c>
      <c r="JA11" s="53">
        <f>1+LeaseUpElevationPct*MAX(0,1-'LeaseUp'!JA$9/StabilizedOccupancy)</f>
        <v/>
      </c>
      <c r="JB11" s="53">
        <f>1+LeaseUpElevationPct*MAX(0,1-'LeaseUp'!JB$9/StabilizedOccupancy)</f>
        <v/>
      </c>
      <c r="JC11" s="53">
        <f>1+LeaseUpElevationPct*MAX(0,1-'LeaseUp'!JC$9/StabilizedOccupancy)</f>
        <v/>
      </c>
      <c r="JD11" s="53">
        <f>1+LeaseUpElevationPct*MAX(0,1-'LeaseUp'!JD$9/StabilizedOccupancy)</f>
        <v/>
      </c>
      <c r="JE11" s="53">
        <f>1+LeaseUpElevationPct*MAX(0,1-'LeaseUp'!JE$9/StabilizedOccupancy)</f>
        <v/>
      </c>
      <c r="JF11" s="53">
        <f>1+LeaseUpElevationPct*MAX(0,1-'LeaseUp'!JF$9/StabilizedOccupancy)</f>
        <v/>
      </c>
      <c r="JG11" s="53">
        <f>1+LeaseUpElevationPct*MAX(0,1-'LeaseUp'!JG$9/StabilizedOccupancy)</f>
        <v/>
      </c>
      <c r="JH11" s="53">
        <f>1+LeaseUpElevationPct*MAX(0,1-'LeaseUp'!JH$9/StabilizedOccupancy)</f>
        <v/>
      </c>
      <c r="JI11" s="53">
        <f>1+LeaseUpElevationPct*MAX(0,1-'LeaseUp'!JI$9/StabilizedOccupancy)</f>
        <v/>
      </c>
      <c r="JJ11" s="53">
        <f>1+LeaseUpElevationPct*MAX(0,1-'LeaseUp'!JJ$9/StabilizedOccupancy)</f>
        <v/>
      </c>
      <c r="JK11" s="53">
        <f>1+LeaseUpElevationPct*MAX(0,1-'LeaseUp'!JK$9/StabilizedOccupancy)</f>
        <v/>
      </c>
      <c r="JL11" s="53">
        <f>1+LeaseUpElevationPct*MAX(0,1-'LeaseUp'!JL$9/StabilizedOccupancy)</f>
        <v/>
      </c>
      <c r="JM11" s="53">
        <f>1+LeaseUpElevationPct*MAX(0,1-'LeaseUp'!JM$9/StabilizedOccupancy)</f>
        <v/>
      </c>
      <c r="JN11" s="53">
        <f>1+LeaseUpElevationPct*MAX(0,1-'LeaseUp'!JN$9/StabilizedOccupancy)</f>
        <v/>
      </c>
      <c r="JO11" s="53">
        <f>1+LeaseUpElevationPct*MAX(0,1-'LeaseUp'!JO$9/StabilizedOccupancy)</f>
        <v/>
      </c>
      <c r="JP11" s="53">
        <f>1+LeaseUpElevationPct*MAX(0,1-'LeaseUp'!JP$9/StabilizedOccupancy)</f>
        <v/>
      </c>
      <c r="JQ11" s="53">
        <f>1+LeaseUpElevationPct*MAX(0,1-'LeaseUp'!JQ$9/StabilizedOccupancy)</f>
        <v/>
      </c>
      <c r="JR11" s="53">
        <f>1+LeaseUpElevationPct*MAX(0,1-'LeaseUp'!JR$9/StabilizedOccupancy)</f>
        <v/>
      </c>
      <c r="JS11" s="53">
        <f>1+LeaseUpElevationPct*MAX(0,1-'LeaseUp'!JS$9/StabilizedOccupancy)</f>
        <v/>
      </c>
      <c r="JT11" s="53">
        <f>1+LeaseUpElevationPct*MAX(0,1-'LeaseUp'!JT$9/StabilizedOccupancy)</f>
        <v/>
      </c>
      <c r="JU11" s="53">
        <f>1+LeaseUpElevationPct*MAX(0,1-'LeaseUp'!JU$9/StabilizedOccupancy)</f>
        <v/>
      </c>
      <c r="JV11" s="53">
        <f>1+LeaseUpElevationPct*MAX(0,1-'LeaseUp'!JV$9/StabilizedOccupancy)</f>
        <v/>
      </c>
      <c r="JW11" s="53">
        <f>1+LeaseUpElevationPct*MAX(0,1-'LeaseUp'!JW$9/StabilizedOccupancy)</f>
        <v/>
      </c>
      <c r="JX11" s="53">
        <f>1+LeaseUpElevationPct*MAX(0,1-'LeaseUp'!JX$9/StabilizedOccupancy)</f>
        <v/>
      </c>
      <c r="JY11" s="53">
        <f>1+LeaseUpElevationPct*MAX(0,1-'LeaseUp'!JY$9/StabilizedOccupancy)</f>
        <v/>
      </c>
      <c r="JZ11" s="53">
        <f>1+LeaseUpElevationPct*MAX(0,1-'LeaseUp'!JZ$9/StabilizedOccupancy)</f>
        <v/>
      </c>
      <c r="KA11" s="53">
        <f>1+LeaseUpElevationPct*MAX(0,1-'LeaseUp'!KA$9/StabilizedOccupancy)</f>
        <v/>
      </c>
      <c r="KB11" s="53">
        <f>1+LeaseUpElevationPct*MAX(0,1-'LeaseUp'!KB$9/StabilizedOccupancy)</f>
        <v/>
      </c>
      <c r="KC11" s="53">
        <f>1+LeaseUpElevationPct*MAX(0,1-'LeaseUp'!KC$9/StabilizedOccupancy)</f>
        <v/>
      </c>
      <c r="KD11" s="53">
        <f>1+LeaseUpElevationPct*MAX(0,1-'LeaseUp'!KD$9/StabilizedOccupancy)</f>
        <v/>
      </c>
      <c r="KE11" s="53">
        <f>1+LeaseUpElevationPct*MAX(0,1-'LeaseUp'!KE$9/StabilizedOccupancy)</f>
        <v/>
      </c>
      <c r="KF11" s="53">
        <f>1+LeaseUpElevationPct*MAX(0,1-'LeaseUp'!KF$9/StabilizedOccupancy)</f>
        <v/>
      </c>
      <c r="KG11" s="53">
        <f>1+LeaseUpElevationPct*MAX(0,1-'LeaseUp'!KG$9/StabilizedOccupancy)</f>
        <v/>
      </c>
      <c r="KH11" s="53">
        <f>1+LeaseUpElevationPct*MAX(0,1-'LeaseUp'!KH$9/StabilizedOccupancy)</f>
        <v/>
      </c>
      <c r="KI11" s="53">
        <f>1+LeaseUpElevationPct*MAX(0,1-'LeaseUp'!KI$9/StabilizedOccupancy)</f>
        <v/>
      </c>
      <c r="KJ11" s="53">
        <f>1+LeaseUpElevationPct*MAX(0,1-'LeaseUp'!KJ$9/StabilizedOccupancy)</f>
        <v/>
      </c>
      <c r="KK11" s="53">
        <f>1+LeaseUpElevationPct*MAX(0,1-'LeaseUp'!KK$9/StabilizedOccupancy)</f>
        <v/>
      </c>
      <c r="KL11" s="53">
        <f>1+LeaseUpElevationPct*MAX(0,1-'LeaseUp'!KL$9/StabilizedOccupancy)</f>
        <v/>
      </c>
      <c r="KM11" s="53">
        <f>1+LeaseUpElevationPct*MAX(0,1-'LeaseUp'!KM$9/StabilizedOccupancy)</f>
        <v/>
      </c>
      <c r="KN11" s="53">
        <f>1+LeaseUpElevationPct*MAX(0,1-'LeaseUp'!KN$9/StabilizedOccupancy)</f>
        <v/>
      </c>
      <c r="KO11" s="53">
        <f>1+LeaseUpElevationPct*MAX(0,1-'LeaseUp'!KO$9/StabilizedOccupancy)</f>
        <v/>
      </c>
      <c r="KP11" s="53">
        <f>1+LeaseUpElevationPct*MAX(0,1-'LeaseUp'!KP$9/StabilizedOccupancy)</f>
        <v/>
      </c>
      <c r="KQ11" s="53">
        <f>1+LeaseUpElevationPct*MAX(0,1-'LeaseUp'!KQ$9/StabilizedOccupancy)</f>
        <v/>
      </c>
      <c r="KR11" s="53">
        <f>1+LeaseUpElevationPct*MAX(0,1-'LeaseUp'!KR$9/StabilizedOccupancy)</f>
        <v/>
      </c>
      <c r="KS11" s="53">
        <f>1+LeaseUpElevationPct*MAX(0,1-'LeaseUp'!KS$9/StabilizedOccupancy)</f>
        <v/>
      </c>
      <c r="KT11" s="53">
        <f>1+LeaseUpElevationPct*MAX(0,1-'LeaseUp'!KT$9/StabilizedOccupancy)</f>
        <v/>
      </c>
      <c r="KU11" s="53">
        <f>1+LeaseUpElevationPct*MAX(0,1-'LeaseUp'!KU$9/StabilizedOccupancy)</f>
        <v/>
      </c>
      <c r="KV11" s="53">
        <f>1+LeaseUpElevationPct*MAX(0,1-'LeaseUp'!KV$9/StabilizedOccupancy)</f>
        <v/>
      </c>
      <c r="KW11" s="53">
        <f>1+LeaseUpElevationPct*MAX(0,1-'LeaseUp'!KW$9/StabilizedOccupancy)</f>
        <v/>
      </c>
      <c r="KX11" s="53">
        <f>1+LeaseUpElevationPct*MAX(0,1-'LeaseUp'!KX$9/StabilizedOccupancy)</f>
        <v/>
      </c>
      <c r="KY11" s="53">
        <f>1+LeaseUpElevationPct*MAX(0,1-'LeaseUp'!KY$9/StabilizedOccupancy)</f>
        <v/>
      </c>
      <c r="KZ11" s="53">
        <f>1+LeaseUpElevationPct*MAX(0,1-'LeaseUp'!KZ$9/StabilizedOccupancy)</f>
        <v/>
      </c>
      <c r="LA11" s="53">
        <f>1+LeaseUpElevationPct*MAX(0,1-'LeaseUp'!LA$9/StabilizedOccupancy)</f>
        <v/>
      </c>
      <c r="LB11" s="53">
        <f>1+LeaseUpElevationPct*MAX(0,1-'LeaseUp'!LB$9/StabilizedOccupancy)</f>
        <v/>
      </c>
      <c r="LC11" s="53">
        <f>1+LeaseUpElevationPct*MAX(0,1-'LeaseUp'!LC$9/StabilizedOccupancy)</f>
        <v/>
      </c>
      <c r="LD11" s="53">
        <f>1+LeaseUpElevationPct*MAX(0,1-'LeaseUp'!LD$9/StabilizedOccupancy)</f>
        <v/>
      </c>
      <c r="LE11" s="53">
        <f>1+LeaseUpElevationPct*MAX(0,1-'LeaseUp'!LE$9/StabilizedOccupancy)</f>
        <v/>
      </c>
      <c r="LF11" s="53">
        <f>1+LeaseUpElevationPct*MAX(0,1-'LeaseUp'!LF$9/StabilizedOccupancy)</f>
        <v/>
      </c>
      <c r="LG11" s="53">
        <f>1+LeaseUpElevationPct*MAX(0,1-'LeaseUp'!LG$9/StabilizedOccupancy)</f>
        <v/>
      </c>
      <c r="LH11" s="53">
        <f>1+LeaseUpElevationPct*MAX(0,1-'LeaseUp'!LH$9/StabilizedOccupancy)</f>
        <v/>
      </c>
      <c r="LI11" s="53">
        <f>1+LeaseUpElevationPct*MAX(0,1-'LeaseUp'!LI$9/StabilizedOccupancy)</f>
        <v/>
      </c>
      <c r="LJ11" s="53">
        <f>1+LeaseUpElevationPct*MAX(0,1-'LeaseUp'!LJ$9/StabilizedOccupancy)</f>
        <v/>
      </c>
      <c r="LK11" s="53">
        <f>1+LeaseUpElevationPct*MAX(0,1-'LeaseUp'!LK$9/StabilizedOccupancy)</f>
        <v/>
      </c>
      <c r="LL11" s="53">
        <f>1+LeaseUpElevationPct*MAX(0,1-'LeaseUp'!LL$9/StabilizedOccupancy)</f>
        <v/>
      </c>
      <c r="LM11" s="53">
        <f>1+LeaseUpElevationPct*MAX(0,1-'LeaseUp'!LM$9/StabilizedOccupancy)</f>
        <v/>
      </c>
      <c r="LN11" s="53">
        <f>1+LeaseUpElevationPct*MAX(0,1-'LeaseUp'!LN$9/StabilizedOccupancy)</f>
        <v/>
      </c>
      <c r="LO11" s="53">
        <f>1+LeaseUpElevationPct*MAX(0,1-'LeaseUp'!LO$9/StabilizedOccupancy)</f>
        <v/>
      </c>
      <c r="LP11" s="53">
        <f>1+LeaseUpElevationPct*MAX(0,1-'LeaseUp'!LP$9/StabilizedOccupancy)</f>
        <v/>
      </c>
      <c r="LQ11" s="53">
        <f>1+LeaseUpElevationPct*MAX(0,1-'LeaseUp'!LQ$9/StabilizedOccupancy)</f>
        <v/>
      </c>
      <c r="LR11" s="53">
        <f>1+LeaseUpElevationPct*MAX(0,1-'LeaseUp'!LR$9/StabilizedOccupancy)</f>
        <v/>
      </c>
      <c r="LS11" s="53">
        <f>1+LeaseUpElevationPct*MAX(0,1-'LeaseUp'!LS$9/StabilizedOccupancy)</f>
        <v/>
      </c>
      <c r="LT11" s="53">
        <f>1+LeaseUpElevationPct*MAX(0,1-'LeaseUp'!LT$9/StabilizedOccupancy)</f>
        <v/>
      </c>
      <c r="LU11" s="53">
        <f>1+LeaseUpElevationPct*MAX(0,1-'LeaseUp'!LU$9/StabilizedOccupancy)</f>
        <v/>
      </c>
      <c r="LV11" s="53">
        <f>1+LeaseUpElevationPct*MAX(0,1-'LeaseUp'!LV$9/StabilizedOccupancy)</f>
        <v/>
      </c>
      <c r="LW11" s="53">
        <f>1+LeaseUpElevationPct*MAX(0,1-'LeaseUp'!LW$9/StabilizedOccupancy)</f>
        <v/>
      </c>
      <c r="LX11" s="53">
        <f>1+LeaseUpElevationPct*MAX(0,1-'LeaseUp'!LX$9/StabilizedOccupancy)</f>
        <v/>
      </c>
      <c r="LY11" s="53">
        <f>1+LeaseUpElevationPct*MAX(0,1-'LeaseUp'!LY$9/StabilizedOccupancy)</f>
        <v/>
      </c>
      <c r="LZ11" s="53">
        <f>1+LeaseUpElevationPct*MAX(0,1-'LeaseUp'!LZ$9/StabilizedOccupancy)</f>
        <v/>
      </c>
      <c r="MA11" s="53">
        <f>1+LeaseUpElevationPct*MAX(0,1-'LeaseUp'!MA$9/StabilizedOccupancy)</f>
        <v/>
      </c>
      <c r="MB11" s="53">
        <f>1+LeaseUpElevationPct*MAX(0,1-'LeaseUp'!MB$9/StabilizedOccupancy)</f>
        <v/>
      </c>
      <c r="MC11" s="53">
        <f>1+LeaseUpElevationPct*MAX(0,1-'LeaseUp'!MC$9/StabilizedOccupancy)</f>
        <v/>
      </c>
      <c r="MD11" s="53">
        <f>1+LeaseUpElevationPct*MAX(0,1-'LeaseUp'!MD$9/StabilizedOccupancy)</f>
        <v/>
      </c>
      <c r="ME11" s="53">
        <f>1+LeaseUpElevationPct*MAX(0,1-'LeaseUp'!ME$9/StabilizedOccupancy)</f>
        <v/>
      </c>
      <c r="MF11" s="53">
        <f>1+LeaseUpElevationPct*MAX(0,1-'LeaseUp'!MF$9/StabilizedOccupancy)</f>
        <v/>
      </c>
      <c r="MG11" s="53">
        <f>1+LeaseUpElevationPct*MAX(0,1-'LeaseUp'!MG$9/StabilizedOccupancy)</f>
        <v/>
      </c>
      <c r="MH11" s="53">
        <f>1+LeaseUpElevationPct*MAX(0,1-'LeaseUp'!MH$9/StabilizedOccupancy)</f>
        <v/>
      </c>
      <c r="MI11" s="53">
        <f>1+LeaseUpElevationPct*MAX(0,1-'LeaseUp'!MI$9/StabilizedOccupancy)</f>
        <v/>
      </c>
      <c r="MJ11" s="53">
        <f>1+LeaseUpElevationPct*MAX(0,1-'LeaseUp'!MJ$9/StabilizedOccupancy)</f>
        <v/>
      </c>
      <c r="MK11" s="53">
        <f>1+LeaseUpElevationPct*MAX(0,1-'LeaseUp'!MK$9/StabilizedOccupancy)</f>
        <v/>
      </c>
      <c r="ML11" s="53">
        <f>1+LeaseUpElevationPct*MAX(0,1-'LeaseUp'!ML$9/StabilizedOccupancy)</f>
        <v/>
      </c>
      <c r="MM11" s="53">
        <f>1+LeaseUpElevationPct*MAX(0,1-'LeaseUp'!MM$9/StabilizedOccupancy)</f>
        <v/>
      </c>
      <c r="MN11" s="53">
        <f>1+LeaseUpElevationPct*MAX(0,1-'LeaseUp'!MN$9/StabilizedOccupancy)</f>
        <v/>
      </c>
      <c r="MO11" s="53">
        <f>1+LeaseUpElevationPct*MAX(0,1-'LeaseUp'!MO$9/StabilizedOccupancy)</f>
        <v/>
      </c>
      <c r="MP11" s="53">
        <f>1+LeaseUpElevationPct*MAX(0,1-'LeaseUp'!MP$9/StabilizedOccupancy)</f>
        <v/>
      </c>
      <c r="MQ11" s="53">
        <f>1+LeaseUpElevationPct*MAX(0,1-'LeaseUp'!MQ$9/StabilizedOccupancy)</f>
        <v/>
      </c>
      <c r="MR11" s="53">
        <f>1+LeaseUpElevationPct*MAX(0,1-'LeaseUp'!MR$9/StabilizedOccupancy)</f>
        <v/>
      </c>
      <c r="MS11" s="53">
        <f>1+LeaseUpElevationPct*MAX(0,1-'LeaseUp'!MS$9/StabilizedOccupancy)</f>
        <v/>
      </c>
      <c r="MT11" s="53">
        <f>1+LeaseUpElevationPct*MAX(0,1-'LeaseUp'!MT$9/StabilizedOccupancy)</f>
        <v/>
      </c>
      <c r="MU11" s="53">
        <f>1+LeaseUpElevationPct*MAX(0,1-'LeaseUp'!MU$9/StabilizedOccupancy)</f>
        <v/>
      </c>
      <c r="MV11" s="53">
        <f>1+LeaseUpElevationPct*MAX(0,1-'LeaseUp'!MV$9/StabilizedOccupancy)</f>
        <v/>
      </c>
      <c r="MW11" s="53">
        <f>1+LeaseUpElevationPct*MAX(0,1-'LeaseUp'!MW$9/StabilizedOccupancy)</f>
        <v/>
      </c>
      <c r="MX11" s="53">
        <f>1+LeaseUpElevationPct*MAX(0,1-'LeaseUp'!MX$9/StabilizedOccupancy)</f>
        <v/>
      </c>
      <c r="MY11" s="53">
        <f>1+LeaseUpElevationPct*MAX(0,1-'LeaseUp'!MY$9/StabilizedOccupancy)</f>
        <v/>
      </c>
      <c r="MZ11" s="53">
        <f>1+LeaseUpElevationPct*MAX(0,1-'LeaseUp'!MZ$9/StabilizedOccupancy)</f>
        <v/>
      </c>
      <c r="NA11" s="53">
        <f>1+LeaseUpElevationPct*MAX(0,1-'LeaseUp'!NA$9/StabilizedOccupancy)</f>
        <v/>
      </c>
      <c r="NB11" s="53">
        <f>1+LeaseUpElevationPct*MAX(0,1-'LeaseUp'!NB$9/StabilizedOccupancy)</f>
        <v/>
      </c>
      <c r="NC11" s="53">
        <f>1+LeaseUpElevationPct*MAX(0,1-'LeaseUp'!NC$9/StabilizedOccupancy)</f>
        <v/>
      </c>
      <c r="ND11" s="53">
        <f>1+LeaseUpElevationPct*MAX(0,1-'LeaseUp'!ND$9/StabilizedOccupancy)</f>
        <v/>
      </c>
      <c r="NE11" s="53">
        <f>1+LeaseUpElevationPct*MAX(0,1-'LeaseUp'!NE$9/StabilizedOccupancy)</f>
        <v/>
      </c>
      <c r="NF11" s="53">
        <f>1+LeaseUpElevationPct*MAX(0,1-'LeaseUp'!NF$9/StabilizedOccupancy)</f>
        <v/>
      </c>
      <c r="NG11" s="53">
        <f>1+LeaseUpElevationPct*MAX(0,1-'LeaseUp'!NG$9/StabilizedOccupancy)</f>
        <v/>
      </c>
      <c r="NH11" s="53">
        <f>1+LeaseUpElevationPct*MAX(0,1-'LeaseUp'!NH$9/StabilizedOccupancy)</f>
        <v/>
      </c>
      <c r="NI11" s="53">
        <f>1+LeaseUpElevationPct*MAX(0,1-'LeaseUp'!NI$9/StabilizedOccupancy)</f>
        <v/>
      </c>
      <c r="NJ11" s="53">
        <f>1+LeaseUpElevationPct*MAX(0,1-'LeaseUp'!NJ$9/StabilizedOccupancy)</f>
        <v/>
      </c>
      <c r="NK11" s="53">
        <f>1+LeaseUpElevationPct*MAX(0,1-'LeaseUp'!NK$9/StabilizedOccupancy)</f>
        <v/>
      </c>
    </row>
    <row r="12">
      <c r="A12" s="3" t="inlineStr">
        <is>
          <t>Revenue</t>
        </is>
      </c>
      <c r="B12" s="4" t="n"/>
      <c r="C12" s="4" t="n"/>
    </row>
    <row r="13">
      <c r="A13" s="5" t="inlineStr">
        <is>
          <t>Gross Potential Rent</t>
        </is>
      </c>
      <c r="C13" s="41">
        <f>SUM(D13:NK13)</f>
        <v/>
      </c>
      <c r="D13" s="18">
        <f>IF(1&gt;=DeliverStart,BaseMarketRentMo*D$5+BaseLowRentMo*D$6,0)</f>
        <v/>
      </c>
      <c r="E13" s="18">
        <f>IF(2&gt;=DeliverStart,BaseMarketRentMo*E$5+BaseLowRentMo*E$6,0)</f>
        <v/>
      </c>
      <c r="F13" s="18">
        <f>IF(3&gt;=DeliverStart,BaseMarketRentMo*F$5+BaseLowRentMo*F$6,0)</f>
        <v/>
      </c>
      <c r="G13" s="18">
        <f>IF(4&gt;=DeliverStart,BaseMarketRentMo*G$5+BaseLowRentMo*G$6,0)</f>
        <v/>
      </c>
      <c r="H13" s="18">
        <f>IF(5&gt;=DeliverStart,BaseMarketRentMo*H$5+BaseLowRentMo*H$6,0)</f>
        <v/>
      </c>
      <c r="I13" s="18">
        <f>IF(6&gt;=DeliverStart,BaseMarketRentMo*I$5+BaseLowRentMo*I$6,0)</f>
        <v/>
      </c>
      <c r="J13" s="18">
        <f>IF(7&gt;=DeliverStart,BaseMarketRentMo*J$5+BaseLowRentMo*J$6,0)</f>
        <v/>
      </c>
      <c r="K13" s="18">
        <f>IF(8&gt;=DeliverStart,BaseMarketRentMo*K$5+BaseLowRentMo*K$6,0)</f>
        <v/>
      </c>
      <c r="L13" s="18">
        <f>IF(9&gt;=DeliverStart,BaseMarketRentMo*L$5+BaseLowRentMo*L$6,0)</f>
        <v/>
      </c>
      <c r="M13" s="18">
        <f>IF(10&gt;=DeliverStart,BaseMarketRentMo*M$5+BaseLowRentMo*M$6,0)</f>
        <v/>
      </c>
      <c r="N13" s="18">
        <f>IF(11&gt;=DeliverStart,BaseMarketRentMo*N$5+BaseLowRentMo*N$6,0)</f>
        <v/>
      </c>
      <c r="O13" s="18">
        <f>IF(12&gt;=DeliverStart,BaseMarketRentMo*O$5+BaseLowRentMo*O$6,0)</f>
        <v/>
      </c>
      <c r="P13" s="18">
        <f>IF(13&gt;=DeliverStart,BaseMarketRentMo*P$5+BaseLowRentMo*P$6,0)</f>
        <v/>
      </c>
      <c r="Q13" s="18">
        <f>IF(14&gt;=DeliverStart,BaseMarketRentMo*Q$5+BaseLowRentMo*Q$6,0)</f>
        <v/>
      </c>
      <c r="R13" s="18">
        <f>IF(15&gt;=DeliverStart,BaseMarketRentMo*R$5+BaseLowRentMo*R$6,0)</f>
        <v/>
      </c>
      <c r="S13" s="18">
        <f>IF(16&gt;=DeliverStart,BaseMarketRentMo*S$5+BaseLowRentMo*S$6,0)</f>
        <v/>
      </c>
      <c r="T13" s="18">
        <f>IF(17&gt;=DeliverStart,BaseMarketRentMo*T$5+BaseLowRentMo*T$6,0)</f>
        <v/>
      </c>
      <c r="U13" s="18">
        <f>IF(18&gt;=DeliverStart,BaseMarketRentMo*U$5+BaseLowRentMo*U$6,0)</f>
        <v/>
      </c>
      <c r="V13" s="18">
        <f>IF(19&gt;=DeliverStart,BaseMarketRentMo*V$5+BaseLowRentMo*V$6,0)</f>
        <v/>
      </c>
      <c r="W13" s="18">
        <f>IF(20&gt;=DeliverStart,BaseMarketRentMo*W$5+BaseLowRentMo*W$6,0)</f>
        <v/>
      </c>
      <c r="X13" s="18">
        <f>IF(21&gt;=DeliverStart,BaseMarketRentMo*X$5+BaseLowRentMo*X$6,0)</f>
        <v/>
      </c>
      <c r="Y13" s="18">
        <f>IF(22&gt;=DeliverStart,BaseMarketRentMo*Y$5+BaseLowRentMo*Y$6,0)</f>
        <v/>
      </c>
      <c r="Z13" s="18">
        <f>IF(23&gt;=DeliverStart,BaseMarketRentMo*Z$5+BaseLowRentMo*Z$6,0)</f>
        <v/>
      </c>
      <c r="AA13" s="18">
        <f>IF(24&gt;=DeliverStart,BaseMarketRentMo*AA$5+BaseLowRentMo*AA$6,0)</f>
        <v/>
      </c>
      <c r="AB13" s="18">
        <f>IF(25&gt;=DeliverStart,BaseMarketRentMo*AB$5+BaseLowRentMo*AB$6,0)</f>
        <v/>
      </c>
      <c r="AC13" s="18">
        <f>IF(26&gt;=DeliverStart,BaseMarketRentMo*AC$5+BaseLowRentMo*AC$6,0)</f>
        <v/>
      </c>
      <c r="AD13" s="18">
        <f>IF(27&gt;=DeliverStart,BaseMarketRentMo*AD$5+BaseLowRentMo*AD$6,0)</f>
        <v/>
      </c>
      <c r="AE13" s="18">
        <f>IF(28&gt;=DeliverStart,BaseMarketRentMo*AE$5+BaseLowRentMo*AE$6,0)</f>
        <v/>
      </c>
      <c r="AF13" s="18">
        <f>IF(29&gt;=DeliverStart,BaseMarketRentMo*AF$5+BaseLowRentMo*AF$6,0)</f>
        <v/>
      </c>
      <c r="AG13" s="18">
        <f>IF(30&gt;=DeliverStart,BaseMarketRentMo*AG$5+BaseLowRentMo*AG$6,0)</f>
        <v/>
      </c>
      <c r="AH13" s="18">
        <f>IF(31&gt;=DeliverStart,BaseMarketRentMo*AH$5+BaseLowRentMo*AH$6,0)</f>
        <v/>
      </c>
      <c r="AI13" s="18">
        <f>IF(32&gt;=DeliverStart,BaseMarketRentMo*AI$5+BaseLowRentMo*AI$6,0)</f>
        <v/>
      </c>
      <c r="AJ13" s="18">
        <f>IF(33&gt;=DeliverStart,BaseMarketRentMo*AJ$5+BaseLowRentMo*AJ$6,0)</f>
        <v/>
      </c>
      <c r="AK13" s="18">
        <f>IF(34&gt;=DeliverStart,BaseMarketRentMo*AK$5+BaseLowRentMo*AK$6,0)</f>
        <v/>
      </c>
      <c r="AL13" s="18">
        <f>IF(35&gt;=DeliverStart,BaseMarketRentMo*AL$5+BaseLowRentMo*AL$6,0)</f>
        <v/>
      </c>
      <c r="AM13" s="18">
        <f>IF(36&gt;=DeliverStart,BaseMarketRentMo*AM$5+BaseLowRentMo*AM$6,0)</f>
        <v/>
      </c>
      <c r="AN13" s="18">
        <f>IF(37&gt;=DeliverStart,BaseMarketRentMo*AN$5+BaseLowRentMo*AN$6,0)</f>
        <v/>
      </c>
      <c r="AO13" s="18">
        <f>IF(38&gt;=DeliverStart,BaseMarketRentMo*AO$5+BaseLowRentMo*AO$6,0)</f>
        <v/>
      </c>
      <c r="AP13" s="18">
        <f>IF(39&gt;=DeliverStart,BaseMarketRentMo*AP$5+BaseLowRentMo*AP$6,0)</f>
        <v/>
      </c>
      <c r="AQ13" s="18">
        <f>IF(40&gt;=DeliverStart,BaseMarketRentMo*AQ$5+BaseLowRentMo*AQ$6,0)</f>
        <v/>
      </c>
      <c r="AR13" s="18">
        <f>IF(41&gt;=DeliverStart,BaseMarketRentMo*AR$5+BaseLowRentMo*AR$6,0)</f>
        <v/>
      </c>
      <c r="AS13" s="18">
        <f>IF(42&gt;=DeliverStart,BaseMarketRentMo*AS$5+BaseLowRentMo*AS$6,0)</f>
        <v/>
      </c>
      <c r="AT13" s="18">
        <f>IF(43&gt;=DeliverStart,BaseMarketRentMo*AT$5+BaseLowRentMo*AT$6,0)</f>
        <v/>
      </c>
      <c r="AU13" s="18">
        <f>IF(44&gt;=DeliverStart,BaseMarketRentMo*AU$5+BaseLowRentMo*AU$6,0)</f>
        <v/>
      </c>
      <c r="AV13" s="18">
        <f>IF(45&gt;=DeliverStart,BaseMarketRentMo*AV$5+BaseLowRentMo*AV$6,0)</f>
        <v/>
      </c>
      <c r="AW13" s="18">
        <f>IF(46&gt;=DeliverStart,BaseMarketRentMo*AW$5+BaseLowRentMo*AW$6,0)</f>
        <v/>
      </c>
      <c r="AX13" s="18">
        <f>IF(47&gt;=DeliverStart,BaseMarketRentMo*AX$5+BaseLowRentMo*AX$6,0)</f>
        <v/>
      </c>
      <c r="AY13" s="18">
        <f>IF(48&gt;=DeliverStart,BaseMarketRentMo*AY$5+BaseLowRentMo*AY$6,0)</f>
        <v/>
      </c>
      <c r="AZ13" s="18">
        <f>IF(49&gt;=DeliverStart,BaseMarketRentMo*AZ$5+BaseLowRentMo*AZ$6,0)</f>
        <v/>
      </c>
      <c r="BA13" s="18">
        <f>IF(50&gt;=DeliverStart,BaseMarketRentMo*BA$5+BaseLowRentMo*BA$6,0)</f>
        <v/>
      </c>
      <c r="BB13" s="18">
        <f>IF(51&gt;=DeliverStart,BaseMarketRentMo*BB$5+BaseLowRentMo*BB$6,0)</f>
        <v/>
      </c>
      <c r="BC13" s="18">
        <f>IF(52&gt;=DeliverStart,BaseMarketRentMo*BC$5+BaseLowRentMo*BC$6,0)</f>
        <v/>
      </c>
      <c r="BD13" s="18">
        <f>IF(53&gt;=DeliverStart,BaseMarketRentMo*BD$5+BaseLowRentMo*BD$6,0)</f>
        <v/>
      </c>
      <c r="BE13" s="18">
        <f>IF(54&gt;=DeliverStart,BaseMarketRentMo*BE$5+BaseLowRentMo*BE$6,0)</f>
        <v/>
      </c>
      <c r="BF13" s="18">
        <f>IF(55&gt;=DeliverStart,BaseMarketRentMo*BF$5+BaseLowRentMo*BF$6,0)</f>
        <v/>
      </c>
      <c r="BG13" s="18">
        <f>IF(56&gt;=DeliverStart,BaseMarketRentMo*BG$5+BaseLowRentMo*BG$6,0)</f>
        <v/>
      </c>
      <c r="BH13" s="18">
        <f>IF(57&gt;=DeliverStart,BaseMarketRentMo*BH$5+BaseLowRentMo*BH$6,0)</f>
        <v/>
      </c>
      <c r="BI13" s="18">
        <f>IF(58&gt;=DeliverStart,BaseMarketRentMo*BI$5+BaseLowRentMo*BI$6,0)</f>
        <v/>
      </c>
      <c r="BJ13" s="18">
        <f>IF(59&gt;=DeliverStart,BaseMarketRentMo*BJ$5+BaseLowRentMo*BJ$6,0)</f>
        <v/>
      </c>
      <c r="BK13" s="18">
        <f>IF(60&gt;=DeliverStart,BaseMarketRentMo*BK$5+BaseLowRentMo*BK$6,0)</f>
        <v/>
      </c>
      <c r="BL13" s="18">
        <f>IF(61&gt;=DeliverStart,BaseMarketRentMo*BL$5+BaseLowRentMo*BL$6,0)</f>
        <v/>
      </c>
      <c r="BM13" s="18">
        <f>IF(62&gt;=DeliverStart,BaseMarketRentMo*BM$5+BaseLowRentMo*BM$6,0)</f>
        <v/>
      </c>
      <c r="BN13" s="18">
        <f>IF(63&gt;=DeliverStart,BaseMarketRentMo*BN$5+BaseLowRentMo*BN$6,0)</f>
        <v/>
      </c>
      <c r="BO13" s="18">
        <f>IF(64&gt;=DeliverStart,BaseMarketRentMo*BO$5+BaseLowRentMo*BO$6,0)</f>
        <v/>
      </c>
      <c r="BP13" s="18">
        <f>IF(65&gt;=DeliverStart,BaseMarketRentMo*BP$5+BaseLowRentMo*BP$6,0)</f>
        <v/>
      </c>
      <c r="BQ13" s="18">
        <f>IF(66&gt;=DeliverStart,BaseMarketRentMo*BQ$5+BaseLowRentMo*BQ$6,0)</f>
        <v/>
      </c>
      <c r="BR13" s="18">
        <f>IF(67&gt;=DeliverStart,BaseMarketRentMo*BR$5+BaseLowRentMo*BR$6,0)</f>
        <v/>
      </c>
      <c r="BS13" s="18">
        <f>IF(68&gt;=DeliverStart,BaseMarketRentMo*BS$5+BaseLowRentMo*BS$6,0)</f>
        <v/>
      </c>
      <c r="BT13" s="18">
        <f>IF(69&gt;=DeliverStart,BaseMarketRentMo*BT$5+BaseLowRentMo*BT$6,0)</f>
        <v/>
      </c>
      <c r="BU13" s="18">
        <f>IF(70&gt;=DeliverStart,BaseMarketRentMo*BU$5+BaseLowRentMo*BU$6,0)</f>
        <v/>
      </c>
      <c r="BV13" s="18">
        <f>IF(71&gt;=DeliverStart,BaseMarketRentMo*BV$5+BaseLowRentMo*BV$6,0)</f>
        <v/>
      </c>
      <c r="BW13" s="18">
        <f>IF(72&gt;=DeliverStart,BaseMarketRentMo*BW$5+BaseLowRentMo*BW$6,0)</f>
        <v/>
      </c>
      <c r="BX13" s="18">
        <f>IF(73&gt;=DeliverStart,BaseMarketRentMo*BX$5+BaseLowRentMo*BX$6,0)</f>
        <v/>
      </c>
      <c r="BY13" s="18">
        <f>IF(74&gt;=DeliverStart,BaseMarketRentMo*BY$5+BaseLowRentMo*BY$6,0)</f>
        <v/>
      </c>
      <c r="BZ13" s="18">
        <f>IF(75&gt;=DeliverStart,BaseMarketRentMo*BZ$5+BaseLowRentMo*BZ$6,0)</f>
        <v/>
      </c>
      <c r="CA13" s="18">
        <f>IF(76&gt;=DeliverStart,BaseMarketRentMo*CA$5+BaseLowRentMo*CA$6,0)</f>
        <v/>
      </c>
      <c r="CB13" s="18">
        <f>IF(77&gt;=DeliverStart,BaseMarketRentMo*CB$5+BaseLowRentMo*CB$6,0)</f>
        <v/>
      </c>
      <c r="CC13" s="18">
        <f>IF(78&gt;=DeliverStart,BaseMarketRentMo*CC$5+BaseLowRentMo*CC$6,0)</f>
        <v/>
      </c>
      <c r="CD13" s="18">
        <f>IF(79&gt;=DeliverStart,BaseMarketRentMo*CD$5+BaseLowRentMo*CD$6,0)</f>
        <v/>
      </c>
      <c r="CE13" s="18">
        <f>IF(80&gt;=DeliverStart,BaseMarketRentMo*CE$5+BaseLowRentMo*CE$6,0)</f>
        <v/>
      </c>
      <c r="CF13" s="18">
        <f>IF(81&gt;=DeliverStart,BaseMarketRentMo*CF$5+BaseLowRentMo*CF$6,0)</f>
        <v/>
      </c>
      <c r="CG13" s="18">
        <f>IF(82&gt;=DeliverStart,BaseMarketRentMo*CG$5+BaseLowRentMo*CG$6,0)</f>
        <v/>
      </c>
      <c r="CH13" s="18">
        <f>IF(83&gt;=DeliverStart,BaseMarketRentMo*CH$5+BaseLowRentMo*CH$6,0)</f>
        <v/>
      </c>
      <c r="CI13" s="18">
        <f>IF(84&gt;=DeliverStart,BaseMarketRentMo*CI$5+BaseLowRentMo*CI$6,0)</f>
        <v/>
      </c>
      <c r="CJ13" s="18">
        <f>IF(85&gt;=DeliverStart,BaseMarketRentMo*CJ$5+BaseLowRentMo*CJ$6,0)</f>
        <v/>
      </c>
      <c r="CK13" s="18">
        <f>IF(86&gt;=DeliverStart,BaseMarketRentMo*CK$5+BaseLowRentMo*CK$6,0)</f>
        <v/>
      </c>
      <c r="CL13" s="18">
        <f>IF(87&gt;=DeliverStart,BaseMarketRentMo*CL$5+BaseLowRentMo*CL$6,0)</f>
        <v/>
      </c>
      <c r="CM13" s="18">
        <f>IF(88&gt;=DeliverStart,BaseMarketRentMo*CM$5+BaseLowRentMo*CM$6,0)</f>
        <v/>
      </c>
      <c r="CN13" s="18">
        <f>IF(89&gt;=DeliverStart,BaseMarketRentMo*CN$5+BaseLowRentMo*CN$6,0)</f>
        <v/>
      </c>
      <c r="CO13" s="18">
        <f>IF(90&gt;=DeliverStart,BaseMarketRentMo*CO$5+BaseLowRentMo*CO$6,0)</f>
        <v/>
      </c>
      <c r="CP13" s="18">
        <f>IF(91&gt;=DeliverStart,BaseMarketRentMo*CP$5+BaseLowRentMo*CP$6,0)</f>
        <v/>
      </c>
      <c r="CQ13" s="18">
        <f>IF(92&gt;=DeliverStart,BaseMarketRentMo*CQ$5+BaseLowRentMo*CQ$6,0)</f>
        <v/>
      </c>
      <c r="CR13" s="18">
        <f>IF(93&gt;=DeliverStart,BaseMarketRentMo*CR$5+BaseLowRentMo*CR$6,0)</f>
        <v/>
      </c>
      <c r="CS13" s="18">
        <f>IF(94&gt;=DeliverStart,BaseMarketRentMo*CS$5+BaseLowRentMo*CS$6,0)</f>
        <v/>
      </c>
      <c r="CT13" s="18">
        <f>IF(95&gt;=DeliverStart,BaseMarketRentMo*CT$5+BaseLowRentMo*CT$6,0)</f>
        <v/>
      </c>
      <c r="CU13" s="18">
        <f>IF(96&gt;=DeliverStart,BaseMarketRentMo*CU$5+BaseLowRentMo*CU$6,0)</f>
        <v/>
      </c>
      <c r="CV13" s="18">
        <f>IF(97&gt;=DeliverStart,BaseMarketRentMo*CV$5+BaseLowRentMo*CV$6,0)</f>
        <v/>
      </c>
      <c r="CW13" s="18">
        <f>IF(98&gt;=DeliverStart,BaseMarketRentMo*CW$5+BaseLowRentMo*CW$6,0)</f>
        <v/>
      </c>
      <c r="CX13" s="18">
        <f>IF(99&gt;=DeliverStart,BaseMarketRentMo*CX$5+BaseLowRentMo*CX$6,0)</f>
        <v/>
      </c>
      <c r="CY13" s="18">
        <f>IF(100&gt;=DeliverStart,BaseMarketRentMo*CY$5+BaseLowRentMo*CY$6,0)</f>
        <v/>
      </c>
      <c r="CZ13" s="18">
        <f>IF(101&gt;=DeliverStart,BaseMarketRentMo*CZ$5+BaseLowRentMo*CZ$6,0)</f>
        <v/>
      </c>
      <c r="DA13" s="18">
        <f>IF(102&gt;=DeliverStart,BaseMarketRentMo*DA$5+BaseLowRentMo*DA$6,0)</f>
        <v/>
      </c>
      <c r="DB13" s="18">
        <f>IF(103&gt;=DeliverStart,BaseMarketRentMo*DB$5+BaseLowRentMo*DB$6,0)</f>
        <v/>
      </c>
      <c r="DC13" s="18">
        <f>IF(104&gt;=DeliverStart,BaseMarketRentMo*DC$5+BaseLowRentMo*DC$6,0)</f>
        <v/>
      </c>
      <c r="DD13" s="18">
        <f>IF(105&gt;=DeliverStart,BaseMarketRentMo*DD$5+BaseLowRentMo*DD$6,0)</f>
        <v/>
      </c>
      <c r="DE13" s="18">
        <f>IF(106&gt;=DeliverStart,BaseMarketRentMo*DE$5+BaseLowRentMo*DE$6,0)</f>
        <v/>
      </c>
      <c r="DF13" s="18">
        <f>IF(107&gt;=DeliverStart,BaseMarketRentMo*DF$5+BaseLowRentMo*DF$6,0)</f>
        <v/>
      </c>
      <c r="DG13" s="18">
        <f>IF(108&gt;=DeliverStart,BaseMarketRentMo*DG$5+BaseLowRentMo*DG$6,0)</f>
        <v/>
      </c>
      <c r="DH13" s="18">
        <f>IF(109&gt;=DeliverStart,BaseMarketRentMo*DH$5+BaseLowRentMo*DH$6,0)</f>
        <v/>
      </c>
      <c r="DI13" s="18">
        <f>IF(110&gt;=DeliverStart,BaseMarketRentMo*DI$5+BaseLowRentMo*DI$6,0)</f>
        <v/>
      </c>
      <c r="DJ13" s="18">
        <f>IF(111&gt;=DeliverStart,BaseMarketRentMo*DJ$5+BaseLowRentMo*DJ$6,0)</f>
        <v/>
      </c>
      <c r="DK13" s="18">
        <f>IF(112&gt;=DeliverStart,BaseMarketRentMo*DK$5+BaseLowRentMo*DK$6,0)</f>
        <v/>
      </c>
      <c r="DL13" s="18">
        <f>IF(113&gt;=DeliverStart,BaseMarketRentMo*DL$5+BaseLowRentMo*DL$6,0)</f>
        <v/>
      </c>
      <c r="DM13" s="18">
        <f>IF(114&gt;=DeliverStart,BaseMarketRentMo*DM$5+BaseLowRentMo*DM$6,0)</f>
        <v/>
      </c>
      <c r="DN13" s="18">
        <f>IF(115&gt;=DeliverStart,BaseMarketRentMo*DN$5+BaseLowRentMo*DN$6,0)</f>
        <v/>
      </c>
      <c r="DO13" s="18">
        <f>IF(116&gt;=DeliverStart,BaseMarketRentMo*DO$5+BaseLowRentMo*DO$6,0)</f>
        <v/>
      </c>
      <c r="DP13" s="18">
        <f>IF(117&gt;=DeliverStart,BaseMarketRentMo*DP$5+BaseLowRentMo*DP$6,0)</f>
        <v/>
      </c>
      <c r="DQ13" s="18">
        <f>IF(118&gt;=DeliverStart,BaseMarketRentMo*DQ$5+BaseLowRentMo*DQ$6,0)</f>
        <v/>
      </c>
      <c r="DR13" s="18">
        <f>IF(119&gt;=DeliverStart,BaseMarketRentMo*DR$5+BaseLowRentMo*DR$6,0)</f>
        <v/>
      </c>
      <c r="DS13" s="18">
        <f>IF(120&gt;=DeliverStart,BaseMarketRentMo*DS$5+BaseLowRentMo*DS$6,0)</f>
        <v/>
      </c>
      <c r="DT13" s="18">
        <f>IF(121&gt;=DeliverStart,BaseMarketRentMo*DT$5+BaseLowRentMo*DT$6,0)</f>
        <v/>
      </c>
      <c r="DU13" s="18">
        <f>IF(122&gt;=DeliverStart,BaseMarketRentMo*DU$5+BaseLowRentMo*DU$6,0)</f>
        <v/>
      </c>
      <c r="DV13" s="18">
        <f>IF(123&gt;=DeliverStart,BaseMarketRentMo*DV$5+BaseLowRentMo*DV$6,0)</f>
        <v/>
      </c>
      <c r="DW13" s="18">
        <f>IF(124&gt;=DeliverStart,BaseMarketRentMo*DW$5+BaseLowRentMo*DW$6,0)</f>
        <v/>
      </c>
      <c r="DX13" s="18">
        <f>IF(125&gt;=DeliverStart,BaseMarketRentMo*DX$5+BaseLowRentMo*DX$6,0)</f>
        <v/>
      </c>
      <c r="DY13" s="18">
        <f>IF(126&gt;=DeliverStart,BaseMarketRentMo*DY$5+BaseLowRentMo*DY$6,0)</f>
        <v/>
      </c>
      <c r="DZ13" s="18">
        <f>IF(127&gt;=DeliverStart,BaseMarketRentMo*DZ$5+BaseLowRentMo*DZ$6,0)</f>
        <v/>
      </c>
      <c r="EA13" s="18">
        <f>IF(128&gt;=DeliverStart,BaseMarketRentMo*EA$5+BaseLowRentMo*EA$6,0)</f>
        <v/>
      </c>
      <c r="EB13" s="18">
        <f>IF(129&gt;=DeliverStart,BaseMarketRentMo*EB$5+BaseLowRentMo*EB$6,0)</f>
        <v/>
      </c>
      <c r="EC13" s="18">
        <f>IF(130&gt;=DeliverStart,BaseMarketRentMo*EC$5+BaseLowRentMo*EC$6,0)</f>
        <v/>
      </c>
      <c r="ED13" s="18">
        <f>IF(131&gt;=DeliverStart,BaseMarketRentMo*ED$5+BaseLowRentMo*ED$6,0)</f>
        <v/>
      </c>
      <c r="EE13" s="18">
        <f>IF(132&gt;=DeliverStart,BaseMarketRentMo*EE$5+BaseLowRentMo*EE$6,0)</f>
        <v/>
      </c>
      <c r="EF13" s="18">
        <f>IF(133&gt;=DeliverStart,BaseMarketRentMo*EF$5+BaseLowRentMo*EF$6,0)</f>
        <v/>
      </c>
      <c r="EG13" s="18">
        <f>IF(134&gt;=DeliverStart,BaseMarketRentMo*EG$5+BaseLowRentMo*EG$6,0)</f>
        <v/>
      </c>
      <c r="EH13" s="18">
        <f>IF(135&gt;=DeliverStart,BaseMarketRentMo*EH$5+BaseLowRentMo*EH$6,0)</f>
        <v/>
      </c>
      <c r="EI13" s="18">
        <f>IF(136&gt;=DeliverStart,BaseMarketRentMo*EI$5+BaseLowRentMo*EI$6,0)</f>
        <v/>
      </c>
      <c r="EJ13" s="18">
        <f>IF(137&gt;=DeliverStart,BaseMarketRentMo*EJ$5+BaseLowRentMo*EJ$6,0)</f>
        <v/>
      </c>
      <c r="EK13" s="18">
        <f>IF(138&gt;=DeliverStart,BaseMarketRentMo*EK$5+BaseLowRentMo*EK$6,0)</f>
        <v/>
      </c>
      <c r="EL13" s="18">
        <f>IF(139&gt;=DeliverStart,BaseMarketRentMo*EL$5+BaseLowRentMo*EL$6,0)</f>
        <v/>
      </c>
      <c r="EM13" s="18">
        <f>IF(140&gt;=DeliverStart,BaseMarketRentMo*EM$5+BaseLowRentMo*EM$6,0)</f>
        <v/>
      </c>
      <c r="EN13" s="18">
        <f>IF(141&gt;=DeliverStart,BaseMarketRentMo*EN$5+BaseLowRentMo*EN$6,0)</f>
        <v/>
      </c>
      <c r="EO13" s="18">
        <f>IF(142&gt;=DeliverStart,BaseMarketRentMo*EO$5+BaseLowRentMo*EO$6,0)</f>
        <v/>
      </c>
      <c r="EP13" s="18">
        <f>IF(143&gt;=DeliverStart,BaseMarketRentMo*EP$5+BaseLowRentMo*EP$6,0)</f>
        <v/>
      </c>
      <c r="EQ13" s="18">
        <f>IF(144&gt;=DeliverStart,BaseMarketRentMo*EQ$5+BaseLowRentMo*EQ$6,0)</f>
        <v/>
      </c>
      <c r="ER13" s="18">
        <f>IF(145&gt;=DeliverStart,BaseMarketRentMo*ER$5+BaseLowRentMo*ER$6,0)</f>
        <v/>
      </c>
      <c r="ES13" s="18">
        <f>IF(146&gt;=DeliverStart,BaseMarketRentMo*ES$5+BaseLowRentMo*ES$6,0)</f>
        <v/>
      </c>
      <c r="ET13" s="18">
        <f>IF(147&gt;=DeliverStart,BaseMarketRentMo*ET$5+BaseLowRentMo*ET$6,0)</f>
        <v/>
      </c>
      <c r="EU13" s="18">
        <f>IF(148&gt;=DeliverStart,BaseMarketRentMo*EU$5+BaseLowRentMo*EU$6,0)</f>
        <v/>
      </c>
      <c r="EV13" s="18">
        <f>IF(149&gt;=DeliverStart,BaseMarketRentMo*EV$5+BaseLowRentMo*EV$6,0)</f>
        <v/>
      </c>
      <c r="EW13" s="18">
        <f>IF(150&gt;=DeliverStart,BaseMarketRentMo*EW$5+BaseLowRentMo*EW$6,0)</f>
        <v/>
      </c>
      <c r="EX13" s="18">
        <f>IF(151&gt;=DeliverStart,BaseMarketRentMo*EX$5+BaseLowRentMo*EX$6,0)</f>
        <v/>
      </c>
      <c r="EY13" s="18">
        <f>IF(152&gt;=DeliverStart,BaseMarketRentMo*EY$5+BaseLowRentMo*EY$6,0)</f>
        <v/>
      </c>
      <c r="EZ13" s="18">
        <f>IF(153&gt;=DeliverStart,BaseMarketRentMo*EZ$5+BaseLowRentMo*EZ$6,0)</f>
        <v/>
      </c>
      <c r="FA13" s="18">
        <f>IF(154&gt;=DeliverStart,BaseMarketRentMo*FA$5+BaseLowRentMo*FA$6,0)</f>
        <v/>
      </c>
      <c r="FB13" s="18">
        <f>IF(155&gt;=DeliverStart,BaseMarketRentMo*FB$5+BaseLowRentMo*FB$6,0)</f>
        <v/>
      </c>
      <c r="FC13" s="18">
        <f>IF(156&gt;=DeliverStart,BaseMarketRentMo*FC$5+BaseLowRentMo*FC$6,0)</f>
        <v/>
      </c>
      <c r="FD13" s="18">
        <f>IF(157&gt;=DeliverStart,BaseMarketRentMo*FD$5+BaseLowRentMo*FD$6,0)</f>
        <v/>
      </c>
      <c r="FE13" s="18">
        <f>IF(158&gt;=DeliverStart,BaseMarketRentMo*FE$5+BaseLowRentMo*FE$6,0)</f>
        <v/>
      </c>
      <c r="FF13" s="18">
        <f>IF(159&gt;=DeliverStart,BaseMarketRentMo*FF$5+BaseLowRentMo*FF$6,0)</f>
        <v/>
      </c>
      <c r="FG13" s="18">
        <f>IF(160&gt;=DeliverStart,BaseMarketRentMo*FG$5+BaseLowRentMo*FG$6,0)</f>
        <v/>
      </c>
      <c r="FH13" s="18">
        <f>IF(161&gt;=DeliverStart,BaseMarketRentMo*FH$5+BaseLowRentMo*FH$6,0)</f>
        <v/>
      </c>
      <c r="FI13" s="18">
        <f>IF(162&gt;=DeliverStart,BaseMarketRentMo*FI$5+BaseLowRentMo*FI$6,0)</f>
        <v/>
      </c>
      <c r="FJ13" s="18">
        <f>IF(163&gt;=DeliverStart,BaseMarketRentMo*FJ$5+BaseLowRentMo*FJ$6,0)</f>
        <v/>
      </c>
      <c r="FK13" s="18">
        <f>IF(164&gt;=DeliverStart,BaseMarketRentMo*FK$5+BaseLowRentMo*FK$6,0)</f>
        <v/>
      </c>
      <c r="FL13" s="18">
        <f>IF(165&gt;=DeliverStart,BaseMarketRentMo*FL$5+BaseLowRentMo*FL$6,0)</f>
        <v/>
      </c>
      <c r="FM13" s="18">
        <f>IF(166&gt;=DeliverStart,BaseMarketRentMo*FM$5+BaseLowRentMo*FM$6,0)</f>
        <v/>
      </c>
      <c r="FN13" s="18">
        <f>IF(167&gt;=DeliverStart,BaseMarketRentMo*FN$5+BaseLowRentMo*FN$6,0)</f>
        <v/>
      </c>
      <c r="FO13" s="18">
        <f>IF(168&gt;=DeliverStart,BaseMarketRentMo*FO$5+BaseLowRentMo*FO$6,0)</f>
        <v/>
      </c>
      <c r="FP13" s="18">
        <f>IF(169&gt;=DeliverStart,BaseMarketRentMo*FP$5+BaseLowRentMo*FP$6,0)</f>
        <v/>
      </c>
      <c r="FQ13" s="18">
        <f>IF(170&gt;=DeliverStart,BaseMarketRentMo*FQ$5+BaseLowRentMo*FQ$6,0)</f>
        <v/>
      </c>
      <c r="FR13" s="18">
        <f>IF(171&gt;=DeliverStart,BaseMarketRentMo*FR$5+BaseLowRentMo*FR$6,0)</f>
        <v/>
      </c>
      <c r="FS13" s="18">
        <f>IF(172&gt;=DeliverStart,BaseMarketRentMo*FS$5+BaseLowRentMo*FS$6,0)</f>
        <v/>
      </c>
      <c r="FT13" s="18">
        <f>IF(173&gt;=DeliverStart,BaseMarketRentMo*FT$5+BaseLowRentMo*FT$6,0)</f>
        <v/>
      </c>
      <c r="FU13" s="18">
        <f>IF(174&gt;=DeliverStart,BaseMarketRentMo*FU$5+BaseLowRentMo*FU$6,0)</f>
        <v/>
      </c>
      <c r="FV13" s="18">
        <f>IF(175&gt;=DeliverStart,BaseMarketRentMo*FV$5+BaseLowRentMo*FV$6,0)</f>
        <v/>
      </c>
      <c r="FW13" s="18">
        <f>IF(176&gt;=DeliverStart,BaseMarketRentMo*FW$5+BaseLowRentMo*FW$6,0)</f>
        <v/>
      </c>
      <c r="FX13" s="18">
        <f>IF(177&gt;=DeliverStart,BaseMarketRentMo*FX$5+BaseLowRentMo*FX$6,0)</f>
        <v/>
      </c>
      <c r="FY13" s="18">
        <f>IF(178&gt;=DeliverStart,BaseMarketRentMo*FY$5+BaseLowRentMo*FY$6,0)</f>
        <v/>
      </c>
      <c r="FZ13" s="18">
        <f>IF(179&gt;=DeliverStart,BaseMarketRentMo*FZ$5+BaseLowRentMo*FZ$6,0)</f>
        <v/>
      </c>
      <c r="GA13" s="18">
        <f>IF(180&gt;=DeliverStart,BaseMarketRentMo*GA$5+BaseLowRentMo*GA$6,0)</f>
        <v/>
      </c>
      <c r="GB13" s="18">
        <f>IF(181&gt;=DeliverStart,BaseMarketRentMo*GB$5+BaseLowRentMo*GB$6,0)</f>
        <v/>
      </c>
      <c r="GC13" s="18">
        <f>IF(182&gt;=DeliverStart,BaseMarketRentMo*GC$5+BaseLowRentMo*GC$6,0)</f>
        <v/>
      </c>
      <c r="GD13" s="18">
        <f>IF(183&gt;=DeliverStart,BaseMarketRentMo*GD$5+BaseLowRentMo*GD$6,0)</f>
        <v/>
      </c>
      <c r="GE13" s="18">
        <f>IF(184&gt;=DeliverStart,BaseMarketRentMo*GE$5+BaseLowRentMo*GE$6,0)</f>
        <v/>
      </c>
      <c r="GF13" s="18">
        <f>IF(185&gt;=DeliverStart,BaseMarketRentMo*GF$5+BaseLowRentMo*GF$6,0)</f>
        <v/>
      </c>
      <c r="GG13" s="18">
        <f>IF(186&gt;=DeliverStart,BaseMarketRentMo*GG$5+BaseLowRentMo*GG$6,0)</f>
        <v/>
      </c>
      <c r="GH13" s="18">
        <f>IF(187&gt;=DeliverStart,BaseMarketRentMo*GH$5+BaseLowRentMo*GH$6,0)</f>
        <v/>
      </c>
      <c r="GI13" s="18">
        <f>IF(188&gt;=DeliverStart,BaseMarketRentMo*GI$5+BaseLowRentMo*GI$6,0)</f>
        <v/>
      </c>
      <c r="GJ13" s="18">
        <f>IF(189&gt;=DeliverStart,BaseMarketRentMo*GJ$5+BaseLowRentMo*GJ$6,0)</f>
        <v/>
      </c>
      <c r="GK13" s="18">
        <f>IF(190&gt;=DeliverStart,BaseMarketRentMo*GK$5+BaseLowRentMo*GK$6,0)</f>
        <v/>
      </c>
      <c r="GL13" s="18">
        <f>IF(191&gt;=DeliverStart,BaseMarketRentMo*GL$5+BaseLowRentMo*GL$6,0)</f>
        <v/>
      </c>
      <c r="GM13" s="18">
        <f>IF(192&gt;=DeliverStart,BaseMarketRentMo*GM$5+BaseLowRentMo*GM$6,0)</f>
        <v/>
      </c>
      <c r="GN13" s="18">
        <f>IF(193&gt;=DeliverStart,BaseMarketRentMo*GN$5+BaseLowRentMo*GN$6,0)</f>
        <v/>
      </c>
      <c r="GO13" s="18">
        <f>IF(194&gt;=DeliverStart,BaseMarketRentMo*GO$5+BaseLowRentMo*GO$6,0)</f>
        <v/>
      </c>
      <c r="GP13" s="18">
        <f>IF(195&gt;=DeliverStart,BaseMarketRentMo*GP$5+BaseLowRentMo*GP$6,0)</f>
        <v/>
      </c>
      <c r="GQ13" s="18">
        <f>IF(196&gt;=DeliverStart,BaseMarketRentMo*GQ$5+BaseLowRentMo*GQ$6,0)</f>
        <v/>
      </c>
      <c r="GR13" s="18">
        <f>IF(197&gt;=DeliverStart,BaseMarketRentMo*GR$5+BaseLowRentMo*GR$6,0)</f>
        <v/>
      </c>
      <c r="GS13" s="18">
        <f>IF(198&gt;=DeliverStart,BaseMarketRentMo*GS$5+BaseLowRentMo*GS$6,0)</f>
        <v/>
      </c>
      <c r="GT13" s="18">
        <f>IF(199&gt;=DeliverStart,BaseMarketRentMo*GT$5+BaseLowRentMo*GT$6,0)</f>
        <v/>
      </c>
      <c r="GU13" s="18">
        <f>IF(200&gt;=DeliverStart,BaseMarketRentMo*GU$5+BaseLowRentMo*GU$6,0)</f>
        <v/>
      </c>
      <c r="GV13" s="18">
        <f>IF(201&gt;=DeliverStart,BaseMarketRentMo*GV$5+BaseLowRentMo*GV$6,0)</f>
        <v/>
      </c>
      <c r="GW13" s="18">
        <f>IF(202&gt;=DeliverStart,BaseMarketRentMo*GW$5+BaseLowRentMo*GW$6,0)</f>
        <v/>
      </c>
      <c r="GX13" s="18">
        <f>IF(203&gt;=DeliverStart,BaseMarketRentMo*GX$5+BaseLowRentMo*GX$6,0)</f>
        <v/>
      </c>
      <c r="GY13" s="18">
        <f>IF(204&gt;=DeliverStart,BaseMarketRentMo*GY$5+BaseLowRentMo*GY$6,0)</f>
        <v/>
      </c>
      <c r="GZ13" s="18">
        <f>IF(205&gt;=DeliverStart,BaseMarketRentMo*GZ$5+BaseLowRentMo*GZ$6,0)</f>
        <v/>
      </c>
      <c r="HA13" s="18">
        <f>IF(206&gt;=DeliverStart,BaseMarketRentMo*HA$5+BaseLowRentMo*HA$6,0)</f>
        <v/>
      </c>
      <c r="HB13" s="18">
        <f>IF(207&gt;=DeliverStart,BaseMarketRentMo*HB$5+BaseLowRentMo*HB$6,0)</f>
        <v/>
      </c>
      <c r="HC13" s="18">
        <f>IF(208&gt;=DeliverStart,BaseMarketRentMo*HC$5+BaseLowRentMo*HC$6,0)</f>
        <v/>
      </c>
      <c r="HD13" s="18">
        <f>IF(209&gt;=DeliverStart,BaseMarketRentMo*HD$5+BaseLowRentMo*HD$6,0)</f>
        <v/>
      </c>
      <c r="HE13" s="18">
        <f>IF(210&gt;=DeliverStart,BaseMarketRentMo*HE$5+BaseLowRentMo*HE$6,0)</f>
        <v/>
      </c>
      <c r="HF13" s="18">
        <f>IF(211&gt;=DeliverStart,BaseMarketRentMo*HF$5+BaseLowRentMo*HF$6,0)</f>
        <v/>
      </c>
      <c r="HG13" s="18">
        <f>IF(212&gt;=DeliverStart,BaseMarketRentMo*HG$5+BaseLowRentMo*HG$6,0)</f>
        <v/>
      </c>
      <c r="HH13" s="18">
        <f>IF(213&gt;=DeliverStart,BaseMarketRentMo*HH$5+BaseLowRentMo*HH$6,0)</f>
        <v/>
      </c>
      <c r="HI13" s="18">
        <f>IF(214&gt;=DeliverStart,BaseMarketRentMo*HI$5+BaseLowRentMo*HI$6,0)</f>
        <v/>
      </c>
      <c r="HJ13" s="18">
        <f>IF(215&gt;=DeliverStart,BaseMarketRentMo*HJ$5+BaseLowRentMo*HJ$6,0)</f>
        <v/>
      </c>
      <c r="HK13" s="18">
        <f>IF(216&gt;=DeliverStart,BaseMarketRentMo*HK$5+BaseLowRentMo*HK$6,0)</f>
        <v/>
      </c>
      <c r="HL13" s="18">
        <f>IF(217&gt;=DeliverStart,BaseMarketRentMo*HL$5+BaseLowRentMo*HL$6,0)</f>
        <v/>
      </c>
      <c r="HM13" s="18">
        <f>IF(218&gt;=DeliverStart,BaseMarketRentMo*HM$5+BaseLowRentMo*HM$6,0)</f>
        <v/>
      </c>
      <c r="HN13" s="18">
        <f>IF(219&gt;=DeliverStart,BaseMarketRentMo*HN$5+BaseLowRentMo*HN$6,0)</f>
        <v/>
      </c>
      <c r="HO13" s="18">
        <f>IF(220&gt;=DeliverStart,BaseMarketRentMo*HO$5+BaseLowRentMo*HO$6,0)</f>
        <v/>
      </c>
      <c r="HP13" s="18">
        <f>IF(221&gt;=DeliverStart,BaseMarketRentMo*HP$5+BaseLowRentMo*HP$6,0)</f>
        <v/>
      </c>
      <c r="HQ13" s="18">
        <f>IF(222&gt;=DeliverStart,BaseMarketRentMo*HQ$5+BaseLowRentMo*HQ$6,0)</f>
        <v/>
      </c>
      <c r="HR13" s="18">
        <f>IF(223&gt;=DeliverStart,BaseMarketRentMo*HR$5+BaseLowRentMo*HR$6,0)</f>
        <v/>
      </c>
      <c r="HS13" s="18">
        <f>IF(224&gt;=DeliverStart,BaseMarketRentMo*HS$5+BaseLowRentMo*HS$6,0)</f>
        <v/>
      </c>
      <c r="HT13" s="18">
        <f>IF(225&gt;=DeliverStart,BaseMarketRentMo*HT$5+BaseLowRentMo*HT$6,0)</f>
        <v/>
      </c>
      <c r="HU13" s="18">
        <f>IF(226&gt;=DeliverStart,BaseMarketRentMo*HU$5+BaseLowRentMo*HU$6,0)</f>
        <v/>
      </c>
      <c r="HV13" s="18">
        <f>IF(227&gt;=DeliverStart,BaseMarketRentMo*HV$5+BaseLowRentMo*HV$6,0)</f>
        <v/>
      </c>
      <c r="HW13" s="18">
        <f>IF(228&gt;=DeliverStart,BaseMarketRentMo*HW$5+BaseLowRentMo*HW$6,0)</f>
        <v/>
      </c>
      <c r="HX13" s="18">
        <f>IF(229&gt;=DeliverStart,BaseMarketRentMo*HX$5+BaseLowRentMo*HX$6,0)</f>
        <v/>
      </c>
      <c r="HY13" s="18">
        <f>IF(230&gt;=DeliverStart,BaseMarketRentMo*HY$5+BaseLowRentMo*HY$6,0)</f>
        <v/>
      </c>
      <c r="HZ13" s="18">
        <f>IF(231&gt;=DeliverStart,BaseMarketRentMo*HZ$5+BaseLowRentMo*HZ$6,0)</f>
        <v/>
      </c>
      <c r="IA13" s="18">
        <f>IF(232&gt;=DeliverStart,BaseMarketRentMo*IA$5+BaseLowRentMo*IA$6,0)</f>
        <v/>
      </c>
      <c r="IB13" s="18">
        <f>IF(233&gt;=DeliverStart,BaseMarketRentMo*IB$5+BaseLowRentMo*IB$6,0)</f>
        <v/>
      </c>
      <c r="IC13" s="18">
        <f>IF(234&gt;=DeliverStart,BaseMarketRentMo*IC$5+BaseLowRentMo*IC$6,0)</f>
        <v/>
      </c>
      <c r="ID13" s="18">
        <f>IF(235&gt;=DeliverStart,BaseMarketRentMo*ID$5+BaseLowRentMo*ID$6,0)</f>
        <v/>
      </c>
      <c r="IE13" s="18">
        <f>IF(236&gt;=DeliverStart,BaseMarketRentMo*IE$5+BaseLowRentMo*IE$6,0)</f>
        <v/>
      </c>
      <c r="IF13" s="18">
        <f>IF(237&gt;=DeliverStart,BaseMarketRentMo*IF$5+BaseLowRentMo*IF$6,0)</f>
        <v/>
      </c>
      <c r="IG13" s="18">
        <f>IF(238&gt;=DeliverStart,BaseMarketRentMo*IG$5+BaseLowRentMo*IG$6,0)</f>
        <v/>
      </c>
      <c r="IH13" s="18">
        <f>IF(239&gt;=DeliverStart,BaseMarketRentMo*IH$5+BaseLowRentMo*IH$6,0)</f>
        <v/>
      </c>
      <c r="II13" s="18">
        <f>IF(240&gt;=DeliverStart,BaseMarketRentMo*II$5+BaseLowRentMo*II$6,0)</f>
        <v/>
      </c>
      <c r="IJ13" s="18">
        <f>IF(241&gt;=DeliverStart,BaseMarketRentMo*IJ$5+BaseLowRentMo*IJ$6,0)</f>
        <v/>
      </c>
      <c r="IK13" s="18">
        <f>IF(242&gt;=DeliverStart,BaseMarketRentMo*IK$5+BaseLowRentMo*IK$6,0)</f>
        <v/>
      </c>
      <c r="IL13" s="18">
        <f>IF(243&gt;=DeliverStart,BaseMarketRentMo*IL$5+BaseLowRentMo*IL$6,0)</f>
        <v/>
      </c>
      <c r="IM13" s="18">
        <f>IF(244&gt;=DeliverStart,BaseMarketRentMo*IM$5+BaseLowRentMo*IM$6,0)</f>
        <v/>
      </c>
      <c r="IN13" s="18">
        <f>IF(245&gt;=DeliverStart,BaseMarketRentMo*IN$5+BaseLowRentMo*IN$6,0)</f>
        <v/>
      </c>
      <c r="IO13" s="18">
        <f>IF(246&gt;=DeliverStart,BaseMarketRentMo*IO$5+BaseLowRentMo*IO$6,0)</f>
        <v/>
      </c>
      <c r="IP13" s="18">
        <f>IF(247&gt;=DeliverStart,BaseMarketRentMo*IP$5+BaseLowRentMo*IP$6,0)</f>
        <v/>
      </c>
      <c r="IQ13" s="18">
        <f>IF(248&gt;=DeliverStart,BaseMarketRentMo*IQ$5+BaseLowRentMo*IQ$6,0)</f>
        <v/>
      </c>
      <c r="IR13" s="18">
        <f>IF(249&gt;=DeliverStart,BaseMarketRentMo*IR$5+BaseLowRentMo*IR$6,0)</f>
        <v/>
      </c>
      <c r="IS13" s="18">
        <f>IF(250&gt;=DeliverStart,BaseMarketRentMo*IS$5+BaseLowRentMo*IS$6,0)</f>
        <v/>
      </c>
      <c r="IT13" s="18">
        <f>IF(251&gt;=DeliverStart,BaseMarketRentMo*IT$5+BaseLowRentMo*IT$6,0)</f>
        <v/>
      </c>
      <c r="IU13" s="18">
        <f>IF(252&gt;=DeliverStart,BaseMarketRentMo*IU$5+BaseLowRentMo*IU$6,0)</f>
        <v/>
      </c>
      <c r="IV13" s="18">
        <f>IF(253&gt;=DeliverStart,BaseMarketRentMo*IV$5+BaseLowRentMo*IV$6,0)</f>
        <v/>
      </c>
      <c r="IW13" s="18">
        <f>IF(254&gt;=DeliverStart,BaseMarketRentMo*IW$5+BaseLowRentMo*IW$6,0)</f>
        <v/>
      </c>
      <c r="IX13" s="18">
        <f>IF(255&gt;=DeliverStart,BaseMarketRentMo*IX$5+BaseLowRentMo*IX$6,0)</f>
        <v/>
      </c>
      <c r="IY13" s="18">
        <f>IF(256&gt;=DeliverStart,BaseMarketRentMo*IY$5+BaseLowRentMo*IY$6,0)</f>
        <v/>
      </c>
      <c r="IZ13" s="18">
        <f>IF(257&gt;=DeliverStart,BaseMarketRentMo*IZ$5+BaseLowRentMo*IZ$6,0)</f>
        <v/>
      </c>
      <c r="JA13" s="18">
        <f>IF(258&gt;=DeliverStart,BaseMarketRentMo*JA$5+BaseLowRentMo*JA$6,0)</f>
        <v/>
      </c>
      <c r="JB13" s="18">
        <f>IF(259&gt;=DeliverStart,BaseMarketRentMo*JB$5+BaseLowRentMo*JB$6,0)</f>
        <v/>
      </c>
      <c r="JC13" s="18">
        <f>IF(260&gt;=DeliverStart,BaseMarketRentMo*JC$5+BaseLowRentMo*JC$6,0)</f>
        <v/>
      </c>
      <c r="JD13" s="18">
        <f>IF(261&gt;=DeliverStart,BaseMarketRentMo*JD$5+BaseLowRentMo*JD$6,0)</f>
        <v/>
      </c>
      <c r="JE13" s="18">
        <f>IF(262&gt;=DeliverStart,BaseMarketRentMo*JE$5+BaseLowRentMo*JE$6,0)</f>
        <v/>
      </c>
      <c r="JF13" s="18">
        <f>IF(263&gt;=DeliverStart,BaseMarketRentMo*JF$5+BaseLowRentMo*JF$6,0)</f>
        <v/>
      </c>
      <c r="JG13" s="18">
        <f>IF(264&gt;=DeliverStart,BaseMarketRentMo*JG$5+BaseLowRentMo*JG$6,0)</f>
        <v/>
      </c>
      <c r="JH13" s="18">
        <f>IF(265&gt;=DeliverStart,BaseMarketRentMo*JH$5+BaseLowRentMo*JH$6,0)</f>
        <v/>
      </c>
      <c r="JI13" s="18">
        <f>IF(266&gt;=DeliverStart,BaseMarketRentMo*JI$5+BaseLowRentMo*JI$6,0)</f>
        <v/>
      </c>
      <c r="JJ13" s="18">
        <f>IF(267&gt;=DeliverStart,BaseMarketRentMo*JJ$5+BaseLowRentMo*JJ$6,0)</f>
        <v/>
      </c>
      <c r="JK13" s="18">
        <f>IF(268&gt;=DeliverStart,BaseMarketRentMo*JK$5+BaseLowRentMo*JK$6,0)</f>
        <v/>
      </c>
      <c r="JL13" s="18">
        <f>IF(269&gt;=DeliverStart,BaseMarketRentMo*JL$5+BaseLowRentMo*JL$6,0)</f>
        <v/>
      </c>
      <c r="JM13" s="18">
        <f>IF(270&gt;=DeliverStart,BaseMarketRentMo*JM$5+BaseLowRentMo*JM$6,0)</f>
        <v/>
      </c>
      <c r="JN13" s="18">
        <f>IF(271&gt;=DeliverStart,BaseMarketRentMo*JN$5+BaseLowRentMo*JN$6,0)</f>
        <v/>
      </c>
      <c r="JO13" s="18">
        <f>IF(272&gt;=DeliverStart,BaseMarketRentMo*JO$5+BaseLowRentMo*JO$6,0)</f>
        <v/>
      </c>
      <c r="JP13" s="18">
        <f>IF(273&gt;=DeliverStart,BaseMarketRentMo*JP$5+BaseLowRentMo*JP$6,0)</f>
        <v/>
      </c>
      <c r="JQ13" s="18">
        <f>IF(274&gt;=DeliverStart,BaseMarketRentMo*JQ$5+BaseLowRentMo*JQ$6,0)</f>
        <v/>
      </c>
      <c r="JR13" s="18">
        <f>IF(275&gt;=DeliverStart,BaseMarketRentMo*JR$5+BaseLowRentMo*JR$6,0)</f>
        <v/>
      </c>
      <c r="JS13" s="18">
        <f>IF(276&gt;=DeliverStart,BaseMarketRentMo*JS$5+BaseLowRentMo*JS$6,0)</f>
        <v/>
      </c>
      <c r="JT13" s="18">
        <f>IF(277&gt;=DeliverStart,BaseMarketRentMo*JT$5+BaseLowRentMo*JT$6,0)</f>
        <v/>
      </c>
      <c r="JU13" s="18">
        <f>IF(278&gt;=DeliverStart,BaseMarketRentMo*JU$5+BaseLowRentMo*JU$6,0)</f>
        <v/>
      </c>
      <c r="JV13" s="18">
        <f>IF(279&gt;=DeliverStart,BaseMarketRentMo*JV$5+BaseLowRentMo*JV$6,0)</f>
        <v/>
      </c>
      <c r="JW13" s="18">
        <f>IF(280&gt;=DeliverStart,BaseMarketRentMo*JW$5+BaseLowRentMo*JW$6,0)</f>
        <v/>
      </c>
      <c r="JX13" s="18">
        <f>IF(281&gt;=DeliverStart,BaseMarketRentMo*JX$5+BaseLowRentMo*JX$6,0)</f>
        <v/>
      </c>
      <c r="JY13" s="18">
        <f>IF(282&gt;=DeliverStart,BaseMarketRentMo*JY$5+BaseLowRentMo*JY$6,0)</f>
        <v/>
      </c>
      <c r="JZ13" s="18">
        <f>IF(283&gt;=DeliverStart,BaseMarketRentMo*JZ$5+BaseLowRentMo*JZ$6,0)</f>
        <v/>
      </c>
      <c r="KA13" s="18">
        <f>IF(284&gt;=DeliverStart,BaseMarketRentMo*KA$5+BaseLowRentMo*KA$6,0)</f>
        <v/>
      </c>
      <c r="KB13" s="18">
        <f>IF(285&gt;=DeliverStart,BaseMarketRentMo*KB$5+BaseLowRentMo*KB$6,0)</f>
        <v/>
      </c>
      <c r="KC13" s="18">
        <f>IF(286&gt;=DeliverStart,BaseMarketRentMo*KC$5+BaseLowRentMo*KC$6,0)</f>
        <v/>
      </c>
      <c r="KD13" s="18">
        <f>IF(287&gt;=DeliverStart,BaseMarketRentMo*KD$5+BaseLowRentMo*KD$6,0)</f>
        <v/>
      </c>
      <c r="KE13" s="18">
        <f>IF(288&gt;=DeliverStart,BaseMarketRentMo*KE$5+BaseLowRentMo*KE$6,0)</f>
        <v/>
      </c>
      <c r="KF13" s="18">
        <f>IF(289&gt;=DeliverStart,BaseMarketRentMo*KF$5+BaseLowRentMo*KF$6,0)</f>
        <v/>
      </c>
      <c r="KG13" s="18">
        <f>IF(290&gt;=DeliverStart,BaseMarketRentMo*KG$5+BaseLowRentMo*KG$6,0)</f>
        <v/>
      </c>
      <c r="KH13" s="18">
        <f>IF(291&gt;=DeliverStart,BaseMarketRentMo*KH$5+BaseLowRentMo*KH$6,0)</f>
        <v/>
      </c>
      <c r="KI13" s="18">
        <f>IF(292&gt;=DeliverStart,BaseMarketRentMo*KI$5+BaseLowRentMo*KI$6,0)</f>
        <v/>
      </c>
      <c r="KJ13" s="18">
        <f>IF(293&gt;=DeliverStart,BaseMarketRentMo*KJ$5+BaseLowRentMo*KJ$6,0)</f>
        <v/>
      </c>
      <c r="KK13" s="18">
        <f>IF(294&gt;=DeliverStart,BaseMarketRentMo*KK$5+BaseLowRentMo*KK$6,0)</f>
        <v/>
      </c>
      <c r="KL13" s="18">
        <f>IF(295&gt;=DeliverStart,BaseMarketRentMo*KL$5+BaseLowRentMo*KL$6,0)</f>
        <v/>
      </c>
      <c r="KM13" s="18">
        <f>IF(296&gt;=DeliverStart,BaseMarketRentMo*KM$5+BaseLowRentMo*KM$6,0)</f>
        <v/>
      </c>
      <c r="KN13" s="18">
        <f>IF(297&gt;=DeliverStart,BaseMarketRentMo*KN$5+BaseLowRentMo*KN$6,0)</f>
        <v/>
      </c>
      <c r="KO13" s="18">
        <f>IF(298&gt;=DeliverStart,BaseMarketRentMo*KO$5+BaseLowRentMo*KO$6,0)</f>
        <v/>
      </c>
      <c r="KP13" s="18">
        <f>IF(299&gt;=DeliverStart,BaseMarketRentMo*KP$5+BaseLowRentMo*KP$6,0)</f>
        <v/>
      </c>
      <c r="KQ13" s="18">
        <f>IF(300&gt;=DeliverStart,BaseMarketRentMo*KQ$5+BaseLowRentMo*KQ$6,0)</f>
        <v/>
      </c>
      <c r="KR13" s="18">
        <f>IF(301&gt;=DeliverStart,BaseMarketRentMo*KR$5+BaseLowRentMo*KR$6,0)</f>
        <v/>
      </c>
      <c r="KS13" s="18">
        <f>IF(302&gt;=DeliverStart,BaseMarketRentMo*KS$5+BaseLowRentMo*KS$6,0)</f>
        <v/>
      </c>
      <c r="KT13" s="18">
        <f>IF(303&gt;=DeliverStart,BaseMarketRentMo*KT$5+BaseLowRentMo*KT$6,0)</f>
        <v/>
      </c>
      <c r="KU13" s="18">
        <f>IF(304&gt;=DeliverStart,BaseMarketRentMo*KU$5+BaseLowRentMo*KU$6,0)</f>
        <v/>
      </c>
      <c r="KV13" s="18">
        <f>IF(305&gt;=DeliverStart,BaseMarketRentMo*KV$5+BaseLowRentMo*KV$6,0)</f>
        <v/>
      </c>
      <c r="KW13" s="18">
        <f>IF(306&gt;=DeliverStart,BaseMarketRentMo*KW$5+BaseLowRentMo*KW$6,0)</f>
        <v/>
      </c>
      <c r="KX13" s="18">
        <f>IF(307&gt;=DeliverStart,BaseMarketRentMo*KX$5+BaseLowRentMo*KX$6,0)</f>
        <v/>
      </c>
      <c r="KY13" s="18">
        <f>IF(308&gt;=DeliverStart,BaseMarketRentMo*KY$5+BaseLowRentMo*KY$6,0)</f>
        <v/>
      </c>
      <c r="KZ13" s="18">
        <f>IF(309&gt;=DeliverStart,BaseMarketRentMo*KZ$5+BaseLowRentMo*KZ$6,0)</f>
        <v/>
      </c>
      <c r="LA13" s="18">
        <f>IF(310&gt;=DeliverStart,BaseMarketRentMo*LA$5+BaseLowRentMo*LA$6,0)</f>
        <v/>
      </c>
      <c r="LB13" s="18">
        <f>IF(311&gt;=DeliverStart,BaseMarketRentMo*LB$5+BaseLowRentMo*LB$6,0)</f>
        <v/>
      </c>
      <c r="LC13" s="18">
        <f>IF(312&gt;=DeliverStart,BaseMarketRentMo*LC$5+BaseLowRentMo*LC$6,0)</f>
        <v/>
      </c>
      <c r="LD13" s="18">
        <f>IF(313&gt;=DeliverStart,BaseMarketRentMo*LD$5+BaseLowRentMo*LD$6,0)</f>
        <v/>
      </c>
      <c r="LE13" s="18">
        <f>IF(314&gt;=DeliverStart,BaseMarketRentMo*LE$5+BaseLowRentMo*LE$6,0)</f>
        <v/>
      </c>
      <c r="LF13" s="18">
        <f>IF(315&gt;=DeliverStart,BaseMarketRentMo*LF$5+BaseLowRentMo*LF$6,0)</f>
        <v/>
      </c>
      <c r="LG13" s="18">
        <f>IF(316&gt;=DeliverStart,BaseMarketRentMo*LG$5+BaseLowRentMo*LG$6,0)</f>
        <v/>
      </c>
      <c r="LH13" s="18">
        <f>IF(317&gt;=DeliverStart,BaseMarketRentMo*LH$5+BaseLowRentMo*LH$6,0)</f>
        <v/>
      </c>
      <c r="LI13" s="18">
        <f>IF(318&gt;=DeliverStart,BaseMarketRentMo*LI$5+BaseLowRentMo*LI$6,0)</f>
        <v/>
      </c>
      <c r="LJ13" s="18">
        <f>IF(319&gt;=DeliverStart,BaseMarketRentMo*LJ$5+BaseLowRentMo*LJ$6,0)</f>
        <v/>
      </c>
      <c r="LK13" s="18">
        <f>IF(320&gt;=DeliverStart,BaseMarketRentMo*LK$5+BaseLowRentMo*LK$6,0)</f>
        <v/>
      </c>
      <c r="LL13" s="18">
        <f>IF(321&gt;=DeliverStart,BaseMarketRentMo*LL$5+BaseLowRentMo*LL$6,0)</f>
        <v/>
      </c>
      <c r="LM13" s="18">
        <f>IF(322&gt;=DeliverStart,BaseMarketRentMo*LM$5+BaseLowRentMo*LM$6,0)</f>
        <v/>
      </c>
      <c r="LN13" s="18">
        <f>IF(323&gt;=DeliverStart,BaseMarketRentMo*LN$5+BaseLowRentMo*LN$6,0)</f>
        <v/>
      </c>
      <c r="LO13" s="18">
        <f>IF(324&gt;=DeliverStart,BaseMarketRentMo*LO$5+BaseLowRentMo*LO$6,0)</f>
        <v/>
      </c>
      <c r="LP13" s="18">
        <f>IF(325&gt;=DeliverStart,BaseMarketRentMo*LP$5+BaseLowRentMo*LP$6,0)</f>
        <v/>
      </c>
      <c r="LQ13" s="18">
        <f>IF(326&gt;=DeliverStart,BaseMarketRentMo*LQ$5+BaseLowRentMo*LQ$6,0)</f>
        <v/>
      </c>
      <c r="LR13" s="18">
        <f>IF(327&gt;=DeliverStart,BaseMarketRentMo*LR$5+BaseLowRentMo*LR$6,0)</f>
        <v/>
      </c>
      <c r="LS13" s="18">
        <f>IF(328&gt;=DeliverStart,BaseMarketRentMo*LS$5+BaseLowRentMo*LS$6,0)</f>
        <v/>
      </c>
      <c r="LT13" s="18">
        <f>IF(329&gt;=DeliverStart,BaseMarketRentMo*LT$5+BaseLowRentMo*LT$6,0)</f>
        <v/>
      </c>
      <c r="LU13" s="18">
        <f>IF(330&gt;=DeliverStart,BaseMarketRentMo*LU$5+BaseLowRentMo*LU$6,0)</f>
        <v/>
      </c>
      <c r="LV13" s="18">
        <f>IF(331&gt;=DeliverStart,BaseMarketRentMo*LV$5+BaseLowRentMo*LV$6,0)</f>
        <v/>
      </c>
      <c r="LW13" s="18">
        <f>IF(332&gt;=DeliverStart,BaseMarketRentMo*LW$5+BaseLowRentMo*LW$6,0)</f>
        <v/>
      </c>
      <c r="LX13" s="18">
        <f>IF(333&gt;=DeliverStart,BaseMarketRentMo*LX$5+BaseLowRentMo*LX$6,0)</f>
        <v/>
      </c>
      <c r="LY13" s="18">
        <f>IF(334&gt;=DeliverStart,BaseMarketRentMo*LY$5+BaseLowRentMo*LY$6,0)</f>
        <v/>
      </c>
      <c r="LZ13" s="18">
        <f>IF(335&gt;=DeliverStart,BaseMarketRentMo*LZ$5+BaseLowRentMo*LZ$6,0)</f>
        <v/>
      </c>
      <c r="MA13" s="18">
        <f>IF(336&gt;=DeliverStart,BaseMarketRentMo*MA$5+BaseLowRentMo*MA$6,0)</f>
        <v/>
      </c>
      <c r="MB13" s="18">
        <f>IF(337&gt;=DeliverStart,BaseMarketRentMo*MB$5+BaseLowRentMo*MB$6,0)</f>
        <v/>
      </c>
      <c r="MC13" s="18">
        <f>IF(338&gt;=DeliverStart,BaseMarketRentMo*MC$5+BaseLowRentMo*MC$6,0)</f>
        <v/>
      </c>
      <c r="MD13" s="18">
        <f>IF(339&gt;=DeliverStart,BaseMarketRentMo*MD$5+BaseLowRentMo*MD$6,0)</f>
        <v/>
      </c>
      <c r="ME13" s="18">
        <f>IF(340&gt;=DeliverStart,BaseMarketRentMo*ME$5+BaseLowRentMo*ME$6,0)</f>
        <v/>
      </c>
      <c r="MF13" s="18">
        <f>IF(341&gt;=DeliverStart,BaseMarketRentMo*MF$5+BaseLowRentMo*MF$6,0)</f>
        <v/>
      </c>
      <c r="MG13" s="18">
        <f>IF(342&gt;=DeliverStart,BaseMarketRentMo*MG$5+BaseLowRentMo*MG$6,0)</f>
        <v/>
      </c>
      <c r="MH13" s="18">
        <f>IF(343&gt;=DeliverStart,BaseMarketRentMo*MH$5+BaseLowRentMo*MH$6,0)</f>
        <v/>
      </c>
      <c r="MI13" s="18">
        <f>IF(344&gt;=DeliverStart,BaseMarketRentMo*MI$5+BaseLowRentMo*MI$6,0)</f>
        <v/>
      </c>
      <c r="MJ13" s="18">
        <f>IF(345&gt;=DeliverStart,BaseMarketRentMo*MJ$5+BaseLowRentMo*MJ$6,0)</f>
        <v/>
      </c>
      <c r="MK13" s="18">
        <f>IF(346&gt;=DeliverStart,BaseMarketRentMo*MK$5+BaseLowRentMo*MK$6,0)</f>
        <v/>
      </c>
      <c r="ML13" s="18">
        <f>IF(347&gt;=DeliverStart,BaseMarketRentMo*ML$5+BaseLowRentMo*ML$6,0)</f>
        <v/>
      </c>
      <c r="MM13" s="18">
        <f>IF(348&gt;=DeliverStart,BaseMarketRentMo*MM$5+BaseLowRentMo*MM$6,0)</f>
        <v/>
      </c>
      <c r="MN13" s="18">
        <f>IF(349&gt;=DeliverStart,BaseMarketRentMo*MN$5+BaseLowRentMo*MN$6,0)</f>
        <v/>
      </c>
      <c r="MO13" s="18">
        <f>IF(350&gt;=DeliverStart,BaseMarketRentMo*MO$5+BaseLowRentMo*MO$6,0)</f>
        <v/>
      </c>
      <c r="MP13" s="18">
        <f>IF(351&gt;=DeliverStart,BaseMarketRentMo*MP$5+BaseLowRentMo*MP$6,0)</f>
        <v/>
      </c>
      <c r="MQ13" s="18">
        <f>IF(352&gt;=DeliverStart,BaseMarketRentMo*MQ$5+BaseLowRentMo*MQ$6,0)</f>
        <v/>
      </c>
      <c r="MR13" s="18">
        <f>IF(353&gt;=DeliverStart,BaseMarketRentMo*MR$5+BaseLowRentMo*MR$6,0)</f>
        <v/>
      </c>
      <c r="MS13" s="18">
        <f>IF(354&gt;=DeliverStart,BaseMarketRentMo*MS$5+BaseLowRentMo*MS$6,0)</f>
        <v/>
      </c>
      <c r="MT13" s="18">
        <f>IF(355&gt;=DeliverStart,BaseMarketRentMo*MT$5+BaseLowRentMo*MT$6,0)</f>
        <v/>
      </c>
      <c r="MU13" s="18">
        <f>IF(356&gt;=DeliverStart,BaseMarketRentMo*MU$5+BaseLowRentMo*MU$6,0)</f>
        <v/>
      </c>
      <c r="MV13" s="18">
        <f>IF(357&gt;=DeliverStart,BaseMarketRentMo*MV$5+BaseLowRentMo*MV$6,0)</f>
        <v/>
      </c>
      <c r="MW13" s="18">
        <f>IF(358&gt;=DeliverStart,BaseMarketRentMo*MW$5+BaseLowRentMo*MW$6,0)</f>
        <v/>
      </c>
      <c r="MX13" s="18">
        <f>IF(359&gt;=DeliverStart,BaseMarketRentMo*MX$5+BaseLowRentMo*MX$6,0)</f>
        <v/>
      </c>
      <c r="MY13" s="18">
        <f>IF(360&gt;=DeliverStart,BaseMarketRentMo*MY$5+BaseLowRentMo*MY$6,0)</f>
        <v/>
      </c>
      <c r="MZ13" s="18">
        <f>IF(361&gt;=DeliverStart,BaseMarketRentMo*MZ$5+BaseLowRentMo*MZ$6,0)</f>
        <v/>
      </c>
      <c r="NA13" s="18">
        <f>IF(362&gt;=DeliverStart,BaseMarketRentMo*NA$5+BaseLowRentMo*NA$6,0)</f>
        <v/>
      </c>
      <c r="NB13" s="18">
        <f>IF(363&gt;=DeliverStart,BaseMarketRentMo*NB$5+BaseLowRentMo*NB$6,0)</f>
        <v/>
      </c>
      <c r="NC13" s="18">
        <f>IF(364&gt;=DeliverStart,BaseMarketRentMo*NC$5+BaseLowRentMo*NC$6,0)</f>
        <v/>
      </c>
      <c r="ND13" s="18">
        <f>IF(365&gt;=DeliverStart,BaseMarketRentMo*ND$5+BaseLowRentMo*ND$6,0)</f>
        <v/>
      </c>
      <c r="NE13" s="18">
        <f>IF(366&gt;=DeliverStart,BaseMarketRentMo*NE$5+BaseLowRentMo*NE$6,0)</f>
        <v/>
      </c>
      <c r="NF13" s="18">
        <f>IF(367&gt;=DeliverStart,BaseMarketRentMo*NF$5+BaseLowRentMo*NF$6,0)</f>
        <v/>
      </c>
      <c r="NG13" s="18">
        <f>IF(368&gt;=DeliverStart,BaseMarketRentMo*NG$5+BaseLowRentMo*NG$6,0)</f>
        <v/>
      </c>
      <c r="NH13" s="18">
        <f>IF(369&gt;=DeliverStart,BaseMarketRentMo*NH$5+BaseLowRentMo*NH$6,0)</f>
        <v/>
      </c>
      <c r="NI13" s="18">
        <f>IF(370&gt;=DeliverStart,BaseMarketRentMo*NI$5+BaseLowRentMo*NI$6,0)</f>
        <v/>
      </c>
      <c r="NJ13" s="18">
        <f>IF(371&gt;=DeliverStart,BaseMarketRentMo*NJ$5+BaseLowRentMo*NJ$6,0)</f>
        <v/>
      </c>
      <c r="NK13" s="18">
        <f>IF(372&gt;=DeliverStart,BaseMarketRentMo*NK$5+BaseLowRentMo*NK$6,0)</f>
        <v/>
      </c>
    </row>
    <row r="14">
      <c r="A14" s="5" t="inlineStr">
        <is>
          <t>Vacancy Loss</t>
        </is>
      </c>
      <c r="C14" s="41">
        <f>SUM(D14:NK14)</f>
        <v/>
      </c>
      <c r="D14" s="18">
        <f>-D$13*(1-'LeaseUp'!D$9)</f>
        <v/>
      </c>
      <c r="E14" s="18">
        <f>-E$13*(1-'LeaseUp'!E$9)</f>
        <v/>
      </c>
      <c r="F14" s="18">
        <f>-F$13*(1-'LeaseUp'!F$9)</f>
        <v/>
      </c>
      <c r="G14" s="18">
        <f>-G$13*(1-'LeaseUp'!G$9)</f>
        <v/>
      </c>
      <c r="H14" s="18">
        <f>-H$13*(1-'LeaseUp'!H$9)</f>
        <v/>
      </c>
      <c r="I14" s="18">
        <f>-I$13*(1-'LeaseUp'!I$9)</f>
        <v/>
      </c>
      <c r="J14" s="18">
        <f>-J$13*(1-'LeaseUp'!J$9)</f>
        <v/>
      </c>
      <c r="K14" s="18">
        <f>-K$13*(1-'LeaseUp'!K$9)</f>
        <v/>
      </c>
      <c r="L14" s="18">
        <f>-L$13*(1-'LeaseUp'!L$9)</f>
        <v/>
      </c>
      <c r="M14" s="18">
        <f>-M$13*(1-'LeaseUp'!M$9)</f>
        <v/>
      </c>
      <c r="N14" s="18">
        <f>-N$13*(1-'LeaseUp'!N$9)</f>
        <v/>
      </c>
      <c r="O14" s="18">
        <f>-O$13*(1-'LeaseUp'!O$9)</f>
        <v/>
      </c>
      <c r="P14" s="18">
        <f>-P$13*(1-'LeaseUp'!P$9)</f>
        <v/>
      </c>
      <c r="Q14" s="18">
        <f>-Q$13*(1-'LeaseUp'!Q$9)</f>
        <v/>
      </c>
      <c r="R14" s="18">
        <f>-R$13*(1-'LeaseUp'!R$9)</f>
        <v/>
      </c>
      <c r="S14" s="18">
        <f>-S$13*(1-'LeaseUp'!S$9)</f>
        <v/>
      </c>
      <c r="T14" s="18">
        <f>-T$13*(1-'LeaseUp'!T$9)</f>
        <v/>
      </c>
      <c r="U14" s="18">
        <f>-U$13*(1-'LeaseUp'!U$9)</f>
        <v/>
      </c>
      <c r="V14" s="18">
        <f>-V$13*(1-'LeaseUp'!V$9)</f>
        <v/>
      </c>
      <c r="W14" s="18">
        <f>-W$13*(1-'LeaseUp'!W$9)</f>
        <v/>
      </c>
      <c r="X14" s="18">
        <f>-X$13*(1-'LeaseUp'!X$9)</f>
        <v/>
      </c>
      <c r="Y14" s="18">
        <f>-Y$13*(1-'LeaseUp'!Y$9)</f>
        <v/>
      </c>
      <c r="Z14" s="18">
        <f>-Z$13*(1-'LeaseUp'!Z$9)</f>
        <v/>
      </c>
      <c r="AA14" s="18">
        <f>-AA$13*(1-'LeaseUp'!AA$9)</f>
        <v/>
      </c>
      <c r="AB14" s="18">
        <f>-AB$13*(1-'LeaseUp'!AB$9)</f>
        <v/>
      </c>
      <c r="AC14" s="18">
        <f>-AC$13*(1-'LeaseUp'!AC$9)</f>
        <v/>
      </c>
      <c r="AD14" s="18">
        <f>-AD$13*(1-'LeaseUp'!AD$9)</f>
        <v/>
      </c>
      <c r="AE14" s="18">
        <f>-AE$13*(1-'LeaseUp'!AE$9)</f>
        <v/>
      </c>
      <c r="AF14" s="18">
        <f>-AF$13*(1-'LeaseUp'!AF$9)</f>
        <v/>
      </c>
      <c r="AG14" s="18">
        <f>-AG$13*(1-'LeaseUp'!AG$9)</f>
        <v/>
      </c>
      <c r="AH14" s="18">
        <f>-AH$13*(1-'LeaseUp'!AH$9)</f>
        <v/>
      </c>
      <c r="AI14" s="18">
        <f>-AI$13*(1-'LeaseUp'!AI$9)</f>
        <v/>
      </c>
      <c r="AJ14" s="18">
        <f>-AJ$13*(1-'LeaseUp'!AJ$9)</f>
        <v/>
      </c>
      <c r="AK14" s="18">
        <f>-AK$13*(1-'LeaseUp'!AK$9)</f>
        <v/>
      </c>
      <c r="AL14" s="18">
        <f>-AL$13*(1-'LeaseUp'!AL$9)</f>
        <v/>
      </c>
      <c r="AM14" s="18">
        <f>-AM$13*(1-'LeaseUp'!AM$9)</f>
        <v/>
      </c>
      <c r="AN14" s="18">
        <f>-AN$13*(1-'LeaseUp'!AN$9)</f>
        <v/>
      </c>
      <c r="AO14" s="18">
        <f>-AO$13*(1-'LeaseUp'!AO$9)</f>
        <v/>
      </c>
      <c r="AP14" s="18">
        <f>-AP$13*(1-'LeaseUp'!AP$9)</f>
        <v/>
      </c>
      <c r="AQ14" s="18">
        <f>-AQ$13*(1-'LeaseUp'!AQ$9)</f>
        <v/>
      </c>
      <c r="AR14" s="18">
        <f>-AR$13*(1-'LeaseUp'!AR$9)</f>
        <v/>
      </c>
      <c r="AS14" s="18">
        <f>-AS$13*(1-'LeaseUp'!AS$9)</f>
        <v/>
      </c>
      <c r="AT14" s="18">
        <f>-AT$13*(1-'LeaseUp'!AT$9)</f>
        <v/>
      </c>
      <c r="AU14" s="18">
        <f>-AU$13*(1-'LeaseUp'!AU$9)</f>
        <v/>
      </c>
      <c r="AV14" s="18">
        <f>-AV$13*(1-'LeaseUp'!AV$9)</f>
        <v/>
      </c>
      <c r="AW14" s="18">
        <f>-AW$13*(1-'LeaseUp'!AW$9)</f>
        <v/>
      </c>
      <c r="AX14" s="18">
        <f>-AX$13*(1-'LeaseUp'!AX$9)</f>
        <v/>
      </c>
      <c r="AY14" s="18">
        <f>-AY$13*(1-'LeaseUp'!AY$9)</f>
        <v/>
      </c>
      <c r="AZ14" s="18">
        <f>-AZ$13*(1-'LeaseUp'!AZ$9)</f>
        <v/>
      </c>
      <c r="BA14" s="18">
        <f>-BA$13*(1-'LeaseUp'!BA$9)</f>
        <v/>
      </c>
      <c r="BB14" s="18">
        <f>-BB$13*(1-'LeaseUp'!BB$9)</f>
        <v/>
      </c>
      <c r="BC14" s="18">
        <f>-BC$13*(1-'LeaseUp'!BC$9)</f>
        <v/>
      </c>
      <c r="BD14" s="18">
        <f>-BD$13*(1-'LeaseUp'!BD$9)</f>
        <v/>
      </c>
      <c r="BE14" s="18">
        <f>-BE$13*(1-'LeaseUp'!BE$9)</f>
        <v/>
      </c>
      <c r="BF14" s="18">
        <f>-BF$13*(1-'LeaseUp'!BF$9)</f>
        <v/>
      </c>
      <c r="BG14" s="18">
        <f>-BG$13*(1-'LeaseUp'!BG$9)</f>
        <v/>
      </c>
      <c r="BH14" s="18">
        <f>-BH$13*(1-'LeaseUp'!BH$9)</f>
        <v/>
      </c>
      <c r="BI14" s="18">
        <f>-BI$13*(1-'LeaseUp'!BI$9)</f>
        <v/>
      </c>
      <c r="BJ14" s="18">
        <f>-BJ$13*(1-'LeaseUp'!BJ$9)</f>
        <v/>
      </c>
      <c r="BK14" s="18">
        <f>-BK$13*(1-'LeaseUp'!BK$9)</f>
        <v/>
      </c>
      <c r="BL14" s="18">
        <f>-BL$13*(1-'LeaseUp'!BL$9)</f>
        <v/>
      </c>
      <c r="BM14" s="18">
        <f>-BM$13*(1-'LeaseUp'!BM$9)</f>
        <v/>
      </c>
      <c r="BN14" s="18">
        <f>-BN$13*(1-'LeaseUp'!BN$9)</f>
        <v/>
      </c>
      <c r="BO14" s="18">
        <f>-BO$13*(1-'LeaseUp'!BO$9)</f>
        <v/>
      </c>
      <c r="BP14" s="18">
        <f>-BP$13*(1-'LeaseUp'!BP$9)</f>
        <v/>
      </c>
      <c r="BQ14" s="18">
        <f>-BQ$13*(1-'LeaseUp'!BQ$9)</f>
        <v/>
      </c>
      <c r="BR14" s="18">
        <f>-BR$13*(1-'LeaseUp'!BR$9)</f>
        <v/>
      </c>
      <c r="BS14" s="18">
        <f>-BS$13*(1-'LeaseUp'!BS$9)</f>
        <v/>
      </c>
      <c r="BT14" s="18">
        <f>-BT$13*(1-'LeaseUp'!BT$9)</f>
        <v/>
      </c>
      <c r="BU14" s="18">
        <f>-BU$13*(1-'LeaseUp'!BU$9)</f>
        <v/>
      </c>
      <c r="BV14" s="18">
        <f>-BV$13*(1-'LeaseUp'!BV$9)</f>
        <v/>
      </c>
      <c r="BW14" s="18">
        <f>-BW$13*(1-'LeaseUp'!BW$9)</f>
        <v/>
      </c>
      <c r="BX14" s="18">
        <f>-BX$13*(1-'LeaseUp'!BX$9)</f>
        <v/>
      </c>
      <c r="BY14" s="18">
        <f>-BY$13*(1-'LeaseUp'!BY$9)</f>
        <v/>
      </c>
      <c r="BZ14" s="18">
        <f>-BZ$13*(1-'LeaseUp'!BZ$9)</f>
        <v/>
      </c>
      <c r="CA14" s="18">
        <f>-CA$13*(1-'LeaseUp'!CA$9)</f>
        <v/>
      </c>
      <c r="CB14" s="18">
        <f>-CB$13*(1-'LeaseUp'!CB$9)</f>
        <v/>
      </c>
      <c r="CC14" s="18">
        <f>-CC$13*(1-'LeaseUp'!CC$9)</f>
        <v/>
      </c>
      <c r="CD14" s="18">
        <f>-CD$13*(1-'LeaseUp'!CD$9)</f>
        <v/>
      </c>
      <c r="CE14" s="18">
        <f>-CE$13*(1-'LeaseUp'!CE$9)</f>
        <v/>
      </c>
      <c r="CF14" s="18">
        <f>-CF$13*(1-'LeaseUp'!CF$9)</f>
        <v/>
      </c>
      <c r="CG14" s="18">
        <f>-CG$13*(1-'LeaseUp'!CG$9)</f>
        <v/>
      </c>
      <c r="CH14" s="18">
        <f>-CH$13*(1-'LeaseUp'!CH$9)</f>
        <v/>
      </c>
      <c r="CI14" s="18">
        <f>-CI$13*(1-'LeaseUp'!CI$9)</f>
        <v/>
      </c>
      <c r="CJ14" s="18">
        <f>-CJ$13*(1-'LeaseUp'!CJ$9)</f>
        <v/>
      </c>
      <c r="CK14" s="18">
        <f>-CK$13*(1-'LeaseUp'!CK$9)</f>
        <v/>
      </c>
      <c r="CL14" s="18">
        <f>-CL$13*(1-'LeaseUp'!CL$9)</f>
        <v/>
      </c>
      <c r="CM14" s="18">
        <f>-CM$13*(1-'LeaseUp'!CM$9)</f>
        <v/>
      </c>
      <c r="CN14" s="18">
        <f>-CN$13*(1-'LeaseUp'!CN$9)</f>
        <v/>
      </c>
      <c r="CO14" s="18">
        <f>-CO$13*(1-'LeaseUp'!CO$9)</f>
        <v/>
      </c>
      <c r="CP14" s="18">
        <f>-CP$13*(1-'LeaseUp'!CP$9)</f>
        <v/>
      </c>
      <c r="CQ14" s="18">
        <f>-CQ$13*(1-'LeaseUp'!CQ$9)</f>
        <v/>
      </c>
      <c r="CR14" s="18">
        <f>-CR$13*(1-'LeaseUp'!CR$9)</f>
        <v/>
      </c>
      <c r="CS14" s="18">
        <f>-CS$13*(1-'LeaseUp'!CS$9)</f>
        <v/>
      </c>
      <c r="CT14" s="18">
        <f>-CT$13*(1-'LeaseUp'!CT$9)</f>
        <v/>
      </c>
      <c r="CU14" s="18">
        <f>-CU$13*(1-'LeaseUp'!CU$9)</f>
        <v/>
      </c>
      <c r="CV14" s="18">
        <f>-CV$13*(1-'LeaseUp'!CV$9)</f>
        <v/>
      </c>
      <c r="CW14" s="18">
        <f>-CW$13*(1-'LeaseUp'!CW$9)</f>
        <v/>
      </c>
      <c r="CX14" s="18">
        <f>-CX$13*(1-'LeaseUp'!CX$9)</f>
        <v/>
      </c>
      <c r="CY14" s="18">
        <f>-CY$13*(1-'LeaseUp'!CY$9)</f>
        <v/>
      </c>
      <c r="CZ14" s="18">
        <f>-CZ$13*(1-'LeaseUp'!CZ$9)</f>
        <v/>
      </c>
      <c r="DA14" s="18">
        <f>-DA$13*(1-'LeaseUp'!DA$9)</f>
        <v/>
      </c>
      <c r="DB14" s="18">
        <f>-DB$13*(1-'LeaseUp'!DB$9)</f>
        <v/>
      </c>
      <c r="DC14" s="18">
        <f>-DC$13*(1-'LeaseUp'!DC$9)</f>
        <v/>
      </c>
      <c r="DD14" s="18">
        <f>-DD$13*(1-'LeaseUp'!DD$9)</f>
        <v/>
      </c>
      <c r="DE14" s="18">
        <f>-DE$13*(1-'LeaseUp'!DE$9)</f>
        <v/>
      </c>
      <c r="DF14" s="18">
        <f>-DF$13*(1-'LeaseUp'!DF$9)</f>
        <v/>
      </c>
      <c r="DG14" s="18">
        <f>-DG$13*(1-'LeaseUp'!DG$9)</f>
        <v/>
      </c>
      <c r="DH14" s="18">
        <f>-DH$13*(1-'LeaseUp'!DH$9)</f>
        <v/>
      </c>
      <c r="DI14" s="18">
        <f>-DI$13*(1-'LeaseUp'!DI$9)</f>
        <v/>
      </c>
      <c r="DJ14" s="18">
        <f>-DJ$13*(1-'LeaseUp'!DJ$9)</f>
        <v/>
      </c>
      <c r="DK14" s="18">
        <f>-DK$13*(1-'LeaseUp'!DK$9)</f>
        <v/>
      </c>
      <c r="DL14" s="18">
        <f>-DL$13*(1-'LeaseUp'!DL$9)</f>
        <v/>
      </c>
      <c r="DM14" s="18">
        <f>-DM$13*(1-'LeaseUp'!DM$9)</f>
        <v/>
      </c>
      <c r="DN14" s="18">
        <f>-DN$13*(1-'LeaseUp'!DN$9)</f>
        <v/>
      </c>
      <c r="DO14" s="18">
        <f>-DO$13*(1-'LeaseUp'!DO$9)</f>
        <v/>
      </c>
      <c r="DP14" s="18">
        <f>-DP$13*(1-'LeaseUp'!DP$9)</f>
        <v/>
      </c>
      <c r="DQ14" s="18">
        <f>-DQ$13*(1-'LeaseUp'!DQ$9)</f>
        <v/>
      </c>
      <c r="DR14" s="18">
        <f>-DR$13*(1-'LeaseUp'!DR$9)</f>
        <v/>
      </c>
      <c r="DS14" s="18">
        <f>-DS$13*(1-'LeaseUp'!DS$9)</f>
        <v/>
      </c>
      <c r="DT14" s="18">
        <f>-DT$13*(1-'LeaseUp'!DT$9)</f>
        <v/>
      </c>
      <c r="DU14" s="18">
        <f>-DU$13*(1-'LeaseUp'!DU$9)</f>
        <v/>
      </c>
      <c r="DV14" s="18">
        <f>-DV$13*(1-'LeaseUp'!DV$9)</f>
        <v/>
      </c>
      <c r="DW14" s="18">
        <f>-DW$13*(1-'LeaseUp'!DW$9)</f>
        <v/>
      </c>
      <c r="DX14" s="18">
        <f>-DX$13*(1-'LeaseUp'!DX$9)</f>
        <v/>
      </c>
      <c r="DY14" s="18">
        <f>-DY$13*(1-'LeaseUp'!DY$9)</f>
        <v/>
      </c>
      <c r="DZ14" s="18">
        <f>-DZ$13*(1-'LeaseUp'!DZ$9)</f>
        <v/>
      </c>
      <c r="EA14" s="18">
        <f>-EA$13*(1-'LeaseUp'!EA$9)</f>
        <v/>
      </c>
      <c r="EB14" s="18">
        <f>-EB$13*(1-'LeaseUp'!EB$9)</f>
        <v/>
      </c>
      <c r="EC14" s="18">
        <f>-EC$13*(1-'LeaseUp'!EC$9)</f>
        <v/>
      </c>
      <c r="ED14" s="18">
        <f>-ED$13*(1-'LeaseUp'!ED$9)</f>
        <v/>
      </c>
      <c r="EE14" s="18">
        <f>-EE$13*(1-'LeaseUp'!EE$9)</f>
        <v/>
      </c>
      <c r="EF14" s="18">
        <f>-EF$13*(1-'LeaseUp'!EF$9)</f>
        <v/>
      </c>
      <c r="EG14" s="18">
        <f>-EG$13*(1-'LeaseUp'!EG$9)</f>
        <v/>
      </c>
      <c r="EH14" s="18">
        <f>-EH$13*(1-'LeaseUp'!EH$9)</f>
        <v/>
      </c>
      <c r="EI14" s="18">
        <f>-EI$13*(1-'LeaseUp'!EI$9)</f>
        <v/>
      </c>
      <c r="EJ14" s="18">
        <f>-EJ$13*(1-'LeaseUp'!EJ$9)</f>
        <v/>
      </c>
      <c r="EK14" s="18">
        <f>-EK$13*(1-'LeaseUp'!EK$9)</f>
        <v/>
      </c>
      <c r="EL14" s="18">
        <f>-EL$13*(1-'LeaseUp'!EL$9)</f>
        <v/>
      </c>
      <c r="EM14" s="18">
        <f>-EM$13*(1-'LeaseUp'!EM$9)</f>
        <v/>
      </c>
      <c r="EN14" s="18">
        <f>-EN$13*(1-'LeaseUp'!EN$9)</f>
        <v/>
      </c>
      <c r="EO14" s="18">
        <f>-EO$13*(1-'LeaseUp'!EO$9)</f>
        <v/>
      </c>
      <c r="EP14" s="18">
        <f>-EP$13*(1-'LeaseUp'!EP$9)</f>
        <v/>
      </c>
      <c r="EQ14" s="18">
        <f>-EQ$13*(1-'LeaseUp'!EQ$9)</f>
        <v/>
      </c>
      <c r="ER14" s="18">
        <f>-ER$13*(1-'LeaseUp'!ER$9)</f>
        <v/>
      </c>
      <c r="ES14" s="18">
        <f>-ES$13*(1-'LeaseUp'!ES$9)</f>
        <v/>
      </c>
      <c r="ET14" s="18">
        <f>-ET$13*(1-'LeaseUp'!ET$9)</f>
        <v/>
      </c>
      <c r="EU14" s="18">
        <f>-EU$13*(1-'LeaseUp'!EU$9)</f>
        <v/>
      </c>
      <c r="EV14" s="18">
        <f>-EV$13*(1-'LeaseUp'!EV$9)</f>
        <v/>
      </c>
      <c r="EW14" s="18">
        <f>-EW$13*(1-'LeaseUp'!EW$9)</f>
        <v/>
      </c>
      <c r="EX14" s="18">
        <f>-EX$13*(1-'LeaseUp'!EX$9)</f>
        <v/>
      </c>
      <c r="EY14" s="18">
        <f>-EY$13*(1-'LeaseUp'!EY$9)</f>
        <v/>
      </c>
      <c r="EZ14" s="18">
        <f>-EZ$13*(1-'LeaseUp'!EZ$9)</f>
        <v/>
      </c>
      <c r="FA14" s="18">
        <f>-FA$13*(1-'LeaseUp'!FA$9)</f>
        <v/>
      </c>
      <c r="FB14" s="18">
        <f>-FB$13*(1-'LeaseUp'!FB$9)</f>
        <v/>
      </c>
      <c r="FC14" s="18">
        <f>-FC$13*(1-'LeaseUp'!FC$9)</f>
        <v/>
      </c>
      <c r="FD14" s="18">
        <f>-FD$13*(1-'LeaseUp'!FD$9)</f>
        <v/>
      </c>
      <c r="FE14" s="18">
        <f>-FE$13*(1-'LeaseUp'!FE$9)</f>
        <v/>
      </c>
      <c r="FF14" s="18">
        <f>-FF$13*(1-'LeaseUp'!FF$9)</f>
        <v/>
      </c>
      <c r="FG14" s="18">
        <f>-FG$13*(1-'LeaseUp'!FG$9)</f>
        <v/>
      </c>
      <c r="FH14" s="18">
        <f>-FH$13*(1-'LeaseUp'!FH$9)</f>
        <v/>
      </c>
      <c r="FI14" s="18">
        <f>-FI$13*(1-'LeaseUp'!FI$9)</f>
        <v/>
      </c>
      <c r="FJ14" s="18">
        <f>-FJ$13*(1-'LeaseUp'!FJ$9)</f>
        <v/>
      </c>
      <c r="FK14" s="18">
        <f>-FK$13*(1-'LeaseUp'!FK$9)</f>
        <v/>
      </c>
      <c r="FL14" s="18">
        <f>-FL$13*(1-'LeaseUp'!FL$9)</f>
        <v/>
      </c>
      <c r="FM14" s="18">
        <f>-FM$13*(1-'LeaseUp'!FM$9)</f>
        <v/>
      </c>
      <c r="FN14" s="18">
        <f>-FN$13*(1-'LeaseUp'!FN$9)</f>
        <v/>
      </c>
      <c r="FO14" s="18">
        <f>-FO$13*(1-'LeaseUp'!FO$9)</f>
        <v/>
      </c>
      <c r="FP14" s="18">
        <f>-FP$13*(1-'LeaseUp'!FP$9)</f>
        <v/>
      </c>
      <c r="FQ14" s="18">
        <f>-FQ$13*(1-'LeaseUp'!FQ$9)</f>
        <v/>
      </c>
      <c r="FR14" s="18">
        <f>-FR$13*(1-'LeaseUp'!FR$9)</f>
        <v/>
      </c>
      <c r="FS14" s="18">
        <f>-FS$13*(1-'LeaseUp'!FS$9)</f>
        <v/>
      </c>
      <c r="FT14" s="18">
        <f>-FT$13*(1-'LeaseUp'!FT$9)</f>
        <v/>
      </c>
      <c r="FU14" s="18">
        <f>-FU$13*(1-'LeaseUp'!FU$9)</f>
        <v/>
      </c>
      <c r="FV14" s="18">
        <f>-FV$13*(1-'LeaseUp'!FV$9)</f>
        <v/>
      </c>
      <c r="FW14" s="18">
        <f>-FW$13*(1-'LeaseUp'!FW$9)</f>
        <v/>
      </c>
      <c r="FX14" s="18">
        <f>-FX$13*(1-'LeaseUp'!FX$9)</f>
        <v/>
      </c>
      <c r="FY14" s="18">
        <f>-FY$13*(1-'LeaseUp'!FY$9)</f>
        <v/>
      </c>
      <c r="FZ14" s="18">
        <f>-FZ$13*(1-'LeaseUp'!FZ$9)</f>
        <v/>
      </c>
      <c r="GA14" s="18">
        <f>-GA$13*(1-'LeaseUp'!GA$9)</f>
        <v/>
      </c>
      <c r="GB14" s="18">
        <f>-GB$13*(1-'LeaseUp'!GB$9)</f>
        <v/>
      </c>
      <c r="GC14" s="18">
        <f>-GC$13*(1-'LeaseUp'!GC$9)</f>
        <v/>
      </c>
      <c r="GD14" s="18">
        <f>-GD$13*(1-'LeaseUp'!GD$9)</f>
        <v/>
      </c>
      <c r="GE14" s="18">
        <f>-GE$13*(1-'LeaseUp'!GE$9)</f>
        <v/>
      </c>
      <c r="GF14" s="18">
        <f>-GF$13*(1-'LeaseUp'!GF$9)</f>
        <v/>
      </c>
      <c r="GG14" s="18">
        <f>-GG$13*(1-'LeaseUp'!GG$9)</f>
        <v/>
      </c>
      <c r="GH14" s="18">
        <f>-GH$13*(1-'LeaseUp'!GH$9)</f>
        <v/>
      </c>
      <c r="GI14" s="18">
        <f>-GI$13*(1-'LeaseUp'!GI$9)</f>
        <v/>
      </c>
      <c r="GJ14" s="18">
        <f>-GJ$13*(1-'LeaseUp'!GJ$9)</f>
        <v/>
      </c>
      <c r="GK14" s="18">
        <f>-GK$13*(1-'LeaseUp'!GK$9)</f>
        <v/>
      </c>
      <c r="GL14" s="18">
        <f>-GL$13*(1-'LeaseUp'!GL$9)</f>
        <v/>
      </c>
      <c r="GM14" s="18">
        <f>-GM$13*(1-'LeaseUp'!GM$9)</f>
        <v/>
      </c>
      <c r="GN14" s="18">
        <f>-GN$13*(1-'LeaseUp'!GN$9)</f>
        <v/>
      </c>
      <c r="GO14" s="18">
        <f>-GO$13*(1-'LeaseUp'!GO$9)</f>
        <v/>
      </c>
      <c r="GP14" s="18">
        <f>-GP$13*(1-'LeaseUp'!GP$9)</f>
        <v/>
      </c>
      <c r="GQ14" s="18">
        <f>-GQ$13*(1-'LeaseUp'!GQ$9)</f>
        <v/>
      </c>
      <c r="GR14" s="18">
        <f>-GR$13*(1-'LeaseUp'!GR$9)</f>
        <v/>
      </c>
      <c r="GS14" s="18">
        <f>-GS$13*(1-'LeaseUp'!GS$9)</f>
        <v/>
      </c>
      <c r="GT14" s="18">
        <f>-GT$13*(1-'LeaseUp'!GT$9)</f>
        <v/>
      </c>
      <c r="GU14" s="18">
        <f>-GU$13*(1-'LeaseUp'!GU$9)</f>
        <v/>
      </c>
      <c r="GV14" s="18">
        <f>-GV$13*(1-'LeaseUp'!GV$9)</f>
        <v/>
      </c>
      <c r="GW14" s="18">
        <f>-GW$13*(1-'LeaseUp'!GW$9)</f>
        <v/>
      </c>
      <c r="GX14" s="18">
        <f>-GX$13*(1-'LeaseUp'!GX$9)</f>
        <v/>
      </c>
      <c r="GY14" s="18">
        <f>-GY$13*(1-'LeaseUp'!GY$9)</f>
        <v/>
      </c>
      <c r="GZ14" s="18">
        <f>-GZ$13*(1-'LeaseUp'!GZ$9)</f>
        <v/>
      </c>
      <c r="HA14" s="18">
        <f>-HA$13*(1-'LeaseUp'!HA$9)</f>
        <v/>
      </c>
      <c r="HB14" s="18">
        <f>-HB$13*(1-'LeaseUp'!HB$9)</f>
        <v/>
      </c>
      <c r="HC14" s="18">
        <f>-HC$13*(1-'LeaseUp'!HC$9)</f>
        <v/>
      </c>
      <c r="HD14" s="18">
        <f>-HD$13*(1-'LeaseUp'!HD$9)</f>
        <v/>
      </c>
      <c r="HE14" s="18">
        <f>-HE$13*(1-'LeaseUp'!HE$9)</f>
        <v/>
      </c>
      <c r="HF14" s="18">
        <f>-HF$13*(1-'LeaseUp'!HF$9)</f>
        <v/>
      </c>
      <c r="HG14" s="18">
        <f>-HG$13*(1-'LeaseUp'!HG$9)</f>
        <v/>
      </c>
      <c r="HH14" s="18">
        <f>-HH$13*(1-'LeaseUp'!HH$9)</f>
        <v/>
      </c>
      <c r="HI14" s="18">
        <f>-HI$13*(1-'LeaseUp'!HI$9)</f>
        <v/>
      </c>
      <c r="HJ14" s="18">
        <f>-HJ$13*(1-'LeaseUp'!HJ$9)</f>
        <v/>
      </c>
      <c r="HK14" s="18">
        <f>-HK$13*(1-'LeaseUp'!HK$9)</f>
        <v/>
      </c>
      <c r="HL14" s="18">
        <f>-HL$13*(1-'LeaseUp'!HL$9)</f>
        <v/>
      </c>
      <c r="HM14" s="18">
        <f>-HM$13*(1-'LeaseUp'!HM$9)</f>
        <v/>
      </c>
      <c r="HN14" s="18">
        <f>-HN$13*(1-'LeaseUp'!HN$9)</f>
        <v/>
      </c>
      <c r="HO14" s="18">
        <f>-HO$13*(1-'LeaseUp'!HO$9)</f>
        <v/>
      </c>
      <c r="HP14" s="18">
        <f>-HP$13*(1-'LeaseUp'!HP$9)</f>
        <v/>
      </c>
      <c r="HQ14" s="18">
        <f>-HQ$13*(1-'LeaseUp'!HQ$9)</f>
        <v/>
      </c>
      <c r="HR14" s="18">
        <f>-HR$13*(1-'LeaseUp'!HR$9)</f>
        <v/>
      </c>
      <c r="HS14" s="18">
        <f>-HS$13*(1-'LeaseUp'!HS$9)</f>
        <v/>
      </c>
      <c r="HT14" s="18">
        <f>-HT$13*(1-'LeaseUp'!HT$9)</f>
        <v/>
      </c>
      <c r="HU14" s="18">
        <f>-HU$13*(1-'LeaseUp'!HU$9)</f>
        <v/>
      </c>
      <c r="HV14" s="18">
        <f>-HV$13*(1-'LeaseUp'!HV$9)</f>
        <v/>
      </c>
      <c r="HW14" s="18">
        <f>-HW$13*(1-'LeaseUp'!HW$9)</f>
        <v/>
      </c>
      <c r="HX14" s="18">
        <f>-HX$13*(1-'LeaseUp'!HX$9)</f>
        <v/>
      </c>
      <c r="HY14" s="18">
        <f>-HY$13*(1-'LeaseUp'!HY$9)</f>
        <v/>
      </c>
      <c r="HZ14" s="18">
        <f>-HZ$13*(1-'LeaseUp'!HZ$9)</f>
        <v/>
      </c>
      <c r="IA14" s="18">
        <f>-IA$13*(1-'LeaseUp'!IA$9)</f>
        <v/>
      </c>
      <c r="IB14" s="18">
        <f>-IB$13*(1-'LeaseUp'!IB$9)</f>
        <v/>
      </c>
      <c r="IC14" s="18">
        <f>-IC$13*(1-'LeaseUp'!IC$9)</f>
        <v/>
      </c>
      <c r="ID14" s="18">
        <f>-ID$13*(1-'LeaseUp'!ID$9)</f>
        <v/>
      </c>
      <c r="IE14" s="18">
        <f>-IE$13*(1-'LeaseUp'!IE$9)</f>
        <v/>
      </c>
      <c r="IF14" s="18">
        <f>-IF$13*(1-'LeaseUp'!IF$9)</f>
        <v/>
      </c>
      <c r="IG14" s="18">
        <f>-IG$13*(1-'LeaseUp'!IG$9)</f>
        <v/>
      </c>
      <c r="IH14" s="18">
        <f>-IH$13*(1-'LeaseUp'!IH$9)</f>
        <v/>
      </c>
      <c r="II14" s="18">
        <f>-II$13*(1-'LeaseUp'!II$9)</f>
        <v/>
      </c>
      <c r="IJ14" s="18">
        <f>-IJ$13*(1-'LeaseUp'!IJ$9)</f>
        <v/>
      </c>
      <c r="IK14" s="18">
        <f>-IK$13*(1-'LeaseUp'!IK$9)</f>
        <v/>
      </c>
      <c r="IL14" s="18">
        <f>-IL$13*(1-'LeaseUp'!IL$9)</f>
        <v/>
      </c>
      <c r="IM14" s="18">
        <f>-IM$13*(1-'LeaseUp'!IM$9)</f>
        <v/>
      </c>
      <c r="IN14" s="18">
        <f>-IN$13*(1-'LeaseUp'!IN$9)</f>
        <v/>
      </c>
      <c r="IO14" s="18">
        <f>-IO$13*(1-'LeaseUp'!IO$9)</f>
        <v/>
      </c>
      <c r="IP14" s="18">
        <f>-IP$13*(1-'LeaseUp'!IP$9)</f>
        <v/>
      </c>
      <c r="IQ14" s="18">
        <f>-IQ$13*(1-'LeaseUp'!IQ$9)</f>
        <v/>
      </c>
      <c r="IR14" s="18">
        <f>-IR$13*(1-'LeaseUp'!IR$9)</f>
        <v/>
      </c>
      <c r="IS14" s="18">
        <f>-IS$13*(1-'LeaseUp'!IS$9)</f>
        <v/>
      </c>
      <c r="IT14" s="18">
        <f>-IT$13*(1-'LeaseUp'!IT$9)</f>
        <v/>
      </c>
      <c r="IU14" s="18">
        <f>-IU$13*(1-'LeaseUp'!IU$9)</f>
        <v/>
      </c>
      <c r="IV14" s="18">
        <f>-IV$13*(1-'LeaseUp'!IV$9)</f>
        <v/>
      </c>
      <c r="IW14" s="18">
        <f>-IW$13*(1-'LeaseUp'!IW$9)</f>
        <v/>
      </c>
      <c r="IX14" s="18">
        <f>-IX$13*(1-'LeaseUp'!IX$9)</f>
        <v/>
      </c>
      <c r="IY14" s="18">
        <f>-IY$13*(1-'LeaseUp'!IY$9)</f>
        <v/>
      </c>
      <c r="IZ14" s="18">
        <f>-IZ$13*(1-'LeaseUp'!IZ$9)</f>
        <v/>
      </c>
      <c r="JA14" s="18">
        <f>-JA$13*(1-'LeaseUp'!JA$9)</f>
        <v/>
      </c>
      <c r="JB14" s="18">
        <f>-JB$13*(1-'LeaseUp'!JB$9)</f>
        <v/>
      </c>
      <c r="JC14" s="18">
        <f>-JC$13*(1-'LeaseUp'!JC$9)</f>
        <v/>
      </c>
      <c r="JD14" s="18">
        <f>-JD$13*(1-'LeaseUp'!JD$9)</f>
        <v/>
      </c>
      <c r="JE14" s="18">
        <f>-JE$13*(1-'LeaseUp'!JE$9)</f>
        <v/>
      </c>
      <c r="JF14" s="18">
        <f>-JF$13*(1-'LeaseUp'!JF$9)</f>
        <v/>
      </c>
      <c r="JG14" s="18">
        <f>-JG$13*(1-'LeaseUp'!JG$9)</f>
        <v/>
      </c>
      <c r="JH14" s="18">
        <f>-JH$13*(1-'LeaseUp'!JH$9)</f>
        <v/>
      </c>
      <c r="JI14" s="18">
        <f>-JI$13*(1-'LeaseUp'!JI$9)</f>
        <v/>
      </c>
      <c r="JJ14" s="18">
        <f>-JJ$13*(1-'LeaseUp'!JJ$9)</f>
        <v/>
      </c>
      <c r="JK14" s="18">
        <f>-JK$13*(1-'LeaseUp'!JK$9)</f>
        <v/>
      </c>
      <c r="JL14" s="18">
        <f>-JL$13*(1-'LeaseUp'!JL$9)</f>
        <v/>
      </c>
      <c r="JM14" s="18">
        <f>-JM$13*(1-'LeaseUp'!JM$9)</f>
        <v/>
      </c>
      <c r="JN14" s="18">
        <f>-JN$13*(1-'LeaseUp'!JN$9)</f>
        <v/>
      </c>
      <c r="JO14" s="18">
        <f>-JO$13*(1-'LeaseUp'!JO$9)</f>
        <v/>
      </c>
      <c r="JP14" s="18">
        <f>-JP$13*(1-'LeaseUp'!JP$9)</f>
        <v/>
      </c>
      <c r="JQ14" s="18">
        <f>-JQ$13*(1-'LeaseUp'!JQ$9)</f>
        <v/>
      </c>
      <c r="JR14" s="18">
        <f>-JR$13*(1-'LeaseUp'!JR$9)</f>
        <v/>
      </c>
      <c r="JS14" s="18">
        <f>-JS$13*(1-'LeaseUp'!JS$9)</f>
        <v/>
      </c>
      <c r="JT14" s="18">
        <f>-JT$13*(1-'LeaseUp'!JT$9)</f>
        <v/>
      </c>
      <c r="JU14" s="18">
        <f>-JU$13*(1-'LeaseUp'!JU$9)</f>
        <v/>
      </c>
      <c r="JV14" s="18">
        <f>-JV$13*(1-'LeaseUp'!JV$9)</f>
        <v/>
      </c>
      <c r="JW14" s="18">
        <f>-JW$13*(1-'LeaseUp'!JW$9)</f>
        <v/>
      </c>
      <c r="JX14" s="18">
        <f>-JX$13*(1-'LeaseUp'!JX$9)</f>
        <v/>
      </c>
      <c r="JY14" s="18">
        <f>-JY$13*(1-'LeaseUp'!JY$9)</f>
        <v/>
      </c>
      <c r="JZ14" s="18">
        <f>-JZ$13*(1-'LeaseUp'!JZ$9)</f>
        <v/>
      </c>
      <c r="KA14" s="18">
        <f>-KA$13*(1-'LeaseUp'!KA$9)</f>
        <v/>
      </c>
      <c r="KB14" s="18">
        <f>-KB$13*(1-'LeaseUp'!KB$9)</f>
        <v/>
      </c>
      <c r="KC14" s="18">
        <f>-KC$13*(1-'LeaseUp'!KC$9)</f>
        <v/>
      </c>
      <c r="KD14" s="18">
        <f>-KD$13*(1-'LeaseUp'!KD$9)</f>
        <v/>
      </c>
      <c r="KE14" s="18">
        <f>-KE$13*(1-'LeaseUp'!KE$9)</f>
        <v/>
      </c>
      <c r="KF14" s="18">
        <f>-KF$13*(1-'LeaseUp'!KF$9)</f>
        <v/>
      </c>
      <c r="KG14" s="18">
        <f>-KG$13*(1-'LeaseUp'!KG$9)</f>
        <v/>
      </c>
      <c r="KH14" s="18">
        <f>-KH$13*(1-'LeaseUp'!KH$9)</f>
        <v/>
      </c>
      <c r="KI14" s="18">
        <f>-KI$13*(1-'LeaseUp'!KI$9)</f>
        <v/>
      </c>
      <c r="KJ14" s="18">
        <f>-KJ$13*(1-'LeaseUp'!KJ$9)</f>
        <v/>
      </c>
      <c r="KK14" s="18">
        <f>-KK$13*(1-'LeaseUp'!KK$9)</f>
        <v/>
      </c>
      <c r="KL14" s="18">
        <f>-KL$13*(1-'LeaseUp'!KL$9)</f>
        <v/>
      </c>
      <c r="KM14" s="18">
        <f>-KM$13*(1-'LeaseUp'!KM$9)</f>
        <v/>
      </c>
      <c r="KN14" s="18">
        <f>-KN$13*(1-'LeaseUp'!KN$9)</f>
        <v/>
      </c>
      <c r="KO14" s="18">
        <f>-KO$13*(1-'LeaseUp'!KO$9)</f>
        <v/>
      </c>
      <c r="KP14" s="18">
        <f>-KP$13*(1-'LeaseUp'!KP$9)</f>
        <v/>
      </c>
      <c r="KQ14" s="18">
        <f>-KQ$13*(1-'LeaseUp'!KQ$9)</f>
        <v/>
      </c>
      <c r="KR14" s="18">
        <f>-KR$13*(1-'LeaseUp'!KR$9)</f>
        <v/>
      </c>
      <c r="KS14" s="18">
        <f>-KS$13*(1-'LeaseUp'!KS$9)</f>
        <v/>
      </c>
      <c r="KT14" s="18">
        <f>-KT$13*(1-'LeaseUp'!KT$9)</f>
        <v/>
      </c>
      <c r="KU14" s="18">
        <f>-KU$13*(1-'LeaseUp'!KU$9)</f>
        <v/>
      </c>
      <c r="KV14" s="18">
        <f>-KV$13*(1-'LeaseUp'!KV$9)</f>
        <v/>
      </c>
      <c r="KW14" s="18">
        <f>-KW$13*(1-'LeaseUp'!KW$9)</f>
        <v/>
      </c>
      <c r="KX14" s="18">
        <f>-KX$13*(1-'LeaseUp'!KX$9)</f>
        <v/>
      </c>
      <c r="KY14" s="18">
        <f>-KY$13*(1-'LeaseUp'!KY$9)</f>
        <v/>
      </c>
      <c r="KZ14" s="18">
        <f>-KZ$13*(1-'LeaseUp'!KZ$9)</f>
        <v/>
      </c>
      <c r="LA14" s="18">
        <f>-LA$13*(1-'LeaseUp'!LA$9)</f>
        <v/>
      </c>
      <c r="LB14" s="18">
        <f>-LB$13*(1-'LeaseUp'!LB$9)</f>
        <v/>
      </c>
      <c r="LC14" s="18">
        <f>-LC$13*(1-'LeaseUp'!LC$9)</f>
        <v/>
      </c>
      <c r="LD14" s="18">
        <f>-LD$13*(1-'LeaseUp'!LD$9)</f>
        <v/>
      </c>
      <c r="LE14" s="18">
        <f>-LE$13*(1-'LeaseUp'!LE$9)</f>
        <v/>
      </c>
      <c r="LF14" s="18">
        <f>-LF$13*(1-'LeaseUp'!LF$9)</f>
        <v/>
      </c>
      <c r="LG14" s="18">
        <f>-LG$13*(1-'LeaseUp'!LG$9)</f>
        <v/>
      </c>
      <c r="LH14" s="18">
        <f>-LH$13*(1-'LeaseUp'!LH$9)</f>
        <v/>
      </c>
      <c r="LI14" s="18">
        <f>-LI$13*(1-'LeaseUp'!LI$9)</f>
        <v/>
      </c>
      <c r="LJ14" s="18">
        <f>-LJ$13*(1-'LeaseUp'!LJ$9)</f>
        <v/>
      </c>
      <c r="LK14" s="18">
        <f>-LK$13*(1-'LeaseUp'!LK$9)</f>
        <v/>
      </c>
      <c r="LL14" s="18">
        <f>-LL$13*(1-'LeaseUp'!LL$9)</f>
        <v/>
      </c>
      <c r="LM14" s="18">
        <f>-LM$13*(1-'LeaseUp'!LM$9)</f>
        <v/>
      </c>
      <c r="LN14" s="18">
        <f>-LN$13*(1-'LeaseUp'!LN$9)</f>
        <v/>
      </c>
      <c r="LO14" s="18">
        <f>-LO$13*(1-'LeaseUp'!LO$9)</f>
        <v/>
      </c>
      <c r="LP14" s="18">
        <f>-LP$13*(1-'LeaseUp'!LP$9)</f>
        <v/>
      </c>
      <c r="LQ14" s="18">
        <f>-LQ$13*(1-'LeaseUp'!LQ$9)</f>
        <v/>
      </c>
      <c r="LR14" s="18">
        <f>-LR$13*(1-'LeaseUp'!LR$9)</f>
        <v/>
      </c>
      <c r="LS14" s="18">
        <f>-LS$13*(1-'LeaseUp'!LS$9)</f>
        <v/>
      </c>
      <c r="LT14" s="18">
        <f>-LT$13*(1-'LeaseUp'!LT$9)</f>
        <v/>
      </c>
      <c r="LU14" s="18">
        <f>-LU$13*(1-'LeaseUp'!LU$9)</f>
        <v/>
      </c>
      <c r="LV14" s="18">
        <f>-LV$13*(1-'LeaseUp'!LV$9)</f>
        <v/>
      </c>
      <c r="LW14" s="18">
        <f>-LW$13*(1-'LeaseUp'!LW$9)</f>
        <v/>
      </c>
      <c r="LX14" s="18">
        <f>-LX$13*(1-'LeaseUp'!LX$9)</f>
        <v/>
      </c>
      <c r="LY14" s="18">
        <f>-LY$13*(1-'LeaseUp'!LY$9)</f>
        <v/>
      </c>
      <c r="LZ14" s="18">
        <f>-LZ$13*(1-'LeaseUp'!LZ$9)</f>
        <v/>
      </c>
      <c r="MA14" s="18">
        <f>-MA$13*(1-'LeaseUp'!MA$9)</f>
        <v/>
      </c>
      <c r="MB14" s="18">
        <f>-MB$13*(1-'LeaseUp'!MB$9)</f>
        <v/>
      </c>
      <c r="MC14" s="18">
        <f>-MC$13*(1-'LeaseUp'!MC$9)</f>
        <v/>
      </c>
      <c r="MD14" s="18">
        <f>-MD$13*(1-'LeaseUp'!MD$9)</f>
        <v/>
      </c>
      <c r="ME14" s="18">
        <f>-ME$13*(1-'LeaseUp'!ME$9)</f>
        <v/>
      </c>
      <c r="MF14" s="18">
        <f>-MF$13*(1-'LeaseUp'!MF$9)</f>
        <v/>
      </c>
      <c r="MG14" s="18">
        <f>-MG$13*(1-'LeaseUp'!MG$9)</f>
        <v/>
      </c>
      <c r="MH14" s="18">
        <f>-MH$13*(1-'LeaseUp'!MH$9)</f>
        <v/>
      </c>
      <c r="MI14" s="18">
        <f>-MI$13*(1-'LeaseUp'!MI$9)</f>
        <v/>
      </c>
      <c r="MJ14" s="18">
        <f>-MJ$13*(1-'LeaseUp'!MJ$9)</f>
        <v/>
      </c>
      <c r="MK14" s="18">
        <f>-MK$13*(1-'LeaseUp'!MK$9)</f>
        <v/>
      </c>
      <c r="ML14" s="18">
        <f>-ML$13*(1-'LeaseUp'!ML$9)</f>
        <v/>
      </c>
      <c r="MM14" s="18">
        <f>-MM$13*(1-'LeaseUp'!MM$9)</f>
        <v/>
      </c>
      <c r="MN14" s="18">
        <f>-MN$13*(1-'LeaseUp'!MN$9)</f>
        <v/>
      </c>
      <c r="MO14" s="18">
        <f>-MO$13*(1-'LeaseUp'!MO$9)</f>
        <v/>
      </c>
      <c r="MP14" s="18">
        <f>-MP$13*(1-'LeaseUp'!MP$9)</f>
        <v/>
      </c>
      <c r="MQ14" s="18">
        <f>-MQ$13*(1-'LeaseUp'!MQ$9)</f>
        <v/>
      </c>
      <c r="MR14" s="18">
        <f>-MR$13*(1-'LeaseUp'!MR$9)</f>
        <v/>
      </c>
      <c r="MS14" s="18">
        <f>-MS$13*(1-'LeaseUp'!MS$9)</f>
        <v/>
      </c>
      <c r="MT14" s="18">
        <f>-MT$13*(1-'LeaseUp'!MT$9)</f>
        <v/>
      </c>
      <c r="MU14" s="18">
        <f>-MU$13*(1-'LeaseUp'!MU$9)</f>
        <v/>
      </c>
      <c r="MV14" s="18">
        <f>-MV$13*(1-'LeaseUp'!MV$9)</f>
        <v/>
      </c>
      <c r="MW14" s="18">
        <f>-MW$13*(1-'LeaseUp'!MW$9)</f>
        <v/>
      </c>
      <c r="MX14" s="18">
        <f>-MX$13*(1-'LeaseUp'!MX$9)</f>
        <v/>
      </c>
      <c r="MY14" s="18">
        <f>-MY$13*(1-'LeaseUp'!MY$9)</f>
        <v/>
      </c>
      <c r="MZ14" s="18">
        <f>-MZ$13*(1-'LeaseUp'!MZ$9)</f>
        <v/>
      </c>
      <c r="NA14" s="18">
        <f>-NA$13*(1-'LeaseUp'!NA$9)</f>
        <v/>
      </c>
      <c r="NB14" s="18">
        <f>-NB$13*(1-'LeaseUp'!NB$9)</f>
        <v/>
      </c>
      <c r="NC14" s="18">
        <f>-NC$13*(1-'LeaseUp'!NC$9)</f>
        <v/>
      </c>
      <c r="ND14" s="18">
        <f>-ND$13*(1-'LeaseUp'!ND$9)</f>
        <v/>
      </c>
      <c r="NE14" s="18">
        <f>-NE$13*(1-'LeaseUp'!NE$9)</f>
        <v/>
      </c>
      <c r="NF14" s="18">
        <f>-NF$13*(1-'LeaseUp'!NF$9)</f>
        <v/>
      </c>
      <c r="NG14" s="18">
        <f>-NG$13*(1-'LeaseUp'!NG$9)</f>
        <v/>
      </c>
      <c r="NH14" s="18">
        <f>-NH$13*(1-'LeaseUp'!NH$9)</f>
        <v/>
      </c>
      <c r="NI14" s="18">
        <f>-NI$13*(1-'LeaseUp'!NI$9)</f>
        <v/>
      </c>
      <c r="NJ14" s="18">
        <f>-NJ$13*(1-'LeaseUp'!NJ$9)</f>
        <v/>
      </c>
      <c r="NK14" s="18">
        <f>-NK$13*(1-'LeaseUp'!NK$9)</f>
        <v/>
      </c>
    </row>
    <row r="15">
      <c r="A15" s="5" t="inlineStr">
        <is>
          <t>Gain/Loss to Lease</t>
        </is>
      </c>
      <c r="C15" s="41">
        <f>SUM(D15:NK15)</f>
        <v/>
      </c>
      <c r="D15" s="18">
        <f>-D$13*LossToLeasePct</f>
        <v/>
      </c>
      <c r="E15" s="18">
        <f>-E$13*LossToLeasePct</f>
        <v/>
      </c>
      <c r="F15" s="18">
        <f>-F$13*LossToLeasePct</f>
        <v/>
      </c>
      <c r="G15" s="18">
        <f>-G$13*LossToLeasePct</f>
        <v/>
      </c>
      <c r="H15" s="18">
        <f>-H$13*LossToLeasePct</f>
        <v/>
      </c>
      <c r="I15" s="18">
        <f>-I$13*LossToLeasePct</f>
        <v/>
      </c>
      <c r="J15" s="18">
        <f>-J$13*LossToLeasePct</f>
        <v/>
      </c>
      <c r="K15" s="18">
        <f>-K$13*LossToLeasePct</f>
        <v/>
      </c>
      <c r="L15" s="18">
        <f>-L$13*LossToLeasePct</f>
        <v/>
      </c>
      <c r="M15" s="18">
        <f>-M$13*LossToLeasePct</f>
        <v/>
      </c>
      <c r="N15" s="18">
        <f>-N$13*LossToLeasePct</f>
        <v/>
      </c>
      <c r="O15" s="18">
        <f>-O$13*LossToLeasePct</f>
        <v/>
      </c>
      <c r="P15" s="18">
        <f>-P$13*LossToLeasePct</f>
        <v/>
      </c>
      <c r="Q15" s="18">
        <f>-Q$13*LossToLeasePct</f>
        <v/>
      </c>
      <c r="R15" s="18">
        <f>-R$13*LossToLeasePct</f>
        <v/>
      </c>
      <c r="S15" s="18">
        <f>-S$13*LossToLeasePct</f>
        <v/>
      </c>
      <c r="T15" s="18">
        <f>-T$13*LossToLeasePct</f>
        <v/>
      </c>
      <c r="U15" s="18">
        <f>-U$13*LossToLeasePct</f>
        <v/>
      </c>
      <c r="V15" s="18">
        <f>-V$13*LossToLeasePct</f>
        <v/>
      </c>
      <c r="W15" s="18">
        <f>-W$13*LossToLeasePct</f>
        <v/>
      </c>
      <c r="X15" s="18">
        <f>-X$13*LossToLeasePct</f>
        <v/>
      </c>
      <c r="Y15" s="18">
        <f>-Y$13*LossToLeasePct</f>
        <v/>
      </c>
      <c r="Z15" s="18">
        <f>-Z$13*LossToLeasePct</f>
        <v/>
      </c>
      <c r="AA15" s="18">
        <f>-AA$13*LossToLeasePct</f>
        <v/>
      </c>
      <c r="AB15" s="18">
        <f>-AB$13*LossToLeasePct</f>
        <v/>
      </c>
      <c r="AC15" s="18">
        <f>-AC$13*LossToLeasePct</f>
        <v/>
      </c>
      <c r="AD15" s="18">
        <f>-AD$13*LossToLeasePct</f>
        <v/>
      </c>
      <c r="AE15" s="18">
        <f>-AE$13*LossToLeasePct</f>
        <v/>
      </c>
      <c r="AF15" s="18">
        <f>-AF$13*LossToLeasePct</f>
        <v/>
      </c>
      <c r="AG15" s="18">
        <f>-AG$13*LossToLeasePct</f>
        <v/>
      </c>
      <c r="AH15" s="18">
        <f>-AH$13*LossToLeasePct</f>
        <v/>
      </c>
      <c r="AI15" s="18">
        <f>-AI$13*LossToLeasePct</f>
        <v/>
      </c>
      <c r="AJ15" s="18">
        <f>-AJ$13*LossToLeasePct</f>
        <v/>
      </c>
      <c r="AK15" s="18">
        <f>-AK$13*LossToLeasePct</f>
        <v/>
      </c>
      <c r="AL15" s="18">
        <f>-AL$13*LossToLeasePct</f>
        <v/>
      </c>
      <c r="AM15" s="18">
        <f>-AM$13*LossToLeasePct</f>
        <v/>
      </c>
      <c r="AN15" s="18">
        <f>-AN$13*LossToLeasePct</f>
        <v/>
      </c>
      <c r="AO15" s="18">
        <f>-AO$13*LossToLeasePct</f>
        <v/>
      </c>
      <c r="AP15" s="18">
        <f>-AP$13*LossToLeasePct</f>
        <v/>
      </c>
      <c r="AQ15" s="18">
        <f>-AQ$13*LossToLeasePct</f>
        <v/>
      </c>
      <c r="AR15" s="18">
        <f>-AR$13*LossToLeasePct</f>
        <v/>
      </c>
      <c r="AS15" s="18">
        <f>-AS$13*LossToLeasePct</f>
        <v/>
      </c>
      <c r="AT15" s="18">
        <f>-AT$13*LossToLeasePct</f>
        <v/>
      </c>
      <c r="AU15" s="18">
        <f>-AU$13*LossToLeasePct</f>
        <v/>
      </c>
      <c r="AV15" s="18">
        <f>-AV$13*LossToLeasePct</f>
        <v/>
      </c>
      <c r="AW15" s="18">
        <f>-AW$13*LossToLeasePct</f>
        <v/>
      </c>
      <c r="AX15" s="18">
        <f>-AX$13*LossToLeasePct</f>
        <v/>
      </c>
      <c r="AY15" s="18">
        <f>-AY$13*LossToLeasePct</f>
        <v/>
      </c>
      <c r="AZ15" s="18">
        <f>-AZ$13*LossToLeasePct</f>
        <v/>
      </c>
      <c r="BA15" s="18">
        <f>-BA$13*LossToLeasePct</f>
        <v/>
      </c>
      <c r="BB15" s="18">
        <f>-BB$13*LossToLeasePct</f>
        <v/>
      </c>
      <c r="BC15" s="18">
        <f>-BC$13*LossToLeasePct</f>
        <v/>
      </c>
      <c r="BD15" s="18">
        <f>-BD$13*LossToLeasePct</f>
        <v/>
      </c>
      <c r="BE15" s="18">
        <f>-BE$13*LossToLeasePct</f>
        <v/>
      </c>
      <c r="BF15" s="18">
        <f>-BF$13*LossToLeasePct</f>
        <v/>
      </c>
      <c r="BG15" s="18">
        <f>-BG$13*LossToLeasePct</f>
        <v/>
      </c>
      <c r="BH15" s="18">
        <f>-BH$13*LossToLeasePct</f>
        <v/>
      </c>
      <c r="BI15" s="18">
        <f>-BI$13*LossToLeasePct</f>
        <v/>
      </c>
      <c r="BJ15" s="18">
        <f>-BJ$13*LossToLeasePct</f>
        <v/>
      </c>
      <c r="BK15" s="18">
        <f>-BK$13*LossToLeasePct</f>
        <v/>
      </c>
      <c r="BL15" s="18">
        <f>-BL$13*LossToLeasePct</f>
        <v/>
      </c>
      <c r="BM15" s="18">
        <f>-BM$13*LossToLeasePct</f>
        <v/>
      </c>
      <c r="BN15" s="18">
        <f>-BN$13*LossToLeasePct</f>
        <v/>
      </c>
      <c r="BO15" s="18">
        <f>-BO$13*LossToLeasePct</f>
        <v/>
      </c>
      <c r="BP15" s="18">
        <f>-BP$13*LossToLeasePct</f>
        <v/>
      </c>
      <c r="BQ15" s="18">
        <f>-BQ$13*LossToLeasePct</f>
        <v/>
      </c>
      <c r="BR15" s="18">
        <f>-BR$13*LossToLeasePct</f>
        <v/>
      </c>
      <c r="BS15" s="18">
        <f>-BS$13*LossToLeasePct</f>
        <v/>
      </c>
      <c r="BT15" s="18">
        <f>-BT$13*LossToLeasePct</f>
        <v/>
      </c>
      <c r="BU15" s="18">
        <f>-BU$13*LossToLeasePct</f>
        <v/>
      </c>
      <c r="BV15" s="18">
        <f>-BV$13*LossToLeasePct</f>
        <v/>
      </c>
      <c r="BW15" s="18">
        <f>-BW$13*LossToLeasePct</f>
        <v/>
      </c>
      <c r="BX15" s="18">
        <f>-BX$13*LossToLeasePct</f>
        <v/>
      </c>
      <c r="BY15" s="18">
        <f>-BY$13*LossToLeasePct</f>
        <v/>
      </c>
      <c r="BZ15" s="18">
        <f>-BZ$13*LossToLeasePct</f>
        <v/>
      </c>
      <c r="CA15" s="18">
        <f>-CA$13*LossToLeasePct</f>
        <v/>
      </c>
      <c r="CB15" s="18">
        <f>-CB$13*LossToLeasePct</f>
        <v/>
      </c>
      <c r="CC15" s="18">
        <f>-CC$13*LossToLeasePct</f>
        <v/>
      </c>
      <c r="CD15" s="18">
        <f>-CD$13*LossToLeasePct</f>
        <v/>
      </c>
      <c r="CE15" s="18">
        <f>-CE$13*LossToLeasePct</f>
        <v/>
      </c>
      <c r="CF15" s="18">
        <f>-CF$13*LossToLeasePct</f>
        <v/>
      </c>
      <c r="CG15" s="18">
        <f>-CG$13*LossToLeasePct</f>
        <v/>
      </c>
      <c r="CH15" s="18">
        <f>-CH$13*LossToLeasePct</f>
        <v/>
      </c>
      <c r="CI15" s="18">
        <f>-CI$13*LossToLeasePct</f>
        <v/>
      </c>
      <c r="CJ15" s="18">
        <f>-CJ$13*LossToLeasePct</f>
        <v/>
      </c>
      <c r="CK15" s="18">
        <f>-CK$13*LossToLeasePct</f>
        <v/>
      </c>
      <c r="CL15" s="18">
        <f>-CL$13*LossToLeasePct</f>
        <v/>
      </c>
      <c r="CM15" s="18">
        <f>-CM$13*LossToLeasePct</f>
        <v/>
      </c>
      <c r="CN15" s="18">
        <f>-CN$13*LossToLeasePct</f>
        <v/>
      </c>
      <c r="CO15" s="18">
        <f>-CO$13*LossToLeasePct</f>
        <v/>
      </c>
      <c r="CP15" s="18">
        <f>-CP$13*LossToLeasePct</f>
        <v/>
      </c>
      <c r="CQ15" s="18">
        <f>-CQ$13*LossToLeasePct</f>
        <v/>
      </c>
      <c r="CR15" s="18">
        <f>-CR$13*LossToLeasePct</f>
        <v/>
      </c>
      <c r="CS15" s="18">
        <f>-CS$13*LossToLeasePct</f>
        <v/>
      </c>
      <c r="CT15" s="18">
        <f>-CT$13*LossToLeasePct</f>
        <v/>
      </c>
      <c r="CU15" s="18">
        <f>-CU$13*LossToLeasePct</f>
        <v/>
      </c>
      <c r="CV15" s="18">
        <f>-CV$13*LossToLeasePct</f>
        <v/>
      </c>
      <c r="CW15" s="18">
        <f>-CW$13*LossToLeasePct</f>
        <v/>
      </c>
      <c r="CX15" s="18">
        <f>-CX$13*LossToLeasePct</f>
        <v/>
      </c>
      <c r="CY15" s="18">
        <f>-CY$13*LossToLeasePct</f>
        <v/>
      </c>
      <c r="CZ15" s="18">
        <f>-CZ$13*LossToLeasePct</f>
        <v/>
      </c>
      <c r="DA15" s="18">
        <f>-DA$13*LossToLeasePct</f>
        <v/>
      </c>
      <c r="DB15" s="18">
        <f>-DB$13*LossToLeasePct</f>
        <v/>
      </c>
      <c r="DC15" s="18">
        <f>-DC$13*LossToLeasePct</f>
        <v/>
      </c>
      <c r="DD15" s="18">
        <f>-DD$13*LossToLeasePct</f>
        <v/>
      </c>
      <c r="DE15" s="18">
        <f>-DE$13*LossToLeasePct</f>
        <v/>
      </c>
      <c r="DF15" s="18">
        <f>-DF$13*LossToLeasePct</f>
        <v/>
      </c>
      <c r="DG15" s="18">
        <f>-DG$13*LossToLeasePct</f>
        <v/>
      </c>
      <c r="DH15" s="18">
        <f>-DH$13*LossToLeasePct</f>
        <v/>
      </c>
      <c r="DI15" s="18">
        <f>-DI$13*LossToLeasePct</f>
        <v/>
      </c>
      <c r="DJ15" s="18">
        <f>-DJ$13*LossToLeasePct</f>
        <v/>
      </c>
      <c r="DK15" s="18">
        <f>-DK$13*LossToLeasePct</f>
        <v/>
      </c>
      <c r="DL15" s="18">
        <f>-DL$13*LossToLeasePct</f>
        <v/>
      </c>
      <c r="DM15" s="18">
        <f>-DM$13*LossToLeasePct</f>
        <v/>
      </c>
      <c r="DN15" s="18">
        <f>-DN$13*LossToLeasePct</f>
        <v/>
      </c>
      <c r="DO15" s="18">
        <f>-DO$13*LossToLeasePct</f>
        <v/>
      </c>
      <c r="DP15" s="18">
        <f>-DP$13*LossToLeasePct</f>
        <v/>
      </c>
      <c r="DQ15" s="18">
        <f>-DQ$13*LossToLeasePct</f>
        <v/>
      </c>
      <c r="DR15" s="18">
        <f>-DR$13*LossToLeasePct</f>
        <v/>
      </c>
      <c r="DS15" s="18">
        <f>-DS$13*LossToLeasePct</f>
        <v/>
      </c>
      <c r="DT15" s="18">
        <f>-DT$13*LossToLeasePct</f>
        <v/>
      </c>
      <c r="DU15" s="18">
        <f>-DU$13*LossToLeasePct</f>
        <v/>
      </c>
      <c r="DV15" s="18">
        <f>-DV$13*LossToLeasePct</f>
        <v/>
      </c>
      <c r="DW15" s="18">
        <f>-DW$13*LossToLeasePct</f>
        <v/>
      </c>
      <c r="DX15" s="18">
        <f>-DX$13*LossToLeasePct</f>
        <v/>
      </c>
      <c r="DY15" s="18">
        <f>-DY$13*LossToLeasePct</f>
        <v/>
      </c>
      <c r="DZ15" s="18">
        <f>-DZ$13*LossToLeasePct</f>
        <v/>
      </c>
      <c r="EA15" s="18">
        <f>-EA$13*LossToLeasePct</f>
        <v/>
      </c>
      <c r="EB15" s="18">
        <f>-EB$13*LossToLeasePct</f>
        <v/>
      </c>
      <c r="EC15" s="18">
        <f>-EC$13*LossToLeasePct</f>
        <v/>
      </c>
      <c r="ED15" s="18">
        <f>-ED$13*LossToLeasePct</f>
        <v/>
      </c>
      <c r="EE15" s="18">
        <f>-EE$13*LossToLeasePct</f>
        <v/>
      </c>
      <c r="EF15" s="18">
        <f>-EF$13*LossToLeasePct</f>
        <v/>
      </c>
      <c r="EG15" s="18">
        <f>-EG$13*LossToLeasePct</f>
        <v/>
      </c>
      <c r="EH15" s="18">
        <f>-EH$13*LossToLeasePct</f>
        <v/>
      </c>
      <c r="EI15" s="18">
        <f>-EI$13*LossToLeasePct</f>
        <v/>
      </c>
      <c r="EJ15" s="18">
        <f>-EJ$13*LossToLeasePct</f>
        <v/>
      </c>
      <c r="EK15" s="18">
        <f>-EK$13*LossToLeasePct</f>
        <v/>
      </c>
      <c r="EL15" s="18">
        <f>-EL$13*LossToLeasePct</f>
        <v/>
      </c>
      <c r="EM15" s="18">
        <f>-EM$13*LossToLeasePct</f>
        <v/>
      </c>
      <c r="EN15" s="18">
        <f>-EN$13*LossToLeasePct</f>
        <v/>
      </c>
      <c r="EO15" s="18">
        <f>-EO$13*LossToLeasePct</f>
        <v/>
      </c>
      <c r="EP15" s="18">
        <f>-EP$13*LossToLeasePct</f>
        <v/>
      </c>
      <c r="EQ15" s="18">
        <f>-EQ$13*LossToLeasePct</f>
        <v/>
      </c>
      <c r="ER15" s="18">
        <f>-ER$13*LossToLeasePct</f>
        <v/>
      </c>
      <c r="ES15" s="18">
        <f>-ES$13*LossToLeasePct</f>
        <v/>
      </c>
      <c r="ET15" s="18">
        <f>-ET$13*LossToLeasePct</f>
        <v/>
      </c>
      <c r="EU15" s="18">
        <f>-EU$13*LossToLeasePct</f>
        <v/>
      </c>
      <c r="EV15" s="18">
        <f>-EV$13*LossToLeasePct</f>
        <v/>
      </c>
      <c r="EW15" s="18">
        <f>-EW$13*LossToLeasePct</f>
        <v/>
      </c>
      <c r="EX15" s="18">
        <f>-EX$13*LossToLeasePct</f>
        <v/>
      </c>
      <c r="EY15" s="18">
        <f>-EY$13*LossToLeasePct</f>
        <v/>
      </c>
      <c r="EZ15" s="18">
        <f>-EZ$13*LossToLeasePct</f>
        <v/>
      </c>
      <c r="FA15" s="18">
        <f>-FA$13*LossToLeasePct</f>
        <v/>
      </c>
      <c r="FB15" s="18">
        <f>-FB$13*LossToLeasePct</f>
        <v/>
      </c>
      <c r="FC15" s="18">
        <f>-FC$13*LossToLeasePct</f>
        <v/>
      </c>
      <c r="FD15" s="18">
        <f>-FD$13*LossToLeasePct</f>
        <v/>
      </c>
      <c r="FE15" s="18">
        <f>-FE$13*LossToLeasePct</f>
        <v/>
      </c>
      <c r="FF15" s="18">
        <f>-FF$13*LossToLeasePct</f>
        <v/>
      </c>
      <c r="FG15" s="18">
        <f>-FG$13*LossToLeasePct</f>
        <v/>
      </c>
      <c r="FH15" s="18">
        <f>-FH$13*LossToLeasePct</f>
        <v/>
      </c>
      <c r="FI15" s="18">
        <f>-FI$13*LossToLeasePct</f>
        <v/>
      </c>
      <c r="FJ15" s="18">
        <f>-FJ$13*LossToLeasePct</f>
        <v/>
      </c>
      <c r="FK15" s="18">
        <f>-FK$13*LossToLeasePct</f>
        <v/>
      </c>
      <c r="FL15" s="18">
        <f>-FL$13*LossToLeasePct</f>
        <v/>
      </c>
      <c r="FM15" s="18">
        <f>-FM$13*LossToLeasePct</f>
        <v/>
      </c>
      <c r="FN15" s="18">
        <f>-FN$13*LossToLeasePct</f>
        <v/>
      </c>
      <c r="FO15" s="18">
        <f>-FO$13*LossToLeasePct</f>
        <v/>
      </c>
      <c r="FP15" s="18">
        <f>-FP$13*LossToLeasePct</f>
        <v/>
      </c>
      <c r="FQ15" s="18">
        <f>-FQ$13*LossToLeasePct</f>
        <v/>
      </c>
      <c r="FR15" s="18">
        <f>-FR$13*LossToLeasePct</f>
        <v/>
      </c>
      <c r="FS15" s="18">
        <f>-FS$13*LossToLeasePct</f>
        <v/>
      </c>
      <c r="FT15" s="18">
        <f>-FT$13*LossToLeasePct</f>
        <v/>
      </c>
      <c r="FU15" s="18">
        <f>-FU$13*LossToLeasePct</f>
        <v/>
      </c>
      <c r="FV15" s="18">
        <f>-FV$13*LossToLeasePct</f>
        <v/>
      </c>
      <c r="FW15" s="18">
        <f>-FW$13*LossToLeasePct</f>
        <v/>
      </c>
      <c r="FX15" s="18">
        <f>-FX$13*LossToLeasePct</f>
        <v/>
      </c>
      <c r="FY15" s="18">
        <f>-FY$13*LossToLeasePct</f>
        <v/>
      </c>
      <c r="FZ15" s="18">
        <f>-FZ$13*LossToLeasePct</f>
        <v/>
      </c>
      <c r="GA15" s="18">
        <f>-GA$13*LossToLeasePct</f>
        <v/>
      </c>
      <c r="GB15" s="18">
        <f>-GB$13*LossToLeasePct</f>
        <v/>
      </c>
      <c r="GC15" s="18">
        <f>-GC$13*LossToLeasePct</f>
        <v/>
      </c>
      <c r="GD15" s="18">
        <f>-GD$13*LossToLeasePct</f>
        <v/>
      </c>
      <c r="GE15" s="18">
        <f>-GE$13*LossToLeasePct</f>
        <v/>
      </c>
      <c r="GF15" s="18">
        <f>-GF$13*LossToLeasePct</f>
        <v/>
      </c>
      <c r="GG15" s="18">
        <f>-GG$13*LossToLeasePct</f>
        <v/>
      </c>
      <c r="GH15" s="18">
        <f>-GH$13*LossToLeasePct</f>
        <v/>
      </c>
      <c r="GI15" s="18">
        <f>-GI$13*LossToLeasePct</f>
        <v/>
      </c>
      <c r="GJ15" s="18">
        <f>-GJ$13*LossToLeasePct</f>
        <v/>
      </c>
      <c r="GK15" s="18">
        <f>-GK$13*LossToLeasePct</f>
        <v/>
      </c>
      <c r="GL15" s="18">
        <f>-GL$13*LossToLeasePct</f>
        <v/>
      </c>
      <c r="GM15" s="18">
        <f>-GM$13*LossToLeasePct</f>
        <v/>
      </c>
      <c r="GN15" s="18">
        <f>-GN$13*LossToLeasePct</f>
        <v/>
      </c>
      <c r="GO15" s="18">
        <f>-GO$13*LossToLeasePct</f>
        <v/>
      </c>
      <c r="GP15" s="18">
        <f>-GP$13*LossToLeasePct</f>
        <v/>
      </c>
      <c r="GQ15" s="18">
        <f>-GQ$13*LossToLeasePct</f>
        <v/>
      </c>
      <c r="GR15" s="18">
        <f>-GR$13*LossToLeasePct</f>
        <v/>
      </c>
      <c r="GS15" s="18">
        <f>-GS$13*LossToLeasePct</f>
        <v/>
      </c>
      <c r="GT15" s="18">
        <f>-GT$13*LossToLeasePct</f>
        <v/>
      </c>
      <c r="GU15" s="18">
        <f>-GU$13*LossToLeasePct</f>
        <v/>
      </c>
      <c r="GV15" s="18">
        <f>-GV$13*LossToLeasePct</f>
        <v/>
      </c>
      <c r="GW15" s="18">
        <f>-GW$13*LossToLeasePct</f>
        <v/>
      </c>
      <c r="GX15" s="18">
        <f>-GX$13*LossToLeasePct</f>
        <v/>
      </c>
      <c r="GY15" s="18">
        <f>-GY$13*LossToLeasePct</f>
        <v/>
      </c>
      <c r="GZ15" s="18">
        <f>-GZ$13*LossToLeasePct</f>
        <v/>
      </c>
      <c r="HA15" s="18">
        <f>-HA$13*LossToLeasePct</f>
        <v/>
      </c>
      <c r="HB15" s="18">
        <f>-HB$13*LossToLeasePct</f>
        <v/>
      </c>
      <c r="HC15" s="18">
        <f>-HC$13*LossToLeasePct</f>
        <v/>
      </c>
      <c r="HD15" s="18">
        <f>-HD$13*LossToLeasePct</f>
        <v/>
      </c>
      <c r="HE15" s="18">
        <f>-HE$13*LossToLeasePct</f>
        <v/>
      </c>
      <c r="HF15" s="18">
        <f>-HF$13*LossToLeasePct</f>
        <v/>
      </c>
      <c r="HG15" s="18">
        <f>-HG$13*LossToLeasePct</f>
        <v/>
      </c>
      <c r="HH15" s="18">
        <f>-HH$13*LossToLeasePct</f>
        <v/>
      </c>
      <c r="HI15" s="18">
        <f>-HI$13*LossToLeasePct</f>
        <v/>
      </c>
      <c r="HJ15" s="18">
        <f>-HJ$13*LossToLeasePct</f>
        <v/>
      </c>
      <c r="HK15" s="18">
        <f>-HK$13*LossToLeasePct</f>
        <v/>
      </c>
      <c r="HL15" s="18">
        <f>-HL$13*LossToLeasePct</f>
        <v/>
      </c>
      <c r="HM15" s="18">
        <f>-HM$13*LossToLeasePct</f>
        <v/>
      </c>
      <c r="HN15" s="18">
        <f>-HN$13*LossToLeasePct</f>
        <v/>
      </c>
      <c r="HO15" s="18">
        <f>-HO$13*LossToLeasePct</f>
        <v/>
      </c>
      <c r="HP15" s="18">
        <f>-HP$13*LossToLeasePct</f>
        <v/>
      </c>
      <c r="HQ15" s="18">
        <f>-HQ$13*LossToLeasePct</f>
        <v/>
      </c>
      <c r="HR15" s="18">
        <f>-HR$13*LossToLeasePct</f>
        <v/>
      </c>
      <c r="HS15" s="18">
        <f>-HS$13*LossToLeasePct</f>
        <v/>
      </c>
      <c r="HT15" s="18">
        <f>-HT$13*LossToLeasePct</f>
        <v/>
      </c>
      <c r="HU15" s="18">
        <f>-HU$13*LossToLeasePct</f>
        <v/>
      </c>
      <c r="HV15" s="18">
        <f>-HV$13*LossToLeasePct</f>
        <v/>
      </c>
      <c r="HW15" s="18">
        <f>-HW$13*LossToLeasePct</f>
        <v/>
      </c>
      <c r="HX15" s="18">
        <f>-HX$13*LossToLeasePct</f>
        <v/>
      </c>
      <c r="HY15" s="18">
        <f>-HY$13*LossToLeasePct</f>
        <v/>
      </c>
      <c r="HZ15" s="18">
        <f>-HZ$13*LossToLeasePct</f>
        <v/>
      </c>
      <c r="IA15" s="18">
        <f>-IA$13*LossToLeasePct</f>
        <v/>
      </c>
      <c r="IB15" s="18">
        <f>-IB$13*LossToLeasePct</f>
        <v/>
      </c>
      <c r="IC15" s="18">
        <f>-IC$13*LossToLeasePct</f>
        <v/>
      </c>
      <c r="ID15" s="18">
        <f>-ID$13*LossToLeasePct</f>
        <v/>
      </c>
      <c r="IE15" s="18">
        <f>-IE$13*LossToLeasePct</f>
        <v/>
      </c>
      <c r="IF15" s="18">
        <f>-IF$13*LossToLeasePct</f>
        <v/>
      </c>
      <c r="IG15" s="18">
        <f>-IG$13*LossToLeasePct</f>
        <v/>
      </c>
      <c r="IH15" s="18">
        <f>-IH$13*LossToLeasePct</f>
        <v/>
      </c>
      <c r="II15" s="18">
        <f>-II$13*LossToLeasePct</f>
        <v/>
      </c>
      <c r="IJ15" s="18">
        <f>-IJ$13*LossToLeasePct</f>
        <v/>
      </c>
      <c r="IK15" s="18">
        <f>-IK$13*LossToLeasePct</f>
        <v/>
      </c>
      <c r="IL15" s="18">
        <f>-IL$13*LossToLeasePct</f>
        <v/>
      </c>
      <c r="IM15" s="18">
        <f>-IM$13*LossToLeasePct</f>
        <v/>
      </c>
      <c r="IN15" s="18">
        <f>-IN$13*LossToLeasePct</f>
        <v/>
      </c>
      <c r="IO15" s="18">
        <f>-IO$13*LossToLeasePct</f>
        <v/>
      </c>
      <c r="IP15" s="18">
        <f>-IP$13*LossToLeasePct</f>
        <v/>
      </c>
      <c r="IQ15" s="18">
        <f>-IQ$13*LossToLeasePct</f>
        <v/>
      </c>
      <c r="IR15" s="18">
        <f>-IR$13*LossToLeasePct</f>
        <v/>
      </c>
      <c r="IS15" s="18">
        <f>-IS$13*LossToLeasePct</f>
        <v/>
      </c>
      <c r="IT15" s="18">
        <f>-IT$13*LossToLeasePct</f>
        <v/>
      </c>
      <c r="IU15" s="18">
        <f>-IU$13*LossToLeasePct</f>
        <v/>
      </c>
      <c r="IV15" s="18">
        <f>-IV$13*LossToLeasePct</f>
        <v/>
      </c>
      <c r="IW15" s="18">
        <f>-IW$13*LossToLeasePct</f>
        <v/>
      </c>
      <c r="IX15" s="18">
        <f>-IX$13*LossToLeasePct</f>
        <v/>
      </c>
      <c r="IY15" s="18">
        <f>-IY$13*LossToLeasePct</f>
        <v/>
      </c>
      <c r="IZ15" s="18">
        <f>-IZ$13*LossToLeasePct</f>
        <v/>
      </c>
      <c r="JA15" s="18">
        <f>-JA$13*LossToLeasePct</f>
        <v/>
      </c>
      <c r="JB15" s="18">
        <f>-JB$13*LossToLeasePct</f>
        <v/>
      </c>
      <c r="JC15" s="18">
        <f>-JC$13*LossToLeasePct</f>
        <v/>
      </c>
      <c r="JD15" s="18">
        <f>-JD$13*LossToLeasePct</f>
        <v/>
      </c>
      <c r="JE15" s="18">
        <f>-JE$13*LossToLeasePct</f>
        <v/>
      </c>
      <c r="JF15" s="18">
        <f>-JF$13*LossToLeasePct</f>
        <v/>
      </c>
      <c r="JG15" s="18">
        <f>-JG$13*LossToLeasePct</f>
        <v/>
      </c>
      <c r="JH15" s="18">
        <f>-JH$13*LossToLeasePct</f>
        <v/>
      </c>
      <c r="JI15" s="18">
        <f>-JI$13*LossToLeasePct</f>
        <v/>
      </c>
      <c r="JJ15" s="18">
        <f>-JJ$13*LossToLeasePct</f>
        <v/>
      </c>
      <c r="JK15" s="18">
        <f>-JK$13*LossToLeasePct</f>
        <v/>
      </c>
      <c r="JL15" s="18">
        <f>-JL$13*LossToLeasePct</f>
        <v/>
      </c>
      <c r="JM15" s="18">
        <f>-JM$13*LossToLeasePct</f>
        <v/>
      </c>
      <c r="JN15" s="18">
        <f>-JN$13*LossToLeasePct</f>
        <v/>
      </c>
      <c r="JO15" s="18">
        <f>-JO$13*LossToLeasePct</f>
        <v/>
      </c>
      <c r="JP15" s="18">
        <f>-JP$13*LossToLeasePct</f>
        <v/>
      </c>
      <c r="JQ15" s="18">
        <f>-JQ$13*LossToLeasePct</f>
        <v/>
      </c>
      <c r="JR15" s="18">
        <f>-JR$13*LossToLeasePct</f>
        <v/>
      </c>
      <c r="JS15" s="18">
        <f>-JS$13*LossToLeasePct</f>
        <v/>
      </c>
      <c r="JT15" s="18">
        <f>-JT$13*LossToLeasePct</f>
        <v/>
      </c>
      <c r="JU15" s="18">
        <f>-JU$13*LossToLeasePct</f>
        <v/>
      </c>
      <c r="JV15" s="18">
        <f>-JV$13*LossToLeasePct</f>
        <v/>
      </c>
      <c r="JW15" s="18">
        <f>-JW$13*LossToLeasePct</f>
        <v/>
      </c>
      <c r="JX15" s="18">
        <f>-JX$13*LossToLeasePct</f>
        <v/>
      </c>
      <c r="JY15" s="18">
        <f>-JY$13*LossToLeasePct</f>
        <v/>
      </c>
      <c r="JZ15" s="18">
        <f>-JZ$13*LossToLeasePct</f>
        <v/>
      </c>
      <c r="KA15" s="18">
        <f>-KA$13*LossToLeasePct</f>
        <v/>
      </c>
      <c r="KB15" s="18">
        <f>-KB$13*LossToLeasePct</f>
        <v/>
      </c>
      <c r="KC15" s="18">
        <f>-KC$13*LossToLeasePct</f>
        <v/>
      </c>
      <c r="KD15" s="18">
        <f>-KD$13*LossToLeasePct</f>
        <v/>
      </c>
      <c r="KE15" s="18">
        <f>-KE$13*LossToLeasePct</f>
        <v/>
      </c>
      <c r="KF15" s="18">
        <f>-KF$13*LossToLeasePct</f>
        <v/>
      </c>
      <c r="KG15" s="18">
        <f>-KG$13*LossToLeasePct</f>
        <v/>
      </c>
      <c r="KH15" s="18">
        <f>-KH$13*LossToLeasePct</f>
        <v/>
      </c>
      <c r="KI15" s="18">
        <f>-KI$13*LossToLeasePct</f>
        <v/>
      </c>
      <c r="KJ15" s="18">
        <f>-KJ$13*LossToLeasePct</f>
        <v/>
      </c>
      <c r="KK15" s="18">
        <f>-KK$13*LossToLeasePct</f>
        <v/>
      </c>
      <c r="KL15" s="18">
        <f>-KL$13*LossToLeasePct</f>
        <v/>
      </c>
      <c r="KM15" s="18">
        <f>-KM$13*LossToLeasePct</f>
        <v/>
      </c>
      <c r="KN15" s="18">
        <f>-KN$13*LossToLeasePct</f>
        <v/>
      </c>
      <c r="KO15" s="18">
        <f>-KO$13*LossToLeasePct</f>
        <v/>
      </c>
      <c r="KP15" s="18">
        <f>-KP$13*LossToLeasePct</f>
        <v/>
      </c>
      <c r="KQ15" s="18">
        <f>-KQ$13*LossToLeasePct</f>
        <v/>
      </c>
      <c r="KR15" s="18">
        <f>-KR$13*LossToLeasePct</f>
        <v/>
      </c>
      <c r="KS15" s="18">
        <f>-KS$13*LossToLeasePct</f>
        <v/>
      </c>
      <c r="KT15" s="18">
        <f>-KT$13*LossToLeasePct</f>
        <v/>
      </c>
      <c r="KU15" s="18">
        <f>-KU$13*LossToLeasePct</f>
        <v/>
      </c>
      <c r="KV15" s="18">
        <f>-KV$13*LossToLeasePct</f>
        <v/>
      </c>
      <c r="KW15" s="18">
        <f>-KW$13*LossToLeasePct</f>
        <v/>
      </c>
      <c r="KX15" s="18">
        <f>-KX$13*LossToLeasePct</f>
        <v/>
      </c>
      <c r="KY15" s="18">
        <f>-KY$13*LossToLeasePct</f>
        <v/>
      </c>
      <c r="KZ15" s="18">
        <f>-KZ$13*LossToLeasePct</f>
        <v/>
      </c>
      <c r="LA15" s="18">
        <f>-LA$13*LossToLeasePct</f>
        <v/>
      </c>
      <c r="LB15" s="18">
        <f>-LB$13*LossToLeasePct</f>
        <v/>
      </c>
      <c r="LC15" s="18">
        <f>-LC$13*LossToLeasePct</f>
        <v/>
      </c>
      <c r="LD15" s="18">
        <f>-LD$13*LossToLeasePct</f>
        <v/>
      </c>
      <c r="LE15" s="18">
        <f>-LE$13*LossToLeasePct</f>
        <v/>
      </c>
      <c r="LF15" s="18">
        <f>-LF$13*LossToLeasePct</f>
        <v/>
      </c>
      <c r="LG15" s="18">
        <f>-LG$13*LossToLeasePct</f>
        <v/>
      </c>
      <c r="LH15" s="18">
        <f>-LH$13*LossToLeasePct</f>
        <v/>
      </c>
      <c r="LI15" s="18">
        <f>-LI$13*LossToLeasePct</f>
        <v/>
      </c>
      <c r="LJ15" s="18">
        <f>-LJ$13*LossToLeasePct</f>
        <v/>
      </c>
      <c r="LK15" s="18">
        <f>-LK$13*LossToLeasePct</f>
        <v/>
      </c>
      <c r="LL15" s="18">
        <f>-LL$13*LossToLeasePct</f>
        <v/>
      </c>
      <c r="LM15" s="18">
        <f>-LM$13*LossToLeasePct</f>
        <v/>
      </c>
      <c r="LN15" s="18">
        <f>-LN$13*LossToLeasePct</f>
        <v/>
      </c>
      <c r="LO15" s="18">
        <f>-LO$13*LossToLeasePct</f>
        <v/>
      </c>
      <c r="LP15" s="18">
        <f>-LP$13*LossToLeasePct</f>
        <v/>
      </c>
      <c r="LQ15" s="18">
        <f>-LQ$13*LossToLeasePct</f>
        <v/>
      </c>
      <c r="LR15" s="18">
        <f>-LR$13*LossToLeasePct</f>
        <v/>
      </c>
      <c r="LS15" s="18">
        <f>-LS$13*LossToLeasePct</f>
        <v/>
      </c>
      <c r="LT15" s="18">
        <f>-LT$13*LossToLeasePct</f>
        <v/>
      </c>
      <c r="LU15" s="18">
        <f>-LU$13*LossToLeasePct</f>
        <v/>
      </c>
      <c r="LV15" s="18">
        <f>-LV$13*LossToLeasePct</f>
        <v/>
      </c>
      <c r="LW15" s="18">
        <f>-LW$13*LossToLeasePct</f>
        <v/>
      </c>
      <c r="LX15" s="18">
        <f>-LX$13*LossToLeasePct</f>
        <v/>
      </c>
      <c r="LY15" s="18">
        <f>-LY$13*LossToLeasePct</f>
        <v/>
      </c>
      <c r="LZ15" s="18">
        <f>-LZ$13*LossToLeasePct</f>
        <v/>
      </c>
      <c r="MA15" s="18">
        <f>-MA$13*LossToLeasePct</f>
        <v/>
      </c>
      <c r="MB15" s="18">
        <f>-MB$13*LossToLeasePct</f>
        <v/>
      </c>
      <c r="MC15" s="18">
        <f>-MC$13*LossToLeasePct</f>
        <v/>
      </c>
      <c r="MD15" s="18">
        <f>-MD$13*LossToLeasePct</f>
        <v/>
      </c>
      <c r="ME15" s="18">
        <f>-ME$13*LossToLeasePct</f>
        <v/>
      </c>
      <c r="MF15" s="18">
        <f>-MF$13*LossToLeasePct</f>
        <v/>
      </c>
      <c r="MG15" s="18">
        <f>-MG$13*LossToLeasePct</f>
        <v/>
      </c>
      <c r="MH15" s="18">
        <f>-MH$13*LossToLeasePct</f>
        <v/>
      </c>
      <c r="MI15" s="18">
        <f>-MI$13*LossToLeasePct</f>
        <v/>
      </c>
      <c r="MJ15" s="18">
        <f>-MJ$13*LossToLeasePct</f>
        <v/>
      </c>
      <c r="MK15" s="18">
        <f>-MK$13*LossToLeasePct</f>
        <v/>
      </c>
      <c r="ML15" s="18">
        <f>-ML$13*LossToLeasePct</f>
        <v/>
      </c>
      <c r="MM15" s="18">
        <f>-MM$13*LossToLeasePct</f>
        <v/>
      </c>
      <c r="MN15" s="18">
        <f>-MN$13*LossToLeasePct</f>
        <v/>
      </c>
      <c r="MO15" s="18">
        <f>-MO$13*LossToLeasePct</f>
        <v/>
      </c>
      <c r="MP15" s="18">
        <f>-MP$13*LossToLeasePct</f>
        <v/>
      </c>
      <c r="MQ15" s="18">
        <f>-MQ$13*LossToLeasePct</f>
        <v/>
      </c>
      <c r="MR15" s="18">
        <f>-MR$13*LossToLeasePct</f>
        <v/>
      </c>
      <c r="MS15" s="18">
        <f>-MS$13*LossToLeasePct</f>
        <v/>
      </c>
      <c r="MT15" s="18">
        <f>-MT$13*LossToLeasePct</f>
        <v/>
      </c>
      <c r="MU15" s="18">
        <f>-MU$13*LossToLeasePct</f>
        <v/>
      </c>
      <c r="MV15" s="18">
        <f>-MV$13*LossToLeasePct</f>
        <v/>
      </c>
      <c r="MW15" s="18">
        <f>-MW$13*LossToLeasePct</f>
        <v/>
      </c>
      <c r="MX15" s="18">
        <f>-MX$13*LossToLeasePct</f>
        <v/>
      </c>
      <c r="MY15" s="18">
        <f>-MY$13*LossToLeasePct</f>
        <v/>
      </c>
      <c r="MZ15" s="18">
        <f>-MZ$13*LossToLeasePct</f>
        <v/>
      </c>
      <c r="NA15" s="18">
        <f>-NA$13*LossToLeasePct</f>
        <v/>
      </c>
      <c r="NB15" s="18">
        <f>-NB$13*LossToLeasePct</f>
        <v/>
      </c>
      <c r="NC15" s="18">
        <f>-NC$13*LossToLeasePct</f>
        <v/>
      </c>
      <c r="ND15" s="18">
        <f>-ND$13*LossToLeasePct</f>
        <v/>
      </c>
      <c r="NE15" s="18">
        <f>-NE$13*LossToLeasePct</f>
        <v/>
      </c>
      <c r="NF15" s="18">
        <f>-NF$13*LossToLeasePct</f>
        <v/>
      </c>
      <c r="NG15" s="18">
        <f>-NG$13*LossToLeasePct</f>
        <v/>
      </c>
      <c r="NH15" s="18">
        <f>-NH$13*LossToLeasePct</f>
        <v/>
      </c>
      <c r="NI15" s="18">
        <f>-NI$13*LossToLeasePct</f>
        <v/>
      </c>
      <c r="NJ15" s="18">
        <f>-NJ$13*LossToLeasePct</f>
        <v/>
      </c>
      <c r="NK15" s="18">
        <f>-NK$13*LossToLeasePct</f>
        <v/>
      </c>
    </row>
    <row r="16">
      <c r="A16" s="5" t="inlineStr">
        <is>
          <t>Bad Debt</t>
        </is>
      </c>
      <c r="C16" s="41">
        <f>SUM(D16:NK16)</f>
        <v/>
      </c>
      <c r="D16" s="18">
        <f>-D$13*BadDebtPct</f>
        <v/>
      </c>
      <c r="E16" s="18">
        <f>-E$13*BadDebtPct</f>
        <v/>
      </c>
      <c r="F16" s="18">
        <f>-F$13*BadDebtPct</f>
        <v/>
      </c>
      <c r="G16" s="18">
        <f>-G$13*BadDebtPct</f>
        <v/>
      </c>
      <c r="H16" s="18">
        <f>-H$13*BadDebtPct</f>
        <v/>
      </c>
      <c r="I16" s="18">
        <f>-I$13*BadDebtPct</f>
        <v/>
      </c>
      <c r="J16" s="18">
        <f>-J$13*BadDebtPct</f>
        <v/>
      </c>
      <c r="K16" s="18">
        <f>-K$13*BadDebtPct</f>
        <v/>
      </c>
      <c r="L16" s="18">
        <f>-L$13*BadDebtPct</f>
        <v/>
      </c>
      <c r="M16" s="18">
        <f>-M$13*BadDebtPct</f>
        <v/>
      </c>
      <c r="N16" s="18">
        <f>-N$13*BadDebtPct</f>
        <v/>
      </c>
      <c r="O16" s="18">
        <f>-O$13*BadDebtPct</f>
        <v/>
      </c>
      <c r="P16" s="18">
        <f>-P$13*BadDebtPct</f>
        <v/>
      </c>
      <c r="Q16" s="18">
        <f>-Q$13*BadDebtPct</f>
        <v/>
      </c>
      <c r="R16" s="18">
        <f>-R$13*BadDebtPct</f>
        <v/>
      </c>
      <c r="S16" s="18">
        <f>-S$13*BadDebtPct</f>
        <v/>
      </c>
      <c r="T16" s="18">
        <f>-T$13*BadDebtPct</f>
        <v/>
      </c>
      <c r="U16" s="18">
        <f>-U$13*BadDebtPct</f>
        <v/>
      </c>
      <c r="V16" s="18">
        <f>-V$13*BadDebtPct</f>
        <v/>
      </c>
      <c r="W16" s="18">
        <f>-W$13*BadDebtPct</f>
        <v/>
      </c>
      <c r="X16" s="18">
        <f>-X$13*BadDebtPct</f>
        <v/>
      </c>
      <c r="Y16" s="18">
        <f>-Y$13*BadDebtPct</f>
        <v/>
      </c>
      <c r="Z16" s="18">
        <f>-Z$13*BadDebtPct</f>
        <v/>
      </c>
      <c r="AA16" s="18">
        <f>-AA$13*BadDebtPct</f>
        <v/>
      </c>
      <c r="AB16" s="18">
        <f>-AB$13*BadDebtPct</f>
        <v/>
      </c>
      <c r="AC16" s="18">
        <f>-AC$13*BadDebtPct</f>
        <v/>
      </c>
      <c r="AD16" s="18">
        <f>-AD$13*BadDebtPct</f>
        <v/>
      </c>
      <c r="AE16" s="18">
        <f>-AE$13*BadDebtPct</f>
        <v/>
      </c>
      <c r="AF16" s="18">
        <f>-AF$13*BadDebtPct</f>
        <v/>
      </c>
      <c r="AG16" s="18">
        <f>-AG$13*BadDebtPct</f>
        <v/>
      </c>
      <c r="AH16" s="18">
        <f>-AH$13*BadDebtPct</f>
        <v/>
      </c>
      <c r="AI16" s="18">
        <f>-AI$13*BadDebtPct</f>
        <v/>
      </c>
      <c r="AJ16" s="18">
        <f>-AJ$13*BadDebtPct</f>
        <v/>
      </c>
      <c r="AK16" s="18">
        <f>-AK$13*BadDebtPct</f>
        <v/>
      </c>
      <c r="AL16" s="18">
        <f>-AL$13*BadDebtPct</f>
        <v/>
      </c>
      <c r="AM16" s="18">
        <f>-AM$13*BadDebtPct</f>
        <v/>
      </c>
      <c r="AN16" s="18">
        <f>-AN$13*BadDebtPct</f>
        <v/>
      </c>
      <c r="AO16" s="18">
        <f>-AO$13*BadDebtPct</f>
        <v/>
      </c>
      <c r="AP16" s="18">
        <f>-AP$13*BadDebtPct</f>
        <v/>
      </c>
      <c r="AQ16" s="18">
        <f>-AQ$13*BadDebtPct</f>
        <v/>
      </c>
      <c r="AR16" s="18">
        <f>-AR$13*BadDebtPct</f>
        <v/>
      </c>
      <c r="AS16" s="18">
        <f>-AS$13*BadDebtPct</f>
        <v/>
      </c>
      <c r="AT16" s="18">
        <f>-AT$13*BadDebtPct</f>
        <v/>
      </c>
      <c r="AU16" s="18">
        <f>-AU$13*BadDebtPct</f>
        <v/>
      </c>
      <c r="AV16" s="18">
        <f>-AV$13*BadDebtPct</f>
        <v/>
      </c>
      <c r="AW16" s="18">
        <f>-AW$13*BadDebtPct</f>
        <v/>
      </c>
      <c r="AX16" s="18">
        <f>-AX$13*BadDebtPct</f>
        <v/>
      </c>
      <c r="AY16" s="18">
        <f>-AY$13*BadDebtPct</f>
        <v/>
      </c>
      <c r="AZ16" s="18">
        <f>-AZ$13*BadDebtPct</f>
        <v/>
      </c>
      <c r="BA16" s="18">
        <f>-BA$13*BadDebtPct</f>
        <v/>
      </c>
      <c r="BB16" s="18">
        <f>-BB$13*BadDebtPct</f>
        <v/>
      </c>
      <c r="BC16" s="18">
        <f>-BC$13*BadDebtPct</f>
        <v/>
      </c>
      <c r="BD16" s="18">
        <f>-BD$13*BadDebtPct</f>
        <v/>
      </c>
      <c r="BE16" s="18">
        <f>-BE$13*BadDebtPct</f>
        <v/>
      </c>
      <c r="BF16" s="18">
        <f>-BF$13*BadDebtPct</f>
        <v/>
      </c>
      <c r="BG16" s="18">
        <f>-BG$13*BadDebtPct</f>
        <v/>
      </c>
      <c r="BH16" s="18">
        <f>-BH$13*BadDebtPct</f>
        <v/>
      </c>
      <c r="BI16" s="18">
        <f>-BI$13*BadDebtPct</f>
        <v/>
      </c>
      <c r="BJ16" s="18">
        <f>-BJ$13*BadDebtPct</f>
        <v/>
      </c>
      <c r="BK16" s="18">
        <f>-BK$13*BadDebtPct</f>
        <v/>
      </c>
      <c r="BL16" s="18">
        <f>-BL$13*BadDebtPct</f>
        <v/>
      </c>
      <c r="BM16" s="18">
        <f>-BM$13*BadDebtPct</f>
        <v/>
      </c>
      <c r="BN16" s="18">
        <f>-BN$13*BadDebtPct</f>
        <v/>
      </c>
      <c r="BO16" s="18">
        <f>-BO$13*BadDebtPct</f>
        <v/>
      </c>
      <c r="BP16" s="18">
        <f>-BP$13*BadDebtPct</f>
        <v/>
      </c>
      <c r="BQ16" s="18">
        <f>-BQ$13*BadDebtPct</f>
        <v/>
      </c>
      <c r="BR16" s="18">
        <f>-BR$13*BadDebtPct</f>
        <v/>
      </c>
      <c r="BS16" s="18">
        <f>-BS$13*BadDebtPct</f>
        <v/>
      </c>
      <c r="BT16" s="18">
        <f>-BT$13*BadDebtPct</f>
        <v/>
      </c>
      <c r="BU16" s="18">
        <f>-BU$13*BadDebtPct</f>
        <v/>
      </c>
      <c r="BV16" s="18">
        <f>-BV$13*BadDebtPct</f>
        <v/>
      </c>
      <c r="BW16" s="18">
        <f>-BW$13*BadDebtPct</f>
        <v/>
      </c>
      <c r="BX16" s="18">
        <f>-BX$13*BadDebtPct</f>
        <v/>
      </c>
      <c r="BY16" s="18">
        <f>-BY$13*BadDebtPct</f>
        <v/>
      </c>
      <c r="BZ16" s="18">
        <f>-BZ$13*BadDebtPct</f>
        <v/>
      </c>
      <c r="CA16" s="18">
        <f>-CA$13*BadDebtPct</f>
        <v/>
      </c>
      <c r="CB16" s="18">
        <f>-CB$13*BadDebtPct</f>
        <v/>
      </c>
      <c r="CC16" s="18">
        <f>-CC$13*BadDebtPct</f>
        <v/>
      </c>
      <c r="CD16" s="18">
        <f>-CD$13*BadDebtPct</f>
        <v/>
      </c>
      <c r="CE16" s="18">
        <f>-CE$13*BadDebtPct</f>
        <v/>
      </c>
      <c r="CF16" s="18">
        <f>-CF$13*BadDebtPct</f>
        <v/>
      </c>
      <c r="CG16" s="18">
        <f>-CG$13*BadDebtPct</f>
        <v/>
      </c>
      <c r="CH16" s="18">
        <f>-CH$13*BadDebtPct</f>
        <v/>
      </c>
      <c r="CI16" s="18">
        <f>-CI$13*BadDebtPct</f>
        <v/>
      </c>
      <c r="CJ16" s="18">
        <f>-CJ$13*BadDebtPct</f>
        <v/>
      </c>
      <c r="CK16" s="18">
        <f>-CK$13*BadDebtPct</f>
        <v/>
      </c>
      <c r="CL16" s="18">
        <f>-CL$13*BadDebtPct</f>
        <v/>
      </c>
      <c r="CM16" s="18">
        <f>-CM$13*BadDebtPct</f>
        <v/>
      </c>
      <c r="CN16" s="18">
        <f>-CN$13*BadDebtPct</f>
        <v/>
      </c>
      <c r="CO16" s="18">
        <f>-CO$13*BadDebtPct</f>
        <v/>
      </c>
      <c r="CP16" s="18">
        <f>-CP$13*BadDebtPct</f>
        <v/>
      </c>
      <c r="CQ16" s="18">
        <f>-CQ$13*BadDebtPct</f>
        <v/>
      </c>
      <c r="CR16" s="18">
        <f>-CR$13*BadDebtPct</f>
        <v/>
      </c>
      <c r="CS16" s="18">
        <f>-CS$13*BadDebtPct</f>
        <v/>
      </c>
      <c r="CT16" s="18">
        <f>-CT$13*BadDebtPct</f>
        <v/>
      </c>
      <c r="CU16" s="18">
        <f>-CU$13*BadDebtPct</f>
        <v/>
      </c>
      <c r="CV16" s="18">
        <f>-CV$13*BadDebtPct</f>
        <v/>
      </c>
      <c r="CW16" s="18">
        <f>-CW$13*BadDebtPct</f>
        <v/>
      </c>
      <c r="CX16" s="18">
        <f>-CX$13*BadDebtPct</f>
        <v/>
      </c>
      <c r="CY16" s="18">
        <f>-CY$13*BadDebtPct</f>
        <v/>
      </c>
      <c r="CZ16" s="18">
        <f>-CZ$13*BadDebtPct</f>
        <v/>
      </c>
      <c r="DA16" s="18">
        <f>-DA$13*BadDebtPct</f>
        <v/>
      </c>
      <c r="DB16" s="18">
        <f>-DB$13*BadDebtPct</f>
        <v/>
      </c>
      <c r="DC16" s="18">
        <f>-DC$13*BadDebtPct</f>
        <v/>
      </c>
      <c r="DD16" s="18">
        <f>-DD$13*BadDebtPct</f>
        <v/>
      </c>
      <c r="DE16" s="18">
        <f>-DE$13*BadDebtPct</f>
        <v/>
      </c>
      <c r="DF16" s="18">
        <f>-DF$13*BadDebtPct</f>
        <v/>
      </c>
      <c r="DG16" s="18">
        <f>-DG$13*BadDebtPct</f>
        <v/>
      </c>
      <c r="DH16" s="18">
        <f>-DH$13*BadDebtPct</f>
        <v/>
      </c>
      <c r="DI16" s="18">
        <f>-DI$13*BadDebtPct</f>
        <v/>
      </c>
      <c r="DJ16" s="18">
        <f>-DJ$13*BadDebtPct</f>
        <v/>
      </c>
      <c r="DK16" s="18">
        <f>-DK$13*BadDebtPct</f>
        <v/>
      </c>
      <c r="DL16" s="18">
        <f>-DL$13*BadDebtPct</f>
        <v/>
      </c>
      <c r="DM16" s="18">
        <f>-DM$13*BadDebtPct</f>
        <v/>
      </c>
      <c r="DN16" s="18">
        <f>-DN$13*BadDebtPct</f>
        <v/>
      </c>
      <c r="DO16" s="18">
        <f>-DO$13*BadDebtPct</f>
        <v/>
      </c>
      <c r="DP16" s="18">
        <f>-DP$13*BadDebtPct</f>
        <v/>
      </c>
      <c r="DQ16" s="18">
        <f>-DQ$13*BadDebtPct</f>
        <v/>
      </c>
      <c r="DR16" s="18">
        <f>-DR$13*BadDebtPct</f>
        <v/>
      </c>
      <c r="DS16" s="18">
        <f>-DS$13*BadDebtPct</f>
        <v/>
      </c>
      <c r="DT16" s="18">
        <f>-DT$13*BadDebtPct</f>
        <v/>
      </c>
      <c r="DU16" s="18">
        <f>-DU$13*BadDebtPct</f>
        <v/>
      </c>
      <c r="DV16" s="18">
        <f>-DV$13*BadDebtPct</f>
        <v/>
      </c>
      <c r="DW16" s="18">
        <f>-DW$13*BadDebtPct</f>
        <v/>
      </c>
      <c r="DX16" s="18">
        <f>-DX$13*BadDebtPct</f>
        <v/>
      </c>
      <c r="DY16" s="18">
        <f>-DY$13*BadDebtPct</f>
        <v/>
      </c>
      <c r="DZ16" s="18">
        <f>-DZ$13*BadDebtPct</f>
        <v/>
      </c>
      <c r="EA16" s="18">
        <f>-EA$13*BadDebtPct</f>
        <v/>
      </c>
      <c r="EB16" s="18">
        <f>-EB$13*BadDebtPct</f>
        <v/>
      </c>
      <c r="EC16" s="18">
        <f>-EC$13*BadDebtPct</f>
        <v/>
      </c>
      <c r="ED16" s="18">
        <f>-ED$13*BadDebtPct</f>
        <v/>
      </c>
      <c r="EE16" s="18">
        <f>-EE$13*BadDebtPct</f>
        <v/>
      </c>
      <c r="EF16" s="18">
        <f>-EF$13*BadDebtPct</f>
        <v/>
      </c>
      <c r="EG16" s="18">
        <f>-EG$13*BadDebtPct</f>
        <v/>
      </c>
      <c r="EH16" s="18">
        <f>-EH$13*BadDebtPct</f>
        <v/>
      </c>
      <c r="EI16" s="18">
        <f>-EI$13*BadDebtPct</f>
        <v/>
      </c>
      <c r="EJ16" s="18">
        <f>-EJ$13*BadDebtPct</f>
        <v/>
      </c>
      <c r="EK16" s="18">
        <f>-EK$13*BadDebtPct</f>
        <v/>
      </c>
      <c r="EL16" s="18">
        <f>-EL$13*BadDebtPct</f>
        <v/>
      </c>
      <c r="EM16" s="18">
        <f>-EM$13*BadDebtPct</f>
        <v/>
      </c>
      <c r="EN16" s="18">
        <f>-EN$13*BadDebtPct</f>
        <v/>
      </c>
      <c r="EO16" s="18">
        <f>-EO$13*BadDebtPct</f>
        <v/>
      </c>
      <c r="EP16" s="18">
        <f>-EP$13*BadDebtPct</f>
        <v/>
      </c>
      <c r="EQ16" s="18">
        <f>-EQ$13*BadDebtPct</f>
        <v/>
      </c>
      <c r="ER16" s="18">
        <f>-ER$13*BadDebtPct</f>
        <v/>
      </c>
      <c r="ES16" s="18">
        <f>-ES$13*BadDebtPct</f>
        <v/>
      </c>
      <c r="ET16" s="18">
        <f>-ET$13*BadDebtPct</f>
        <v/>
      </c>
      <c r="EU16" s="18">
        <f>-EU$13*BadDebtPct</f>
        <v/>
      </c>
      <c r="EV16" s="18">
        <f>-EV$13*BadDebtPct</f>
        <v/>
      </c>
      <c r="EW16" s="18">
        <f>-EW$13*BadDebtPct</f>
        <v/>
      </c>
      <c r="EX16" s="18">
        <f>-EX$13*BadDebtPct</f>
        <v/>
      </c>
      <c r="EY16" s="18">
        <f>-EY$13*BadDebtPct</f>
        <v/>
      </c>
      <c r="EZ16" s="18">
        <f>-EZ$13*BadDebtPct</f>
        <v/>
      </c>
      <c r="FA16" s="18">
        <f>-FA$13*BadDebtPct</f>
        <v/>
      </c>
      <c r="FB16" s="18">
        <f>-FB$13*BadDebtPct</f>
        <v/>
      </c>
      <c r="FC16" s="18">
        <f>-FC$13*BadDebtPct</f>
        <v/>
      </c>
      <c r="FD16" s="18">
        <f>-FD$13*BadDebtPct</f>
        <v/>
      </c>
      <c r="FE16" s="18">
        <f>-FE$13*BadDebtPct</f>
        <v/>
      </c>
      <c r="FF16" s="18">
        <f>-FF$13*BadDebtPct</f>
        <v/>
      </c>
      <c r="FG16" s="18">
        <f>-FG$13*BadDebtPct</f>
        <v/>
      </c>
      <c r="FH16" s="18">
        <f>-FH$13*BadDebtPct</f>
        <v/>
      </c>
      <c r="FI16" s="18">
        <f>-FI$13*BadDebtPct</f>
        <v/>
      </c>
      <c r="FJ16" s="18">
        <f>-FJ$13*BadDebtPct</f>
        <v/>
      </c>
      <c r="FK16" s="18">
        <f>-FK$13*BadDebtPct</f>
        <v/>
      </c>
      <c r="FL16" s="18">
        <f>-FL$13*BadDebtPct</f>
        <v/>
      </c>
      <c r="FM16" s="18">
        <f>-FM$13*BadDebtPct</f>
        <v/>
      </c>
      <c r="FN16" s="18">
        <f>-FN$13*BadDebtPct</f>
        <v/>
      </c>
      <c r="FO16" s="18">
        <f>-FO$13*BadDebtPct</f>
        <v/>
      </c>
      <c r="FP16" s="18">
        <f>-FP$13*BadDebtPct</f>
        <v/>
      </c>
      <c r="FQ16" s="18">
        <f>-FQ$13*BadDebtPct</f>
        <v/>
      </c>
      <c r="FR16" s="18">
        <f>-FR$13*BadDebtPct</f>
        <v/>
      </c>
      <c r="FS16" s="18">
        <f>-FS$13*BadDebtPct</f>
        <v/>
      </c>
      <c r="FT16" s="18">
        <f>-FT$13*BadDebtPct</f>
        <v/>
      </c>
      <c r="FU16" s="18">
        <f>-FU$13*BadDebtPct</f>
        <v/>
      </c>
      <c r="FV16" s="18">
        <f>-FV$13*BadDebtPct</f>
        <v/>
      </c>
      <c r="FW16" s="18">
        <f>-FW$13*BadDebtPct</f>
        <v/>
      </c>
      <c r="FX16" s="18">
        <f>-FX$13*BadDebtPct</f>
        <v/>
      </c>
      <c r="FY16" s="18">
        <f>-FY$13*BadDebtPct</f>
        <v/>
      </c>
      <c r="FZ16" s="18">
        <f>-FZ$13*BadDebtPct</f>
        <v/>
      </c>
      <c r="GA16" s="18">
        <f>-GA$13*BadDebtPct</f>
        <v/>
      </c>
      <c r="GB16" s="18">
        <f>-GB$13*BadDebtPct</f>
        <v/>
      </c>
      <c r="GC16" s="18">
        <f>-GC$13*BadDebtPct</f>
        <v/>
      </c>
      <c r="GD16" s="18">
        <f>-GD$13*BadDebtPct</f>
        <v/>
      </c>
      <c r="GE16" s="18">
        <f>-GE$13*BadDebtPct</f>
        <v/>
      </c>
      <c r="GF16" s="18">
        <f>-GF$13*BadDebtPct</f>
        <v/>
      </c>
      <c r="GG16" s="18">
        <f>-GG$13*BadDebtPct</f>
        <v/>
      </c>
      <c r="GH16" s="18">
        <f>-GH$13*BadDebtPct</f>
        <v/>
      </c>
      <c r="GI16" s="18">
        <f>-GI$13*BadDebtPct</f>
        <v/>
      </c>
      <c r="GJ16" s="18">
        <f>-GJ$13*BadDebtPct</f>
        <v/>
      </c>
      <c r="GK16" s="18">
        <f>-GK$13*BadDebtPct</f>
        <v/>
      </c>
      <c r="GL16" s="18">
        <f>-GL$13*BadDebtPct</f>
        <v/>
      </c>
      <c r="GM16" s="18">
        <f>-GM$13*BadDebtPct</f>
        <v/>
      </c>
      <c r="GN16" s="18">
        <f>-GN$13*BadDebtPct</f>
        <v/>
      </c>
      <c r="GO16" s="18">
        <f>-GO$13*BadDebtPct</f>
        <v/>
      </c>
      <c r="GP16" s="18">
        <f>-GP$13*BadDebtPct</f>
        <v/>
      </c>
      <c r="GQ16" s="18">
        <f>-GQ$13*BadDebtPct</f>
        <v/>
      </c>
      <c r="GR16" s="18">
        <f>-GR$13*BadDebtPct</f>
        <v/>
      </c>
      <c r="GS16" s="18">
        <f>-GS$13*BadDebtPct</f>
        <v/>
      </c>
      <c r="GT16" s="18">
        <f>-GT$13*BadDebtPct</f>
        <v/>
      </c>
      <c r="GU16" s="18">
        <f>-GU$13*BadDebtPct</f>
        <v/>
      </c>
      <c r="GV16" s="18">
        <f>-GV$13*BadDebtPct</f>
        <v/>
      </c>
      <c r="GW16" s="18">
        <f>-GW$13*BadDebtPct</f>
        <v/>
      </c>
      <c r="GX16" s="18">
        <f>-GX$13*BadDebtPct</f>
        <v/>
      </c>
      <c r="GY16" s="18">
        <f>-GY$13*BadDebtPct</f>
        <v/>
      </c>
      <c r="GZ16" s="18">
        <f>-GZ$13*BadDebtPct</f>
        <v/>
      </c>
      <c r="HA16" s="18">
        <f>-HA$13*BadDebtPct</f>
        <v/>
      </c>
      <c r="HB16" s="18">
        <f>-HB$13*BadDebtPct</f>
        <v/>
      </c>
      <c r="HC16" s="18">
        <f>-HC$13*BadDebtPct</f>
        <v/>
      </c>
      <c r="HD16" s="18">
        <f>-HD$13*BadDebtPct</f>
        <v/>
      </c>
      <c r="HE16" s="18">
        <f>-HE$13*BadDebtPct</f>
        <v/>
      </c>
      <c r="HF16" s="18">
        <f>-HF$13*BadDebtPct</f>
        <v/>
      </c>
      <c r="HG16" s="18">
        <f>-HG$13*BadDebtPct</f>
        <v/>
      </c>
      <c r="HH16" s="18">
        <f>-HH$13*BadDebtPct</f>
        <v/>
      </c>
      <c r="HI16" s="18">
        <f>-HI$13*BadDebtPct</f>
        <v/>
      </c>
      <c r="HJ16" s="18">
        <f>-HJ$13*BadDebtPct</f>
        <v/>
      </c>
      <c r="HK16" s="18">
        <f>-HK$13*BadDebtPct</f>
        <v/>
      </c>
      <c r="HL16" s="18">
        <f>-HL$13*BadDebtPct</f>
        <v/>
      </c>
      <c r="HM16" s="18">
        <f>-HM$13*BadDebtPct</f>
        <v/>
      </c>
      <c r="HN16" s="18">
        <f>-HN$13*BadDebtPct</f>
        <v/>
      </c>
      <c r="HO16" s="18">
        <f>-HO$13*BadDebtPct</f>
        <v/>
      </c>
      <c r="HP16" s="18">
        <f>-HP$13*BadDebtPct</f>
        <v/>
      </c>
      <c r="HQ16" s="18">
        <f>-HQ$13*BadDebtPct</f>
        <v/>
      </c>
      <c r="HR16" s="18">
        <f>-HR$13*BadDebtPct</f>
        <v/>
      </c>
      <c r="HS16" s="18">
        <f>-HS$13*BadDebtPct</f>
        <v/>
      </c>
      <c r="HT16" s="18">
        <f>-HT$13*BadDebtPct</f>
        <v/>
      </c>
      <c r="HU16" s="18">
        <f>-HU$13*BadDebtPct</f>
        <v/>
      </c>
      <c r="HV16" s="18">
        <f>-HV$13*BadDebtPct</f>
        <v/>
      </c>
      <c r="HW16" s="18">
        <f>-HW$13*BadDebtPct</f>
        <v/>
      </c>
      <c r="HX16" s="18">
        <f>-HX$13*BadDebtPct</f>
        <v/>
      </c>
      <c r="HY16" s="18">
        <f>-HY$13*BadDebtPct</f>
        <v/>
      </c>
      <c r="HZ16" s="18">
        <f>-HZ$13*BadDebtPct</f>
        <v/>
      </c>
      <c r="IA16" s="18">
        <f>-IA$13*BadDebtPct</f>
        <v/>
      </c>
      <c r="IB16" s="18">
        <f>-IB$13*BadDebtPct</f>
        <v/>
      </c>
      <c r="IC16" s="18">
        <f>-IC$13*BadDebtPct</f>
        <v/>
      </c>
      <c r="ID16" s="18">
        <f>-ID$13*BadDebtPct</f>
        <v/>
      </c>
      <c r="IE16" s="18">
        <f>-IE$13*BadDebtPct</f>
        <v/>
      </c>
      <c r="IF16" s="18">
        <f>-IF$13*BadDebtPct</f>
        <v/>
      </c>
      <c r="IG16" s="18">
        <f>-IG$13*BadDebtPct</f>
        <v/>
      </c>
      <c r="IH16" s="18">
        <f>-IH$13*BadDebtPct</f>
        <v/>
      </c>
      <c r="II16" s="18">
        <f>-II$13*BadDebtPct</f>
        <v/>
      </c>
      <c r="IJ16" s="18">
        <f>-IJ$13*BadDebtPct</f>
        <v/>
      </c>
      <c r="IK16" s="18">
        <f>-IK$13*BadDebtPct</f>
        <v/>
      </c>
      <c r="IL16" s="18">
        <f>-IL$13*BadDebtPct</f>
        <v/>
      </c>
      <c r="IM16" s="18">
        <f>-IM$13*BadDebtPct</f>
        <v/>
      </c>
      <c r="IN16" s="18">
        <f>-IN$13*BadDebtPct</f>
        <v/>
      </c>
      <c r="IO16" s="18">
        <f>-IO$13*BadDebtPct</f>
        <v/>
      </c>
      <c r="IP16" s="18">
        <f>-IP$13*BadDebtPct</f>
        <v/>
      </c>
      <c r="IQ16" s="18">
        <f>-IQ$13*BadDebtPct</f>
        <v/>
      </c>
      <c r="IR16" s="18">
        <f>-IR$13*BadDebtPct</f>
        <v/>
      </c>
      <c r="IS16" s="18">
        <f>-IS$13*BadDebtPct</f>
        <v/>
      </c>
      <c r="IT16" s="18">
        <f>-IT$13*BadDebtPct</f>
        <v/>
      </c>
      <c r="IU16" s="18">
        <f>-IU$13*BadDebtPct</f>
        <v/>
      </c>
      <c r="IV16" s="18">
        <f>-IV$13*BadDebtPct</f>
        <v/>
      </c>
      <c r="IW16" s="18">
        <f>-IW$13*BadDebtPct</f>
        <v/>
      </c>
      <c r="IX16" s="18">
        <f>-IX$13*BadDebtPct</f>
        <v/>
      </c>
      <c r="IY16" s="18">
        <f>-IY$13*BadDebtPct</f>
        <v/>
      </c>
      <c r="IZ16" s="18">
        <f>-IZ$13*BadDebtPct</f>
        <v/>
      </c>
      <c r="JA16" s="18">
        <f>-JA$13*BadDebtPct</f>
        <v/>
      </c>
      <c r="JB16" s="18">
        <f>-JB$13*BadDebtPct</f>
        <v/>
      </c>
      <c r="JC16" s="18">
        <f>-JC$13*BadDebtPct</f>
        <v/>
      </c>
      <c r="JD16" s="18">
        <f>-JD$13*BadDebtPct</f>
        <v/>
      </c>
      <c r="JE16" s="18">
        <f>-JE$13*BadDebtPct</f>
        <v/>
      </c>
      <c r="JF16" s="18">
        <f>-JF$13*BadDebtPct</f>
        <v/>
      </c>
      <c r="JG16" s="18">
        <f>-JG$13*BadDebtPct</f>
        <v/>
      </c>
      <c r="JH16" s="18">
        <f>-JH$13*BadDebtPct</f>
        <v/>
      </c>
      <c r="JI16" s="18">
        <f>-JI$13*BadDebtPct</f>
        <v/>
      </c>
      <c r="JJ16" s="18">
        <f>-JJ$13*BadDebtPct</f>
        <v/>
      </c>
      <c r="JK16" s="18">
        <f>-JK$13*BadDebtPct</f>
        <v/>
      </c>
      <c r="JL16" s="18">
        <f>-JL$13*BadDebtPct</f>
        <v/>
      </c>
      <c r="JM16" s="18">
        <f>-JM$13*BadDebtPct</f>
        <v/>
      </c>
      <c r="JN16" s="18">
        <f>-JN$13*BadDebtPct</f>
        <v/>
      </c>
      <c r="JO16" s="18">
        <f>-JO$13*BadDebtPct</f>
        <v/>
      </c>
      <c r="JP16" s="18">
        <f>-JP$13*BadDebtPct</f>
        <v/>
      </c>
      <c r="JQ16" s="18">
        <f>-JQ$13*BadDebtPct</f>
        <v/>
      </c>
      <c r="JR16" s="18">
        <f>-JR$13*BadDebtPct</f>
        <v/>
      </c>
      <c r="JS16" s="18">
        <f>-JS$13*BadDebtPct</f>
        <v/>
      </c>
      <c r="JT16" s="18">
        <f>-JT$13*BadDebtPct</f>
        <v/>
      </c>
      <c r="JU16" s="18">
        <f>-JU$13*BadDebtPct</f>
        <v/>
      </c>
      <c r="JV16" s="18">
        <f>-JV$13*BadDebtPct</f>
        <v/>
      </c>
      <c r="JW16" s="18">
        <f>-JW$13*BadDebtPct</f>
        <v/>
      </c>
      <c r="JX16" s="18">
        <f>-JX$13*BadDebtPct</f>
        <v/>
      </c>
      <c r="JY16" s="18">
        <f>-JY$13*BadDebtPct</f>
        <v/>
      </c>
      <c r="JZ16" s="18">
        <f>-JZ$13*BadDebtPct</f>
        <v/>
      </c>
      <c r="KA16" s="18">
        <f>-KA$13*BadDebtPct</f>
        <v/>
      </c>
      <c r="KB16" s="18">
        <f>-KB$13*BadDebtPct</f>
        <v/>
      </c>
      <c r="KC16" s="18">
        <f>-KC$13*BadDebtPct</f>
        <v/>
      </c>
      <c r="KD16" s="18">
        <f>-KD$13*BadDebtPct</f>
        <v/>
      </c>
      <c r="KE16" s="18">
        <f>-KE$13*BadDebtPct</f>
        <v/>
      </c>
      <c r="KF16" s="18">
        <f>-KF$13*BadDebtPct</f>
        <v/>
      </c>
      <c r="KG16" s="18">
        <f>-KG$13*BadDebtPct</f>
        <v/>
      </c>
      <c r="KH16" s="18">
        <f>-KH$13*BadDebtPct</f>
        <v/>
      </c>
      <c r="KI16" s="18">
        <f>-KI$13*BadDebtPct</f>
        <v/>
      </c>
      <c r="KJ16" s="18">
        <f>-KJ$13*BadDebtPct</f>
        <v/>
      </c>
      <c r="KK16" s="18">
        <f>-KK$13*BadDebtPct</f>
        <v/>
      </c>
      <c r="KL16" s="18">
        <f>-KL$13*BadDebtPct</f>
        <v/>
      </c>
      <c r="KM16" s="18">
        <f>-KM$13*BadDebtPct</f>
        <v/>
      </c>
      <c r="KN16" s="18">
        <f>-KN$13*BadDebtPct</f>
        <v/>
      </c>
      <c r="KO16" s="18">
        <f>-KO$13*BadDebtPct</f>
        <v/>
      </c>
      <c r="KP16" s="18">
        <f>-KP$13*BadDebtPct</f>
        <v/>
      </c>
      <c r="KQ16" s="18">
        <f>-KQ$13*BadDebtPct</f>
        <v/>
      </c>
      <c r="KR16" s="18">
        <f>-KR$13*BadDebtPct</f>
        <v/>
      </c>
      <c r="KS16" s="18">
        <f>-KS$13*BadDebtPct</f>
        <v/>
      </c>
      <c r="KT16" s="18">
        <f>-KT$13*BadDebtPct</f>
        <v/>
      </c>
      <c r="KU16" s="18">
        <f>-KU$13*BadDebtPct</f>
        <v/>
      </c>
      <c r="KV16" s="18">
        <f>-KV$13*BadDebtPct</f>
        <v/>
      </c>
      <c r="KW16" s="18">
        <f>-KW$13*BadDebtPct</f>
        <v/>
      </c>
      <c r="KX16" s="18">
        <f>-KX$13*BadDebtPct</f>
        <v/>
      </c>
      <c r="KY16" s="18">
        <f>-KY$13*BadDebtPct</f>
        <v/>
      </c>
      <c r="KZ16" s="18">
        <f>-KZ$13*BadDebtPct</f>
        <v/>
      </c>
      <c r="LA16" s="18">
        <f>-LA$13*BadDebtPct</f>
        <v/>
      </c>
      <c r="LB16" s="18">
        <f>-LB$13*BadDebtPct</f>
        <v/>
      </c>
      <c r="LC16" s="18">
        <f>-LC$13*BadDebtPct</f>
        <v/>
      </c>
      <c r="LD16" s="18">
        <f>-LD$13*BadDebtPct</f>
        <v/>
      </c>
      <c r="LE16" s="18">
        <f>-LE$13*BadDebtPct</f>
        <v/>
      </c>
      <c r="LF16" s="18">
        <f>-LF$13*BadDebtPct</f>
        <v/>
      </c>
      <c r="LG16" s="18">
        <f>-LG$13*BadDebtPct</f>
        <v/>
      </c>
      <c r="LH16" s="18">
        <f>-LH$13*BadDebtPct</f>
        <v/>
      </c>
      <c r="LI16" s="18">
        <f>-LI$13*BadDebtPct</f>
        <v/>
      </c>
      <c r="LJ16" s="18">
        <f>-LJ$13*BadDebtPct</f>
        <v/>
      </c>
      <c r="LK16" s="18">
        <f>-LK$13*BadDebtPct</f>
        <v/>
      </c>
      <c r="LL16" s="18">
        <f>-LL$13*BadDebtPct</f>
        <v/>
      </c>
      <c r="LM16" s="18">
        <f>-LM$13*BadDebtPct</f>
        <v/>
      </c>
      <c r="LN16" s="18">
        <f>-LN$13*BadDebtPct</f>
        <v/>
      </c>
      <c r="LO16" s="18">
        <f>-LO$13*BadDebtPct</f>
        <v/>
      </c>
      <c r="LP16" s="18">
        <f>-LP$13*BadDebtPct</f>
        <v/>
      </c>
      <c r="LQ16" s="18">
        <f>-LQ$13*BadDebtPct</f>
        <v/>
      </c>
      <c r="LR16" s="18">
        <f>-LR$13*BadDebtPct</f>
        <v/>
      </c>
      <c r="LS16" s="18">
        <f>-LS$13*BadDebtPct</f>
        <v/>
      </c>
      <c r="LT16" s="18">
        <f>-LT$13*BadDebtPct</f>
        <v/>
      </c>
      <c r="LU16" s="18">
        <f>-LU$13*BadDebtPct</f>
        <v/>
      </c>
      <c r="LV16" s="18">
        <f>-LV$13*BadDebtPct</f>
        <v/>
      </c>
      <c r="LW16" s="18">
        <f>-LW$13*BadDebtPct</f>
        <v/>
      </c>
      <c r="LX16" s="18">
        <f>-LX$13*BadDebtPct</f>
        <v/>
      </c>
      <c r="LY16" s="18">
        <f>-LY$13*BadDebtPct</f>
        <v/>
      </c>
      <c r="LZ16" s="18">
        <f>-LZ$13*BadDebtPct</f>
        <v/>
      </c>
      <c r="MA16" s="18">
        <f>-MA$13*BadDebtPct</f>
        <v/>
      </c>
      <c r="MB16" s="18">
        <f>-MB$13*BadDebtPct</f>
        <v/>
      </c>
      <c r="MC16" s="18">
        <f>-MC$13*BadDebtPct</f>
        <v/>
      </c>
      <c r="MD16" s="18">
        <f>-MD$13*BadDebtPct</f>
        <v/>
      </c>
      <c r="ME16" s="18">
        <f>-ME$13*BadDebtPct</f>
        <v/>
      </c>
      <c r="MF16" s="18">
        <f>-MF$13*BadDebtPct</f>
        <v/>
      </c>
      <c r="MG16" s="18">
        <f>-MG$13*BadDebtPct</f>
        <v/>
      </c>
      <c r="MH16" s="18">
        <f>-MH$13*BadDebtPct</f>
        <v/>
      </c>
      <c r="MI16" s="18">
        <f>-MI$13*BadDebtPct</f>
        <v/>
      </c>
      <c r="MJ16" s="18">
        <f>-MJ$13*BadDebtPct</f>
        <v/>
      </c>
      <c r="MK16" s="18">
        <f>-MK$13*BadDebtPct</f>
        <v/>
      </c>
      <c r="ML16" s="18">
        <f>-ML$13*BadDebtPct</f>
        <v/>
      </c>
      <c r="MM16" s="18">
        <f>-MM$13*BadDebtPct</f>
        <v/>
      </c>
      <c r="MN16" s="18">
        <f>-MN$13*BadDebtPct</f>
        <v/>
      </c>
      <c r="MO16" s="18">
        <f>-MO$13*BadDebtPct</f>
        <v/>
      </c>
      <c r="MP16" s="18">
        <f>-MP$13*BadDebtPct</f>
        <v/>
      </c>
      <c r="MQ16" s="18">
        <f>-MQ$13*BadDebtPct</f>
        <v/>
      </c>
      <c r="MR16" s="18">
        <f>-MR$13*BadDebtPct</f>
        <v/>
      </c>
      <c r="MS16" s="18">
        <f>-MS$13*BadDebtPct</f>
        <v/>
      </c>
      <c r="MT16" s="18">
        <f>-MT$13*BadDebtPct</f>
        <v/>
      </c>
      <c r="MU16" s="18">
        <f>-MU$13*BadDebtPct</f>
        <v/>
      </c>
      <c r="MV16" s="18">
        <f>-MV$13*BadDebtPct</f>
        <v/>
      </c>
      <c r="MW16" s="18">
        <f>-MW$13*BadDebtPct</f>
        <v/>
      </c>
      <c r="MX16" s="18">
        <f>-MX$13*BadDebtPct</f>
        <v/>
      </c>
      <c r="MY16" s="18">
        <f>-MY$13*BadDebtPct</f>
        <v/>
      </c>
      <c r="MZ16" s="18">
        <f>-MZ$13*BadDebtPct</f>
        <v/>
      </c>
      <c r="NA16" s="18">
        <f>-NA$13*BadDebtPct</f>
        <v/>
      </c>
      <c r="NB16" s="18">
        <f>-NB$13*BadDebtPct</f>
        <v/>
      </c>
      <c r="NC16" s="18">
        <f>-NC$13*BadDebtPct</f>
        <v/>
      </c>
      <c r="ND16" s="18">
        <f>-ND$13*BadDebtPct</f>
        <v/>
      </c>
      <c r="NE16" s="18">
        <f>-NE$13*BadDebtPct</f>
        <v/>
      </c>
      <c r="NF16" s="18">
        <f>-NF$13*BadDebtPct</f>
        <v/>
      </c>
      <c r="NG16" s="18">
        <f>-NG$13*BadDebtPct</f>
        <v/>
      </c>
      <c r="NH16" s="18">
        <f>-NH$13*BadDebtPct</f>
        <v/>
      </c>
      <c r="NI16" s="18">
        <f>-NI$13*BadDebtPct</f>
        <v/>
      </c>
      <c r="NJ16" s="18">
        <f>-NJ$13*BadDebtPct</f>
        <v/>
      </c>
      <c r="NK16" s="18">
        <f>-NK$13*BadDebtPct</f>
        <v/>
      </c>
    </row>
    <row r="17">
      <c r="A17" s="5" t="inlineStr">
        <is>
          <t>Concessions</t>
        </is>
      </c>
      <c r="C17" s="41">
        <f>SUM(D17:NK17)</f>
        <v/>
      </c>
      <c r="D17" s="18">
        <f>-D$13*ConcessionsPct</f>
        <v/>
      </c>
      <c r="E17" s="18">
        <f>-E$13*ConcessionsPct</f>
        <v/>
      </c>
      <c r="F17" s="18">
        <f>-F$13*ConcessionsPct</f>
        <v/>
      </c>
      <c r="G17" s="18">
        <f>-G$13*ConcessionsPct</f>
        <v/>
      </c>
      <c r="H17" s="18">
        <f>-H$13*ConcessionsPct</f>
        <v/>
      </c>
      <c r="I17" s="18">
        <f>-I$13*ConcessionsPct</f>
        <v/>
      </c>
      <c r="J17" s="18">
        <f>-J$13*ConcessionsPct</f>
        <v/>
      </c>
      <c r="K17" s="18">
        <f>-K$13*ConcessionsPct</f>
        <v/>
      </c>
      <c r="L17" s="18">
        <f>-L$13*ConcessionsPct</f>
        <v/>
      </c>
      <c r="M17" s="18">
        <f>-M$13*ConcessionsPct</f>
        <v/>
      </c>
      <c r="N17" s="18">
        <f>-N$13*ConcessionsPct</f>
        <v/>
      </c>
      <c r="O17" s="18">
        <f>-O$13*ConcessionsPct</f>
        <v/>
      </c>
      <c r="P17" s="18">
        <f>-P$13*ConcessionsPct</f>
        <v/>
      </c>
      <c r="Q17" s="18">
        <f>-Q$13*ConcessionsPct</f>
        <v/>
      </c>
      <c r="R17" s="18">
        <f>-R$13*ConcessionsPct</f>
        <v/>
      </c>
      <c r="S17" s="18">
        <f>-S$13*ConcessionsPct</f>
        <v/>
      </c>
      <c r="T17" s="18">
        <f>-T$13*ConcessionsPct</f>
        <v/>
      </c>
      <c r="U17" s="18">
        <f>-U$13*ConcessionsPct</f>
        <v/>
      </c>
      <c r="V17" s="18">
        <f>-V$13*ConcessionsPct</f>
        <v/>
      </c>
      <c r="W17" s="18">
        <f>-W$13*ConcessionsPct</f>
        <v/>
      </c>
      <c r="X17" s="18">
        <f>-X$13*ConcessionsPct</f>
        <v/>
      </c>
      <c r="Y17" s="18">
        <f>-Y$13*ConcessionsPct</f>
        <v/>
      </c>
      <c r="Z17" s="18">
        <f>-Z$13*ConcessionsPct</f>
        <v/>
      </c>
      <c r="AA17" s="18">
        <f>-AA$13*ConcessionsPct</f>
        <v/>
      </c>
      <c r="AB17" s="18">
        <f>-AB$13*ConcessionsPct</f>
        <v/>
      </c>
      <c r="AC17" s="18">
        <f>-AC$13*ConcessionsPct</f>
        <v/>
      </c>
      <c r="AD17" s="18">
        <f>-AD$13*ConcessionsPct</f>
        <v/>
      </c>
      <c r="AE17" s="18">
        <f>-AE$13*ConcessionsPct</f>
        <v/>
      </c>
      <c r="AF17" s="18">
        <f>-AF$13*ConcessionsPct</f>
        <v/>
      </c>
      <c r="AG17" s="18">
        <f>-AG$13*ConcessionsPct</f>
        <v/>
      </c>
      <c r="AH17" s="18">
        <f>-AH$13*ConcessionsPct</f>
        <v/>
      </c>
      <c r="AI17" s="18">
        <f>-AI$13*ConcessionsPct</f>
        <v/>
      </c>
      <c r="AJ17" s="18">
        <f>-AJ$13*ConcessionsPct</f>
        <v/>
      </c>
      <c r="AK17" s="18">
        <f>-AK$13*ConcessionsPct</f>
        <v/>
      </c>
      <c r="AL17" s="18">
        <f>-AL$13*ConcessionsPct</f>
        <v/>
      </c>
      <c r="AM17" s="18">
        <f>-AM$13*ConcessionsPct</f>
        <v/>
      </c>
      <c r="AN17" s="18">
        <f>-AN$13*ConcessionsPct</f>
        <v/>
      </c>
      <c r="AO17" s="18">
        <f>-AO$13*ConcessionsPct</f>
        <v/>
      </c>
      <c r="AP17" s="18">
        <f>-AP$13*ConcessionsPct</f>
        <v/>
      </c>
      <c r="AQ17" s="18">
        <f>-AQ$13*ConcessionsPct</f>
        <v/>
      </c>
      <c r="AR17" s="18">
        <f>-AR$13*ConcessionsPct</f>
        <v/>
      </c>
      <c r="AS17" s="18">
        <f>-AS$13*ConcessionsPct</f>
        <v/>
      </c>
      <c r="AT17" s="18">
        <f>-AT$13*ConcessionsPct</f>
        <v/>
      </c>
      <c r="AU17" s="18">
        <f>-AU$13*ConcessionsPct</f>
        <v/>
      </c>
      <c r="AV17" s="18">
        <f>-AV$13*ConcessionsPct</f>
        <v/>
      </c>
      <c r="AW17" s="18">
        <f>-AW$13*ConcessionsPct</f>
        <v/>
      </c>
      <c r="AX17" s="18">
        <f>-AX$13*ConcessionsPct</f>
        <v/>
      </c>
      <c r="AY17" s="18">
        <f>-AY$13*ConcessionsPct</f>
        <v/>
      </c>
      <c r="AZ17" s="18">
        <f>-AZ$13*ConcessionsPct</f>
        <v/>
      </c>
      <c r="BA17" s="18">
        <f>-BA$13*ConcessionsPct</f>
        <v/>
      </c>
      <c r="BB17" s="18">
        <f>-BB$13*ConcessionsPct</f>
        <v/>
      </c>
      <c r="BC17" s="18">
        <f>-BC$13*ConcessionsPct</f>
        <v/>
      </c>
      <c r="BD17" s="18">
        <f>-BD$13*ConcessionsPct</f>
        <v/>
      </c>
      <c r="BE17" s="18">
        <f>-BE$13*ConcessionsPct</f>
        <v/>
      </c>
      <c r="BF17" s="18">
        <f>-BF$13*ConcessionsPct</f>
        <v/>
      </c>
      <c r="BG17" s="18">
        <f>-BG$13*ConcessionsPct</f>
        <v/>
      </c>
      <c r="BH17" s="18">
        <f>-BH$13*ConcessionsPct</f>
        <v/>
      </c>
      <c r="BI17" s="18">
        <f>-BI$13*ConcessionsPct</f>
        <v/>
      </c>
      <c r="BJ17" s="18">
        <f>-BJ$13*ConcessionsPct</f>
        <v/>
      </c>
      <c r="BK17" s="18">
        <f>-BK$13*ConcessionsPct</f>
        <v/>
      </c>
      <c r="BL17" s="18">
        <f>-BL$13*ConcessionsPct</f>
        <v/>
      </c>
      <c r="BM17" s="18">
        <f>-BM$13*ConcessionsPct</f>
        <v/>
      </c>
      <c r="BN17" s="18">
        <f>-BN$13*ConcessionsPct</f>
        <v/>
      </c>
      <c r="BO17" s="18">
        <f>-BO$13*ConcessionsPct</f>
        <v/>
      </c>
      <c r="BP17" s="18">
        <f>-BP$13*ConcessionsPct</f>
        <v/>
      </c>
      <c r="BQ17" s="18">
        <f>-BQ$13*ConcessionsPct</f>
        <v/>
      </c>
      <c r="BR17" s="18">
        <f>-BR$13*ConcessionsPct</f>
        <v/>
      </c>
      <c r="BS17" s="18">
        <f>-BS$13*ConcessionsPct</f>
        <v/>
      </c>
      <c r="BT17" s="18">
        <f>-BT$13*ConcessionsPct</f>
        <v/>
      </c>
      <c r="BU17" s="18">
        <f>-BU$13*ConcessionsPct</f>
        <v/>
      </c>
      <c r="BV17" s="18">
        <f>-BV$13*ConcessionsPct</f>
        <v/>
      </c>
      <c r="BW17" s="18">
        <f>-BW$13*ConcessionsPct</f>
        <v/>
      </c>
      <c r="BX17" s="18">
        <f>-BX$13*ConcessionsPct</f>
        <v/>
      </c>
      <c r="BY17" s="18">
        <f>-BY$13*ConcessionsPct</f>
        <v/>
      </c>
      <c r="BZ17" s="18">
        <f>-BZ$13*ConcessionsPct</f>
        <v/>
      </c>
      <c r="CA17" s="18">
        <f>-CA$13*ConcessionsPct</f>
        <v/>
      </c>
      <c r="CB17" s="18">
        <f>-CB$13*ConcessionsPct</f>
        <v/>
      </c>
      <c r="CC17" s="18">
        <f>-CC$13*ConcessionsPct</f>
        <v/>
      </c>
      <c r="CD17" s="18">
        <f>-CD$13*ConcessionsPct</f>
        <v/>
      </c>
      <c r="CE17" s="18">
        <f>-CE$13*ConcessionsPct</f>
        <v/>
      </c>
      <c r="CF17" s="18">
        <f>-CF$13*ConcessionsPct</f>
        <v/>
      </c>
      <c r="CG17" s="18">
        <f>-CG$13*ConcessionsPct</f>
        <v/>
      </c>
      <c r="CH17" s="18">
        <f>-CH$13*ConcessionsPct</f>
        <v/>
      </c>
      <c r="CI17" s="18">
        <f>-CI$13*ConcessionsPct</f>
        <v/>
      </c>
      <c r="CJ17" s="18">
        <f>-CJ$13*ConcessionsPct</f>
        <v/>
      </c>
      <c r="CK17" s="18">
        <f>-CK$13*ConcessionsPct</f>
        <v/>
      </c>
      <c r="CL17" s="18">
        <f>-CL$13*ConcessionsPct</f>
        <v/>
      </c>
      <c r="CM17" s="18">
        <f>-CM$13*ConcessionsPct</f>
        <v/>
      </c>
      <c r="CN17" s="18">
        <f>-CN$13*ConcessionsPct</f>
        <v/>
      </c>
      <c r="CO17" s="18">
        <f>-CO$13*ConcessionsPct</f>
        <v/>
      </c>
      <c r="CP17" s="18">
        <f>-CP$13*ConcessionsPct</f>
        <v/>
      </c>
      <c r="CQ17" s="18">
        <f>-CQ$13*ConcessionsPct</f>
        <v/>
      </c>
      <c r="CR17" s="18">
        <f>-CR$13*ConcessionsPct</f>
        <v/>
      </c>
      <c r="CS17" s="18">
        <f>-CS$13*ConcessionsPct</f>
        <v/>
      </c>
      <c r="CT17" s="18">
        <f>-CT$13*ConcessionsPct</f>
        <v/>
      </c>
      <c r="CU17" s="18">
        <f>-CU$13*ConcessionsPct</f>
        <v/>
      </c>
      <c r="CV17" s="18">
        <f>-CV$13*ConcessionsPct</f>
        <v/>
      </c>
      <c r="CW17" s="18">
        <f>-CW$13*ConcessionsPct</f>
        <v/>
      </c>
      <c r="CX17" s="18">
        <f>-CX$13*ConcessionsPct</f>
        <v/>
      </c>
      <c r="CY17" s="18">
        <f>-CY$13*ConcessionsPct</f>
        <v/>
      </c>
      <c r="CZ17" s="18">
        <f>-CZ$13*ConcessionsPct</f>
        <v/>
      </c>
      <c r="DA17" s="18">
        <f>-DA$13*ConcessionsPct</f>
        <v/>
      </c>
      <c r="DB17" s="18">
        <f>-DB$13*ConcessionsPct</f>
        <v/>
      </c>
      <c r="DC17" s="18">
        <f>-DC$13*ConcessionsPct</f>
        <v/>
      </c>
      <c r="DD17" s="18">
        <f>-DD$13*ConcessionsPct</f>
        <v/>
      </c>
      <c r="DE17" s="18">
        <f>-DE$13*ConcessionsPct</f>
        <v/>
      </c>
      <c r="DF17" s="18">
        <f>-DF$13*ConcessionsPct</f>
        <v/>
      </c>
      <c r="DG17" s="18">
        <f>-DG$13*ConcessionsPct</f>
        <v/>
      </c>
      <c r="DH17" s="18">
        <f>-DH$13*ConcessionsPct</f>
        <v/>
      </c>
      <c r="DI17" s="18">
        <f>-DI$13*ConcessionsPct</f>
        <v/>
      </c>
      <c r="DJ17" s="18">
        <f>-DJ$13*ConcessionsPct</f>
        <v/>
      </c>
      <c r="DK17" s="18">
        <f>-DK$13*ConcessionsPct</f>
        <v/>
      </c>
      <c r="DL17" s="18">
        <f>-DL$13*ConcessionsPct</f>
        <v/>
      </c>
      <c r="DM17" s="18">
        <f>-DM$13*ConcessionsPct</f>
        <v/>
      </c>
      <c r="DN17" s="18">
        <f>-DN$13*ConcessionsPct</f>
        <v/>
      </c>
      <c r="DO17" s="18">
        <f>-DO$13*ConcessionsPct</f>
        <v/>
      </c>
      <c r="DP17" s="18">
        <f>-DP$13*ConcessionsPct</f>
        <v/>
      </c>
      <c r="DQ17" s="18">
        <f>-DQ$13*ConcessionsPct</f>
        <v/>
      </c>
      <c r="DR17" s="18">
        <f>-DR$13*ConcessionsPct</f>
        <v/>
      </c>
      <c r="DS17" s="18">
        <f>-DS$13*ConcessionsPct</f>
        <v/>
      </c>
      <c r="DT17" s="18">
        <f>-DT$13*ConcessionsPct</f>
        <v/>
      </c>
      <c r="DU17" s="18">
        <f>-DU$13*ConcessionsPct</f>
        <v/>
      </c>
      <c r="DV17" s="18">
        <f>-DV$13*ConcessionsPct</f>
        <v/>
      </c>
      <c r="DW17" s="18">
        <f>-DW$13*ConcessionsPct</f>
        <v/>
      </c>
      <c r="DX17" s="18">
        <f>-DX$13*ConcessionsPct</f>
        <v/>
      </c>
      <c r="DY17" s="18">
        <f>-DY$13*ConcessionsPct</f>
        <v/>
      </c>
      <c r="DZ17" s="18">
        <f>-DZ$13*ConcessionsPct</f>
        <v/>
      </c>
      <c r="EA17" s="18">
        <f>-EA$13*ConcessionsPct</f>
        <v/>
      </c>
      <c r="EB17" s="18">
        <f>-EB$13*ConcessionsPct</f>
        <v/>
      </c>
      <c r="EC17" s="18">
        <f>-EC$13*ConcessionsPct</f>
        <v/>
      </c>
      <c r="ED17" s="18">
        <f>-ED$13*ConcessionsPct</f>
        <v/>
      </c>
      <c r="EE17" s="18">
        <f>-EE$13*ConcessionsPct</f>
        <v/>
      </c>
      <c r="EF17" s="18">
        <f>-EF$13*ConcessionsPct</f>
        <v/>
      </c>
      <c r="EG17" s="18">
        <f>-EG$13*ConcessionsPct</f>
        <v/>
      </c>
      <c r="EH17" s="18">
        <f>-EH$13*ConcessionsPct</f>
        <v/>
      </c>
      <c r="EI17" s="18">
        <f>-EI$13*ConcessionsPct</f>
        <v/>
      </c>
      <c r="EJ17" s="18">
        <f>-EJ$13*ConcessionsPct</f>
        <v/>
      </c>
      <c r="EK17" s="18">
        <f>-EK$13*ConcessionsPct</f>
        <v/>
      </c>
      <c r="EL17" s="18">
        <f>-EL$13*ConcessionsPct</f>
        <v/>
      </c>
      <c r="EM17" s="18">
        <f>-EM$13*ConcessionsPct</f>
        <v/>
      </c>
      <c r="EN17" s="18">
        <f>-EN$13*ConcessionsPct</f>
        <v/>
      </c>
      <c r="EO17" s="18">
        <f>-EO$13*ConcessionsPct</f>
        <v/>
      </c>
      <c r="EP17" s="18">
        <f>-EP$13*ConcessionsPct</f>
        <v/>
      </c>
      <c r="EQ17" s="18">
        <f>-EQ$13*ConcessionsPct</f>
        <v/>
      </c>
      <c r="ER17" s="18">
        <f>-ER$13*ConcessionsPct</f>
        <v/>
      </c>
      <c r="ES17" s="18">
        <f>-ES$13*ConcessionsPct</f>
        <v/>
      </c>
      <c r="ET17" s="18">
        <f>-ET$13*ConcessionsPct</f>
        <v/>
      </c>
      <c r="EU17" s="18">
        <f>-EU$13*ConcessionsPct</f>
        <v/>
      </c>
      <c r="EV17" s="18">
        <f>-EV$13*ConcessionsPct</f>
        <v/>
      </c>
      <c r="EW17" s="18">
        <f>-EW$13*ConcessionsPct</f>
        <v/>
      </c>
      <c r="EX17" s="18">
        <f>-EX$13*ConcessionsPct</f>
        <v/>
      </c>
      <c r="EY17" s="18">
        <f>-EY$13*ConcessionsPct</f>
        <v/>
      </c>
      <c r="EZ17" s="18">
        <f>-EZ$13*ConcessionsPct</f>
        <v/>
      </c>
      <c r="FA17" s="18">
        <f>-FA$13*ConcessionsPct</f>
        <v/>
      </c>
      <c r="FB17" s="18">
        <f>-FB$13*ConcessionsPct</f>
        <v/>
      </c>
      <c r="FC17" s="18">
        <f>-FC$13*ConcessionsPct</f>
        <v/>
      </c>
      <c r="FD17" s="18">
        <f>-FD$13*ConcessionsPct</f>
        <v/>
      </c>
      <c r="FE17" s="18">
        <f>-FE$13*ConcessionsPct</f>
        <v/>
      </c>
      <c r="FF17" s="18">
        <f>-FF$13*ConcessionsPct</f>
        <v/>
      </c>
      <c r="FG17" s="18">
        <f>-FG$13*ConcessionsPct</f>
        <v/>
      </c>
      <c r="FH17" s="18">
        <f>-FH$13*ConcessionsPct</f>
        <v/>
      </c>
      <c r="FI17" s="18">
        <f>-FI$13*ConcessionsPct</f>
        <v/>
      </c>
      <c r="FJ17" s="18">
        <f>-FJ$13*ConcessionsPct</f>
        <v/>
      </c>
      <c r="FK17" s="18">
        <f>-FK$13*ConcessionsPct</f>
        <v/>
      </c>
      <c r="FL17" s="18">
        <f>-FL$13*ConcessionsPct</f>
        <v/>
      </c>
      <c r="FM17" s="18">
        <f>-FM$13*ConcessionsPct</f>
        <v/>
      </c>
      <c r="FN17" s="18">
        <f>-FN$13*ConcessionsPct</f>
        <v/>
      </c>
      <c r="FO17" s="18">
        <f>-FO$13*ConcessionsPct</f>
        <v/>
      </c>
      <c r="FP17" s="18">
        <f>-FP$13*ConcessionsPct</f>
        <v/>
      </c>
      <c r="FQ17" s="18">
        <f>-FQ$13*ConcessionsPct</f>
        <v/>
      </c>
      <c r="FR17" s="18">
        <f>-FR$13*ConcessionsPct</f>
        <v/>
      </c>
      <c r="FS17" s="18">
        <f>-FS$13*ConcessionsPct</f>
        <v/>
      </c>
      <c r="FT17" s="18">
        <f>-FT$13*ConcessionsPct</f>
        <v/>
      </c>
      <c r="FU17" s="18">
        <f>-FU$13*ConcessionsPct</f>
        <v/>
      </c>
      <c r="FV17" s="18">
        <f>-FV$13*ConcessionsPct</f>
        <v/>
      </c>
      <c r="FW17" s="18">
        <f>-FW$13*ConcessionsPct</f>
        <v/>
      </c>
      <c r="FX17" s="18">
        <f>-FX$13*ConcessionsPct</f>
        <v/>
      </c>
      <c r="FY17" s="18">
        <f>-FY$13*ConcessionsPct</f>
        <v/>
      </c>
      <c r="FZ17" s="18">
        <f>-FZ$13*ConcessionsPct</f>
        <v/>
      </c>
      <c r="GA17" s="18">
        <f>-GA$13*ConcessionsPct</f>
        <v/>
      </c>
      <c r="GB17" s="18">
        <f>-GB$13*ConcessionsPct</f>
        <v/>
      </c>
      <c r="GC17" s="18">
        <f>-GC$13*ConcessionsPct</f>
        <v/>
      </c>
      <c r="GD17" s="18">
        <f>-GD$13*ConcessionsPct</f>
        <v/>
      </c>
      <c r="GE17" s="18">
        <f>-GE$13*ConcessionsPct</f>
        <v/>
      </c>
      <c r="GF17" s="18">
        <f>-GF$13*ConcessionsPct</f>
        <v/>
      </c>
      <c r="GG17" s="18">
        <f>-GG$13*ConcessionsPct</f>
        <v/>
      </c>
      <c r="GH17" s="18">
        <f>-GH$13*ConcessionsPct</f>
        <v/>
      </c>
      <c r="GI17" s="18">
        <f>-GI$13*ConcessionsPct</f>
        <v/>
      </c>
      <c r="GJ17" s="18">
        <f>-GJ$13*ConcessionsPct</f>
        <v/>
      </c>
      <c r="GK17" s="18">
        <f>-GK$13*ConcessionsPct</f>
        <v/>
      </c>
      <c r="GL17" s="18">
        <f>-GL$13*ConcessionsPct</f>
        <v/>
      </c>
      <c r="GM17" s="18">
        <f>-GM$13*ConcessionsPct</f>
        <v/>
      </c>
      <c r="GN17" s="18">
        <f>-GN$13*ConcessionsPct</f>
        <v/>
      </c>
      <c r="GO17" s="18">
        <f>-GO$13*ConcessionsPct</f>
        <v/>
      </c>
      <c r="GP17" s="18">
        <f>-GP$13*ConcessionsPct</f>
        <v/>
      </c>
      <c r="GQ17" s="18">
        <f>-GQ$13*ConcessionsPct</f>
        <v/>
      </c>
      <c r="GR17" s="18">
        <f>-GR$13*ConcessionsPct</f>
        <v/>
      </c>
      <c r="GS17" s="18">
        <f>-GS$13*ConcessionsPct</f>
        <v/>
      </c>
      <c r="GT17" s="18">
        <f>-GT$13*ConcessionsPct</f>
        <v/>
      </c>
      <c r="GU17" s="18">
        <f>-GU$13*ConcessionsPct</f>
        <v/>
      </c>
      <c r="GV17" s="18">
        <f>-GV$13*ConcessionsPct</f>
        <v/>
      </c>
      <c r="GW17" s="18">
        <f>-GW$13*ConcessionsPct</f>
        <v/>
      </c>
      <c r="GX17" s="18">
        <f>-GX$13*ConcessionsPct</f>
        <v/>
      </c>
      <c r="GY17" s="18">
        <f>-GY$13*ConcessionsPct</f>
        <v/>
      </c>
      <c r="GZ17" s="18">
        <f>-GZ$13*ConcessionsPct</f>
        <v/>
      </c>
      <c r="HA17" s="18">
        <f>-HA$13*ConcessionsPct</f>
        <v/>
      </c>
      <c r="HB17" s="18">
        <f>-HB$13*ConcessionsPct</f>
        <v/>
      </c>
      <c r="HC17" s="18">
        <f>-HC$13*ConcessionsPct</f>
        <v/>
      </c>
      <c r="HD17" s="18">
        <f>-HD$13*ConcessionsPct</f>
        <v/>
      </c>
      <c r="HE17" s="18">
        <f>-HE$13*ConcessionsPct</f>
        <v/>
      </c>
      <c r="HF17" s="18">
        <f>-HF$13*ConcessionsPct</f>
        <v/>
      </c>
      <c r="HG17" s="18">
        <f>-HG$13*ConcessionsPct</f>
        <v/>
      </c>
      <c r="HH17" s="18">
        <f>-HH$13*ConcessionsPct</f>
        <v/>
      </c>
      <c r="HI17" s="18">
        <f>-HI$13*ConcessionsPct</f>
        <v/>
      </c>
      <c r="HJ17" s="18">
        <f>-HJ$13*ConcessionsPct</f>
        <v/>
      </c>
      <c r="HK17" s="18">
        <f>-HK$13*ConcessionsPct</f>
        <v/>
      </c>
      <c r="HL17" s="18">
        <f>-HL$13*ConcessionsPct</f>
        <v/>
      </c>
      <c r="HM17" s="18">
        <f>-HM$13*ConcessionsPct</f>
        <v/>
      </c>
      <c r="HN17" s="18">
        <f>-HN$13*ConcessionsPct</f>
        <v/>
      </c>
      <c r="HO17" s="18">
        <f>-HO$13*ConcessionsPct</f>
        <v/>
      </c>
      <c r="HP17" s="18">
        <f>-HP$13*ConcessionsPct</f>
        <v/>
      </c>
      <c r="HQ17" s="18">
        <f>-HQ$13*ConcessionsPct</f>
        <v/>
      </c>
      <c r="HR17" s="18">
        <f>-HR$13*ConcessionsPct</f>
        <v/>
      </c>
      <c r="HS17" s="18">
        <f>-HS$13*ConcessionsPct</f>
        <v/>
      </c>
      <c r="HT17" s="18">
        <f>-HT$13*ConcessionsPct</f>
        <v/>
      </c>
      <c r="HU17" s="18">
        <f>-HU$13*ConcessionsPct</f>
        <v/>
      </c>
      <c r="HV17" s="18">
        <f>-HV$13*ConcessionsPct</f>
        <v/>
      </c>
      <c r="HW17" s="18">
        <f>-HW$13*ConcessionsPct</f>
        <v/>
      </c>
      <c r="HX17" s="18">
        <f>-HX$13*ConcessionsPct</f>
        <v/>
      </c>
      <c r="HY17" s="18">
        <f>-HY$13*ConcessionsPct</f>
        <v/>
      </c>
      <c r="HZ17" s="18">
        <f>-HZ$13*ConcessionsPct</f>
        <v/>
      </c>
      <c r="IA17" s="18">
        <f>-IA$13*ConcessionsPct</f>
        <v/>
      </c>
      <c r="IB17" s="18">
        <f>-IB$13*ConcessionsPct</f>
        <v/>
      </c>
      <c r="IC17" s="18">
        <f>-IC$13*ConcessionsPct</f>
        <v/>
      </c>
      <c r="ID17" s="18">
        <f>-ID$13*ConcessionsPct</f>
        <v/>
      </c>
      <c r="IE17" s="18">
        <f>-IE$13*ConcessionsPct</f>
        <v/>
      </c>
      <c r="IF17" s="18">
        <f>-IF$13*ConcessionsPct</f>
        <v/>
      </c>
      <c r="IG17" s="18">
        <f>-IG$13*ConcessionsPct</f>
        <v/>
      </c>
      <c r="IH17" s="18">
        <f>-IH$13*ConcessionsPct</f>
        <v/>
      </c>
      <c r="II17" s="18">
        <f>-II$13*ConcessionsPct</f>
        <v/>
      </c>
      <c r="IJ17" s="18">
        <f>-IJ$13*ConcessionsPct</f>
        <v/>
      </c>
      <c r="IK17" s="18">
        <f>-IK$13*ConcessionsPct</f>
        <v/>
      </c>
      <c r="IL17" s="18">
        <f>-IL$13*ConcessionsPct</f>
        <v/>
      </c>
      <c r="IM17" s="18">
        <f>-IM$13*ConcessionsPct</f>
        <v/>
      </c>
      <c r="IN17" s="18">
        <f>-IN$13*ConcessionsPct</f>
        <v/>
      </c>
      <c r="IO17" s="18">
        <f>-IO$13*ConcessionsPct</f>
        <v/>
      </c>
      <c r="IP17" s="18">
        <f>-IP$13*ConcessionsPct</f>
        <v/>
      </c>
      <c r="IQ17" s="18">
        <f>-IQ$13*ConcessionsPct</f>
        <v/>
      </c>
      <c r="IR17" s="18">
        <f>-IR$13*ConcessionsPct</f>
        <v/>
      </c>
      <c r="IS17" s="18">
        <f>-IS$13*ConcessionsPct</f>
        <v/>
      </c>
      <c r="IT17" s="18">
        <f>-IT$13*ConcessionsPct</f>
        <v/>
      </c>
      <c r="IU17" s="18">
        <f>-IU$13*ConcessionsPct</f>
        <v/>
      </c>
      <c r="IV17" s="18">
        <f>-IV$13*ConcessionsPct</f>
        <v/>
      </c>
      <c r="IW17" s="18">
        <f>-IW$13*ConcessionsPct</f>
        <v/>
      </c>
      <c r="IX17" s="18">
        <f>-IX$13*ConcessionsPct</f>
        <v/>
      </c>
      <c r="IY17" s="18">
        <f>-IY$13*ConcessionsPct</f>
        <v/>
      </c>
      <c r="IZ17" s="18">
        <f>-IZ$13*ConcessionsPct</f>
        <v/>
      </c>
      <c r="JA17" s="18">
        <f>-JA$13*ConcessionsPct</f>
        <v/>
      </c>
      <c r="JB17" s="18">
        <f>-JB$13*ConcessionsPct</f>
        <v/>
      </c>
      <c r="JC17" s="18">
        <f>-JC$13*ConcessionsPct</f>
        <v/>
      </c>
      <c r="JD17" s="18">
        <f>-JD$13*ConcessionsPct</f>
        <v/>
      </c>
      <c r="JE17" s="18">
        <f>-JE$13*ConcessionsPct</f>
        <v/>
      </c>
      <c r="JF17" s="18">
        <f>-JF$13*ConcessionsPct</f>
        <v/>
      </c>
      <c r="JG17" s="18">
        <f>-JG$13*ConcessionsPct</f>
        <v/>
      </c>
      <c r="JH17" s="18">
        <f>-JH$13*ConcessionsPct</f>
        <v/>
      </c>
      <c r="JI17" s="18">
        <f>-JI$13*ConcessionsPct</f>
        <v/>
      </c>
      <c r="JJ17" s="18">
        <f>-JJ$13*ConcessionsPct</f>
        <v/>
      </c>
      <c r="JK17" s="18">
        <f>-JK$13*ConcessionsPct</f>
        <v/>
      </c>
      <c r="JL17" s="18">
        <f>-JL$13*ConcessionsPct</f>
        <v/>
      </c>
      <c r="JM17" s="18">
        <f>-JM$13*ConcessionsPct</f>
        <v/>
      </c>
      <c r="JN17" s="18">
        <f>-JN$13*ConcessionsPct</f>
        <v/>
      </c>
      <c r="JO17" s="18">
        <f>-JO$13*ConcessionsPct</f>
        <v/>
      </c>
      <c r="JP17" s="18">
        <f>-JP$13*ConcessionsPct</f>
        <v/>
      </c>
      <c r="JQ17" s="18">
        <f>-JQ$13*ConcessionsPct</f>
        <v/>
      </c>
      <c r="JR17" s="18">
        <f>-JR$13*ConcessionsPct</f>
        <v/>
      </c>
      <c r="JS17" s="18">
        <f>-JS$13*ConcessionsPct</f>
        <v/>
      </c>
      <c r="JT17" s="18">
        <f>-JT$13*ConcessionsPct</f>
        <v/>
      </c>
      <c r="JU17" s="18">
        <f>-JU$13*ConcessionsPct</f>
        <v/>
      </c>
      <c r="JV17" s="18">
        <f>-JV$13*ConcessionsPct</f>
        <v/>
      </c>
      <c r="JW17" s="18">
        <f>-JW$13*ConcessionsPct</f>
        <v/>
      </c>
      <c r="JX17" s="18">
        <f>-JX$13*ConcessionsPct</f>
        <v/>
      </c>
      <c r="JY17" s="18">
        <f>-JY$13*ConcessionsPct</f>
        <v/>
      </c>
      <c r="JZ17" s="18">
        <f>-JZ$13*ConcessionsPct</f>
        <v/>
      </c>
      <c r="KA17" s="18">
        <f>-KA$13*ConcessionsPct</f>
        <v/>
      </c>
      <c r="KB17" s="18">
        <f>-KB$13*ConcessionsPct</f>
        <v/>
      </c>
      <c r="KC17" s="18">
        <f>-KC$13*ConcessionsPct</f>
        <v/>
      </c>
      <c r="KD17" s="18">
        <f>-KD$13*ConcessionsPct</f>
        <v/>
      </c>
      <c r="KE17" s="18">
        <f>-KE$13*ConcessionsPct</f>
        <v/>
      </c>
      <c r="KF17" s="18">
        <f>-KF$13*ConcessionsPct</f>
        <v/>
      </c>
      <c r="KG17" s="18">
        <f>-KG$13*ConcessionsPct</f>
        <v/>
      </c>
      <c r="KH17" s="18">
        <f>-KH$13*ConcessionsPct</f>
        <v/>
      </c>
      <c r="KI17" s="18">
        <f>-KI$13*ConcessionsPct</f>
        <v/>
      </c>
      <c r="KJ17" s="18">
        <f>-KJ$13*ConcessionsPct</f>
        <v/>
      </c>
      <c r="KK17" s="18">
        <f>-KK$13*ConcessionsPct</f>
        <v/>
      </c>
      <c r="KL17" s="18">
        <f>-KL$13*ConcessionsPct</f>
        <v/>
      </c>
      <c r="KM17" s="18">
        <f>-KM$13*ConcessionsPct</f>
        <v/>
      </c>
      <c r="KN17" s="18">
        <f>-KN$13*ConcessionsPct</f>
        <v/>
      </c>
      <c r="KO17" s="18">
        <f>-KO$13*ConcessionsPct</f>
        <v/>
      </c>
      <c r="KP17" s="18">
        <f>-KP$13*ConcessionsPct</f>
        <v/>
      </c>
      <c r="KQ17" s="18">
        <f>-KQ$13*ConcessionsPct</f>
        <v/>
      </c>
      <c r="KR17" s="18">
        <f>-KR$13*ConcessionsPct</f>
        <v/>
      </c>
      <c r="KS17" s="18">
        <f>-KS$13*ConcessionsPct</f>
        <v/>
      </c>
      <c r="KT17" s="18">
        <f>-KT$13*ConcessionsPct</f>
        <v/>
      </c>
      <c r="KU17" s="18">
        <f>-KU$13*ConcessionsPct</f>
        <v/>
      </c>
      <c r="KV17" s="18">
        <f>-KV$13*ConcessionsPct</f>
        <v/>
      </c>
      <c r="KW17" s="18">
        <f>-KW$13*ConcessionsPct</f>
        <v/>
      </c>
      <c r="KX17" s="18">
        <f>-KX$13*ConcessionsPct</f>
        <v/>
      </c>
      <c r="KY17" s="18">
        <f>-KY$13*ConcessionsPct</f>
        <v/>
      </c>
      <c r="KZ17" s="18">
        <f>-KZ$13*ConcessionsPct</f>
        <v/>
      </c>
      <c r="LA17" s="18">
        <f>-LA$13*ConcessionsPct</f>
        <v/>
      </c>
      <c r="LB17" s="18">
        <f>-LB$13*ConcessionsPct</f>
        <v/>
      </c>
      <c r="LC17" s="18">
        <f>-LC$13*ConcessionsPct</f>
        <v/>
      </c>
      <c r="LD17" s="18">
        <f>-LD$13*ConcessionsPct</f>
        <v/>
      </c>
      <c r="LE17" s="18">
        <f>-LE$13*ConcessionsPct</f>
        <v/>
      </c>
      <c r="LF17" s="18">
        <f>-LF$13*ConcessionsPct</f>
        <v/>
      </c>
      <c r="LG17" s="18">
        <f>-LG$13*ConcessionsPct</f>
        <v/>
      </c>
      <c r="LH17" s="18">
        <f>-LH$13*ConcessionsPct</f>
        <v/>
      </c>
      <c r="LI17" s="18">
        <f>-LI$13*ConcessionsPct</f>
        <v/>
      </c>
      <c r="LJ17" s="18">
        <f>-LJ$13*ConcessionsPct</f>
        <v/>
      </c>
      <c r="LK17" s="18">
        <f>-LK$13*ConcessionsPct</f>
        <v/>
      </c>
      <c r="LL17" s="18">
        <f>-LL$13*ConcessionsPct</f>
        <v/>
      </c>
      <c r="LM17" s="18">
        <f>-LM$13*ConcessionsPct</f>
        <v/>
      </c>
      <c r="LN17" s="18">
        <f>-LN$13*ConcessionsPct</f>
        <v/>
      </c>
      <c r="LO17" s="18">
        <f>-LO$13*ConcessionsPct</f>
        <v/>
      </c>
      <c r="LP17" s="18">
        <f>-LP$13*ConcessionsPct</f>
        <v/>
      </c>
      <c r="LQ17" s="18">
        <f>-LQ$13*ConcessionsPct</f>
        <v/>
      </c>
      <c r="LR17" s="18">
        <f>-LR$13*ConcessionsPct</f>
        <v/>
      </c>
      <c r="LS17" s="18">
        <f>-LS$13*ConcessionsPct</f>
        <v/>
      </c>
      <c r="LT17" s="18">
        <f>-LT$13*ConcessionsPct</f>
        <v/>
      </c>
      <c r="LU17" s="18">
        <f>-LU$13*ConcessionsPct</f>
        <v/>
      </c>
      <c r="LV17" s="18">
        <f>-LV$13*ConcessionsPct</f>
        <v/>
      </c>
      <c r="LW17" s="18">
        <f>-LW$13*ConcessionsPct</f>
        <v/>
      </c>
      <c r="LX17" s="18">
        <f>-LX$13*ConcessionsPct</f>
        <v/>
      </c>
      <c r="LY17" s="18">
        <f>-LY$13*ConcessionsPct</f>
        <v/>
      </c>
      <c r="LZ17" s="18">
        <f>-LZ$13*ConcessionsPct</f>
        <v/>
      </c>
      <c r="MA17" s="18">
        <f>-MA$13*ConcessionsPct</f>
        <v/>
      </c>
      <c r="MB17" s="18">
        <f>-MB$13*ConcessionsPct</f>
        <v/>
      </c>
      <c r="MC17" s="18">
        <f>-MC$13*ConcessionsPct</f>
        <v/>
      </c>
      <c r="MD17" s="18">
        <f>-MD$13*ConcessionsPct</f>
        <v/>
      </c>
      <c r="ME17" s="18">
        <f>-ME$13*ConcessionsPct</f>
        <v/>
      </c>
      <c r="MF17" s="18">
        <f>-MF$13*ConcessionsPct</f>
        <v/>
      </c>
      <c r="MG17" s="18">
        <f>-MG$13*ConcessionsPct</f>
        <v/>
      </c>
      <c r="MH17" s="18">
        <f>-MH$13*ConcessionsPct</f>
        <v/>
      </c>
      <c r="MI17" s="18">
        <f>-MI$13*ConcessionsPct</f>
        <v/>
      </c>
      <c r="MJ17" s="18">
        <f>-MJ$13*ConcessionsPct</f>
        <v/>
      </c>
      <c r="MK17" s="18">
        <f>-MK$13*ConcessionsPct</f>
        <v/>
      </c>
      <c r="ML17" s="18">
        <f>-ML$13*ConcessionsPct</f>
        <v/>
      </c>
      <c r="MM17" s="18">
        <f>-MM$13*ConcessionsPct</f>
        <v/>
      </c>
      <c r="MN17" s="18">
        <f>-MN$13*ConcessionsPct</f>
        <v/>
      </c>
      <c r="MO17" s="18">
        <f>-MO$13*ConcessionsPct</f>
        <v/>
      </c>
      <c r="MP17" s="18">
        <f>-MP$13*ConcessionsPct</f>
        <v/>
      </c>
      <c r="MQ17" s="18">
        <f>-MQ$13*ConcessionsPct</f>
        <v/>
      </c>
      <c r="MR17" s="18">
        <f>-MR$13*ConcessionsPct</f>
        <v/>
      </c>
      <c r="MS17" s="18">
        <f>-MS$13*ConcessionsPct</f>
        <v/>
      </c>
      <c r="MT17" s="18">
        <f>-MT$13*ConcessionsPct</f>
        <v/>
      </c>
      <c r="MU17" s="18">
        <f>-MU$13*ConcessionsPct</f>
        <v/>
      </c>
      <c r="MV17" s="18">
        <f>-MV$13*ConcessionsPct</f>
        <v/>
      </c>
      <c r="MW17" s="18">
        <f>-MW$13*ConcessionsPct</f>
        <v/>
      </c>
      <c r="MX17" s="18">
        <f>-MX$13*ConcessionsPct</f>
        <v/>
      </c>
      <c r="MY17" s="18">
        <f>-MY$13*ConcessionsPct</f>
        <v/>
      </c>
      <c r="MZ17" s="18">
        <f>-MZ$13*ConcessionsPct</f>
        <v/>
      </c>
      <c r="NA17" s="18">
        <f>-NA$13*ConcessionsPct</f>
        <v/>
      </c>
      <c r="NB17" s="18">
        <f>-NB$13*ConcessionsPct</f>
        <v/>
      </c>
      <c r="NC17" s="18">
        <f>-NC$13*ConcessionsPct</f>
        <v/>
      </c>
      <c r="ND17" s="18">
        <f>-ND$13*ConcessionsPct</f>
        <v/>
      </c>
      <c r="NE17" s="18">
        <f>-NE$13*ConcessionsPct</f>
        <v/>
      </c>
      <c r="NF17" s="18">
        <f>-NF$13*ConcessionsPct</f>
        <v/>
      </c>
      <c r="NG17" s="18">
        <f>-NG$13*ConcessionsPct</f>
        <v/>
      </c>
      <c r="NH17" s="18">
        <f>-NH$13*ConcessionsPct</f>
        <v/>
      </c>
      <c r="NI17" s="18">
        <f>-NI$13*ConcessionsPct</f>
        <v/>
      </c>
      <c r="NJ17" s="18">
        <f>-NJ$13*ConcessionsPct</f>
        <v/>
      </c>
      <c r="NK17" s="18">
        <f>-NK$13*ConcessionsPct</f>
        <v/>
      </c>
    </row>
    <row r="18">
      <c r="A18" s="5" t="inlineStr">
        <is>
          <t>Parking &amp; Storage</t>
        </is>
      </c>
      <c r="C18" s="41">
        <f>SUM(D18:NK18)</f>
        <v/>
      </c>
      <c r="D18" s="18">
        <f>IF(1&gt;=DeliverStart,ParkingPerUnitMo*'LeaseUp'!D$8*D$9,0)</f>
        <v/>
      </c>
      <c r="E18" s="18">
        <f>IF(2&gt;=DeliverStart,ParkingPerUnitMo*'LeaseUp'!E$8*E$9,0)</f>
        <v/>
      </c>
      <c r="F18" s="18">
        <f>IF(3&gt;=DeliverStart,ParkingPerUnitMo*'LeaseUp'!F$8*F$9,0)</f>
        <v/>
      </c>
      <c r="G18" s="18">
        <f>IF(4&gt;=DeliverStart,ParkingPerUnitMo*'LeaseUp'!G$8*G$9,0)</f>
        <v/>
      </c>
      <c r="H18" s="18">
        <f>IF(5&gt;=DeliverStart,ParkingPerUnitMo*'LeaseUp'!H$8*H$9,0)</f>
        <v/>
      </c>
      <c r="I18" s="18">
        <f>IF(6&gt;=DeliverStart,ParkingPerUnitMo*'LeaseUp'!I$8*I$9,0)</f>
        <v/>
      </c>
      <c r="J18" s="18">
        <f>IF(7&gt;=DeliverStart,ParkingPerUnitMo*'LeaseUp'!J$8*J$9,0)</f>
        <v/>
      </c>
      <c r="K18" s="18">
        <f>IF(8&gt;=DeliverStart,ParkingPerUnitMo*'LeaseUp'!K$8*K$9,0)</f>
        <v/>
      </c>
      <c r="L18" s="18">
        <f>IF(9&gt;=DeliverStart,ParkingPerUnitMo*'LeaseUp'!L$8*L$9,0)</f>
        <v/>
      </c>
      <c r="M18" s="18">
        <f>IF(10&gt;=DeliverStart,ParkingPerUnitMo*'LeaseUp'!M$8*M$9,0)</f>
        <v/>
      </c>
      <c r="N18" s="18">
        <f>IF(11&gt;=DeliverStart,ParkingPerUnitMo*'LeaseUp'!N$8*N$9,0)</f>
        <v/>
      </c>
      <c r="O18" s="18">
        <f>IF(12&gt;=DeliverStart,ParkingPerUnitMo*'LeaseUp'!O$8*O$9,0)</f>
        <v/>
      </c>
      <c r="P18" s="18">
        <f>IF(13&gt;=DeliverStart,ParkingPerUnitMo*'LeaseUp'!P$8*P$9,0)</f>
        <v/>
      </c>
      <c r="Q18" s="18">
        <f>IF(14&gt;=DeliverStart,ParkingPerUnitMo*'LeaseUp'!Q$8*Q$9,0)</f>
        <v/>
      </c>
      <c r="R18" s="18">
        <f>IF(15&gt;=DeliverStart,ParkingPerUnitMo*'LeaseUp'!R$8*R$9,0)</f>
        <v/>
      </c>
      <c r="S18" s="18">
        <f>IF(16&gt;=DeliverStart,ParkingPerUnitMo*'LeaseUp'!S$8*S$9,0)</f>
        <v/>
      </c>
      <c r="T18" s="18">
        <f>IF(17&gt;=DeliverStart,ParkingPerUnitMo*'LeaseUp'!T$8*T$9,0)</f>
        <v/>
      </c>
      <c r="U18" s="18">
        <f>IF(18&gt;=DeliverStart,ParkingPerUnitMo*'LeaseUp'!U$8*U$9,0)</f>
        <v/>
      </c>
      <c r="V18" s="18">
        <f>IF(19&gt;=DeliverStart,ParkingPerUnitMo*'LeaseUp'!V$8*V$9,0)</f>
        <v/>
      </c>
      <c r="W18" s="18">
        <f>IF(20&gt;=DeliverStart,ParkingPerUnitMo*'LeaseUp'!W$8*W$9,0)</f>
        <v/>
      </c>
      <c r="X18" s="18">
        <f>IF(21&gt;=DeliverStart,ParkingPerUnitMo*'LeaseUp'!X$8*X$9,0)</f>
        <v/>
      </c>
      <c r="Y18" s="18">
        <f>IF(22&gt;=DeliverStart,ParkingPerUnitMo*'LeaseUp'!Y$8*Y$9,0)</f>
        <v/>
      </c>
      <c r="Z18" s="18">
        <f>IF(23&gt;=DeliverStart,ParkingPerUnitMo*'LeaseUp'!Z$8*Z$9,0)</f>
        <v/>
      </c>
      <c r="AA18" s="18">
        <f>IF(24&gt;=DeliverStart,ParkingPerUnitMo*'LeaseUp'!AA$8*AA$9,0)</f>
        <v/>
      </c>
      <c r="AB18" s="18">
        <f>IF(25&gt;=DeliverStart,ParkingPerUnitMo*'LeaseUp'!AB$8*AB$9,0)</f>
        <v/>
      </c>
      <c r="AC18" s="18">
        <f>IF(26&gt;=DeliverStart,ParkingPerUnitMo*'LeaseUp'!AC$8*AC$9,0)</f>
        <v/>
      </c>
      <c r="AD18" s="18">
        <f>IF(27&gt;=DeliverStart,ParkingPerUnitMo*'LeaseUp'!AD$8*AD$9,0)</f>
        <v/>
      </c>
      <c r="AE18" s="18">
        <f>IF(28&gt;=DeliverStart,ParkingPerUnitMo*'LeaseUp'!AE$8*AE$9,0)</f>
        <v/>
      </c>
      <c r="AF18" s="18">
        <f>IF(29&gt;=DeliverStart,ParkingPerUnitMo*'LeaseUp'!AF$8*AF$9,0)</f>
        <v/>
      </c>
      <c r="AG18" s="18">
        <f>IF(30&gt;=DeliverStart,ParkingPerUnitMo*'LeaseUp'!AG$8*AG$9,0)</f>
        <v/>
      </c>
      <c r="AH18" s="18">
        <f>IF(31&gt;=DeliverStart,ParkingPerUnitMo*'LeaseUp'!AH$8*AH$9,0)</f>
        <v/>
      </c>
      <c r="AI18" s="18">
        <f>IF(32&gt;=DeliverStart,ParkingPerUnitMo*'LeaseUp'!AI$8*AI$9,0)</f>
        <v/>
      </c>
      <c r="AJ18" s="18">
        <f>IF(33&gt;=DeliverStart,ParkingPerUnitMo*'LeaseUp'!AJ$8*AJ$9,0)</f>
        <v/>
      </c>
      <c r="AK18" s="18">
        <f>IF(34&gt;=DeliverStart,ParkingPerUnitMo*'LeaseUp'!AK$8*AK$9,0)</f>
        <v/>
      </c>
      <c r="AL18" s="18">
        <f>IF(35&gt;=DeliverStart,ParkingPerUnitMo*'LeaseUp'!AL$8*AL$9,0)</f>
        <v/>
      </c>
      <c r="AM18" s="18">
        <f>IF(36&gt;=DeliverStart,ParkingPerUnitMo*'LeaseUp'!AM$8*AM$9,0)</f>
        <v/>
      </c>
      <c r="AN18" s="18">
        <f>IF(37&gt;=DeliverStart,ParkingPerUnitMo*'LeaseUp'!AN$8*AN$9,0)</f>
        <v/>
      </c>
      <c r="AO18" s="18">
        <f>IF(38&gt;=DeliverStart,ParkingPerUnitMo*'LeaseUp'!AO$8*AO$9,0)</f>
        <v/>
      </c>
      <c r="AP18" s="18">
        <f>IF(39&gt;=DeliverStart,ParkingPerUnitMo*'LeaseUp'!AP$8*AP$9,0)</f>
        <v/>
      </c>
      <c r="AQ18" s="18">
        <f>IF(40&gt;=DeliverStart,ParkingPerUnitMo*'LeaseUp'!AQ$8*AQ$9,0)</f>
        <v/>
      </c>
      <c r="AR18" s="18">
        <f>IF(41&gt;=DeliverStart,ParkingPerUnitMo*'LeaseUp'!AR$8*AR$9,0)</f>
        <v/>
      </c>
      <c r="AS18" s="18">
        <f>IF(42&gt;=DeliverStart,ParkingPerUnitMo*'LeaseUp'!AS$8*AS$9,0)</f>
        <v/>
      </c>
      <c r="AT18" s="18">
        <f>IF(43&gt;=DeliverStart,ParkingPerUnitMo*'LeaseUp'!AT$8*AT$9,0)</f>
        <v/>
      </c>
      <c r="AU18" s="18">
        <f>IF(44&gt;=DeliverStart,ParkingPerUnitMo*'LeaseUp'!AU$8*AU$9,0)</f>
        <v/>
      </c>
      <c r="AV18" s="18">
        <f>IF(45&gt;=DeliverStart,ParkingPerUnitMo*'LeaseUp'!AV$8*AV$9,0)</f>
        <v/>
      </c>
      <c r="AW18" s="18">
        <f>IF(46&gt;=DeliverStart,ParkingPerUnitMo*'LeaseUp'!AW$8*AW$9,0)</f>
        <v/>
      </c>
      <c r="AX18" s="18">
        <f>IF(47&gt;=DeliverStart,ParkingPerUnitMo*'LeaseUp'!AX$8*AX$9,0)</f>
        <v/>
      </c>
      <c r="AY18" s="18">
        <f>IF(48&gt;=DeliverStart,ParkingPerUnitMo*'LeaseUp'!AY$8*AY$9,0)</f>
        <v/>
      </c>
      <c r="AZ18" s="18">
        <f>IF(49&gt;=DeliverStart,ParkingPerUnitMo*'LeaseUp'!AZ$8*AZ$9,0)</f>
        <v/>
      </c>
      <c r="BA18" s="18">
        <f>IF(50&gt;=DeliverStart,ParkingPerUnitMo*'LeaseUp'!BA$8*BA$9,0)</f>
        <v/>
      </c>
      <c r="BB18" s="18">
        <f>IF(51&gt;=DeliverStart,ParkingPerUnitMo*'LeaseUp'!BB$8*BB$9,0)</f>
        <v/>
      </c>
      <c r="BC18" s="18">
        <f>IF(52&gt;=DeliverStart,ParkingPerUnitMo*'LeaseUp'!BC$8*BC$9,0)</f>
        <v/>
      </c>
      <c r="BD18" s="18">
        <f>IF(53&gt;=DeliverStart,ParkingPerUnitMo*'LeaseUp'!BD$8*BD$9,0)</f>
        <v/>
      </c>
      <c r="BE18" s="18">
        <f>IF(54&gt;=DeliverStart,ParkingPerUnitMo*'LeaseUp'!BE$8*BE$9,0)</f>
        <v/>
      </c>
      <c r="BF18" s="18">
        <f>IF(55&gt;=DeliverStart,ParkingPerUnitMo*'LeaseUp'!BF$8*BF$9,0)</f>
        <v/>
      </c>
      <c r="BG18" s="18">
        <f>IF(56&gt;=DeliverStart,ParkingPerUnitMo*'LeaseUp'!BG$8*BG$9,0)</f>
        <v/>
      </c>
      <c r="BH18" s="18">
        <f>IF(57&gt;=DeliverStart,ParkingPerUnitMo*'LeaseUp'!BH$8*BH$9,0)</f>
        <v/>
      </c>
      <c r="BI18" s="18">
        <f>IF(58&gt;=DeliverStart,ParkingPerUnitMo*'LeaseUp'!BI$8*BI$9,0)</f>
        <v/>
      </c>
      <c r="BJ18" s="18">
        <f>IF(59&gt;=DeliverStart,ParkingPerUnitMo*'LeaseUp'!BJ$8*BJ$9,0)</f>
        <v/>
      </c>
      <c r="BK18" s="18">
        <f>IF(60&gt;=DeliverStart,ParkingPerUnitMo*'LeaseUp'!BK$8*BK$9,0)</f>
        <v/>
      </c>
      <c r="BL18" s="18">
        <f>IF(61&gt;=DeliverStart,ParkingPerUnitMo*'LeaseUp'!BL$8*BL$9,0)</f>
        <v/>
      </c>
      <c r="BM18" s="18">
        <f>IF(62&gt;=DeliverStart,ParkingPerUnitMo*'LeaseUp'!BM$8*BM$9,0)</f>
        <v/>
      </c>
      <c r="BN18" s="18">
        <f>IF(63&gt;=DeliverStart,ParkingPerUnitMo*'LeaseUp'!BN$8*BN$9,0)</f>
        <v/>
      </c>
      <c r="BO18" s="18">
        <f>IF(64&gt;=DeliverStart,ParkingPerUnitMo*'LeaseUp'!BO$8*BO$9,0)</f>
        <v/>
      </c>
      <c r="BP18" s="18">
        <f>IF(65&gt;=DeliverStart,ParkingPerUnitMo*'LeaseUp'!BP$8*BP$9,0)</f>
        <v/>
      </c>
      <c r="BQ18" s="18">
        <f>IF(66&gt;=DeliverStart,ParkingPerUnitMo*'LeaseUp'!BQ$8*BQ$9,0)</f>
        <v/>
      </c>
      <c r="BR18" s="18">
        <f>IF(67&gt;=DeliverStart,ParkingPerUnitMo*'LeaseUp'!BR$8*BR$9,0)</f>
        <v/>
      </c>
      <c r="BS18" s="18">
        <f>IF(68&gt;=DeliverStart,ParkingPerUnitMo*'LeaseUp'!BS$8*BS$9,0)</f>
        <v/>
      </c>
      <c r="BT18" s="18">
        <f>IF(69&gt;=DeliverStart,ParkingPerUnitMo*'LeaseUp'!BT$8*BT$9,0)</f>
        <v/>
      </c>
      <c r="BU18" s="18">
        <f>IF(70&gt;=DeliverStart,ParkingPerUnitMo*'LeaseUp'!BU$8*BU$9,0)</f>
        <v/>
      </c>
      <c r="BV18" s="18">
        <f>IF(71&gt;=DeliverStart,ParkingPerUnitMo*'LeaseUp'!BV$8*BV$9,0)</f>
        <v/>
      </c>
      <c r="BW18" s="18">
        <f>IF(72&gt;=DeliverStart,ParkingPerUnitMo*'LeaseUp'!BW$8*BW$9,0)</f>
        <v/>
      </c>
      <c r="BX18" s="18">
        <f>IF(73&gt;=DeliverStart,ParkingPerUnitMo*'LeaseUp'!BX$8*BX$9,0)</f>
        <v/>
      </c>
      <c r="BY18" s="18">
        <f>IF(74&gt;=DeliverStart,ParkingPerUnitMo*'LeaseUp'!BY$8*BY$9,0)</f>
        <v/>
      </c>
      <c r="BZ18" s="18">
        <f>IF(75&gt;=DeliverStart,ParkingPerUnitMo*'LeaseUp'!BZ$8*BZ$9,0)</f>
        <v/>
      </c>
      <c r="CA18" s="18">
        <f>IF(76&gt;=DeliverStart,ParkingPerUnitMo*'LeaseUp'!CA$8*CA$9,0)</f>
        <v/>
      </c>
      <c r="CB18" s="18">
        <f>IF(77&gt;=DeliverStart,ParkingPerUnitMo*'LeaseUp'!CB$8*CB$9,0)</f>
        <v/>
      </c>
      <c r="CC18" s="18">
        <f>IF(78&gt;=DeliverStart,ParkingPerUnitMo*'LeaseUp'!CC$8*CC$9,0)</f>
        <v/>
      </c>
      <c r="CD18" s="18">
        <f>IF(79&gt;=DeliverStart,ParkingPerUnitMo*'LeaseUp'!CD$8*CD$9,0)</f>
        <v/>
      </c>
      <c r="CE18" s="18">
        <f>IF(80&gt;=DeliverStart,ParkingPerUnitMo*'LeaseUp'!CE$8*CE$9,0)</f>
        <v/>
      </c>
      <c r="CF18" s="18">
        <f>IF(81&gt;=DeliverStart,ParkingPerUnitMo*'LeaseUp'!CF$8*CF$9,0)</f>
        <v/>
      </c>
      <c r="CG18" s="18">
        <f>IF(82&gt;=DeliverStart,ParkingPerUnitMo*'LeaseUp'!CG$8*CG$9,0)</f>
        <v/>
      </c>
      <c r="CH18" s="18">
        <f>IF(83&gt;=DeliverStart,ParkingPerUnitMo*'LeaseUp'!CH$8*CH$9,0)</f>
        <v/>
      </c>
      <c r="CI18" s="18">
        <f>IF(84&gt;=DeliverStart,ParkingPerUnitMo*'LeaseUp'!CI$8*CI$9,0)</f>
        <v/>
      </c>
      <c r="CJ18" s="18">
        <f>IF(85&gt;=DeliverStart,ParkingPerUnitMo*'LeaseUp'!CJ$8*CJ$9,0)</f>
        <v/>
      </c>
      <c r="CK18" s="18">
        <f>IF(86&gt;=DeliverStart,ParkingPerUnitMo*'LeaseUp'!CK$8*CK$9,0)</f>
        <v/>
      </c>
      <c r="CL18" s="18">
        <f>IF(87&gt;=DeliverStart,ParkingPerUnitMo*'LeaseUp'!CL$8*CL$9,0)</f>
        <v/>
      </c>
      <c r="CM18" s="18">
        <f>IF(88&gt;=DeliverStart,ParkingPerUnitMo*'LeaseUp'!CM$8*CM$9,0)</f>
        <v/>
      </c>
      <c r="CN18" s="18">
        <f>IF(89&gt;=DeliverStart,ParkingPerUnitMo*'LeaseUp'!CN$8*CN$9,0)</f>
        <v/>
      </c>
      <c r="CO18" s="18">
        <f>IF(90&gt;=DeliverStart,ParkingPerUnitMo*'LeaseUp'!CO$8*CO$9,0)</f>
        <v/>
      </c>
      <c r="CP18" s="18">
        <f>IF(91&gt;=DeliverStart,ParkingPerUnitMo*'LeaseUp'!CP$8*CP$9,0)</f>
        <v/>
      </c>
      <c r="CQ18" s="18">
        <f>IF(92&gt;=DeliverStart,ParkingPerUnitMo*'LeaseUp'!CQ$8*CQ$9,0)</f>
        <v/>
      </c>
      <c r="CR18" s="18">
        <f>IF(93&gt;=DeliverStart,ParkingPerUnitMo*'LeaseUp'!CR$8*CR$9,0)</f>
        <v/>
      </c>
      <c r="CS18" s="18">
        <f>IF(94&gt;=DeliverStart,ParkingPerUnitMo*'LeaseUp'!CS$8*CS$9,0)</f>
        <v/>
      </c>
      <c r="CT18" s="18">
        <f>IF(95&gt;=DeliverStart,ParkingPerUnitMo*'LeaseUp'!CT$8*CT$9,0)</f>
        <v/>
      </c>
      <c r="CU18" s="18">
        <f>IF(96&gt;=DeliverStart,ParkingPerUnitMo*'LeaseUp'!CU$8*CU$9,0)</f>
        <v/>
      </c>
      <c r="CV18" s="18">
        <f>IF(97&gt;=DeliverStart,ParkingPerUnitMo*'LeaseUp'!CV$8*CV$9,0)</f>
        <v/>
      </c>
      <c r="CW18" s="18">
        <f>IF(98&gt;=DeliverStart,ParkingPerUnitMo*'LeaseUp'!CW$8*CW$9,0)</f>
        <v/>
      </c>
      <c r="CX18" s="18">
        <f>IF(99&gt;=DeliverStart,ParkingPerUnitMo*'LeaseUp'!CX$8*CX$9,0)</f>
        <v/>
      </c>
      <c r="CY18" s="18">
        <f>IF(100&gt;=DeliverStart,ParkingPerUnitMo*'LeaseUp'!CY$8*CY$9,0)</f>
        <v/>
      </c>
      <c r="CZ18" s="18">
        <f>IF(101&gt;=DeliverStart,ParkingPerUnitMo*'LeaseUp'!CZ$8*CZ$9,0)</f>
        <v/>
      </c>
      <c r="DA18" s="18">
        <f>IF(102&gt;=DeliverStart,ParkingPerUnitMo*'LeaseUp'!DA$8*DA$9,0)</f>
        <v/>
      </c>
      <c r="DB18" s="18">
        <f>IF(103&gt;=DeliverStart,ParkingPerUnitMo*'LeaseUp'!DB$8*DB$9,0)</f>
        <v/>
      </c>
      <c r="DC18" s="18">
        <f>IF(104&gt;=DeliverStart,ParkingPerUnitMo*'LeaseUp'!DC$8*DC$9,0)</f>
        <v/>
      </c>
      <c r="DD18" s="18">
        <f>IF(105&gt;=DeliverStart,ParkingPerUnitMo*'LeaseUp'!DD$8*DD$9,0)</f>
        <v/>
      </c>
      <c r="DE18" s="18">
        <f>IF(106&gt;=DeliverStart,ParkingPerUnitMo*'LeaseUp'!DE$8*DE$9,0)</f>
        <v/>
      </c>
      <c r="DF18" s="18">
        <f>IF(107&gt;=DeliverStart,ParkingPerUnitMo*'LeaseUp'!DF$8*DF$9,0)</f>
        <v/>
      </c>
      <c r="DG18" s="18">
        <f>IF(108&gt;=DeliverStart,ParkingPerUnitMo*'LeaseUp'!DG$8*DG$9,0)</f>
        <v/>
      </c>
      <c r="DH18" s="18">
        <f>IF(109&gt;=DeliverStart,ParkingPerUnitMo*'LeaseUp'!DH$8*DH$9,0)</f>
        <v/>
      </c>
      <c r="DI18" s="18">
        <f>IF(110&gt;=DeliverStart,ParkingPerUnitMo*'LeaseUp'!DI$8*DI$9,0)</f>
        <v/>
      </c>
      <c r="DJ18" s="18">
        <f>IF(111&gt;=DeliverStart,ParkingPerUnitMo*'LeaseUp'!DJ$8*DJ$9,0)</f>
        <v/>
      </c>
      <c r="DK18" s="18">
        <f>IF(112&gt;=DeliverStart,ParkingPerUnitMo*'LeaseUp'!DK$8*DK$9,0)</f>
        <v/>
      </c>
      <c r="DL18" s="18">
        <f>IF(113&gt;=DeliverStart,ParkingPerUnitMo*'LeaseUp'!DL$8*DL$9,0)</f>
        <v/>
      </c>
      <c r="DM18" s="18">
        <f>IF(114&gt;=DeliverStart,ParkingPerUnitMo*'LeaseUp'!DM$8*DM$9,0)</f>
        <v/>
      </c>
      <c r="DN18" s="18">
        <f>IF(115&gt;=DeliverStart,ParkingPerUnitMo*'LeaseUp'!DN$8*DN$9,0)</f>
        <v/>
      </c>
      <c r="DO18" s="18">
        <f>IF(116&gt;=DeliverStart,ParkingPerUnitMo*'LeaseUp'!DO$8*DO$9,0)</f>
        <v/>
      </c>
      <c r="DP18" s="18">
        <f>IF(117&gt;=DeliverStart,ParkingPerUnitMo*'LeaseUp'!DP$8*DP$9,0)</f>
        <v/>
      </c>
      <c r="DQ18" s="18">
        <f>IF(118&gt;=DeliverStart,ParkingPerUnitMo*'LeaseUp'!DQ$8*DQ$9,0)</f>
        <v/>
      </c>
      <c r="DR18" s="18">
        <f>IF(119&gt;=DeliverStart,ParkingPerUnitMo*'LeaseUp'!DR$8*DR$9,0)</f>
        <v/>
      </c>
      <c r="DS18" s="18">
        <f>IF(120&gt;=DeliverStart,ParkingPerUnitMo*'LeaseUp'!DS$8*DS$9,0)</f>
        <v/>
      </c>
      <c r="DT18" s="18">
        <f>IF(121&gt;=DeliverStart,ParkingPerUnitMo*'LeaseUp'!DT$8*DT$9,0)</f>
        <v/>
      </c>
      <c r="DU18" s="18">
        <f>IF(122&gt;=DeliverStart,ParkingPerUnitMo*'LeaseUp'!DU$8*DU$9,0)</f>
        <v/>
      </c>
      <c r="DV18" s="18">
        <f>IF(123&gt;=DeliverStart,ParkingPerUnitMo*'LeaseUp'!DV$8*DV$9,0)</f>
        <v/>
      </c>
      <c r="DW18" s="18">
        <f>IF(124&gt;=DeliverStart,ParkingPerUnitMo*'LeaseUp'!DW$8*DW$9,0)</f>
        <v/>
      </c>
      <c r="DX18" s="18">
        <f>IF(125&gt;=DeliverStart,ParkingPerUnitMo*'LeaseUp'!DX$8*DX$9,0)</f>
        <v/>
      </c>
      <c r="DY18" s="18">
        <f>IF(126&gt;=DeliverStart,ParkingPerUnitMo*'LeaseUp'!DY$8*DY$9,0)</f>
        <v/>
      </c>
      <c r="DZ18" s="18">
        <f>IF(127&gt;=DeliverStart,ParkingPerUnitMo*'LeaseUp'!DZ$8*DZ$9,0)</f>
        <v/>
      </c>
      <c r="EA18" s="18">
        <f>IF(128&gt;=DeliverStart,ParkingPerUnitMo*'LeaseUp'!EA$8*EA$9,0)</f>
        <v/>
      </c>
      <c r="EB18" s="18">
        <f>IF(129&gt;=DeliverStart,ParkingPerUnitMo*'LeaseUp'!EB$8*EB$9,0)</f>
        <v/>
      </c>
      <c r="EC18" s="18">
        <f>IF(130&gt;=DeliverStart,ParkingPerUnitMo*'LeaseUp'!EC$8*EC$9,0)</f>
        <v/>
      </c>
      <c r="ED18" s="18">
        <f>IF(131&gt;=DeliverStart,ParkingPerUnitMo*'LeaseUp'!ED$8*ED$9,0)</f>
        <v/>
      </c>
      <c r="EE18" s="18">
        <f>IF(132&gt;=DeliverStart,ParkingPerUnitMo*'LeaseUp'!EE$8*EE$9,0)</f>
        <v/>
      </c>
      <c r="EF18" s="18">
        <f>IF(133&gt;=DeliverStart,ParkingPerUnitMo*'LeaseUp'!EF$8*EF$9,0)</f>
        <v/>
      </c>
      <c r="EG18" s="18">
        <f>IF(134&gt;=DeliverStart,ParkingPerUnitMo*'LeaseUp'!EG$8*EG$9,0)</f>
        <v/>
      </c>
      <c r="EH18" s="18">
        <f>IF(135&gt;=DeliverStart,ParkingPerUnitMo*'LeaseUp'!EH$8*EH$9,0)</f>
        <v/>
      </c>
      <c r="EI18" s="18">
        <f>IF(136&gt;=DeliverStart,ParkingPerUnitMo*'LeaseUp'!EI$8*EI$9,0)</f>
        <v/>
      </c>
      <c r="EJ18" s="18">
        <f>IF(137&gt;=DeliverStart,ParkingPerUnitMo*'LeaseUp'!EJ$8*EJ$9,0)</f>
        <v/>
      </c>
      <c r="EK18" s="18">
        <f>IF(138&gt;=DeliverStart,ParkingPerUnitMo*'LeaseUp'!EK$8*EK$9,0)</f>
        <v/>
      </c>
      <c r="EL18" s="18">
        <f>IF(139&gt;=DeliverStart,ParkingPerUnitMo*'LeaseUp'!EL$8*EL$9,0)</f>
        <v/>
      </c>
      <c r="EM18" s="18">
        <f>IF(140&gt;=DeliverStart,ParkingPerUnitMo*'LeaseUp'!EM$8*EM$9,0)</f>
        <v/>
      </c>
      <c r="EN18" s="18">
        <f>IF(141&gt;=DeliverStart,ParkingPerUnitMo*'LeaseUp'!EN$8*EN$9,0)</f>
        <v/>
      </c>
      <c r="EO18" s="18">
        <f>IF(142&gt;=DeliverStart,ParkingPerUnitMo*'LeaseUp'!EO$8*EO$9,0)</f>
        <v/>
      </c>
      <c r="EP18" s="18">
        <f>IF(143&gt;=DeliverStart,ParkingPerUnitMo*'LeaseUp'!EP$8*EP$9,0)</f>
        <v/>
      </c>
      <c r="EQ18" s="18">
        <f>IF(144&gt;=DeliverStart,ParkingPerUnitMo*'LeaseUp'!EQ$8*EQ$9,0)</f>
        <v/>
      </c>
      <c r="ER18" s="18">
        <f>IF(145&gt;=DeliverStart,ParkingPerUnitMo*'LeaseUp'!ER$8*ER$9,0)</f>
        <v/>
      </c>
      <c r="ES18" s="18">
        <f>IF(146&gt;=DeliverStart,ParkingPerUnitMo*'LeaseUp'!ES$8*ES$9,0)</f>
        <v/>
      </c>
      <c r="ET18" s="18">
        <f>IF(147&gt;=DeliverStart,ParkingPerUnitMo*'LeaseUp'!ET$8*ET$9,0)</f>
        <v/>
      </c>
      <c r="EU18" s="18">
        <f>IF(148&gt;=DeliverStart,ParkingPerUnitMo*'LeaseUp'!EU$8*EU$9,0)</f>
        <v/>
      </c>
      <c r="EV18" s="18">
        <f>IF(149&gt;=DeliverStart,ParkingPerUnitMo*'LeaseUp'!EV$8*EV$9,0)</f>
        <v/>
      </c>
      <c r="EW18" s="18">
        <f>IF(150&gt;=DeliverStart,ParkingPerUnitMo*'LeaseUp'!EW$8*EW$9,0)</f>
        <v/>
      </c>
      <c r="EX18" s="18">
        <f>IF(151&gt;=DeliverStart,ParkingPerUnitMo*'LeaseUp'!EX$8*EX$9,0)</f>
        <v/>
      </c>
      <c r="EY18" s="18">
        <f>IF(152&gt;=DeliverStart,ParkingPerUnitMo*'LeaseUp'!EY$8*EY$9,0)</f>
        <v/>
      </c>
      <c r="EZ18" s="18">
        <f>IF(153&gt;=DeliverStart,ParkingPerUnitMo*'LeaseUp'!EZ$8*EZ$9,0)</f>
        <v/>
      </c>
      <c r="FA18" s="18">
        <f>IF(154&gt;=DeliverStart,ParkingPerUnitMo*'LeaseUp'!FA$8*FA$9,0)</f>
        <v/>
      </c>
      <c r="FB18" s="18">
        <f>IF(155&gt;=DeliverStart,ParkingPerUnitMo*'LeaseUp'!FB$8*FB$9,0)</f>
        <v/>
      </c>
      <c r="FC18" s="18">
        <f>IF(156&gt;=DeliverStart,ParkingPerUnitMo*'LeaseUp'!FC$8*FC$9,0)</f>
        <v/>
      </c>
      <c r="FD18" s="18">
        <f>IF(157&gt;=DeliverStart,ParkingPerUnitMo*'LeaseUp'!FD$8*FD$9,0)</f>
        <v/>
      </c>
      <c r="FE18" s="18">
        <f>IF(158&gt;=DeliverStart,ParkingPerUnitMo*'LeaseUp'!FE$8*FE$9,0)</f>
        <v/>
      </c>
      <c r="FF18" s="18">
        <f>IF(159&gt;=DeliverStart,ParkingPerUnitMo*'LeaseUp'!FF$8*FF$9,0)</f>
        <v/>
      </c>
      <c r="FG18" s="18">
        <f>IF(160&gt;=DeliverStart,ParkingPerUnitMo*'LeaseUp'!FG$8*FG$9,0)</f>
        <v/>
      </c>
      <c r="FH18" s="18">
        <f>IF(161&gt;=DeliverStart,ParkingPerUnitMo*'LeaseUp'!FH$8*FH$9,0)</f>
        <v/>
      </c>
      <c r="FI18" s="18">
        <f>IF(162&gt;=DeliverStart,ParkingPerUnitMo*'LeaseUp'!FI$8*FI$9,0)</f>
        <v/>
      </c>
      <c r="FJ18" s="18">
        <f>IF(163&gt;=DeliverStart,ParkingPerUnitMo*'LeaseUp'!FJ$8*FJ$9,0)</f>
        <v/>
      </c>
      <c r="FK18" s="18">
        <f>IF(164&gt;=DeliverStart,ParkingPerUnitMo*'LeaseUp'!FK$8*FK$9,0)</f>
        <v/>
      </c>
      <c r="FL18" s="18">
        <f>IF(165&gt;=DeliverStart,ParkingPerUnitMo*'LeaseUp'!FL$8*FL$9,0)</f>
        <v/>
      </c>
      <c r="FM18" s="18">
        <f>IF(166&gt;=DeliverStart,ParkingPerUnitMo*'LeaseUp'!FM$8*FM$9,0)</f>
        <v/>
      </c>
      <c r="FN18" s="18">
        <f>IF(167&gt;=DeliverStart,ParkingPerUnitMo*'LeaseUp'!FN$8*FN$9,0)</f>
        <v/>
      </c>
      <c r="FO18" s="18">
        <f>IF(168&gt;=DeliverStart,ParkingPerUnitMo*'LeaseUp'!FO$8*FO$9,0)</f>
        <v/>
      </c>
      <c r="FP18" s="18">
        <f>IF(169&gt;=DeliverStart,ParkingPerUnitMo*'LeaseUp'!FP$8*FP$9,0)</f>
        <v/>
      </c>
      <c r="FQ18" s="18">
        <f>IF(170&gt;=DeliverStart,ParkingPerUnitMo*'LeaseUp'!FQ$8*FQ$9,0)</f>
        <v/>
      </c>
      <c r="FR18" s="18">
        <f>IF(171&gt;=DeliverStart,ParkingPerUnitMo*'LeaseUp'!FR$8*FR$9,0)</f>
        <v/>
      </c>
      <c r="FS18" s="18">
        <f>IF(172&gt;=DeliverStart,ParkingPerUnitMo*'LeaseUp'!FS$8*FS$9,0)</f>
        <v/>
      </c>
      <c r="FT18" s="18">
        <f>IF(173&gt;=DeliverStart,ParkingPerUnitMo*'LeaseUp'!FT$8*FT$9,0)</f>
        <v/>
      </c>
      <c r="FU18" s="18">
        <f>IF(174&gt;=DeliverStart,ParkingPerUnitMo*'LeaseUp'!FU$8*FU$9,0)</f>
        <v/>
      </c>
      <c r="FV18" s="18">
        <f>IF(175&gt;=DeliverStart,ParkingPerUnitMo*'LeaseUp'!FV$8*FV$9,0)</f>
        <v/>
      </c>
      <c r="FW18" s="18">
        <f>IF(176&gt;=DeliverStart,ParkingPerUnitMo*'LeaseUp'!FW$8*FW$9,0)</f>
        <v/>
      </c>
      <c r="FX18" s="18">
        <f>IF(177&gt;=DeliverStart,ParkingPerUnitMo*'LeaseUp'!FX$8*FX$9,0)</f>
        <v/>
      </c>
      <c r="FY18" s="18">
        <f>IF(178&gt;=DeliverStart,ParkingPerUnitMo*'LeaseUp'!FY$8*FY$9,0)</f>
        <v/>
      </c>
      <c r="FZ18" s="18">
        <f>IF(179&gt;=DeliverStart,ParkingPerUnitMo*'LeaseUp'!FZ$8*FZ$9,0)</f>
        <v/>
      </c>
      <c r="GA18" s="18">
        <f>IF(180&gt;=DeliverStart,ParkingPerUnitMo*'LeaseUp'!GA$8*GA$9,0)</f>
        <v/>
      </c>
      <c r="GB18" s="18">
        <f>IF(181&gt;=DeliverStart,ParkingPerUnitMo*'LeaseUp'!GB$8*GB$9,0)</f>
        <v/>
      </c>
      <c r="GC18" s="18">
        <f>IF(182&gt;=DeliverStart,ParkingPerUnitMo*'LeaseUp'!GC$8*GC$9,0)</f>
        <v/>
      </c>
      <c r="GD18" s="18">
        <f>IF(183&gt;=DeliverStart,ParkingPerUnitMo*'LeaseUp'!GD$8*GD$9,0)</f>
        <v/>
      </c>
      <c r="GE18" s="18">
        <f>IF(184&gt;=DeliverStart,ParkingPerUnitMo*'LeaseUp'!GE$8*GE$9,0)</f>
        <v/>
      </c>
      <c r="GF18" s="18">
        <f>IF(185&gt;=DeliverStart,ParkingPerUnitMo*'LeaseUp'!GF$8*GF$9,0)</f>
        <v/>
      </c>
      <c r="GG18" s="18">
        <f>IF(186&gt;=DeliverStart,ParkingPerUnitMo*'LeaseUp'!GG$8*GG$9,0)</f>
        <v/>
      </c>
      <c r="GH18" s="18">
        <f>IF(187&gt;=DeliverStart,ParkingPerUnitMo*'LeaseUp'!GH$8*GH$9,0)</f>
        <v/>
      </c>
      <c r="GI18" s="18">
        <f>IF(188&gt;=DeliverStart,ParkingPerUnitMo*'LeaseUp'!GI$8*GI$9,0)</f>
        <v/>
      </c>
      <c r="GJ18" s="18">
        <f>IF(189&gt;=DeliverStart,ParkingPerUnitMo*'LeaseUp'!GJ$8*GJ$9,0)</f>
        <v/>
      </c>
      <c r="GK18" s="18">
        <f>IF(190&gt;=DeliverStart,ParkingPerUnitMo*'LeaseUp'!GK$8*GK$9,0)</f>
        <v/>
      </c>
      <c r="GL18" s="18">
        <f>IF(191&gt;=DeliverStart,ParkingPerUnitMo*'LeaseUp'!GL$8*GL$9,0)</f>
        <v/>
      </c>
      <c r="GM18" s="18">
        <f>IF(192&gt;=DeliverStart,ParkingPerUnitMo*'LeaseUp'!GM$8*GM$9,0)</f>
        <v/>
      </c>
      <c r="GN18" s="18">
        <f>IF(193&gt;=DeliverStart,ParkingPerUnitMo*'LeaseUp'!GN$8*GN$9,0)</f>
        <v/>
      </c>
      <c r="GO18" s="18">
        <f>IF(194&gt;=DeliverStart,ParkingPerUnitMo*'LeaseUp'!GO$8*GO$9,0)</f>
        <v/>
      </c>
      <c r="GP18" s="18">
        <f>IF(195&gt;=DeliverStart,ParkingPerUnitMo*'LeaseUp'!GP$8*GP$9,0)</f>
        <v/>
      </c>
      <c r="GQ18" s="18">
        <f>IF(196&gt;=DeliverStart,ParkingPerUnitMo*'LeaseUp'!GQ$8*GQ$9,0)</f>
        <v/>
      </c>
      <c r="GR18" s="18">
        <f>IF(197&gt;=DeliverStart,ParkingPerUnitMo*'LeaseUp'!GR$8*GR$9,0)</f>
        <v/>
      </c>
      <c r="GS18" s="18">
        <f>IF(198&gt;=DeliverStart,ParkingPerUnitMo*'LeaseUp'!GS$8*GS$9,0)</f>
        <v/>
      </c>
      <c r="GT18" s="18">
        <f>IF(199&gt;=DeliverStart,ParkingPerUnitMo*'LeaseUp'!GT$8*GT$9,0)</f>
        <v/>
      </c>
      <c r="GU18" s="18">
        <f>IF(200&gt;=DeliverStart,ParkingPerUnitMo*'LeaseUp'!GU$8*GU$9,0)</f>
        <v/>
      </c>
      <c r="GV18" s="18">
        <f>IF(201&gt;=DeliverStart,ParkingPerUnitMo*'LeaseUp'!GV$8*GV$9,0)</f>
        <v/>
      </c>
      <c r="GW18" s="18">
        <f>IF(202&gt;=DeliverStart,ParkingPerUnitMo*'LeaseUp'!GW$8*GW$9,0)</f>
        <v/>
      </c>
      <c r="GX18" s="18">
        <f>IF(203&gt;=DeliverStart,ParkingPerUnitMo*'LeaseUp'!GX$8*GX$9,0)</f>
        <v/>
      </c>
      <c r="GY18" s="18">
        <f>IF(204&gt;=DeliverStart,ParkingPerUnitMo*'LeaseUp'!GY$8*GY$9,0)</f>
        <v/>
      </c>
      <c r="GZ18" s="18">
        <f>IF(205&gt;=DeliverStart,ParkingPerUnitMo*'LeaseUp'!GZ$8*GZ$9,0)</f>
        <v/>
      </c>
      <c r="HA18" s="18">
        <f>IF(206&gt;=DeliverStart,ParkingPerUnitMo*'LeaseUp'!HA$8*HA$9,0)</f>
        <v/>
      </c>
      <c r="HB18" s="18">
        <f>IF(207&gt;=DeliverStart,ParkingPerUnitMo*'LeaseUp'!HB$8*HB$9,0)</f>
        <v/>
      </c>
      <c r="HC18" s="18">
        <f>IF(208&gt;=DeliverStart,ParkingPerUnitMo*'LeaseUp'!HC$8*HC$9,0)</f>
        <v/>
      </c>
      <c r="HD18" s="18">
        <f>IF(209&gt;=DeliverStart,ParkingPerUnitMo*'LeaseUp'!HD$8*HD$9,0)</f>
        <v/>
      </c>
      <c r="HE18" s="18">
        <f>IF(210&gt;=DeliverStart,ParkingPerUnitMo*'LeaseUp'!HE$8*HE$9,0)</f>
        <v/>
      </c>
      <c r="HF18" s="18">
        <f>IF(211&gt;=DeliverStart,ParkingPerUnitMo*'LeaseUp'!HF$8*HF$9,0)</f>
        <v/>
      </c>
      <c r="HG18" s="18">
        <f>IF(212&gt;=DeliverStart,ParkingPerUnitMo*'LeaseUp'!HG$8*HG$9,0)</f>
        <v/>
      </c>
      <c r="HH18" s="18">
        <f>IF(213&gt;=DeliverStart,ParkingPerUnitMo*'LeaseUp'!HH$8*HH$9,0)</f>
        <v/>
      </c>
      <c r="HI18" s="18">
        <f>IF(214&gt;=DeliverStart,ParkingPerUnitMo*'LeaseUp'!HI$8*HI$9,0)</f>
        <v/>
      </c>
      <c r="HJ18" s="18">
        <f>IF(215&gt;=DeliverStart,ParkingPerUnitMo*'LeaseUp'!HJ$8*HJ$9,0)</f>
        <v/>
      </c>
      <c r="HK18" s="18">
        <f>IF(216&gt;=DeliverStart,ParkingPerUnitMo*'LeaseUp'!HK$8*HK$9,0)</f>
        <v/>
      </c>
      <c r="HL18" s="18">
        <f>IF(217&gt;=DeliverStart,ParkingPerUnitMo*'LeaseUp'!HL$8*HL$9,0)</f>
        <v/>
      </c>
      <c r="HM18" s="18">
        <f>IF(218&gt;=DeliverStart,ParkingPerUnitMo*'LeaseUp'!HM$8*HM$9,0)</f>
        <v/>
      </c>
      <c r="HN18" s="18">
        <f>IF(219&gt;=DeliverStart,ParkingPerUnitMo*'LeaseUp'!HN$8*HN$9,0)</f>
        <v/>
      </c>
      <c r="HO18" s="18">
        <f>IF(220&gt;=DeliverStart,ParkingPerUnitMo*'LeaseUp'!HO$8*HO$9,0)</f>
        <v/>
      </c>
      <c r="HP18" s="18">
        <f>IF(221&gt;=DeliverStart,ParkingPerUnitMo*'LeaseUp'!HP$8*HP$9,0)</f>
        <v/>
      </c>
      <c r="HQ18" s="18">
        <f>IF(222&gt;=DeliverStart,ParkingPerUnitMo*'LeaseUp'!HQ$8*HQ$9,0)</f>
        <v/>
      </c>
      <c r="HR18" s="18">
        <f>IF(223&gt;=DeliverStart,ParkingPerUnitMo*'LeaseUp'!HR$8*HR$9,0)</f>
        <v/>
      </c>
      <c r="HS18" s="18">
        <f>IF(224&gt;=DeliverStart,ParkingPerUnitMo*'LeaseUp'!HS$8*HS$9,0)</f>
        <v/>
      </c>
      <c r="HT18" s="18">
        <f>IF(225&gt;=DeliverStart,ParkingPerUnitMo*'LeaseUp'!HT$8*HT$9,0)</f>
        <v/>
      </c>
      <c r="HU18" s="18">
        <f>IF(226&gt;=DeliverStart,ParkingPerUnitMo*'LeaseUp'!HU$8*HU$9,0)</f>
        <v/>
      </c>
      <c r="HV18" s="18">
        <f>IF(227&gt;=DeliverStart,ParkingPerUnitMo*'LeaseUp'!HV$8*HV$9,0)</f>
        <v/>
      </c>
      <c r="HW18" s="18">
        <f>IF(228&gt;=DeliverStart,ParkingPerUnitMo*'LeaseUp'!HW$8*HW$9,0)</f>
        <v/>
      </c>
      <c r="HX18" s="18">
        <f>IF(229&gt;=DeliverStart,ParkingPerUnitMo*'LeaseUp'!HX$8*HX$9,0)</f>
        <v/>
      </c>
      <c r="HY18" s="18">
        <f>IF(230&gt;=DeliverStart,ParkingPerUnitMo*'LeaseUp'!HY$8*HY$9,0)</f>
        <v/>
      </c>
      <c r="HZ18" s="18">
        <f>IF(231&gt;=DeliverStart,ParkingPerUnitMo*'LeaseUp'!HZ$8*HZ$9,0)</f>
        <v/>
      </c>
      <c r="IA18" s="18">
        <f>IF(232&gt;=DeliverStart,ParkingPerUnitMo*'LeaseUp'!IA$8*IA$9,0)</f>
        <v/>
      </c>
      <c r="IB18" s="18">
        <f>IF(233&gt;=DeliverStart,ParkingPerUnitMo*'LeaseUp'!IB$8*IB$9,0)</f>
        <v/>
      </c>
      <c r="IC18" s="18">
        <f>IF(234&gt;=DeliverStart,ParkingPerUnitMo*'LeaseUp'!IC$8*IC$9,0)</f>
        <v/>
      </c>
      <c r="ID18" s="18">
        <f>IF(235&gt;=DeliverStart,ParkingPerUnitMo*'LeaseUp'!ID$8*ID$9,0)</f>
        <v/>
      </c>
      <c r="IE18" s="18">
        <f>IF(236&gt;=DeliverStart,ParkingPerUnitMo*'LeaseUp'!IE$8*IE$9,0)</f>
        <v/>
      </c>
      <c r="IF18" s="18">
        <f>IF(237&gt;=DeliverStart,ParkingPerUnitMo*'LeaseUp'!IF$8*IF$9,0)</f>
        <v/>
      </c>
      <c r="IG18" s="18">
        <f>IF(238&gt;=DeliverStart,ParkingPerUnitMo*'LeaseUp'!IG$8*IG$9,0)</f>
        <v/>
      </c>
      <c r="IH18" s="18">
        <f>IF(239&gt;=DeliverStart,ParkingPerUnitMo*'LeaseUp'!IH$8*IH$9,0)</f>
        <v/>
      </c>
      <c r="II18" s="18">
        <f>IF(240&gt;=DeliverStart,ParkingPerUnitMo*'LeaseUp'!II$8*II$9,0)</f>
        <v/>
      </c>
      <c r="IJ18" s="18">
        <f>IF(241&gt;=DeliverStart,ParkingPerUnitMo*'LeaseUp'!IJ$8*IJ$9,0)</f>
        <v/>
      </c>
      <c r="IK18" s="18">
        <f>IF(242&gt;=DeliverStart,ParkingPerUnitMo*'LeaseUp'!IK$8*IK$9,0)</f>
        <v/>
      </c>
      <c r="IL18" s="18">
        <f>IF(243&gt;=DeliverStart,ParkingPerUnitMo*'LeaseUp'!IL$8*IL$9,0)</f>
        <v/>
      </c>
      <c r="IM18" s="18">
        <f>IF(244&gt;=DeliverStart,ParkingPerUnitMo*'LeaseUp'!IM$8*IM$9,0)</f>
        <v/>
      </c>
      <c r="IN18" s="18">
        <f>IF(245&gt;=DeliverStart,ParkingPerUnitMo*'LeaseUp'!IN$8*IN$9,0)</f>
        <v/>
      </c>
      <c r="IO18" s="18">
        <f>IF(246&gt;=DeliverStart,ParkingPerUnitMo*'LeaseUp'!IO$8*IO$9,0)</f>
        <v/>
      </c>
      <c r="IP18" s="18">
        <f>IF(247&gt;=DeliverStart,ParkingPerUnitMo*'LeaseUp'!IP$8*IP$9,0)</f>
        <v/>
      </c>
      <c r="IQ18" s="18">
        <f>IF(248&gt;=DeliverStart,ParkingPerUnitMo*'LeaseUp'!IQ$8*IQ$9,0)</f>
        <v/>
      </c>
      <c r="IR18" s="18">
        <f>IF(249&gt;=DeliverStart,ParkingPerUnitMo*'LeaseUp'!IR$8*IR$9,0)</f>
        <v/>
      </c>
      <c r="IS18" s="18">
        <f>IF(250&gt;=DeliverStart,ParkingPerUnitMo*'LeaseUp'!IS$8*IS$9,0)</f>
        <v/>
      </c>
      <c r="IT18" s="18">
        <f>IF(251&gt;=DeliverStart,ParkingPerUnitMo*'LeaseUp'!IT$8*IT$9,0)</f>
        <v/>
      </c>
      <c r="IU18" s="18">
        <f>IF(252&gt;=DeliverStart,ParkingPerUnitMo*'LeaseUp'!IU$8*IU$9,0)</f>
        <v/>
      </c>
      <c r="IV18" s="18">
        <f>IF(253&gt;=DeliverStart,ParkingPerUnitMo*'LeaseUp'!IV$8*IV$9,0)</f>
        <v/>
      </c>
      <c r="IW18" s="18">
        <f>IF(254&gt;=DeliverStart,ParkingPerUnitMo*'LeaseUp'!IW$8*IW$9,0)</f>
        <v/>
      </c>
      <c r="IX18" s="18">
        <f>IF(255&gt;=DeliverStart,ParkingPerUnitMo*'LeaseUp'!IX$8*IX$9,0)</f>
        <v/>
      </c>
      <c r="IY18" s="18">
        <f>IF(256&gt;=DeliverStart,ParkingPerUnitMo*'LeaseUp'!IY$8*IY$9,0)</f>
        <v/>
      </c>
      <c r="IZ18" s="18">
        <f>IF(257&gt;=DeliverStart,ParkingPerUnitMo*'LeaseUp'!IZ$8*IZ$9,0)</f>
        <v/>
      </c>
      <c r="JA18" s="18">
        <f>IF(258&gt;=DeliverStart,ParkingPerUnitMo*'LeaseUp'!JA$8*JA$9,0)</f>
        <v/>
      </c>
      <c r="JB18" s="18">
        <f>IF(259&gt;=DeliverStart,ParkingPerUnitMo*'LeaseUp'!JB$8*JB$9,0)</f>
        <v/>
      </c>
      <c r="JC18" s="18">
        <f>IF(260&gt;=DeliverStart,ParkingPerUnitMo*'LeaseUp'!JC$8*JC$9,0)</f>
        <v/>
      </c>
      <c r="JD18" s="18">
        <f>IF(261&gt;=DeliverStart,ParkingPerUnitMo*'LeaseUp'!JD$8*JD$9,0)</f>
        <v/>
      </c>
      <c r="JE18" s="18">
        <f>IF(262&gt;=DeliverStart,ParkingPerUnitMo*'LeaseUp'!JE$8*JE$9,0)</f>
        <v/>
      </c>
      <c r="JF18" s="18">
        <f>IF(263&gt;=DeliverStart,ParkingPerUnitMo*'LeaseUp'!JF$8*JF$9,0)</f>
        <v/>
      </c>
      <c r="JG18" s="18">
        <f>IF(264&gt;=DeliverStart,ParkingPerUnitMo*'LeaseUp'!JG$8*JG$9,0)</f>
        <v/>
      </c>
      <c r="JH18" s="18">
        <f>IF(265&gt;=DeliverStart,ParkingPerUnitMo*'LeaseUp'!JH$8*JH$9,0)</f>
        <v/>
      </c>
      <c r="JI18" s="18">
        <f>IF(266&gt;=DeliverStart,ParkingPerUnitMo*'LeaseUp'!JI$8*JI$9,0)</f>
        <v/>
      </c>
      <c r="JJ18" s="18">
        <f>IF(267&gt;=DeliverStart,ParkingPerUnitMo*'LeaseUp'!JJ$8*JJ$9,0)</f>
        <v/>
      </c>
      <c r="JK18" s="18">
        <f>IF(268&gt;=DeliverStart,ParkingPerUnitMo*'LeaseUp'!JK$8*JK$9,0)</f>
        <v/>
      </c>
      <c r="JL18" s="18">
        <f>IF(269&gt;=DeliverStart,ParkingPerUnitMo*'LeaseUp'!JL$8*JL$9,0)</f>
        <v/>
      </c>
      <c r="JM18" s="18">
        <f>IF(270&gt;=DeliverStart,ParkingPerUnitMo*'LeaseUp'!JM$8*JM$9,0)</f>
        <v/>
      </c>
      <c r="JN18" s="18">
        <f>IF(271&gt;=DeliverStart,ParkingPerUnitMo*'LeaseUp'!JN$8*JN$9,0)</f>
        <v/>
      </c>
      <c r="JO18" s="18">
        <f>IF(272&gt;=DeliverStart,ParkingPerUnitMo*'LeaseUp'!JO$8*JO$9,0)</f>
        <v/>
      </c>
      <c r="JP18" s="18">
        <f>IF(273&gt;=DeliverStart,ParkingPerUnitMo*'LeaseUp'!JP$8*JP$9,0)</f>
        <v/>
      </c>
      <c r="JQ18" s="18">
        <f>IF(274&gt;=DeliverStart,ParkingPerUnitMo*'LeaseUp'!JQ$8*JQ$9,0)</f>
        <v/>
      </c>
      <c r="JR18" s="18">
        <f>IF(275&gt;=DeliverStart,ParkingPerUnitMo*'LeaseUp'!JR$8*JR$9,0)</f>
        <v/>
      </c>
      <c r="JS18" s="18">
        <f>IF(276&gt;=DeliverStart,ParkingPerUnitMo*'LeaseUp'!JS$8*JS$9,0)</f>
        <v/>
      </c>
      <c r="JT18" s="18">
        <f>IF(277&gt;=DeliverStart,ParkingPerUnitMo*'LeaseUp'!JT$8*JT$9,0)</f>
        <v/>
      </c>
      <c r="JU18" s="18">
        <f>IF(278&gt;=DeliverStart,ParkingPerUnitMo*'LeaseUp'!JU$8*JU$9,0)</f>
        <v/>
      </c>
      <c r="JV18" s="18">
        <f>IF(279&gt;=DeliverStart,ParkingPerUnitMo*'LeaseUp'!JV$8*JV$9,0)</f>
        <v/>
      </c>
      <c r="JW18" s="18">
        <f>IF(280&gt;=DeliverStart,ParkingPerUnitMo*'LeaseUp'!JW$8*JW$9,0)</f>
        <v/>
      </c>
      <c r="JX18" s="18">
        <f>IF(281&gt;=DeliverStart,ParkingPerUnitMo*'LeaseUp'!JX$8*JX$9,0)</f>
        <v/>
      </c>
      <c r="JY18" s="18">
        <f>IF(282&gt;=DeliverStart,ParkingPerUnitMo*'LeaseUp'!JY$8*JY$9,0)</f>
        <v/>
      </c>
      <c r="JZ18" s="18">
        <f>IF(283&gt;=DeliverStart,ParkingPerUnitMo*'LeaseUp'!JZ$8*JZ$9,0)</f>
        <v/>
      </c>
      <c r="KA18" s="18">
        <f>IF(284&gt;=DeliverStart,ParkingPerUnitMo*'LeaseUp'!KA$8*KA$9,0)</f>
        <v/>
      </c>
      <c r="KB18" s="18">
        <f>IF(285&gt;=DeliverStart,ParkingPerUnitMo*'LeaseUp'!KB$8*KB$9,0)</f>
        <v/>
      </c>
      <c r="KC18" s="18">
        <f>IF(286&gt;=DeliverStart,ParkingPerUnitMo*'LeaseUp'!KC$8*KC$9,0)</f>
        <v/>
      </c>
      <c r="KD18" s="18">
        <f>IF(287&gt;=DeliverStart,ParkingPerUnitMo*'LeaseUp'!KD$8*KD$9,0)</f>
        <v/>
      </c>
      <c r="KE18" s="18">
        <f>IF(288&gt;=DeliverStart,ParkingPerUnitMo*'LeaseUp'!KE$8*KE$9,0)</f>
        <v/>
      </c>
      <c r="KF18" s="18">
        <f>IF(289&gt;=DeliverStart,ParkingPerUnitMo*'LeaseUp'!KF$8*KF$9,0)</f>
        <v/>
      </c>
      <c r="KG18" s="18">
        <f>IF(290&gt;=DeliverStart,ParkingPerUnitMo*'LeaseUp'!KG$8*KG$9,0)</f>
        <v/>
      </c>
      <c r="KH18" s="18">
        <f>IF(291&gt;=DeliverStart,ParkingPerUnitMo*'LeaseUp'!KH$8*KH$9,0)</f>
        <v/>
      </c>
      <c r="KI18" s="18">
        <f>IF(292&gt;=DeliverStart,ParkingPerUnitMo*'LeaseUp'!KI$8*KI$9,0)</f>
        <v/>
      </c>
      <c r="KJ18" s="18">
        <f>IF(293&gt;=DeliverStart,ParkingPerUnitMo*'LeaseUp'!KJ$8*KJ$9,0)</f>
        <v/>
      </c>
      <c r="KK18" s="18">
        <f>IF(294&gt;=DeliverStart,ParkingPerUnitMo*'LeaseUp'!KK$8*KK$9,0)</f>
        <v/>
      </c>
      <c r="KL18" s="18">
        <f>IF(295&gt;=DeliverStart,ParkingPerUnitMo*'LeaseUp'!KL$8*KL$9,0)</f>
        <v/>
      </c>
      <c r="KM18" s="18">
        <f>IF(296&gt;=DeliverStart,ParkingPerUnitMo*'LeaseUp'!KM$8*KM$9,0)</f>
        <v/>
      </c>
      <c r="KN18" s="18">
        <f>IF(297&gt;=DeliverStart,ParkingPerUnitMo*'LeaseUp'!KN$8*KN$9,0)</f>
        <v/>
      </c>
      <c r="KO18" s="18">
        <f>IF(298&gt;=DeliverStart,ParkingPerUnitMo*'LeaseUp'!KO$8*KO$9,0)</f>
        <v/>
      </c>
      <c r="KP18" s="18">
        <f>IF(299&gt;=DeliverStart,ParkingPerUnitMo*'LeaseUp'!KP$8*KP$9,0)</f>
        <v/>
      </c>
      <c r="KQ18" s="18">
        <f>IF(300&gt;=DeliverStart,ParkingPerUnitMo*'LeaseUp'!KQ$8*KQ$9,0)</f>
        <v/>
      </c>
      <c r="KR18" s="18">
        <f>IF(301&gt;=DeliverStart,ParkingPerUnitMo*'LeaseUp'!KR$8*KR$9,0)</f>
        <v/>
      </c>
      <c r="KS18" s="18">
        <f>IF(302&gt;=DeliverStart,ParkingPerUnitMo*'LeaseUp'!KS$8*KS$9,0)</f>
        <v/>
      </c>
      <c r="KT18" s="18">
        <f>IF(303&gt;=DeliverStart,ParkingPerUnitMo*'LeaseUp'!KT$8*KT$9,0)</f>
        <v/>
      </c>
      <c r="KU18" s="18">
        <f>IF(304&gt;=DeliverStart,ParkingPerUnitMo*'LeaseUp'!KU$8*KU$9,0)</f>
        <v/>
      </c>
      <c r="KV18" s="18">
        <f>IF(305&gt;=DeliverStart,ParkingPerUnitMo*'LeaseUp'!KV$8*KV$9,0)</f>
        <v/>
      </c>
      <c r="KW18" s="18">
        <f>IF(306&gt;=DeliverStart,ParkingPerUnitMo*'LeaseUp'!KW$8*KW$9,0)</f>
        <v/>
      </c>
      <c r="KX18" s="18">
        <f>IF(307&gt;=DeliverStart,ParkingPerUnitMo*'LeaseUp'!KX$8*KX$9,0)</f>
        <v/>
      </c>
      <c r="KY18" s="18">
        <f>IF(308&gt;=DeliverStart,ParkingPerUnitMo*'LeaseUp'!KY$8*KY$9,0)</f>
        <v/>
      </c>
      <c r="KZ18" s="18">
        <f>IF(309&gt;=DeliverStart,ParkingPerUnitMo*'LeaseUp'!KZ$8*KZ$9,0)</f>
        <v/>
      </c>
      <c r="LA18" s="18">
        <f>IF(310&gt;=DeliverStart,ParkingPerUnitMo*'LeaseUp'!LA$8*LA$9,0)</f>
        <v/>
      </c>
      <c r="LB18" s="18">
        <f>IF(311&gt;=DeliverStart,ParkingPerUnitMo*'LeaseUp'!LB$8*LB$9,0)</f>
        <v/>
      </c>
      <c r="LC18" s="18">
        <f>IF(312&gt;=DeliverStart,ParkingPerUnitMo*'LeaseUp'!LC$8*LC$9,0)</f>
        <v/>
      </c>
      <c r="LD18" s="18">
        <f>IF(313&gt;=DeliverStart,ParkingPerUnitMo*'LeaseUp'!LD$8*LD$9,0)</f>
        <v/>
      </c>
      <c r="LE18" s="18">
        <f>IF(314&gt;=DeliverStart,ParkingPerUnitMo*'LeaseUp'!LE$8*LE$9,0)</f>
        <v/>
      </c>
      <c r="LF18" s="18">
        <f>IF(315&gt;=DeliverStart,ParkingPerUnitMo*'LeaseUp'!LF$8*LF$9,0)</f>
        <v/>
      </c>
      <c r="LG18" s="18">
        <f>IF(316&gt;=DeliverStart,ParkingPerUnitMo*'LeaseUp'!LG$8*LG$9,0)</f>
        <v/>
      </c>
      <c r="LH18" s="18">
        <f>IF(317&gt;=DeliverStart,ParkingPerUnitMo*'LeaseUp'!LH$8*LH$9,0)</f>
        <v/>
      </c>
      <c r="LI18" s="18">
        <f>IF(318&gt;=DeliverStart,ParkingPerUnitMo*'LeaseUp'!LI$8*LI$9,0)</f>
        <v/>
      </c>
      <c r="LJ18" s="18">
        <f>IF(319&gt;=DeliverStart,ParkingPerUnitMo*'LeaseUp'!LJ$8*LJ$9,0)</f>
        <v/>
      </c>
      <c r="LK18" s="18">
        <f>IF(320&gt;=DeliverStart,ParkingPerUnitMo*'LeaseUp'!LK$8*LK$9,0)</f>
        <v/>
      </c>
      <c r="LL18" s="18">
        <f>IF(321&gt;=DeliverStart,ParkingPerUnitMo*'LeaseUp'!LL$8*LL$9,0)</f>
        <v/>
      </c>
      <c r="LM18" s="18">
        <f>IF(322&gt;=DeliverStart,ParkingPerUnitMo*'LeaseUp'!LM$8*LM$9,0)</f>
        <v/>
      </c>
      <c r="LN18" s="18">
        <f>IF(323&gt;=DeliverStart,ParkingPerUnitMo*'LeaseUp'!LN$8*LN$9,0)</f>
        <v/>
      </c>
      <c r="LO18" s="18">
        <f>IF(324&gt;=DeliverStart,ParkingPerUnitMo*'LeaseUp'!LO$8*LO$9,0)</f>
        <v/>
      </c>
      <c r="LP18" s="18">
        <f>IF(325&gt;=DeliverStart,ParkingPerUnitMo*'LeaseUp'!LP$8*LP$9,0)</f>
        <v/>
      </c>
      <c r="LQ18" s="18">
        <f>IF(326&gt;=DeliverStart,ParkingPerUnitMo*'LeaseUp'!LQ$8*LQ$9,0)</f>
        <v/>
      </c>
      <c r="LR18" s="18">
        <f>IF(327&gt;=DeliverStart,ParkingPerUnitMo*'LeaseUp'!LR$8*LR$9,0)</f>
        <v/>
      </c>
      <c r="LS18" s="18">
        <f>IF(328&gt;=DeliverStart,ParkingPerUnitMo*'LeaseUp'!LS$8*LS$9,0)</f>
        <v/>
      </c>
      <c r="LT18" s="18">
        <f>IF(329&gt;=DeliverStart,ParkingPerUnitMo*'LeaseUp'!LT$8*LT$9,0)</f>
        <v/>
      </c>
      <c r="LU18" s="18">
        <f>IF(330&gt;=DeliverStart,ParkingPerUnitMo*'LeaseUp'!LU$8*LU$9,0)</f>
        <v/>
      </c>
      <c r="LV18" s="18">
        <f>IF(331&gt;=DeliverStart,ParkingPerUnitMo*'LeaseUp'!LV$8*LV$9,0)</f>
        <v/>
      </c>
      <c r="LW18" s="18">
        <f>IF(332&gt;=DeliverStart,ParkingPerUnitMo*'LeaseUp'!LW$8*LW$9,0)</f>
        <v/>
      </c>
      <c r="LX18" s="18">
        <f>IF(333&gt;=DeliverStart,ParkingPerUnitMo*'LeaseUp'!LX$8*LX$9,0)</f>
        <v/>
      </c>
      <c r="LY18" s="18">
        <f>IF(334&gt;=DeliverStart,ParkingPerUnitMo*'LeaseUp'!LY$8*LY$9,0)</f>
        <v/>
      </c>
      <c r="LZ18" s="18">
        <f>IF(335&gt;=DeliverStart,ParkingPerUnitMo*'LeaseUp'!LZ$8*LZ$9,0)</f>
        <v/>
      </c>
      <c r="MA18" s="18">
        <f>IF(336&gt;=DeliverStart,ParkingPerUnitMo*'LeaseUp'!MA$8*MA$9,0)</f>
        <v/>
      </c>
      <c r="MB18" s="18">
        <f>IF(337&gt;=DeliverStart,ParkingPerUnitMo*'LeaseUp'!MB$8*MB$9,0)</f>
        <v/>
      </c>
      <c r="MC18" s="18">
        <f>IF(338&gt;=DeliverStart,ParkingPerUnitMo*'LeaseUp'!MC$8*MC$9,0)</f>
        <v/>
      </c>
      <c r="MD18" s="18">
        <f>IF(339&gt;=DeliverStart,ParkingPerUnitMo*'LeaseUp'!MD$8*MD$9,0)</f>
        <v/>
      </c>
      <c r="ME18" s="18">
        <f>IF(340&gt;=DeliverStart,ParkingPerUnitMo*'LeaseUp'!ME$8*ME$9,0)</f>
        <v/>
      </c>
      <c r="MF18" s="18">
        <f>IF(341&gt;=DeliverStart,ParkingPerUnitMo*'LeaseUp'!MF$8*MF$9,0)</f>
        <v/>
      </c>
      <c r="MG18" s="18">
        <f>IF(342&gt;=DeliverStart,ParkingPerUnitMo*'LeaseUp'!MG$8*MG$9,0)</f>
        <v/>
      </c>
      <c r="MH18" s="18">
        <f>IF(343&gt;=DeliverStart,ParkingPerUnitMo*'LeaseUp'!MH$8*MH$9,0)</f>
        <v/>
      </c>
      <c r="MI18" s="18">
        <f>IF(344&gt;=DeliverStart,ParkingPerUnitMo*'LeaseUp'!MI$8*MI$9,0)</f>
        <v/>
      </c>
      <c r="MJ18" s="18">
        <f>IF(345&gt;=DeliverStart,ParkingPerUnitMo*'LeaseUp'!MJ$8*MJ$9,0)</f>
        <v/>
      </c>
      <c r="MK18" s="18">
        <f>IF(346&gt;=DeliverStart,ParkingPerUnitMo*'LeaseUp'!MK$8*MK$9,0)</f>
        <v/>
      </c>
      <c r="ML18" s="18">
        <f>IF(347&gt;=DeliverStart,ParkingPerUnitMo*'LeaseUp'!ML$8*ML$9,0)</f>
        <v/>
      </c>
      <c r="MM18" s="18">
        <f>IF(348&gt;=DeliverStart,ParkingPerUnitMo*'LeaseUp'!MM$8*MM$9,0)</f>
        <v/>
      </c>
      <c r="MN18" s="18">
        <f>IF(349&gt;=DeliverStart,ParkingPerUnitMo*'LeaseUp'!MN$8*MN$9,0)</f>
        <v/>
      </c>
      <c r="MO18" s="18">
        <f>IF(350&gt;=DeliverStart,ParkingPerUnitMo*'LeaseUp'!MO$8*MO$9,0)</f>
        <v/>
      </c>
      <c r="MP18" s="18">
        <f>IF(351&gt;=DeliverStart,ParkingPerUnitMo*'LeaseUp'!MP$8*MP$9,0)</f>
        <v/>
      </c>
      <c r="MQ18" s="18">
        <f>IF(352&gt;=DeliverStart,ParkingPerUnitMo*'LeaseUp'!MQ$8*MQ$9,0)</f>
        <v/>
      </c>
      <c r="MR18" s="18">
        <f>IF(353&gt;=DeliverStart,ParkingPerUnitMo*'LeaseUp'!MR$8*MR$9,0)</f>
        <v/>
      </c>
      <c r="MS18" s="18">
        <f>IF(354&gt;=DeliverStart,ParkingPerUnitMo*'LeaseUp'!MS$8*MS$9,0)</f>
        <v/>
      </c>
      <c r="MT18" s="18">
        <f>IF(355&gt;=DeliverStart,ParkingPerUnitMo*'LeaseUp'!MT$8*MT$9,0)</f>
        <v/>
      </c>
      <c r="MU18" s="18">
        <f>IF(356&gt;=DeliverStart,ParkingPerUnitMo*'LeaseUp'!MU$8*MU$9,0)</f>
        <v/>
      </c>
      <c r="MV18" s="18">
        <f>IF(357&gt;=DeliverStart,ParkingPerUnitMo*'LeaseUp'!MV$8*MV$9,0)</f>
        <v/>
      </c>
      <c r="MW18" s="18">
        <f>IF(358&gt;=DeliverStart,ParkingPerUnitMo*'LeaseUp'!MW$8*MW$9,0)</f>
        <v/>
      </c>
      <c r="MX18" s="18">
        <f>IF(359&gt;=DeliverStart,ParkingPerUnitMo*'LeaseUp'!MX$8*MX$9,0)</f>
        <v/>
      </c>
      <c r="MY18" s="18">
        <f>IF(360&gt;=DeliverStart,ParkingPerUnitMo*'LeaseUp'!MY$8*MY$9,0)</f>
        <v/>
      </c>
      <c r="MZ18" s="18">
        <f>IF(361&gt;=DeliverStart,ParkingPerUnitMo*'LeaseUp'!MZ$8*MZ$9,0)</f>
        <v/>
      </c>
      <c r="NA18" s="18">
        <f>IF(362&gt;=DeliverStart,ParkingPerUnitMo*'LeaseUp'!NA$8*NA$9,0)</f>
        <v/>
      </c>
      <c r="NB18" s="18">
        <f>IF(363&gt;=DeliverStart,ParkingPerUnitMo*'LeaseUp'!NB$8*NB$9,0)</f>
        <v/>
      </c>
      <c r="NC18" s="18">
        <f>IF(364&gt;=DeliverStart,ParkingPerUnitMo*'LeaseUp'!NC$8*NC$9,0)</f>
        <v/>
      </c>
      <c r="ND18" s="18">
        <f>IF(365&gt;=DeliverStart,ParkingPerUnitMo*'LeaseUp'!ND$8*ND$9,0)</f>
        <v/>
      </c>
      <c r="NE18" s="18">
        <f>IF(366&gt;=DeliverStart,ParkingPerUnitMo*'LeaseUp'!NE$8*NE$9,0)</f>
        <v/>
      </c>
      <c r="NF18" s="18">
        <f>IF(367&gt;=DeliverStart,ParkingPerUnitMo*'LeaseUp'!NF$8*NF$9,0)</f>
        <v/>
      </c>
      <c r="NG18" s="18">
        <f>IF(368&gt;=DeliverStart,ParkingPerUnitMo*'LeaseUp'!NG$8*NG$9,0)</f>
        <v/>
      </c>
      <c r="NH18" s="18">
        <f>IF(369&gt;=DeliverStart,ParkingPerUnitMo*'LeaseUp'!NH$8*NH$9,0)</f>
        <v/>
      </c>
      <c r="NI18" s="18">
        <f>IF(370&gt;=DeliverStart,ParkingPerUnitMo*'LeaseUp'!NI$8*NI$9,0)</f>
        <v/>
      </c>
      <c r="NJ18" s="18">
        <f>IF(371&gt;=DeliverStart,ParkingPerUnitMo*'LeaseUp'!NJ$8*NJ$9,0)</f>
        <v/>
      </c>
      <c r="NK18" s="18">
        <f>IF(372&gt;=DeliverStart,ParkingPerUnitMo*'LeaseUp'!NK$8*NK$9,0)</f>
        <v/>
      </c>
    </row>
    <row r="19">
      <c r="A19" s="5" t="inlineStr">
        <is>
          <t>Utility Reimbursement</t>
        </is>
      </c>
      <c r="C19" s="41">
        <f>SUM(D19:NK19)</f>
        <v/>
      </c>
      <c r="D19" s="18">
        <f>IF(1&gt;=DeliverStart,UtilReimbPerUnitMo*'LeaseUp'!D$8*D$9,0)</f>
        <v/>
      </c>
      <c r="E19" s="18">
        <f>IF(2&gt;=DeliverStart,UtilReimbPerUnitMo*'LeaseUp'!E$8*E$9,0)</f>
        <v/>
      </c>
      <c r="F19" s="18">
        <f>IF(3&gt;=DeliverStart,UtilReimbPerUnitMo*'LeaseUp'!F$8*F$9,0)</f>
        <v/>
      </c>
      <c r="G19" s="18">
        <f>IF(4&gt;=DeliverStart,UtilReimbPerUnitMo*'LeaseUp'!G$8*G$9,0)</f>
        <v/>
      </c>
      <c r="H19" s="18">
        <f>IF(5&gt;=DeliverStart,UtilReimbPerUnitMo*'LeaseUp'!H$8*H$9,0)</f>
        <v/>
      </c>
      <c r="I19" s="18">
        <f>IF(6&gt;=DeliverStart,UtilReimbPerUnitMo*'LeaseUp'!I$8*I$9,0)</f>
        <v/>
      </c>
      <c r="J19" s="18">
        <f>IF(7&gt;=DeliverStart,UtilReimbPerUnitMo*'LeaseUp'!J$8*J$9,0)</f>
        <v/>
      </c>
      <c r="K19" s="18">
        <f>IF(8&gt;=DeliverStart,UtilReimbPerUnitMo*'LeaseUp'!K$8*K$9,0)</f>
        <v/>
      </c>
      <c r="L19" s="18">
        <f>IF(9&gt;=DeliverStart,UtilReimbPerUnitMo*'LeaseUp'!L$8*L$9,0)</f>
        <v/>
      </c>
      <c r="M19" s="18">
        <f>IF(10&gt;=DeliverStart,UtilReimbPerUnitMo*'LeaseUp'!M$8*M$9,0)</f>
        <v/>
      </c>
      <c r="N19" s="18">
        <f>IF(11&gt;=DeliverStart,UtilReimbPerUnitMo*'LeaseUp'!N$8*N$9,0)</f>
        <v/>
      </c>
      <c r="O19" s="18">
        <f>IF(12&gt;=DeliverStart,UtilReimbPerUnitMo*'LeaseUp'!O$8*O$9,0)</f>
        <v/>
      </c>
      <c r="P19" s="18">
        <f>IF(13&gt;=DeliverStart,UtilReimbPerUnitMo*'LeaseUp'!P$8*P$9,0)</f>
        <v/>
      </c>
      <c r="Q19" s="18">
        <f>IF(14&gt;=DeliverStart,UtilReimbPerUnitMo*'LeaseUp'!Q$8*Q$9,0)</f>
        <v/>
      </c>
      <c r="R19" s="18">
        <f>IF(15&gt;=DeliverStart,UtilReimbPerUnitMo*'LeaseUp'!R$8*R$9,0)</f>
        <v/>
      </c>
      <c r="S19" s="18">
        <f>IF(16&gt;=DeliverStart,UtilReimbPerUnitMo*'LeaseUp'!S$8*S$9,0)</f>
        <v/>
      </c>
      <c r="T19" s="18">
        <f>IF(17&gt;=DeliverStart,UtilReimbPerUnitMo*'LeaseUp'!T$8*T$9,0)</f>
        <v/>
      </c>
      <c r="U19" s="18">
        <f>IF(18&gt;=DeliverStart,UtilReimbPerUnitMo*'LeaseUp'!U$8*U$9,0)</f>
        <v/>
      </c>
      <c r="V19" s="18">
        <f>IF(19&gt;=DeliverStart,UtilReimbPerUnitMo*'LeaseUp'!V$8*V$9,0)</f>
        <v/>
      </c>
      <c r="W19" s="18">
        <f>IF(20&gt;=DeliverStart,UtilReimbPerUnitMo*'LeaseUp'!W$8*W$9,0)</f>
        <v/>
      </c>
      <c r="X19" s="18">
        <f>IF(21&gt;=DeliverStart,UtilReimbPerUnitMo*'LeaseUp'!X$8*X$9,0)</f>
        <v/>
      </c>
      <c r="Y19" s="18">
        <f>IF(22&gt;=DeliverStart,UtilReimbPerUnitMo*'LeaseUp'!Y$8*Y$9,0)</f>
        <v/>
      </c>
      <c r="Z19" s="18">
        <f>IF(23&gt;=DeliverStart,UtilReimbPerUnitMo*'LeaseUp'!Z$8*Z$9,0)</f>
        <v/>
      </c>
      <c r="AA19" s="18">
        <f>IF(24&gt;=DeliverStart,UtilReimbPerUnitMo*'LeaseUp'!AA$8*AA$9,0)</f>
        <v/>
      </c>
      <c r="AB19" s="18">
        <f>IF(25&gt;=DeliverStart,UtilReimbPerUnitMo*'LeaseUp'!AB$8*AB$9,0)</f>
        <v/>
      </c>
      <c r="AC19" s="18">
        <f>IF(26&gt;=DeliverStart,UtilReimbPerUnitMo*'LeaseUp'!AC$8*AC$9,0)</f>
        <v/>
      </c>
      <c r="AD19" s="18">
        <f>IF(27&gt;=DeliverStart,UtilReimbPerUnitMo*'LeaseUp'!AD$8*AD$9,0)</f>
        <v/>
      </c>
      <c r="AE19" s="18">
        <f>IF(28&gt;=DeliverStart,UtilReimbPerUnitMo*'LeaseUp'!AE$8*AE$9,0)</f>
        <v/>
      </c>
      <c r="AF19" s="18">
        <f>IF(29&gt;=DeliverStart,UtilReimbPerUnitMo*'LeaseUp'!AF$8*AF$9,0)</f>
        <v/>
      </c>
      <c r="AG19" s="18">
        <f>IF(30&gt;=DeliverStart,UtilReimbPerUnitMo*'LeaseUp'!AG$8*AG$9,0)</f>
        <v/>
      </c>
      <c r="AH19" s="18">
        <f>IF(31&gt;=DeliverStart,UtilReimbPerUnitMo*'LeaseUp'!AH$8*AH$9,0)</f>
        <v/>
      </c>
      <c r="AI19" s="18">
        <f>IF(32&gt;=DeliverStart,UtilReimbPerUnitMo*'LeaseUp'!AI$8*AI$9,0)</f>
        <v/>
      </c>
      <c r="AJ19" s="18">
        <f>IF(33&gt;=DeliverStart,UtilReimbPerUnitMo*'LeaseUp'!AJ$8*AJ$9,0)</f>
        <v/>
      </c>
      <c r="AK19" s="18">
        <f>IF(34&gt;=DeliverStart,UtilReimbPerUnitMo*'LeaseUp'!AK$8*AK$9,0)</f>
        <v/>
      </c>
      <c r="AL19" s="18">
        <f>IF(35&gt;=DeliverStart,UtilReimbPerUnitMo*'LeaseUp'!AL$8*AL$9,0)</f>
        <v/>
      </c>
      <c r="AM19" s="18">
        <f>IF(36&gt;=DeliverStart,UtilReimbPerUnitMo*'LeaseUp'!AM$8*AM$9,0)</f>
        <v/>
      </c>
      <c r="AN19" s="18">
        <f>IF(37&gt;=DeliverStart,UtilReimbPerUnitMo*'LeaseUp'!AN$8*AN$9,0)</f>
        <v/>
      </c>
      <c r="AO19" s="18">
        <f>IF(38&gt;=DeliverStart,UtilReimbPerUnitMo*'LeaseUp'!AO$8*AO$9,0)</f>
        <v/>
      </c>
      <c r="AP19" s="18">
        <f>IF(39&gt;=DeliverStart,UtilReimbPerUnitMo*'LeaseUp'!AP$8*AP$9,0)</f>
        <v/>
      </c>
      <c r="AQ19" s="18">
        <f>IF(40&gt;=DeliverStart,UtilReimbPerUnitMo*'LeaseUp'!AQ$8*AQ$9,0)</f>
        <v/>
      </c>
      <c r="AR19" s="18">
        <f>IF(41&gt;=DeliverStart,UtilReimbPerUnitMo*'LeaseUp'!AR$8*AR$9,0)</f>
        <v/>
      </c>
      <c r="AS19" s="18">
        <f>IF(42&gt;=DeliverStart,UtilReimbPerUnitMo*'LeaseUp'!AS$8*AS$9,0)</f>
        <v/>
      </c>
      <c r="AT19" s="18">
        <f>IF(43&gt;=DeliverStart,UtilReimbPerUnitMo*'LeaseUp'!AT$8*AT$9,0)</f>
        <v/>
      </c>
      <c r="AU19" s="18">
        <f>IF(44&gt;=DeliverStart,UtilReimbPerUnitMo*'LeaseUp'!AU$8*AU$9,0)</f>
        <v/>
      </c>
      <c r="AV19" s="18">
        <f>IF(45&gt;=DeliverStart,UtilReimbPerUnitMo*'LeaseUp'!AV$8*AV$9,0)</f>
        <v/>
      </c>
      <c r="AW19" s="18">
        <f>IF(46&gt;=DeliverStart,UtilReimbPerUnitMo*'LeaseUp'!AW$8*AW$9,0)</f>
        <v/>
      </c>
      <c r="AX19" s="18">
        <f>IF(47&gt;=DeliverStart,UtilReimbPerUnitMo*'LeaseUp'!AX$8*AX$9,0)</f>
        <v/>
      </c>
      <c r="AY19" s="18">
        <f>IF(48&gt;=DeliverStart,UtilReimbPerUnitMo*'LeaseUp'!AY$8*AY$9,0)</f>
        <v/>
      </c>
      <c r="AZ19" s="18">
        <f>IF(49&gt;=DeliverStart,UtilReimbPerUnitMo*'LeaseUp'!AZ$8*AZ$9,0)</f>
        <v/>
      </c>
      <c r="BA19" s="18">
        <f>IF(50&gt;=DeliverStart,UtilReimbPerUnitMo*'LeaseUp'!BA$8*BA$9,0)</f>
        <v/>
      </c>
      <c r="BB19" s="18">
        <f>IF(51&gt;=DeliverStart,UtilReimbPerUnitMo*'LeaseUp'!BB$8*BB$9,0)</f>
        <v/>
      </c>
      <c r="BC19" s="18">
        <f>IF(52&gt;=DeliverStart,UtilReimbPerUnitMo*'LeaseUp'!BC$8*BC$9,0)</f>
        <v/>
      </c>
      <c r="BD19" s="18">
        <f>IF(53&gt;=DeliverStart,UtilReimbPerUnitMo*'LeaseUp'!BD$8*BD$9,0)</f>
        <v/>
      </c>
      <c r="BE19" s="18">
        <f>IF(54&gt;=DeliverStart,UtilReimbPerUnitMo*'LeaseUp'!BE$8*BE$9,0)</f>
        <v/>
      </c>
      <c r="BF19" s="18">
        <f>IF(55&gt;=DeliverStart,UtilReimbPerUnitMo*'LeaseUp'!BF$8*BF$9,0)</f>
        <v/>
      </c>
      <c r="BG19" s="18">
        <f>IF(56&gt;=DeliverStart,UtilReimbPerUnitMo*'LeaseUp'!BG$8*BG$9,0)</f>
        <v/>
      </c>
      <c r="BH19" s="18">
        <f>IF(57&gt;=DeliverStart,UtilReimbPerUnitMo*'LeaseUp'!BH$8*BH$9,0)</f>
        <v/>
      </c>
      <c r="BI19" s="18">
        <f>IF(58&gt;=DeliverStart,UtilReimbPerUnitMo*'LeaseUp'!BI$8*BI$9,0)</f>
        <v/>
      </c>
      <c r="BJ19" s="18">
        <f>IF(59&gt;=DeliverStart,UtilReimbPerUnitMo*'LeaseUp'!BJ$8*BJ$9,0)</f>
        <v/>
      </c>
      <c r="BK19" s="18">
        <f>IF(60&gt;=DeliverStart,UtilReimbPerUnitMo*'LeaseUp'!BK$8*BK$9,0)</f>
        <v/>
      </c>
      <c r="BL19" s="18">
        <f>IF(61&gt;=DeliverStart,UtilReimbPerUnitMo*'LeaseUp'!BL$8*BL$9,0)</f>
        <v/>
      </c>
      <c r="BM19" s="18">
        <f>IF(62&gt;=DeliverStart,UtilReimbPerUnitMo*'LeaseUp'!BM$8*BM$9,0)</f>
        <v/>
      </c>
      <c r="BN19" s="18">
        <f>IF(63&gt;=DeliverStart,UtilReimbPerUnitMo*'LeaseUp'!BN$8*BN$9,0)</f>
        <v/>
      </c>
      <c r="BO19" s="18">
        <f>IF(64&gt;=DeliverStart,UtilReimbPerUnitMo*'LeaseUp'!BO$8*BO$9,0)</f>
        <v/>
      </c>
      <c r="BP19" s="18">
        <f>IF(65&gt;=DeliverStart,UtilReimbPerUnitMo*'LeaseUp'!BP$8*BP$9,0)</f>
        <v/>
      </c>
      <c r="BQ19" s="18">
        <f>IF(66&gt;=DeliverStart,UtilReimbPerUnitMo*'LeaseUp'!BQ$8*BQ$9,0)</f>
        <v/>
      </c>
      <c r="BR19" s="18">
        <f>IF(67&gt;=DeliverStart,UtilReimbPerUnitMo*'LeaseUp'!BR$8*BR$9,0)</f>
        <v/>
      </c>
      <c r="BS19" s="18">
        <f>IF(68&gt;=DeliverStart,UtilReimbPerUnitMo*'LeaseUp'!BS$8*BS$9,0)</f>
        <v/>
      </c>
      <c r="BT19" s="18">
        <f>IF(69&gt;=DeliverStart,UtilReimbPerUnitMo*'LeaseUp'!BT$8*BT$9,0)</f>
        <v/>
      </c>
      <c r="BU19" s="18">
        <f>IF(70&gt;=DeliverStart,UtilReimbPerUnitMo*'LeaseUp'!BU$8*BU$9,0)</f>
        <v/>
      </c>
      <c r="BV19" s="18">
        <f>IF(71&gt;=DeliverStart,UtilReimbPerUnitMo*'LeaseUp'!BV$8*BV$9,0)</f>
        <v/>
      </c>
      <c r="BW19" s="18">
        <f>IF(72&gt;=DeliverStart,UtilReimbPerUnitMo*'LeaseUp'!BW$8*BW$9,0)</f>
        <v/>
      </c>
      <c r="BX19" s="18">
        <f>IF(73&gt;=DeliverStart,UtilReimbPerUnitMo*'LeaseUp'!BX$8*BX$9,0)</f>
        <v/>
      </c>
      <c r="BY19" s="18">
        <f>IF(74&gt;=DeliverStart,UtilReimbPerUnitMo*'LeaseUp'!BY$8*BY$9,0)</f>
        <v/>
      </c>
      <c r="BZ19" s="18">
        <f>IF(75&gt;=DeliverStart,UtilReimbPerUnitMo*'LeaseUp'!BZ$8*BZ$9,0)</f>
        <v/>
      </c>
      <c r="CA19" s="18">
        <f>IF(76&gt;=DeliverStart,UtilReimbPerUnitMo*'LeaseUp'!CA$8*CA$9,0)</f>
        <v/>
      </c>
      <c r="CB19" s="18">
        <f>IF(77&gt;=DeliverStart,UtilReimbPerUnitMo*'LeaseUp'!CB$8*CB$9,0)</f>
        <v/>
      </c>
      <c r="CC19" s="18">
        <f>IF(78&gt;=DeliverStart,UtilReimbPerUnitMo*'LeaseUp'!CC$8*CC$9,0)</f>
        <v/>
      </c>
      <c r="CD19" s="18">
        <f>IF(79&gt;=DeliverStart,UtilReimbPerUnitMo*'LeaseUp'!CD$8*CD$9,0)</f>
        <v/>
      </c>
      <c r="CE19" s="18">
        <f>IF(80&gt;=DeliverStart,UtilReimbPerUnitMo*'LeaseUp'!CE$8*CE$9,0)</f>
        <v/>
      </c>
      <c r="CF19" s="18">
        <f>IF(81&gt;=DeliverStart,UtilReimbPerUnitMo*'LeaseUp'!CF$8*CF$9,0)</f>
        <v/>
      </c>
      <c r="CG19" s="18">
        <f>IF(82&gt;=DeliverStart,UtilReimbPerUnitMo*'LeaseUp'!CG$8*CG$9,0)</f>
        <v/>
      </c>
      <c r="CH19" s="18">
        <f>IF(83&gt;=DeliverStart,UtilReimbPerUnitMo*'LeaseUp'!CH$8*CH$9,0)</f>
        <v/>
      </c>
      <c r="CI19" s="18">
        <f>IF(84&gt;=DeliverStart,UtilReimbPerUnitMo*'LeaseUp'!CI$8*CI$9,0)</f>
        <v/>
      </c>
      <c r="CJ19" s="18">
        <f>IF(85&gt;=DeliverStart,UtilReimbPerUnitMo*'LeaseUp'!CJ$8*CJ$9,0)</f>
        <v/>
      </c>
      <c r="CK19" s="18">
        <f>IF(86&gt;=DeliverStart,UtilReimbPerUnitMo*'LeaseUp'!CK$8*CK$9,0)</f>
        <v/>
      </c>
      <c r="CL19" s="18">
        <f>IF(87&gt;=DeliverStart,UtilReimbPerUnitMo*'LeaseUp'!CL$8*CL$9,0)</f>
        <v/>
      </c>
      <c r="CM19" s="18">
        <f>IF(88&gt;=DeliverStart,UtilReimbPerUnitMo*'LeaseUp'!CM$8*CM$9,0)</f>
        <v/>
      </c>
      <c r="CN19" s="18">
        <f>IF(89&gt;=DeliverStart,UtilReimbPerUnitMo*'LeaseUp'!CN$8*CN$9,0)</f>
        <v/>
      </c>
      <c r="CO19" s="18">
        <f>IF(90&gt;=DeliverStart,UtilReimbPerUnitMo*'LeaseUp'!CO$8*CO$9,0)</f>
        <v/>
      </c>
      <c r="CP19" s="18">
        <f>IF(91&gt;=DeliverStart,UtilReimbPerUnitMo*'LeaseUp'!CP$8*CP$9,0)</f>
        <v/>
      </c>
      <c r="CQ19" s="18">
        <f>IF(92&gt;=DeliverStart,UtilReimbPerUnitMo*'LeaseUp'!CQ$8*CQ$9,0)</f>
        <v/>
      </c>
      <c r="CR19" s="18">
        <f>IF(93&gt;=DeliverStart,UtilReimbPerUnitMo*'LeaseUp'!CR$8*CR$9,0)</f>
        <v/>
      </c>
      <c r="CS19" s="18">
        <f>IF(94&gt;=DeliverStart,UtilReimbPerUnitMo*'LeaseUp'!CS$8*CS$9,0)</f>
        <v/>
      </c>
      <c r="CT19" s="18">
        <f>IF(95&gt;=DeliverStart,UtilReimbPerUnitMo*'LeaseUp'!CT$8*CT$9,0)</f>
        <v/>
      </c>
      <c r="CU19" s="18">
        <f>IF(96&gt;=DeliverStart,UtilReimbPerUnitMo*'LeaseUp'!CU$8*CU$9,0)</f>
        <v/>
      </c>
      <c r="CV19" s="18">
        <f>IF(97&gt;=DeliverStart,UtilReimbPerUnitMo*'LeaseUp'!CV$8*CV$9,0)</f>
        <v/>
      </c>
      <c r="CW19" s="18">
        <f>IF(98&gt;=DeliverStart,UtilReimbPerUnitMo*'LeaseUp'!CW$8*CW$9,0)</f>
        <v/>
      </c>
      <c r="CX19" s="18">
        <f>IF(99&gt;=DeliverStart,UtilReimbPerUnitMo*'LeaseUp'!CX$8*CX$9,0)</f>
        <v/>
      </c>
      <c r="CY19" s="18">
        <f>IF(100&gt;=DeliverStart,UtilReimbPerUnitMo*'LeaseUp'!CY$8*CY$9,0)</f>
        <v/>
      </c>
      <c r="CZ19" s="18">
        <f>IF(101&gt;=DeliverStart,UtilReimbPerUnitMo*'LeaseUp'!CZ$8*CZ$9,0)</f>
        <v/>
      </c>
      <c r="DA19" s="18">
        <f>IF(102&gt;=DeliverStart,UtilReimbPerUnitMo*'LeaseUp'!DA$8*DA$9,0)</f>
        <v/>
      </c>
      <c r="DB19" s="18">
        <f>IF(103&gt;=DeliverStart,UtilReimbPerUnitMo*'LeaseUp'!DB$8*DB$9,0)</f>
        <v/>
      </c>
      <c r="DC19" s="18">
        <f>IF(104&gt;=DeliverStart,UtilReimbPerUnitMo*'LeaseUp'!DC$8*DC$9,0)</f>
        <v/>
      </c>
      <c r="DD19" s="18">
        <f>IF(105&gt;=DeliverStart,UtilReimbPerUnitMo*'LeaseUp'!DD$8*DD$9,0)</f>
        <v/>
      </c>
      <c r="DE19" s="18">
        <f>IF(106&gt;=DeliverStart,UtilReimbPerUnitMo*'LeaseUp'!DE$8*DE$9,0)</f>
        <v/>
      </c>
      <c r="DF19" s="18">
        <f>IF(107&gt;=DeliverStart,UtilReimbPerUnitMo*'LeaseUp'!DF$8*DF$9,0)</f>
        <v/>
      </c>
      <c r="DG19" s="18">
        <f>IF(108&gt;=DeliverStart,UtilReimbPerUnitMo*'LeaseUp'!DG$8*DG$9,0)</f>
        <v/>
      </c>
      <c r="DH19" s="18">
        <f>IF(109&gt;=DeliverStart,UtilReimbPerUnitMo*'LeaseUp'!DH$8*DH$9,0)</f>
        <v/>
      </c>
      <c r="DI19" s="18">
        <f>IF(110&gt;=DeliverStart,UtilReimbPerUnitMo*'LeaseUp'!DI$8*DI$9,0)</f>
        <v/>
      </c>
      <c r="DJ19" s="18">
        <f>IF(111&gt;=DeliverStart,UtilReimbPerUnitMo*'LeaseUp'!DJ$8*DJ$9,0)</f>
        <v/>
      </c>
      <c r="DK19" s="18">
        <f>IF(112&gt;=DeliverStart,UtilReimbPerUnitMo*'LeaseUp'!DK$8*DK$9,0)</f>
        <v/>
      </c>
      <c r="DL19" s="18">
        <f>IF(113&gt;=DeliverStart,UtilReimbPerUnitMo*'LeaseUp'!DL$8*DL$9,0)</f>
        <v/>
      </c>
      <c r="DM19" s="18">
        <f>IF(114&gt;=DeliverStart,UtilReimbPerUnitMo*'LeaseUp'!DM$8*DM$9,0)</f>
        <v/>
      </c>
      <c r="DN19" s="18">
        <f>IF(115&gt;=DeliverStart,UtilReimbPerUnitMo*'LeaseUp'!DN$8*DN$9,0)</f>
        <v/>
      </c>
      <c r="DO19" s="18">
        <f>IF(116&gt;=DeliverStart,UtilReimbPerUnitMo*'LeaseUp'!DO$8*DO$9,0)</f>
        <v/>
      </c>
      <c r="DP19" s="18">
        <f>IF(117&gt;=DeliverStart,UtilReimbPerUnitMo*'LeaseUp'!DP$8*DP$9,0)</f>
        <v/>
      </c>
      <c r="DQ19" s="18">
        <f>IF(118&gt;=DeliverStart,UtilReimbPerUnitMo*'LeaseUp'!DQ$8*DQ$9,0)</f>
        <v/>
      </c>
      <c r="DR19" s="18">
        <f>IF(119&gt;=DeliverStart,UtilReimbPerUnitMo*'LeaseUp'!DR$8*DR$9,0)</f>
        <v/>
      </c>
      <c r="DS19" s="18">
        <f>IF(120&gt;=DeliverStart,UtilReimbPerUnitMo*'LeaseUp'!DS$8*DS$9,0)</f>
        <v/>
      </c>
      <c r="DT19" s="18">
        <f>IF(121&gt;=DeliverStart,UtilReimbPerUnitMo*'LeaseUp'!DT$8*DT$9,0)</f>
        <v/>
      </c>
      <c r="DU19" s="18">
        <f>IF(122&gt;=DeliverStart,UtilReimbPerUnitMo*'LeaseUp'!DU$8*DU$9,0)</f>
        <v/>
      </c>
      <c r="DV19" s="18">
        <f>IF(123&gt;=DeliverStart,UtilReimbPerUnitMo*'LeaseUp'!DV$8*DV$9,0)</f>
        <v/>
      </c>
      <c r="DW19" s="18">
        <f>IF(124&gt;=DeliverStart,UtilReimbPerUnitMo*'LeaseUp'!DW$8*DW$9,0)</f>
        <v/>
      </c>
      <c r="DX19" s="18">
        <f>IF(125&gt;=DeliverStart,UtilReimbPerUnitMo*'LeaseUp'!DX$8*DX$9,0)</f>
        <v/>
      </c>
      <c r="DY19" s="18">
        <f>IF(126&gt;=DeliverStart,UtilReimbPerUnitMo*'LeaseUp'!DY$8*DY$9,0)</f>
        <v/>
      </c>
      <c r="DZ19" s="18">
        <f>IF(127&gt;=DeliverStart,UtilReimbPerUnitMo*'LeaseUp'!DZ$8*DZ$9,0)</f>
        <v/>
      </c>
      <c r="EA19" s="18">
        <f>IF(128&gt;=DeliverStart,UtilReimbPerUnitMo*'LeaseUp'!EA$8*EA$9,0)</f>
        <v/>
      </c>
      <c r="EB19" s="18">
        <f>IF(129&gt;=DeliverStart,UtilReimbPerUnitMo*'LeaseUp'!EB$8*EB$9,0)</f>
        <v/>
      </c>
      <c r="EC19" s="18">
        <f>IF(130&gt;=DeliverStart,UtilReimbPerUnitMo*'LeaseUp'!EC$8*EC$9,0)</f>
        <v/>
      </c>
      <c r="ED19" s="18">
        <f>IF(131&gt;=DeliverStart,UtilReimbPerUnitMo*'LeaseUp'!ED$8*ED$9,0)</f>
        <v/>
      </c>
      <c r="EE19" s="18">
        <f>IF(132&gt;=DeliverStart,UtilReimbPerUnitMo*'LeaseUp'!EE$8*EE$9,0)</f>
        <v/>
      </c>
      <c r="EF19" s="18">
        <f>IF(133&gt;=DeliverStart,UtilReimbPerUnitMo*'LeaseUp'!EF$8*EF$9,0)</f>
        <v/>
      </c>
      <c r="EG19" s="18">
        <f>IF(134&gt;=DeliverStart,UtilReimbPerUnitMo*'LeaseUp'!EG$8*EG$9,0)</f>
        <v/>
      </c>
      <c r="EH19" s="18">
        <f>IF(135&gt;=DeliverStart,UtilReimbPerUnitMo*'LeaseUp'!EH$8*EH$9,0)</f>
        <v/>
      </c>
      <c r="EI19" s="18">
        <f>IF(136&gt;=DeliverStart,UtilReimbPerUnitMo*'LeaseUp'!EI$8*EI$9,0)</f>
        <v/>
      </c>
      <c r="EJ19" s="18">
        <f>IF(137&gt;=DeliverStart,UtilReimbPerUnitMo*'LeaseUp'!EJ$8*EJ$9,0)</f>
        <v/>
      </c>
      <c r="EK19" s="18">
        <f>IF(138&gt;=DeliverStart,UtilReimbPerUnitMo*'LeaseUp'!EK$8*EK$9,0)</f>
        <v/>
      </c>
      <c r="EL19" s="18">
        <f>IF(139&gt;=DeliverStart,UtilReimbPerUnitMo*'LeaseUp'!EL$8*EL$9,0)</f>
        <v/>
      </c>
      <c r="EM19" s="18">
        <f>IF(140&gt;=DeliverStart,UtilReimbPerUnitMo*'LeaseUp'!EM$8*EM$9,0)</f>
        <v/>
      </c>
      <c r="EN19" s="18">
        <f>IF(141&gt;=DeliverStart,UtilReimbPerUnitMo*'LeaseUp'!EN$8*EN$9,0)</f>
        <v/>
      </c>
      <c r="EO19" s="18">
        <f>IF(142&gt;=DeliverStart,UtilReimbPerUnitMo*'LeaseUp'!EO$8*EO$9,0)</f>
        <v/>
      </c>
      <c r="EP19" s="18">
        <f>IF(143&gt;=DeliverStart,UtilReimbPerUnitMo*'LeaseUp'!EP$8*EP$9,0)</f>
        <v/>
      </c>
      <c r="EQ19" s="18">
        <f>IF(144&gt;=DeliverStart,UtilReimbPerUnitMo*'LeaseUp'!EQ$8*EQ$9,0)</f>
        <v/>
      </c>
      <c r="ER19" s="18">
        <f>IF(145&gt;=DeliverStart,UtilReimbPerUnitMo*'LeaseUp'!ER$8*ER$9,0)</f>
        <v/>
      </c>
      <c r="ES19" s="18">
        <f>IF(146&gt;=DeliverStart,UtilReimbPerUnitMo*'LeaseUp'!ES$8*ES$9,0)</f>
        <v/>
      </c>
      <c r="ET19" s="18">
        <f>IF(147&gt;=DeliverStart,UtilReimbPerUnitMo*'LeaseUp'!ET$8*ET$9,0)</f>
        <v/>
      </c>
      <c r="EU19" s="18">
        <f>IF(148&gt;=DeliverStart,UtilReimbPerUnitMo*'LeaseUp'!EU$8*EU$9,0)</f>
        <v/>
      </c>
      <c r="EV19" s="18">
        <f>IF(149&gt;=DeliverStart,UtilReimbPerUnitMo*'LeaseUp'!EV$8*EV$9,0)</f>
        <v/>
      </c>
      <c r="EW19" s="18">
        <f>IF(150&gt;=DeliverStart,UtilReimbPerUnitMo*'LeaseUp'!EW$8*EW$9,0)</f>
        <v/>
      </c>
      <c r="EX19" s="18">
        <f>IF(151&gt;=DeliverStart,UtilReimbPerUnitMo*'LeaseUp'!EX$8*EX$9,0)</f>
        <v/>
      </c>
      <c r="EY19" s="18">
        <f>IF(152&gt;=DeliverStart,UtilReimbPerUnitMo*'LeaseUp'!EY$8*EY$9,0)</f>
        <v/>
      </c>
      <c r="EZ19" s="18">
        <f>IF(153&gt;=DeliverStart,UtilReimbPerUnitMo*'LeaseUp'!EZ$8*EZ$9,0)</f>
        <v/>
      </c>
      <c r="FA19" s="18">
        <f>IF(154&gt;=DeliverStart,UtilReimbPerUnitMo*'LeaseUp'!FA$8*FA$9,0)</f>
        <v/>
      </c>
      <c r="FB19" s="18">
        <f>IF(155&gt;=DeliverStart,UtilReimbPerUnitMo*'LeaseUp'!FB$8*FB$9,0)</f>
        <v/>
      </c>
      <c r="FC19" s="18">
        <f>IF(156&gt;=DeliverStart,UtilReimbPerUnitMo*'LeaseUp'!FC$8*FC$9,0)</f>
        <v/>
      </c>
      <c r="FD19" s="18">
        <f>IF(157&gt;=DeliverStart,UtilReimbPerUnitMo*'LeaseUp'!FD$8*FD$9,0)</f>
        <v/>
      </c>
      <c r="FE19" s="18">
        <f>IF(158&gt;=DeliverStart,UtilReimbPerUnitMo*'LeaseUp'!FE$8*FE$9,0)</f>
        <v/>
      </c>
      <c r="FF19" s="18">
        <f>IF(159&gt;=DeliverStart,UtilReimbPerUnitMo*'LeaseUp'!FF$8*FF$9,0)</f>
        <v/>
      </c>
      <c r="FG19" s="18">
        <f>IF(160&gt;=DeliverStart,UtilReimbPerUnitMo*'LeaseUp'!FG$8*FG$9,0)</f>
        <v/>
      </c>
      <c r="FH19" s="18">
        <f>IF(161&gt;=DeliverStart,UtilReimbPerUnitMo*'LeaseUp'!FH$8*FH$9,0)</f>
        <v/>
      </c>
      <c r="FI19" s="18">
        <f>IF(162&gt;=DeliverStart,UtilReimbPerUnitMo*'LeaseUp'!FI$8*FI$9,0)</f>
        <v/>
      </c>
      <c r="FJ19" s="18">
        <f>IF(163&gt;=DeliverStart,UtilReimbPerUnitMo*'LeaseUp'!FJ$8*FJ$9,0)</f>
        <v/>
      </c>
      <c r="FK19" s="18">
        <f>IF(164&gt;=DeliverStart,UtilReimbPerUnitMo*'LeaseUp'!FK$8*FK$9,0)</f>
        <v/>
      </c>
      <c r="FL19" s="18">
        <f>IF(165&gt;=DeliverStart,UtilReimbPerUnitMo*'LeaseUp'!FL$8*FL$9,0)</f>
        <v/>
      </c>
      <c r="FM19" s="18">
        <f>IF(166&gt;=DeliverStart,UtilReimbPerUnitMo*'LeaseUp'!FM$8*FM$9,0)</f>
        <v/>
      </c>
      <c r="FN19" s="18">
        <f>IF(167&gt;=DeliverStart,UtilReimbPerUnitMo*'LeaseUp'!FN$8*FN$9,0)</f>
        <v/>
      </c>
      <c r="FO19" s="18">
        <f>IF(168&gt;=DeliverStart,UtilReimbPerUnitMo*'LeaseUp'!FO$8*FO$9,0)</f>
        <v/>
      </c>
      <c r="FP19" s="18">
        <f>IF(169&gt;=DeliverStart,UtilReimbPerUnitMo*'LeaseUp'!FP$8*FP$9,0)</f>
        <v/>
      </c>
      <c r="FQ19" s="18">
        <f>IF(170&gt;=DeliverStart,UtilReimbPerUnitMo*'LeaseUp'!FQ$8*FQ$9,0)</f>
        <v/>
      </c>
      <c r="FR19" s="18">
        <f>IF(171&gt;=DeliverStart,UtilReimbPerUnitMo*'LeaseUp'!FR$8*FR$9,0)</f>
        <v/>
      </c>
      <c r="FS19" s="18">
        <f>IF(172&gt;=DeliverStart,UtilReimbPerUnitMo*'LeaseUp'!FS$8*FS$9,0)</f>
        <v/>
      </c>
      <c r="FT19" s="18">
        <f>IF(173&gt;=DeliverStart,UtilReimbPerUnitMo*'LeaseUp'!FT$8*FT$9,0)</f>
        <v/>
      </c>
      <c r="FU19" s="18">
        <f>IF(174&gt;=DeliverStart,UtilReimbPerUnitMo*'LeaseUp'!FU$8*FU$9,0)</f>
        <v/>
      </c>
      <c r="FV19" s="18">
        <f>IF(175&gt;=DeliverStart,UtilReimbPerUnitMo*'LeaseUp'!FV$8*FV$9,0)</f>
        <v/>
      </c>
      <c r="FW19" s="18">
        <f>IF(176&gt;=DeliverStart,UtilReimbPerUnitMo*'LeaseUp'!FW$8*FW$9,0)</f>
        <v/>
      </c>
      <c r="FX19" s="18">
        <f>IF(177&gt;=DeliverStart,UtilReimbPerUnitMo*'LeaseUp'!FX$8*FX$9,0)</f>
        <v/>
      </c>
      <c r="FY19" s="18">
        <f>IF(178&gt;=DeliverStart,UtilReimbPerUnitMo*'LeaseUp'!FY$8*FY$9,0)</f>
        <v/>
      </c>
      <c r="FZ19" s="18">
        <f>IF(179&gt;=DeliverStart,UtilReimbPerUnitMo*'LeaseUp'!FZ$8*FZ$9,0)</f>
        <v/>
      </c>
      <c r="GA19" s="18">
        <f>IF(180&gt;=DeliverStart,UtilReimbPerUnitMo*'LeaseUp'!GA$8*GA$9,0)</f>
        <v/>
      </c>
      <c r="GB19" s="18">
        <f>IF(181&gt;=DeliverStart,UtilReimbPerUnitMo*'LeaseUp'!GB$8*GB$9,0)</f>
        <v/>
      </c>
      <c r="GC19" s="18">
        <f>IF(182&gt;=DeliverStart,UtilReimbPerUnitMo*'LeaseUp'!GC$8*GC$9,0)</f>
        <v/>
      </c>
      <c r="GD19" s="18">
        <f>IF(183&gt;=DeliverStart,UtilReimbPerUnitMo*'LeaseUp'!GD$8*GD$9,0)</f>
        <v/>
      </c>
      <c r="GE19" s="18">
        <f>IF(184&gt;=DeliverStart,UtilReimbPerUnitMo*'LeaseUp'!GE$8*GE$9,0)</f>
        <v/>
      </c>
      <c r="GF19" s="18">
        <f>IF(185&gt;=DeliverStart,UtilReimbPerUnitMo*'LeaseUp'!GF$8*GF$9,0)</f>
        <v/>
      </c>
      <c r="GG19" s="18">
        <f>IF(186&gt;=DeliverStart,UtilReimbPerUnitMo*'LeaseUp'!GG$8*GG$9,0)</f>
        <v/>
      </c>
      <c r="GH19" s="18">
        <f>IF(187&gt;=DeliverStart,UtilReimbPerUnitMo*'LeaseUp'!GH$8*GH$9,0)</f>
        <v/>
      </c>
      <c r="GI19" s="18">
        <f>IF(188&gt;=DeliverStart,UtilReimbPerUnitMo*'LeaseUp'!GI$8*GI$9,0)</f>
        <v/>
      </c>
      <c r="GJ19" s="18">
        <f>IF(189&gt;=DeliverStart,UtilReimbPerUnitMo*'LeaseUp'!GJ$8*GJ$9,0)</f>
        <v/>
      </c>
      <c r="GK19" s="18">
        <f>IF(190&gt;=DeliverStart,UtilReimbPerUnitMo*'LeaseUp'!GK$8*GK$9,0)</f>
        <v/>
      </c>
      <c r="GL19" s="18">
        <f>IF(191&gt;=DeliverStart,UtilReimbPerUnitMo*'LeaseUp'!GL$8*GL$9,0)</f>
        <v/>
      </c>
      <c r="GM19" s="18">
        <f>IF(192&gt;=DeliverStart,UtilReimbPerUnitMo*'LeaseUp'!GM$8*GM$9,0)</f>
        <v/>
      </c>
      <c r="GN19" s="18">
        <f>IF(193&gt;=DeliverStart,UtilReimbPerUnitMo*'LeaseUp'!GN$8*GN$9,0)</f>
        <v/>
      </c>
      <c r="GO19" s="18">
        <f>IF(194&gt;=DeliverStart,UtilReimbPerUnitMo*'LeaseUp'!GO$8*GO$9,0)</f>
        <v/>
      </c>
      <c r="GP19" s="18">
        <f>IF(195&gt;=DeliverStart,UtilReimbPerUnitMo*'LeaseUp'!GP$8*GP$9,0)</f>
        <v/>
      </c>
      <c r="GQ19" s="18">
        <f>IF(196&gt;=DeliverStart,UtilReimbPerUnitMo*'LeaseUp'!GQ$8*GQ$9,0)</f>
        <v/>
      </c>
      <c r="GR19" s="18">
        <f>IF(197&gt;=DeliverStart,UtilReimbPerUnitMo*'LeaseUp'!GR$8*GR$9,0)</f>
        <v/>
      </c>
      <c r="GS19" s="18">
        <f>IF(198&gt;=DeliverStart,UtilReimbPerUnitMo*'LeaseUp'!GS$8*GS$9,0)</f>
        <v/>
      </c>
      <c r="GT19" s="18">
        <f>IF(199&gt;=DeliverStart,UtilReimbPerUnitMo*'LeaseUp'!GT$8*GT$9,0)</f>
        <v/>
      </c>
      <c r="GU19" s="18">
        <f>IF(200&gt;=DeliverStart,UtilReimbPerUnitMo*'LeaseUp'!GU$8*GU$9,0)</f>
        <v/>
      </c>
      <c r="GV19" s="18">
        <f>IF(201&gt;=DeliverStart,UtilReimbPerUnitMo*'LeaseUp'!GV$8*GV$9,0)</f>
        <v/>
      </c>
      <c r="GW19" s="18">
        <f>IF(202&gt;=DeliverStart,UtilReimbPerUnitMo*'LeaseUp'!GW$8*GW$9,0)</f>
        <v/>
      </c>
      <c r="GX19" s="18">
        <f>IF(203&gt;=DeliverStart,UtilReimbPerUnitMo*'LeaseUp'!GX$8*GX$9,0)</f>
        <v/>
      </c>
      <c r="GY19" s="18">
        <f>IF(204&gt;=DeliverStart,UtilReimbPerUnitMo*'LeaseUp'!GY$8*GY$9,0)</f>
        <v/>
      </c>
      <c r="GZ19" s="18">
        <f>IF(205&gt;=DeliverStart,UtilReimbPerUnitMo*'LeaseUp'!GZ$8*GZ$9,0)</f>
        <v/>
      </c>
      <c r="HA19" s="18">
        <f>IF(206&gt;=DeliverStart,UtilReimbPerUnitMo*'LeaseUp'!HA$8*HA$9,0)</f>
        <v/>
      </c>
      <c r="HB19" s="18">
        <f>IF(207&gt;=DeliverStart,UtilReimbPerUnitMo*'LeaseUp'!HB$8*HB$9,0)</f>
        <v/>
      </c>
      <c r="HC19" s="18">
        <f>IF(208&gt;=DeliverStart,UtilReimbPerUnitMo*'LeaseUp'!HC$8*HC$9,0)</f>
        <v/>
      </c>
      <c r="HD19" s="18">
        <f>IF(209&gt;=DeliverStart,UtilReimbPerUnitMo*'LeaseUp'!HD$8*HD$9,0)</f>
        <v/>
      </c>
      <c r="HE19" s="18">
        <f>IF(210&gt;=DeliverStart,UtilReimbPerUnitMo*'LeaseUp'!HE$8*HE$9,0)</f>
        <v/>
      </c>
      <c r="HF19" s="18">
        <f>IF(211&gt;=DeliverStart,UtilReimbPerUnitMo*'LeaseUp'!HF$8*HF$9,0)</f>
        <v/>
      </c>
      <c r="HG19" s="18">
        <f>IF(212&gt;=DeliverStart,UtilReimbPerUnitMo*'LeaseUp'!HG$8*HG$9,0)</f>
        <v/>
      </c>
      <c r="HH19" s="18">
        <f>IF(213&gt;=DeliverStart,UtilReimbPerUnitMo*'LeaseUp'!HH$8*HH$9,0)</f>
        <v/>
      </c>
      <c r="HI19" s="18">
        <f>IF(214&gt;=DeliverStart,UtilReimbPerUnitMo*'LeaseUp'!HI$8*HI$9,0)</f>
        <v/>
      </c>
      <c r="HJ19" s="18">
        <f>IF(215&gt;=DeliverStart,UtilReimbPerUnitMo*'LeaseUp'!HJ$8*HJ$9,0)</f>
        <v/>
      </c>
      <c r="HK19" s="18">
        <f>IF(216&gt;=DeliverStart,UtilReimbPerUnitMo*'LeaseUp'!HK$8*HK$9,0)</f>
        <v/>
      </c>
      <c r="HL19" s="18">
        <f>IF(217&gt;=DeliverStart,UtilReimbPerUnitMo*'LeaseUp'!HL$8*HL$9,0)</f>
        <v/>
      </c>
      <c r="HM19" s="18">
        <f>IF(218&gt;=DeliverStart,UtilReimbPerUnitMo*'LeaseUp'!HM$8*HM$9,0)</f>
        <v/>
      </c>
      <c r="HN19" s="18">
        <f>IF(219&gt;=DeliverStart,UtilReimbPerUnitMo*'LeaseUp'!HN$8*HN$9,0)</f>
        <v/>
      </c>
      <c r="HO19" s="18">
        <f>IF(220&gt;=DeliverStart,UtilReimbPerUnitMo*'LeaseUp'!HO$8*HO$9,0)</f>
        <v/>
      </c>
      <c r="HP19" s="18">
        <f>IF(221&gt;=DeliverStart,UtilReimbPerUnitMo*'LeaseUp'!HP$8*HP$9,0)</f>
        <v/>
      </c>
      <c r="HQ19" s="18">
        <f>IF(222&gt;=DeliverStart,UtilReimbPerUnitMo*'LeaseUp'!HQ$8*HQ$9,0)</f>
        <v/>
      </c>
      <c r="HR19" s="18">
        <f>IF(223&gt;=DeliverStart,UtilReimbPerUnitMo*'LeaseUp'!HR$8*HR$9,0)</f>
        <v/>
      </c>
      <c r="HS19" s="18">
        <f>IF(224&gt;=DeliverStart,UtilReimbPerUnitMo*'LeaseUp'!HS$8*HS$9,0)</f>
        <v/>
      </c>
      <c r="HT19" s="18">
        <f>IF(225&gt;=DeliverStart,UtilReimbPerUnitMo*'LeaseUp'!HT$8*HT$9,0)</f>
        <v/>
      </c>
      <c r="HU19" s="18">
        <f>IF(226&gt;=DeliverStart,UtilReimbPerUnitMo*'LeaseUp'!HU$8*HU$9,0)</f>
        <v/>
      </c>
      <c r="HV19" s="18">
        <f>IF(227&gt;=DeliverStart,UtilReimbPerUnitMo*'LeaseUp'!HV$8*HV$9,0)</f>
        <v/>
      </c>
      <c r="HW19" s="18">
        <f>IF(228&gt;=DeliverStart,UtilReimbPerUnitMo*'LeaseUp'!HW$8*HW$9,0)</f>
        <v/>
      </c>
      <c r="HX19" s="18">
        <f>IF(229&gt;=DeliverStart,UtilReimbPerUnitMo*'LeaseUp'!HX$8*HX$9,0)</f>
        <v/>
      </c>
      <c r="HY19" s="18">
        <f>IF(230&gt;=DeliverStart,UtilReimbPerUnitMo*'LeaseUp'!HY$8*HY$9,0)</f>
        <v/>
      </c>
      <c r="HZ19" s="18">
        <f>IF(231&gt;=DeliverStart,UtilReimbPerUnitMo*'LeaseUp'!HZ$8*HZ$9,0)</f>
        <v/>
      </c>
      <c r="IA19" s="18">
        <f>IF(232&gt;=DeliverStart,UtilReimbPerUnitMo*'LeaseUp'!IA$8*IA$9,0)</f>
        <v/>
      </c>
      <c r="IB19" s="18">
        <f>IF(233&gt;=DeliverStart,UtilReimbPerUnitMo*'LeaseUp'!IB$8*IB$9,0)</f>
        <v/>
      </c>
      <c r="IC19" s="18">
        <f>IF(234&gt;=DeliverStart,UtilReimbPerUnitMo*'LeaseUp'!IC$8*IC$9,0)</f>
        <v/>
      </c>
      <c r="ID19" s="18">
        <f>IF(235&gt;=DeliverStart,UtilReimbPerUnitMo*'LeaseUp'!ID$8*ID$9,0)</f>
        <v/>
      </c>
      <c r="IE19" s="18">
        <f>IF(236&gt;=DeliverStart,UtilReimbPerUnitMo*'LeaseUp'!IE$8*IE$9,0)</f>
        <v/>
      </c>
      <c r="IF19" s="18">
        <f>IF(237&gt;=DeliverStart,UtilReimbPerUnitMo*'LeaseUp'!IF$8*IF$9,0)</f>
        <v/>
      </c>
      <c r="IG19" s="18">
        <f>IF(238&gt;=DeliverStart,UtilReimbPerUnitMo*'LeaseUp'!IG$8*IG$9,0)</f>
        <v/>
      </c>
      <c r="IH19" s="18">
        <f>IF(239&gt;=DeliverStart,UtilReimbPerUnitMo*'LeaseUp'!IH$8*IH$9,0)</f>
        <v/>
      </c>
      <c r="II19" s="18">
        <f>IF(240&gt;=DeliverStart,UtilReimbPerUnitMo*'LeaseUp'!II$8*II$9,0)</f>
        <v/>
      </c>
      <c r="IJ19" s="18">
        <f>IF(241&gt;=DeliverStart,UtilReimbPerUnitMo*'LeaseUp'!IJ$8*IJ$9,0)</f>
        <v/>
      </c>
      <c r="IK19" s="18">
        <f>IF(242&gt;=DeliverStart,UtilReimbPerUnitMo*'LeaseUp'!IK$8*IK$9,0)</f>
        <v/>
      </c>
      <c r="IL19" s="18">
        <f>IF(243&gt;=DeliverStart,UtilReimbPerUnitMo*'LeaseUp'!IL$8*IL$9,0)</f>
        <v/>
      </c>
      <c r="IM19" s="18">
        <f>IF(244&gt;=DeliverStart,UtilReimbPerUnitMo*'LeaseUp'!IM$8*IM$9,0)</f>
        <v/>
      </c>
      <c r="IN19" s="18">
        <f>IF(245&gt;=DeliverStart,UtilReimbPerUnitMo*'LeaseUp'!IN$8*IN$9,0)</f>
        <v/>
      </c>
      <c r="IO19" s="18">
        <f>IF(246&gt;=DeliverStart,UtilReimbPerUnitMo*'LeaseUp'!IO$8*IO$9,0)</f>
        <v/>
      </c>
      <c r="IP19" s="18">
        <f>IF(247&gt;=DeliverStart,UtilReimbPerUnitMo*'LeaseUp'!IP$8*IP$9,0)</f>
        <v/>
      </c>
      <c r="IQ19" s="18">
        <f>IF(248&gt;=DeliverStart,UtilReimbPerUnitMo*'LeaseUp'!IQ$8*IQ$9,0)</f>
        <v/>
      </c>
      <c r="IR19" s="18">
        <f>IF(249&gt;=DeliverStart,UtilReimbPerUnitMo*'LeaseUp'!IR$8*IR$9,0)</f>
        <v/>
      </c>
      <c r="IS19" s="18">
        <f>IF(250&gt;=DeliverStart,UtilReimbPerUnitMo*'LeaseUp'!IS$8*IS$9,0)</f>
        <v/>
      </c>
      <c r="IT19" s="18">
        <f>IF(251&gt;=DeliverStart,UtilReimbPerUnitMo*'LeaseUp'!IT$8*IT$9,0)</f>
        <v/>
      </c>
      <c r="IU19" s="18">
        <f>IF(252&gt;=DeliverStart,UtilReimbPerUnitMo*'LeaseUp'!IU$8*IU$9,0)</f>
        <v/>
      </c>
      <c r="IV19" s="18">
        <f>IF(253&gt;=DeliverStart,UtilReimbPerUnitMo*'LeaseUp'!IV$8*IV$9,0)</f>
        <v/>
      </c>
      <c r="IW19" s="18">
        <f>IF(254&gt;=DeliverStart,UtilReimbPerUnitMo*'LeaseUp'!IW$8*IW$9,0)</f>
        <v/>
      </c>
      <c r="IX19" s="18">
        <f>IF(255&gt;=DeliverStart,UtilReimbPerUnitMo*'LeaseUp'!IX$8*IX$9,0)</f>
        <v/>
      </c>
      <c r="IY19" s="18">
        <f>IF(256&gt;=DeliverStart,UtilReimbPerUnitMo*'LeaseUp'!IY$8*IY$9,0)</f>
        <v/>
      </c>
      <c r="IZ19" s="18">
        <f>IF(257&gt;=DeliverStart,UtilReimbPerUnitMo*'LeaseUp'!IZ$8*IZ$9,0)</f>
        <v/>
      </c>
      <c r="JA19" s="18">
        <f>IF(258&gt;=DeliverStart,UtilReimbPerUnitMo*'LeaseUp'!JA$8*JA$9,0)</f>
        <v/>
      </c>
      <c r="JB19" s="18">
        <f>IF(259&gt;=DeliverStart,UtilReimbPerUnitMo*'LeaseUp'!JB$8*JB$9,0)</f>
        <v/>
      </c>
      <c r="JC19" s="18">
        <f>IF(260&gt;=DeliverStart,UtilReimbPerUnitMo*'LeaseUp'!JC$8*JC$9,0)</f>
        <v/>
      </c>
      <c r="JD19" s="18">
        <f>IF(261&gt;=DeliverStart,UtilReimbPerUnitMo*'LeaseUp'!JD$8*JD$9,0)</f>
        <v/>
      </c>
      <c r="JE19" s="18">
        <f>IF(262&gt;=DeliverStart,UtilReimbPerUnitMo*'LeaseUp'!JE$8*JE$9,0)</f>
        <v/>
      </c>
      <c r="JF19" s="18">
        <f>IF(263&gt;=DeliverStart,UtilReimbPerUnitMo*'LeaseUp'!JF$8*JF$9,0)</f>
        <v/>
      </c>
      <c r="JG19" s="18">
        <f>IF(264&gt;=DeliverStart,UtilReimbPerUnitMo*'LeaseUp'!JG$8*JG$9,0)</f>
        <v/>
      </c>
      <c r="JH19" s="18">
        <f>IF(265&gt;=DeliverStart,UtilReimbPerUnitMo*'LeaseUp'!JH$8*JH$9,0)</f>
        <v/>
      </c>
      <c r="JI19" s="18">
        <f>IF(266&gt;=DeliverStart,UtilReimbPerUnitMo*'LeaseUp'!JI$8*JI$9,0)</f>
        <v/>
      </c>
      <c r="JJ19" s="18">
        <f>IF(267&gt;=DeliverStart,UtilReimbPerUnitMo*'LeaseUp'!JJ$8*JJ$9,0)</f>
        <v/>
      </c>
      <c r="JK19" s="18">
        <f>IF(268&gt;=DeliverStart,UtilReimbPerUnitMo*'LeaseUp'!JK$8*JK$9,0)</f>
        <v/>
      </c>
      <c r="JL19" s="18">
        <f>IF(269&gt;=DeliverStart,UtilReimbPerUnitMo*'LeaseUp'!JL$8*JL$9,0)</f>
        <v/>
      </c>
      <c r="JM19" s="18">
        <f>IF(270&gt;=DeliverStart,UtilReimbPerUnitMo*'LeaseUp'!JM$8*JM$9,0)</f>
        <v/>
      </c>
      <c r="JN19" s="18">
        <f>IF(271&gt;=DeliverStart,UtilReimbPerUnitMo*'LeaseUp'!JN$8*JN$9,0)</f>
        <v/>
      </c>
      <c r="JO19" s="18">
        <f>IF(272&gt;=DeliverStart,UtilReimbPerUnitMo*'LeaseUp'!JO$8*JO$9,0)</f>
        <v/>
      </c>
      <c r="JP19" s="18">
        <f>IF(273&gt;=DeliverStart,UtilReimbPerUnitMo*'LeaseUp'!JP$8*JP$9,0)</f>
        <v/>
      </c>
      <c r="JQ19" s="18">
        <f>IF(274&gt;=DeliverStart,UtilReimbPerUnitMo*'LeaseUp'!JQ$8*JQ$9,0)</f>
        <v/>
      </c>
      <c r="JR19" s="18">
        <f>IF(275&gt;=DeliverStart,UtilReimbPerUnitMo*'LeaseUp'!JR$8*JR$9,0)</f>
        <v/>
      </c>
      <c r="JS19" s="18">
        <f>IF(276&gt;=DeliverStart,UtilReimbPerUnitMo*'LeaseUp'!JS$8*JS$9,0)</f>
        <v/>
      </c>
      <c r="JT19" s="18">
        <f>IF(277&gt;=DeliverStart,UtilReimbPerUnitMo*'LeaseUp'!JT$8*JT$9,0)</f>
        <v/>
      </c>
      <c r="JU19" s="18">
        <f>IF(278&gt;=DeliverStart,UtilReimbPerUnitMo*'LeaseUp'!JU$8*JU$9,0)</f>
        <v/>
      </c>
      <c r="JV19" s="18">
        <f>IF(279&gt;=DeliverStart,UtilReimbPerUnitMo*'LeaseUp'!JV$8*JV$9,0)</f>
        <v/>
      </c>
      <c r="JW19" s="18">
        <f>IF(280&gt;=DeliverStart,UtilReimbPerUnitMo*'LeaseUp'!JW$8*JW$9,0)</f>
        <v/>
      </c>
      <c r="JX19" s="18">
        <f>IF(281&gt;=DeliverStart,UtilReimbPerUnitMo*'LeaseUp'!JX$8*JX$9,0)</f>
        <v/>
      </c>
      <c r="JY19" s="18">
        <f>IF(282&gt;=DeliverStart,UtilReimbPerUnitMo*'LeaseUp'!JY$8*JY$9,0)</f>
        <v/>
      </c>
      <c r="JZ19" s="18">
        <f>IF(283&gt;=DeliverStart,UtilReimbPerUnitMo*'LeaseUp'!JZ$8*JZ$9,0)</f>
        <v/>
      </c>
      <c r="KA19" s="18">
        <f>IF(284&gt;=DeliverStart,UtilReimbPerUnitMo*'LeaseUp'!KA$8*KA$9,0)</f>
        <v/>
      </c>
      <c r="KB19" s="18">
        <f>IF(285&gt;=DeliverStart,UtilReimbPerUnitMo*'LeaseUp'!KB$8*KB$9,0)</f>
        <v/>
      </c>
      <c r="KC19" s="18">
        <f>IF(286&gt;=DeliverStart,UtilReimbPerUnitMo*'LeaseUp'!KC$8*KC$9,0)</f>
        <v/>
      </c>
      <c r="KD19" s="18">
        <f>IF(287&gt;=DeliverStart,UtilReimbPerUnitMo*'LeaseUp'!KD$8*KD$9,0)</f>
        <v/>
      </c>
      <c r="KE19" s="18">
        <f>IF(288&gt;=DeliverStart,UtilReimbPerUnitMo*'LeaseUp'!KE$8*KE$9,0)</f>
        <v/>
      </c>
      <c r="KF19" s="18">
        <f>IF(289&gt;=DeliverStart,UtilReimbPerUnitMo*'LeaseUp'!KF$8*KF$9,0)</f>
        <v/>
      </c>
      <c r="KG19" s="18">
        <f>IF(290&gt;=DeliverStart,UtilReimbPerUnitMo*'LeaseUp'!KG$8*KG$9,0)</f>
        <v/>
      </c>
      <c r="KH19" s="18">
        <f>IF(291&gt;=DeliverStart,UtilReimbPerUnitMo*'LeaseUp'!KH$8*KH$9,0)</f>
        <v/>
      </c>
      <c r="KI19" s="18">
        <f>IF(292&gt;=DeliverStart,UtilReimbPerUnitMo*'LeaseUp'!KI$8*KI$9,0)</f>
        <v/>
      </c>
      <c r="KJ19" s="18">
        <f>IF(293&gt;=DeliverStart,UtilReimbPerUnitMo*'LeaseUp'!KJ$8*KJ$9,0)</f>
        <v/>
      </c>
      <c r="KK19" s="18">
        <f>IF(294&gt;=DeliverStart,UtilReimbPerUnitMo*'LeaseUp'!KK$8*KK$9,0)</f>
        <v/>
      </c>
      <c r="KL19" s="18">
        <f>IF(295&gt;=DeliverStart,UtilReimbPerUnitMo*'LeaseUp'!KL$8*KL$9,0)</f>
        <v/>
      </c>
      <c r="KM19" s="18">
        <f>IF(296&gt;=DeliverStart,UtilReimbPerUnitMo*'LeaseUp'!KM$8*KM$9,0)</f>
        <v/>
      </c>
      <c r="KN19" s="18">
        <f>IF(297&gt;=DeliverStart,UtilReimbPerUnitMo*'LeaseUp'!KN$8*KN$9,0)</f>
        <v/>
      </c>
      <c r="KO19" s="18">
        <f>IF(298&gt;=DeliverStart,UtilReimbPerUnitMo*'LeaseUp'!KO$8*KO$9,0)</f>
        <v/>
      </c>
      <c r="KP19" s="18">
        <f>IF(299&gt;=DeliverStart,UtilReimbPerUnitMo*'LeaseUp'!KP$8*KP$9,0)</f>
        <v/>
      </c>
      <c r="KQ19" s="18">
        <f>IF(300&gt;=DeliverStart,UtilReimbPerUnitMo*'LeaseUp'!KQ$8*KQ$9,0)</f>
        <v/>
      </c>
      <c r="KR19" s="18">
        <f>IF(301&gt;=DeliverStart,UtilReimbPerUnitMo*'LeaseUp'!KR$8*KR$9,0)</f>
        <v/>
      </c>
      <c r="KS19" s="18">
        <f>IF(302&gt;=DeliverStart,UtilReimbPerUnitMo*'LeaseUp'!KS$8*KS$9,0)</f>
        <v/>
      </c>
      <c r="KT19" s="18">
        <f>IF(303&gt;=DeliverStart,UtilReimbPerUnitMo*'LeaseUp'!KT$8*KT$9,0)</f>
        <v/>
      </c>
      <c r="KU19" s="18">
        <f>IF(304&gt;=DeliverStart,UtilReimbPerUnitMo*'LeaseUp'!KU$8*KU$9,0)</f>
        <v/>
      </c>
      <c r="KV19" s="18">
        <f>IF(305&gt;=DeliverStart,UtilReimbPerUnitMo*'LeaseUp'!KV$8*KV$9,0)</f>
        <v/>
      </c>
      <c r="KW19" s="18">
        <f>IF(306&gt;=DeliverStart,UtilReimbPerUnitMo*'LeaseUp'!KW$8*KW$9,0)</f>
        <v/>
      </c>
      <c r="KX19" s="18">
        <f>IF(307&gt;=DeliverStart,UtilReimbPerUnitMo*'LeaseUp'!KX$8*KX$9,0)</f>
        <v/>
      </c>
      <c r="KY19" s="18">
        <f>IF(308&gt;=DeliverStart,UtilReimbPerUnitMo*'LeaseUp'!KY$8*KY$9,0)</f>
        <v/>
      </c>
      <c r="KZ19" s="18">
        <f>IF(309&gt;=DeliverStart,UtilReimbPerUnitMo*'LeaseUp'!KZ$8*KZ$9,0)</f>
        <v/>
      </c>
      <c r="LA19" s="18">
        <f>IF(310&gt;=DeliverStart,UtilReimbPerUnitMo*'LeaseUp'!LA$8*LA$9,0)</f>
        <v/>
      </c>
      <c r="LB19" s="18">
        <f>IF(311&gt;=DeliverStart,UtilReimbPerUnitMo*'LeaseUp'!LB$8*LB$9,0)</f>
        <v/>
      </c>
      <c r="LC19" s="18">
        <f>IF(312&gt;=DeliverStart,UtilReimbPerUnitMo*'LeaseUp'!LC$8*LC$9,0)</f>
        <v/>
      </c>
      <c r="LD19" s="18">
        <f>IF(313&gt;=DeliverStart,UtilReimbPerUnitMo*'LeaseUp'!LD$8*LD$9,0)</f>
        <v/>
      </c>
      <c r="LE19" s="18">
        <f>IF(314&gt;=DeliverStart,UtilReimbPerUnitMo*'LeaseUp'!LE$8*LE$9,0)</f>
        <v/>
      </c>
      <c r="LF19" s="18">
        <f>IF(315&gt;=DeliverStart,UtilReimbPerUnitMo*'LeaseUp'!LF$8*LF$9,0)</f>
        <v/>
      </c>
      <c r="LG19" s="18">
        <f>IF(316&gt;=DeliverStart,UtilReimbPerUnitMo*'LeaseUp'!LG$8*LG$9,0)</f>
        <v/>
      </c>
      <c r="LH19" s="18">
        <f>IF(317&gt;=DeliverStart,UtilReimbPerUnitMo*'LeaseUp'!LH$8*LH$9,0)</f>
        <v/>
      </c>
      <c r="LI19" s="18">
        <f>IF(318&gt;=DeliverStart,UtilReimbPerUnitMo*'LeaseUp'!LI$8*LI$9,0)</f>
        <v/>
      </c>
      <c r="LJ19" s="18">
        <f>IF(319&gt;=DeliverStart,UtilReimbPerUnitMo*'LeaseUp'!LJ$8*LJ$9,0)</f>
        <v/>
      </c>
      <c r="LK19" s="18">
        <f>IF(320&gt;=DeliverStart,UtilReimbPerUnitMo*'LeaseUp'!LK$8*LK$9,0)</f>
        <v/>
      </c>
      <c r="LL19" s="18">
        <f>IF(321&gt;=DeliverStart,UtilReimbPerUnitMo*'LeaseUp'!LL$8*LL$9,0)</f>
        <v/>
      </c>
      <c r="LM19" s="18">
        <f>IF(322&gt;=DeliverStart,UtilReimbPerUnitMo*'LeaseUp'!LM$8*LM$9,0)</f>
        <v/>
      </c>
      <c r="LN19" s="18">
        <f>IF(323&gt;=DeliverStart,UtilReimbPerUnitMo*'LeaseUp'!LN$8*LN$9,0)</f>
        <v/>
      </c>
      <c r="LO19" s="18">
        <f>IF(324&gt;=DeliverStart,UtilReimbPerUnitMo*'LeaseUp'!LO$8*LO$9,0)</f>
        <v/>
      </c>
      <c r="LP19" s="18">
        <f>IF(325&gt;=DeliverStart,UtilReimbPerUnitMo*'LeaseUp'!LP$8*LP$9,0)</f>
        <v/>
      </c>
      <c r="LQ19" s="18">
        <f>IF(326&gt;=DeliverStart,UtilReimbPerUnitMo*'LeaseUp'!LQ$8*LQ$9,0)</f>
        <v/>
      </c>
      <c r="LR19" s="18">
        <f>IF(327&gt;=DeliverStart,UtilReimbPerUnitMo*'LeaseUp'!LR$8*LR$9,0)</f>
        <v/>
      </c>
      <c r="LS19" s="18">
        <f>IF(328&gt;=DeliverStart,UtilReimbPerUnitMo*'LeaseUp'!LS$8*LS$9,0)</f>
        <v/>
      </c>
      <c r="LT19" s="18">
        <f>IF(329&gt;=DeliverStart,UtilReimbPerUnitMo*'LeaseUp'!LT$8*LT$9,0)</f>
        <v/>
      </c>
      <c r="LU19" s="18">
        <f>IF(330&gt;=DeliverStart,UtilReimbPerUnitMo*'LeaseUp'!LU$8*LU$9,0)</f>
        <v/>
      </c>
      <c r="LV19" s="18">
        <f>IF(331&gt;=DeliverStart,UtilReimbPerUnitMo*'LeaseUp'!LV$8*LV$9,0)</f>
        <v/>
      </c>
      <c r="LW19" s="18">
        <f>IF(332&gt;=DeliverStart,UtilReimbPerUnitMo*'LeaseUp'!LW$8*LW$9,0)</f>
        <v/>
      </c>
      <c r="LX19" s="18">
        <f>IF(333&gt;=DeliverStart,UtilReimbPerUnitMo*'LeaseUp'!LX$8*LX$9,0)</f>
        <v/>
      </c>
      <c r="LY19" s="18">
        <f>IF(334&gt;=DeliverStart,UtilReimbPerUnitMo*'LeaseUp'!LY$8*LY$9,0)</f>
        <v/>
      </c>
      <c r="LZ19" s="18">
        <f>IF(335&gt;=DeliverStart,UtilReimbPerUnitMo*'LeaseUp'!LZ$8*LZ$9,0)</f>
        <v/>
      </c>
      <c r="MA19" s="18">
        <f>IF(336&gt;=DeliverStart,UtilReimbPerUnitMo*'LeaseUp'!MA$8*MA$9,0)</f>
        <v/>
      </c>
      <c r="MB19" s="18">
        <f>IF(337&gt;=DeliverStart,UtilReimbPerUnitMo*'LeaseUp'!MB$8*MB$9,0)</f>
        <v/>
      </c>
      <c r="MC19" s="18">
        <f>IF(338&gt;=DeliverStart,UtilReimbPerUnitMo*'LeaseUp'!MC$8*MC$9,0)</f>
        <v/>
      </c>
      <c r="MD19" s="18">
        <f>IF(339&gt;=DeliverStart,UtilReimbPerUnitMo*'LeaseUp'!MD$8*MD$9,0)</f>
        <v/>
      </c>
      <c r="ME19" s="18">
        <f>IF(340&gt;=DeliverStart,UtilReimbPerUnitMo*'LeaseUp'!ME$8*ME$9,0)</f>
        <v/>
      </c>
      <c r="MF19" s="18">
        <f>IF(341&gt;=DeliverStart,UtilReimbPerUnitMo*'LeaseUp'!MF$8*MF$9,0)</f>
        <v/>
      </c>
      <c r="MG19" s="18">
        <f>IF(342&gt;=DeliverStart,UtilReimbPerUnitMo*'LeaseUp'!MG$8*MG$9,0)</f>
        <v/>
      </c>
      <c r="MH19" s="18">
        <f>IF(343&gt;=DeliverStart,UtilReimbPerUnitMo*'LeaseUp'!MH$8*MH$9,0)</f>
        <v/>
      </c>
      <c r="MI19" s="18">
        <f>IF(344&gt;=DeliverStart,UtilReimbPerUnitMo*'LeaseUp'!MI$8*MI$9,0)</f>
        <v/>
      </c>
      <c r="MJ19" s="18">
        <f>IF(345&gt;=DeliverStart,UtilReimbPerUnitMo*'LeaseUp'!MJ$8*MJ$9,0)</f>
        <v/>
      </c>
      <c r="MK19" s="18">
        <f>IF(346&gt;=DeliverStart,UtilReimbPerUnitMo*'LeaseUp'!MK$8*MK$9,0)</f>
        <v/>
      </c>
      <c r="ML19" s="18">
        <f>IF(347&gt;=DeliverStart,UtilReimbPerUnitMo*'LeaseUp'!ML$8*ML$9,0)</f>
        <v/>
      </c>
      <c r="MM19" s="18">
        <f>IF(348&gt;=DeliverStart,UtilReimbPerUnitMo*'LeaseUp'!MM$8*MM$9,0)</f>
        <v/>
      </c>
      <c r="MN19" s="18">
        <f>IF(349&gt;=DeliverStart,UtilReimbPerUnitMo*'LeaseUp'!MN$8*MN$9,0)</f>
        <v/>
      </c>
      <c r="MO19" s="18">
        <f>IF(350&gt;=DeliverStart,UtilReimbPerUnitMo*'LeaseUp'!MO$8*MO$9,0)</f>
        <v/>
      </c>
      <c r="MP19" s="18">
        <f>IF(351&gt;=DeliverStart,UtilReimbPerUnitMo*'LeaseUp'!MP$8*MP$9,0)</f>
        <v/>
      </c>
      <c r="MQ19" s="18">
        <f>IF(352&gt;=DeliverStart,UtilReimbPerUnitMo*'LeaseUp'!MQ$8*MQ$9,0)</f>
        <v/>
      </c>
      <c r="MR19" s="18">
        <f>IF(353&gt;=DeliverStart,UtilReimbPerUnitMo*'LeaseUp'!MR$8*MR$9,0)</f>
        <v/>
      </c>
      <c r="MS19" s="18">
        <f>IF(354&gt;=DeliverStart,UtilReimbPerUnitMo*'LeaseUp'!MS$8*MS$9,0)</f>
        <v/>
      </c>
      <c r="MT19" s="18">
        <f>IF(355&gt;=DeliverStart,UtilReimbPerUnitMo*'LeaseUp'!MT$8*MT$9,0)</f>
        <v/>
      </c>
      <c r="MU19" s="18">
        <f>IF(356&gt;=DeliverStart,UtilReimbPerUnitMo*'LeaseUp'!MU$8*MU$9,0)</f>
        <v/>
      </c>
      <c r="MV19" s="18">
        <f>IF(357&gt;=DeliverStart,UtilReimbPerUnitMo*'LeaseUp'!MV$8*MV$9,0)</f>
        <v/>
      </c>
      <c r="MW19" s="18">
        <f>IF(358&gt;=DeliverStart,UtilReimbPerUnitMo*'LeaseUp'!MW$8*MW$9,0)</f>
        <v/>
      </c>
      <c r="MX19" s="18">
        <f>IF(359&gt;=DeliverStart,UtilReimbPerUnitMo*'LeaseUp'!MX$8*MX$9,0)</f>
        <v/>
      </c>
      <c r="MY19" s="18">
        <f>IF(360&gt;=DeliverStart,UtilReimbPerUnitMo*'LeaseUp'!MY$8*MY$9,0)</f>
        <v/>
      </c>
      <c r="MZ19" s="18">
        <f>IF(361&gt;=DeliverStart,UtilReimbPerUnitMo*'LeaseUp'!MZ$8*MZ$9,0)</f>
        <v/>
      </c>
      <c r="NA19" s="18">
        <f>IF(362&gt;=DeliverStart,UtilReimbPerUnitMo*'LeaseUp'!NA$8*NA$9,0)</f>
        <v/>
      </c>
      <c r="NB19" s="18">
        <f>IF(363&gt;=DeliverStart,UtilReimbPerUnitMo*'LeaseUp'!NB$8*NB$9,0)</f>
        <v/>
      </c>
      <c r="NC19" s="18">
        <f>IF(364&gt;=DeliverStart,UtilReimbPerUnitMo*'LeaseUp'!NC$8*NC$9,0)</f>
        <v/>
      </c>
      <c r="ND19" s="18">
        <f>IF(365&gt;=DeliverStart,UtilReimbPerUnitMo*'LeaseUp'!ND$8*ND$9,0)</f>
        <v/>
      </c>
      <c r="NE19" s="18">
        <f>IF(366&gt;=DeliverStart,UtilReimbPerUnitMo*'LeaseUp'!NE$8*NE$9,0)</f>
        <v/>
      </c>
      <c r="NF19" s="18">
        <f>IF(367&gt;=DeliverStart,UtilReimbPerUnitMo*'LeaseUp'!NF$8*NF$9,0)</f>
        <v/>
      </c>
      <c r="NG19" s="18">
        <f>IF(368&gt;=DeliverStart,UtilReimbPerUnitMo*'LeaseUp'!NG$8*NG$9,0)</f>
        <v/>
      </c>
      <c r="NH19" s="18">
        <f>IF(369&gt;=DeliverStart,UtilReimbPerUnitMo*'LeaseUp'!NH$8*NH$9,0)</f>
        <v/>
      </c>
      <c r="NI19" s="18">
        <f>IF(370&gt;=DeliverStart,UtilReimbPerUnitMo*'LeaseUp'!NI$8*NI$9,0)</f>
        <v/>
      </c>
      <c r="NJ19" s="18">
        <f>IF(371&gt;=DeliverStart,UtilReimbPerUnitMo*'LeaseUp'!NJ$8*NJ$9,0)</f>
        <v/>
      </c>
      <c r="NK19" s="18">
        <f>IF(372&gt;=DeliverStart,UtilReimbPerUnitMo*'LeaseUp'!NK$8*NK$9,0)</f>
        <v/>
      </c>
    </row>
    <row r="20">
      <c r="A20" s="5" t="inlineStr">
        <is>
          <t>Other Income</t>
        </is>
      </c>
      <c r="C20" s="41">
        <f>SUM(D20:NK20)</f>
        <v/>
      </c>
      <c r="D20" s="18">
        <f>IF(1&gt;=DeliverStart,OtherIncPerUnitMo*'LeaseUp'!D$8*D$9,0)</f>
        <v/>
      </c>
      <c r="E20" s="18">
        <f>IF(2&gt;=DeliverStart,OtherIncPerUnitMo*'LeaseUp'!E$8*E$9,0)</f>
        <v/>
      </c>
      <c r="F20" s="18">
        <f>IF(3&gt;=DeliverStart,OtherIncPerUnitMo*'LeaseUp'!F$8*F$9,0)</f>
        <v/>
      </c>
      <c r="G20" s="18">
        <f>IF(4&gt;=DeliverStart,OtherIncPerUnitMo*'LeaseUp'!G$8*G$9,0)</f>
        <v/>
      </c>
      <c r="H20" s="18">
        <f>IF(5&gt;=DeliverStart,OtherIncPerUnitMo*'LeaseUp'!H$8*H$9,0)</f>
        <v/>
      </c>
      <c r="I20" s="18">
        <f>IF(6&gt;=DeliverStart,OtherIncPerUnitMo*'LeaseUp'!I$8*I$9,0)</f>
        <v/>
      </c>
      <c r="J20" s="18">
        <f>IF(7&gt;=DeliverStart,OtherIncPerUnitMo*'LeaseUp'!J$8*J$9,0)</f>
        <v/>
      </c>
      <c r="K20" s="18">
        <f>IF(8&gt;=DeliverStart,OtherIncPerUnitMo*'LeaseUp'!K$8*K$9,0)</f>
        <v/>
      </c>
      <c r="L20" s="18">
        <f>IF(9&gt;=DeliverStart,OtherIncPerUnitMo*'LeaseUp'!L$8*L$9,0)</f>
        <v/>
      </c>
      <c r="M20" s="18">
        <f>IF(10&gt;=DeliverStart,OtherIncPerUnitMo*'LeaseUp'!M$8*M$9,0)</f>
        <v/>
      </c>
      <c r="N20" s="18">
        <f>IF(11&gt;=DeliverStart,OtherIncPerUnitMo*'LeaseUp'!N$8*N$9,0)</f>
        <v/>
      </c>
      <c r="O20" s="18">
        <f>IF(12&gt;=DeliverStart,OtherIncPerUnitMo*'LeaseUp'!O$8*O$9,0)</f>
        <v/>
      </c>
      <c r="P20" s="18">
        <f>IF(13&gt;=DeliverStart,OtherIncPerUnitMo*'LeaseUp'!P$8*P$9,0)</f>
        <v/>
      </c>
      <c r="Q20" s="18">
        <f>IF(14&gt;=DeliverStart,OtherIncPerUnitMo*'LeaseUp'!Q$8*Q$9,0)</f>
        <v/>
      </c>
      <c r="R20" s="18">
        <f>IF(15&gt;=DeliverStart,OtherIncPerUnitMo*'LeaseUp'!R$8*R$9,0)</f>
        <v/>
      </c>
      <c r="S20" s="18">
        <f>IF(16&gt;=DeliverStart,OtherIncPerUnitMo*'LeaseUp'!S$8*S$9,0)</f>
        <v/>
      </c>
      <c r="T20" s="18">
        <f>IF(17&gt;=DeliverStart,OtherIncPerUnitMo*'LeaseUp'!T$8*T$9,0)</f>
        <v/>
      </c>
      <c r="U20" s="18">
        <f>IF(18&gt;=DeliverStart,OtherIncPerUnitMo*'LeaseUp'!U$8*U$9,0)</f>
        <v/>
      </c>
      <c r="V20" s="18">
        <f>IF(19&gt;=DeliverStart,OtherIncPerUnitMo*'LeaseUp'!V$8*V$9,0)</f>
        <v/>
      </c>
      <c r="W20" s="18">
        <f>IF(20&gt;=DeliverStart,OtherIncPerUnitMo*'LeaseUp'!W$8*W$9,0)</f>
        <v/>
      </c>
      <c r="X20" s="18">
        <f>IF(21&gt;=DeliverStart,OtherIncPerUnitMo*'LeaseUp'!X$8*X$9,0)</f>
        <v/>
      </c>
      <c r="Y20" s="18">
        <f>IF(22&gt;=DeliverStart,OtherIncPerUnitMo*'LeaseUp'!Y$8*Y$9,0)</f>
        <v/>
      </c>
      <c r="Z20" s="18">
        <f>IF(23&gt;=DeliverStart,OtherIncPerUnitMo*'LeaseUp'!Z$8*Z$9,0)</f>
        <v/>
      </c>
      <c r="AA20" s="18">
        <f>IF(24&gt;=DeliverStart,OtherIncPerUnitMo*'LeaseUp'!AA$8*AA$9,0)</f>
        <v/>
      </c>
      <c r="AB20" s="18">
        <f>IF(25&gt;=DeliverStart,OtherIncPerUnitMo*'LeaseUp'!AB$8*AB$9,0)</f>
        <v/>
      </c>
      <c r="AC20" s="18">
        <f>IF(26&gt;=DeliverStart,OtherIncPerUnitMo*'LeaseUp'!AC$8*AC$9,0)</f>
        <v/>
      </c>
      <c r="AD20" s="18">
        <f>IF(27&gt;=DeliverStart,OtherIncPerUnitMo*'LeaseUp'!AD$8*AD$9,0)</f>
        <v/>
      </c>
      <c r="AE20" s="18">
        <f>IF(28&gt;=DeliverStart,OtherIncPerUnitMo*'LeaseUp'!AE$8*AE$9,0)</f>
        <v/>
      </c>
      <c r="AF20" s="18">
        <f>IF(29&gt;=DeliverStart,OtherIncPerUnitMo*'LeaseUp'!AF$8*AF$9,0)</f>
        <v/>
      </c>
      <c r="AG20" s="18">
        <f>IF(30&gt;=DeliverStart,OtherIncPerUnitMo*'LeaseUp'!AG$8*AG$9,0)</f>
        <v/>
      </c>
      <c r="AH20" s="18">
        <f>IF(31&gt;=DeliverStart,OtherIncPerUnitMo*'LeaseUp'!AH$8*AH$9,0)</f>
        <v/>
      </c>
      <c r="AI20" s="18">
        <f>IF(32&gt;=DeliverStart,OtherIncPerUnitMo*'LeaseUp'!AI$8*AI$9,0)</f>
        <v/>
      </c>
      <c r="AJ20" s="18">
        <f>IF(33&gt;=DeliverStart,OtherIncPerUnitMo*'LeaseUp'!AJ$8*AJ$9,0)</f>
        <v/>
      </c>
      <c r="AK20" s="18">
        <f>IF(34&gt;=DeliverStart,OtherIncPerUnitMo*'LeaseUp'!AK$8*AK$9,0)</f>
        <v/>
      </c>
      <c r="AL20" s="18">
        <f>IF(35&gt;=DeliverStart,OtherIncPerUnitMo*'LeaseUp'!AL$8*AL$9,0)</f>
        <v/>
      </c>
      <c r="AM20" s="18">
        <f>IF(36&gt;=DeliverStart,OtherIncPerUnitMo*'LeaseUp'!AM$8*AM$9,0)</f>
        <v/>
      </c>
      <c r="AN20" s="18">
        <f>IF(37&gt;=DeliverStart,OtherIncPerUnitMo*'LeaseUp'!AN$8*AN$9,0)</f>
        <v/>
      </c>
      <c r="AO20" s="18">
        <f>IF(38&gt;=DeliverStart,OtherIncPerUnitMo*'LeaseUp'!AO$8*AO$9,0)</f>
        <v/>
      </c>
      <c r="AP20" s="18">
        <f>IF(39&gt;=DeliverStart,OtherIncPerUnitMo*'LeaseUp'!AP$8*AP$9,0)</f>
        <v/>
      </c>
      <c r="AQ20" s="18">
        <f>IF(40&gt;=DeliverStart,OtherIncPerUnitMo*'LeaseUp'!AQ$8*AQ$9,0)</f>
        <v/>
      </c>
      <c r="AR20" s="18">
        <f>IF(41&gt;=DeliverStart,OtherIncPerUnitMo*'LeaseUp'!AR$8*AR$9,0)</f>
        <v/>
      </c>
      <c r="AS20" s="18">
        <f>IF(42&gt;=DeliverStart,OtherIncPerUnitMo*'LeaseUp'!AS$8*AS$9,0)</f>
        <v/>
      </c>
      <c r="AT20" s="18">
        <f>IF(43&gt;=DeliverStart,OtherIncPerUnitMo*'LeaseUp'!AT$8*AT$9,0)</f>
        <v/>
      </c>
      <c r="AU20" s="18">
        <f>IF(44&gt;=DeliverStart,OtherIncPerUnitMo*'LeaseUp'!AU$8*AU$9,0)</f>
        <v/>
      </c>
      <c r="AV20" s="18">
        <f>IF(45&gt;=DeliverStart,OtherIncPerUnitMo*'LeaseUp'!AV$8*AV$9,0)</f>
        <v/>
      </c>
      <c r="AW20" s="18">
        <f>IF(46&gt;=DeliverStart,OtherIncPerUnitMo*'LeaseUp'!AW$8*AW$9,0)</f>
        <v/>
      </c>
      <c r="AX20" s="18">
        <f>IF(47&gt;=DeliverStart,OtherIncPerUnitMo*'LeaseUp'!AX$8*AX$9,0)</f>
        <v/>
      </c>
      <c r="AY20" s="18">
        <f>IF(48&gt;=DeliverStart,OtherIncPerUnitMo*'LeaseUp'!AY$8*AY$9,0)</f>
        <v/>
      </c>
      <c r="AZ20" s="18">
        <f>IF(49&gt;=DeliverStart,OtherIncPerUnitMo*'LeaseUp'!AZ$8*AZ$9,0)</f>
        <v/>
      </c>
      <c r="BA20" s="18">
        <f>IF(50&gt;=DeliverStart,OtherIncPerUnitMo*'LeaseUp'!BA$8*BA$9,0)</f>
        <v/>
      </c>
      <c r="BB20" s="18">
        <f>IF(51&gt;=DeliverStart,OtherIncPerUnitMo*'LeaseUp'!BB$8*BB$9,0)</f>
        <v/>
      </c>
      <c r="BC20" s="18">
        <f>IF(52&gt;=DeliverStart,OtherIncPerUnitMo*'LeaseUp'!BC$8*BC$9,0)</f>
        <v/>
      </c>
      <c r="BD20" s="18">
        <f>IF(53&gt;=DeliverStart,OtherIncPerUnitMo*'LeaseUp'!BD$8*BD$9,0)</f>
        <v/>
      </c>
      <c r="BE20" s="18">
        <f>IF(54&gt;=DeliverStart,OtherIncPerUnitMo*'LeaseUp'!BE$8*BE$9,0)</f>
        <v/>
      </c>
      <c r="BF20" s="18">
        <f>IF(55&gt;=DeliverStart,OtherIncPerUnitMo*'LeaseUp'!BF$8*BF$9,0)</f>
        <v/>
      </c>
      <c r="BG20" s="18">
        <f>IF(56&gt;=DeliverStart,OtherIncPerUnitMo*'LeaseUp'!BG$8*BG$9,0)</f>
        <v/>
      </c>
      <c r="BH20" s="18">
        <f>IF(57&gt;=DeliverStart,OtherIncPerUnitMo*'LeaseUp'!BH$8*BH$9,0)</f>
        <v/>
      </c>
      <c r="BI20" s="18">
        <f>IF(58&gt;=DeliverStart,OtherIncPerUnitMo*'LeaseUp'!BI$8*BI$9,0)</f>
        <v/>
      </c>
      <c r="BJ20" s="18">
        <f>IF(59&gt;=DeliverStart,OtherIncPerUnitMo*'LeaseUp'!BJ$8*BJ$9,0)</f>
        <v/>
      </c>
      <c r="BK20" s="18">
        <f>IF(60&gt;=DeliverStart,OtherIncPerUnitMo*'LeaseUp'!BK$8*BK$9,0)</f>
        <v/>
      </c>
      <c r="BL20" s="18">
        <f>IF(61&gt;=DeliverStart,OtherIncPerUnitMo*'LeaseUp'!BL$8*BL$9,0)</f>
        <v/>
      </c>
      <c r="BM20" s="18">
        <f>IF(62&gt;=DeliverStart,OtherIncPerUnitMo*'LeaseUp'!BM$8*BM$9,0)</f>
        <v/>
      </c>
      <c r="BN20" s="18">
        <f>IF(63&gt;=DeliverStart,OtherIncPerUnitMo*'LeaseUp'!BN$8*BN$9,0)</f>
        <v/>
      </c>
      <c r="BO20" s="18">
        <f>IF(64&gt;=DeliverStart,OtherIncPerUnitMo*'LeaseUp'!BO$8*BO$9,0)</f>
        <v/>
      </c>
      <c r="BP20" s="18">
        <f>IF(65&gt;=DeliverStart,OtherIncPerUnitMo*'LeaseUp'!BP$8*BP$9,0)</f>
        <v/>
      </c>
      <c r="BQ20" s="18">
        <f>IF(66&gt;=DeliverStart,OtherIncPerUnitMo*'LeaseUp'!BQ$8*BQ$9,0)</f>
        <v/>
      </c>
      <c r="BR20" s="18">
        <f>IF(67&gt;=DeliverStart,OtherIncPerUnitMo*'LeaseUp'!BR$8*BR$9,0)</f>
        <v/>
      </c>
      <c r="BS20" s="18">
        <f>IF(68&gt;=DeliverStart,OtherIncPerUnitMo*'LeaseUp'!BS$8*BS$9,0)</f>
        <v/>
      </c>
      <c r="BT20" s="18">
        <f>IF(69&gt;=DeliverStart,OtherIncPerUnitMo*'LeaseUp'!BT$8*BT$9,0)</f>
        <v/>
      </c>
      <c r="BU20" s="18">
        <f>IF(70&gt;=DeliverStart,OtherIncPerUnitMo*'LeaseUp'!BU$8*BU$9,0)</f>
        <v/>
      </c>
      <c r="BV20" s="18">
        <f>IF(71&gt;=DeliverStart,OtherIncPerUnitMo*'LeaseUp'!BV$8*BV$9,0)</f>
        <v/>
      </c>
      <c r="BW20" s="18">
        <f>IF(72&gt;=DeliverStart,OtherIncPerUnitMo*'LeaseUp'!BW$8*BW$9,0)</f>
        <v/>
      </c>
      <c r="BX20" s="18">
        <f>IF(73&gt;=DeliverStart,OtherIncPerUnitMo*'LeaseUp'!BX$8*BX$9,0)</f>
        <v/>
      </c>
      <c r="BY20" s="18">
        <f>IF(74&gt;=DeliverStart,OtherIncPerUnitMo*'LeaseUp'!BY$8*BY$9,0)</f>
        <v/>
      </c>
      <c r="BZ20" s="18">
        <f>IF(75&gt;=DeliverStart,OtherIncPerUnitMo*'LeaseUp'!BZ$8*BZ$9,0)</f>
        <v/>
      </c>
      <c r="CA20" s="18">
        <f>IF(76&gt;=DeliverStart,OtherIncPerUnitMo*'LeaseUp'!CA$8*CA$9,0)</f>
        <v/>
      </c>
      <c r="CB20" s="18">
        <f>IF(77&gt;=DeliverStart,OtherIncPerUnitMo*'LeaseUp'!CB$8*CB$9,0)</f>
        <v/>
      </c>
      <c r="CC20" s="18">
        <f>IF(78&gt;=DeliverStart,OtherIncPerUnitMo*'LeaseUp'!CC$8*CC$9,0)</f>
        <v/>
      </c>
      <c r="CD20" s="18">
        <f>IF(79&gt;=DeliverStart,OtherIncPerUnitMo*'LeaseUp'!CD$8*CD$9,0)</f>
        <v/>
      </c>
      <c r="CE20" s="18">
        <f>IF(80&gt;=DeliverStart,OtherIncPerUnitMo*'LeaseUp'!CE$8*CE$9,0)</f>
        <v/>
      </c>
      <c r="CF20" s="18">
        <f>IF(81&gt;=DeliverStart,OtherIncPerUnitMo*'LeaseUp'!CF$8*CF$9,0)</f>
        <v/>
      </c>
      <c r="CG20" s="18">
        <f>IF(82&gt;=DeliverStart,OtherIncPerUnitMo*'LeaseUp'!CG$8*CG$9,0)</f>
        <v/>
      </c>
      <c r="CH20" s="18">
        <f>IF(83&gt;=DeliverStart,OtherIncPerUnitMo*'LeaseUp'!CH$8*CH$9,0)</f>
        <v/>
      </c>
      <c r="CI20" s="18">
        <f>IF(84&gt;=DeliverStart,OtherIncPerUnitMo*'LeaseUp'!CI$8*CI$9,0)</f>
        <v/>
      </c>
      <c r="CJ20" s="18">
        <f>IF(85&gt;=DeliverStart,OtherIncPerUnitMo*'LeaseUp'!CJ$8*CJ$9,0)</f>
        <v/>
      </c>
      <c r="CK20" s="18">
        <f>IF(86&gt;=DeliverStart,OtherIncPerUnitMo*'LeaseUp'!CK$8*CK$9,0)</f>
        <v/>
      </c>
      <c r="CL20" s="18">
        <f>IF(87&gt;=DeliverStart,OtherIncPerUnitMo*'LeaseUp'!CL$8*CL$9,0)</f>
        <v/>
      </c>
      <c r="CM20" s="18">
        <f>IF(88&gt;=DeliverStart,OtherIncPerUnitMo*'LeaseUp'!CM$8*CM$9,0)</f>
        <v/>
      </c>
      <c r="CN20" s="18">
        <f>IF(89&gt;=DeliverStart,OtherIncPerUnitMo*'LeaseUp'!CN$8*CN$9,0)</f>
        <v/>
      </c>
      <c r="CO20" s="18">
        <f>IF(90&gt;=DeliverStart,OtherIncPerUnitMo*'LeaseUp'!CO$8*CO$9,0)</f>
        <v/>
      </c>
      <c r="CP20" s="18">
        <f>IF(91&gt;=DeliverStart,OtherIncPerUnitMo*'LeaseUp'!CP$8*CP$9,0)</f>
        <v/>
      </c>
      <c r="CQ20" s="18">
        <f>IF(92&gt;=DeliverStart,OtherIncPerUnitMo*'LeaseUp'!CQ$8*CQ$9,0)</f>
        <v/>
      </c>
      <c r="CR20" s="18">
        <f>IF(93&gt;=DeliverStart,OtherIncPerUnitMo*'LeaseUp'!CR$8*CR$9,0)</f>
        <v/>
      </c>
      <c r="CS20" s="18">
        <f>IF(94&gt;=DeliverStart,OtherIncPerUnitMo*'LeaseUp'!CS$8*CS$9,0)</f>
        <v/>
      </c>
      <c r="CT20" s="18">
        <f>IF(95&gt;=DeliverStart,OtherIncPerUnitMo*'LeaseUp'!CT$8*CT$9,0)</f>
        <v/>
      </c>
      <c r="CU20" s="18">
        <f>IF(96&gt;=DeliverStart,OtherIncPerUnitMo*'LeaseUp'!CU$8*CU$9,0)</f>
        <v/>
      </c>
      <c r="CV20" s="18">
        <f>IF(97&gt;=DeliverStart,OtherIncPerUnitMo*'LeaseUp'!CV$8*CV$9,0)</f>
        <v/>
      </c>
      <c r="CW20" s="18">
        <f>IF(98&gt;=DeliverStart,OtherIncPerUnitMo*'LeaseUp'!CW$8*CW$9,0)</f>
        <v/>
      </c>
      <c r="CX20" s="18">
        <f>IF(99&gt;=DeliverStart,OtherIncPerUnitMo*'LeaseUp'!CX$8*CX$9,0)</f>
        <v/>
      </c>
      <c r="CY20" s="18">
        <f>IF(100&gt;=DeliverStart,OtherIncPerUnitMo*'LeaseUp'!CY$8*CY$9,0)</f>
        <v/>
      </c>
      <c r="CZ20" s="18">
        <f>IF(101&gt;=DeliverStart,OtherIncPerUnitMo*'LeaseUp'!CZ$8*CZ$9,0)</f>
        <v/>
      </c>
      <c r="DA20" s="18">
        <f>IF(102&gt;=DeliverStart,OtherIncPerUnitMo*'LeaseUp'!DA$8*DA$9,0)</f>
        <v/>
      </c>
      <c r="DB20" s="18">
        <f>IF(103&gt;=DeliverStart,OtherIncPerUnitMo*'LeaseUp'!DB$8*DB$9,0)</f>
        <v/>
      </c>
      <c r="DC20" s="18">
        <f>IF(104&gt;=DeliverStart,OtherIncPerUnitMo*'LeaseUp'!DC$8*DC$9,0)</f>
        <v/>
      </c>
      <c r="DD20" s="18">
        <f>IF(105&gt;=DeliverStart,OtherIncPerUnitMo*'LeaseUp'!DD$8*DD$9,0)</f>
        <v/>
      </c>
      <c r="DE20" s="18">
        <f>IF(106&gt;=DeliverStart,OtherIncPerUnitMo*'LeaseUp'!DE$8*DE$9,0)</f>
        <v/>
      </c>
      <c r="DF20" s="18">
        <f>IF(107&gt;=DeliverStart,OtherIncPerUnitMo*'LeaseUp'!DF$8*DF$9,0)</f>
        <v/>
      </c>
      <c r="DG20" s="18">
        <f>IF(108&gt;=DeliverStart,OtherIncPerUnitMo*'LeaseUp'!DG$8*DG$9,0)</f>
        <v/>
      </c>
      <c r="DH20" s="18">
        <f>IF(109&gt;=DeliverStart,OtherIncPerUnitMo*'LeaseUp'!DH$8*DH$9,0)</f>
        <v/>
      </c>
      <c r="DI20" s="18">
        <f>IF(110&gt;=DeliverStart,OtherIncPerUnitMo*'LeaseUp'!DI$8*DI$9,0)</f>
        <v/>
      </c>
      <c r="DJ20" s="18">
        <f>IF(111&gt;=DeliverStart,OtherIncPerUnitMo*'LeaseUp'!DJ$8*DJ$9,0)</f>
        <v/>
      </c>
      <c r="DK20" s="18">
        <f>IF(112&gt;=DeliverStart,OtherIncPerUnitMo*'LeaseUp'!DK$8*DK$9,0)</f>
        <v/>
      </c>
      <c r="DL20" s="18">
        <f>IF(113&gt;=DeliverStart,OtherIncPerUnitMo*'LeaseUp'!DL$8*DL$9,0)</f>
        <v/>
      </c>
      <c r="DM20" s="18">
        <f>IF(114&gt;=DeliverStart,OtherIncPerUnitMo*'LeaseUp'!DM$8*DM$9,0)</f>
        <v/>
      </c>
      <c r="DN20" s="18">
        <f>IF(115&gt;=DeliverStart,OtherIncPerUnitMo*'LeaseUp'!DN$8*DN$9,0)</f>
        <v/>
      </c>
      <c r="DO20" s="18">
        <f>IF(116&gt;=DeliverStart,OtherIncPerUnitMo*'LeaseUp'!DO$8*DO$9,0)</f>
        <v/>
      </c>
      <c r="DP20" s="18">
        <f>IF(117&gt;=DeliverStart,OtherIncPerUnitMo*'LeaseUp'!DP$8*DP$9,0)</f>
        <v/>
      </c>
      <c r="DQ20" s="18">
        <f>IF(118&gt;=DeliverStart,OtherIncPerUnitMo*'LeaseUp'!DQ$8*DQ$9,0)</f>
        <v/>
      </c>
      <c r="DR20" s="18">
        <f>IF(119&gt;=DeliverStart,OtherIncPerUnitMo*'LeaseUp'!DR$8*DR$9,0)</f>
        <v/>
      </c>
      <c r="DS20" s="18">
        <f>IF(120&gt;=DeliverStart,OtherIncPerUnitMo*'LeaseUp'!DS$8*DS$9,0)</f>
        <v/>
      </c>
      <c r="DT20" s="18">
        <f>IF(121&gt;=DeliverStart,OtherIncPerUnitMo*'LeaseUp'!DT$8*DT$9,0)</f>
        <v/>
      </c>
      <c r="DU20" s="18">
        <f>IF(122&gt;=DeliverStart,OtherIncPerUnitMo*'LeaseUp'!DU$8*DU$9,0)</f>
        <v/>
      </c>
      <c r="DV20" s="18">
        <f>IF(123&gt;=DeliverStart,OtherIncPerUnitMo*'LeaseUp'!DV$8*DV$9,0)</f>
        <v/>
      </c>
      <c r="DW20" s="18">
        <f>IF(124&gt;=DeliverStart,OtherIncPerUnitMo*'LeaseUp'!DW$8*DW$9,0)</f>
        <v/>
      </c>
      <c r="DX20" s="18">
        <f>IF(125&gt;=DeliverStart,OtherIncPerUnitMo*'LeaseUp'!DX$8*DX$9,0)</f>
        <v/>
      </c>
      <c r="DY20" s="18">
        <f>IF(126&gt;=DeliverStart,OtherIncPerUnitMo*'LeaseUp'!DY$8*DY$9,0)</f>
        <v/>
      </c>
      <c r="DZ20" s="18">
        <f>IF(127&gt;=DeliverStart,OtherIncPerUnitMo*'LeaseUp'!DZ$8*DZ$9,0)</f>
        <v/>
      </c>
      <c r="EA20" s="18">
        <f>IF(128&gt;=DeliverStart,OtherIncPerUnitMo*'LeaseUp'!EA$8*EA$9,0)</f>
        <v/>
      </c>
      <c r="EB20" s="18">
        <f>IF(129&gt;=DeliverStart,OtherIncPerUnitMo*'LeaseUp'!EB$8*EB$9,0)</f>
        <v/>
      </c>
      <c r="EC20" s="18">
        <f>IF(130&gt;=DeliverStart,OtherIncPerUnitMo*'LeaseUp'!EC$8*EC$9,0)</f>
        <v/>
      </c>
      <c r="ED20" s="18">
        <f>IF(131&gt;=DeliverStart,OtherIncPerUnitMo*'LeaseUp'!ED$8*ED$9,0)</f>
        <v/>
      </c>
      <c r="EE20" s="18">
        <f>IF(132&gt;=DeliverStart,OtherIncPerUnitMo*'LeaseUp'!EE$8*EE$9,0)</f>
        <v/>
      </c>
      <c r="EF20" s="18">
        <f>IF(133&gt;=DeliverStart,OtherIncPerUnitMo*'LeaseUp'!EF$8*EF$9,0)</f>
        <v/>
      </c>
      <c r="EG20" s="18">
        <f>IF(134&gt;=DeliverStart,OtherIncPerUnitMo*'LeaseUp'!EG$8*EG$9,0)</f>
        <v/>
      </c>
      <c r="EH20" s="18">
        <f>IF(135&gt;=DeliverStart,OtherIncPerUnitMo*'LeaseUp'!EH$8*EH$9,0)</f>
        <v/>
      </c>
      <c r="EI20" s="18">
        <f>IF(136&gt;=DeliverStart,OtherIncPerUnitMo*'LeaseUp'!EI$8*EI$9,0)</f>
        <v/>
      </c>
      <c r="EJ20" s="18">
        <f>IF(137&gt;=DeliverStart,OtherIncPerUnitMo*'LeaseUp'!EJ$8*EJ$9,0)</f>
        <v/>
      </c>
      <c r="EK20" s="18">
        <f>IF(138&gt;=DeliverStart,OtherIncPerUnitMo*'LeaseUp'!EK$8*EK$9,0)</f>
        <v/>
      </c>
      <c r="EL20" s="18">
        <f>IF(139&gt;=DeliverStart,OtherIncPerUnitMo*'LeaseUp'!EL$8*EL$9,0)</f>
        <v/>
      </c>
      <c r="EM20" s="18">
        <f>IF(140&gt;=DeliverStart,OtherIncPerUnitMo*'LeaseUp'!EM$8*EM$9,0)</f>
        <v/>
      </c>
      <c r="EN20" s="18">
        <f>IF(141&gt;=DeliverStart,OtherIncPerUnitMo*'LeaseUp'!EN$8*EN$9,0)</f>
        <v/>
      </c>
      <c r="EO20" s="18">
        <f>IF(142&gt;=DeliverStart,OtherIncPerUnitMo*'LeaseUp'!EO$8*EO$9,0)</f>
        <v/>
      </c>
      <c r="EP20" s="18">
        <f>IF(143&gt;=DeliverStart,OtherIncPerUnitMo*'LeaseUp'!EP$8*EP$9,0)</f>
        <v/>
      </c>
      <c r="EQ20" s="18">
        <f>IF(144&gt;=DeliverStart,OtherIncPerUnitMo*'LeaseUp'!EQ$8*EQ$9,0)</f>
        <v/>
      </c>
      <c r="ER20" s="18">
        <f>IF(145&gt;=DeliverStart,OtherIncPerUnitMo*'LeaseUp'!ER$8*ER$9,0)</f>
        <v/>
      </c>
      <c r="ES20" s="18">
        <f>IF(146&gt;=DeliverStart,OtherIncPerUnitMo*'LeaseUp'!ES$8*ES$9,0)</f>
        <v/>
      </c>
      <c r="ET20" s="18">
        <f>IF(147&gt;=DeliverStart,OtherIncPerUnitMo*'LeaseUp'!ET$8*ET$9,0)</f>
        <v/>
      </c>
      <c r="EU20" s="18">
        <f>IF(148&gt;=DeliverStart,OtherIncPerUnitMo*'LeaseUp'!EU$8*EU$9,0)</f>
        <v/>
      </c>
      <c r="EV20" s="18">
        <f>IF(149&gt;=DeliverStart,OtherIncPerUnitMo*'LeaseUp'!EV$8*EV$9,0)</f>
        <v/>
      </c>
      <c r="EW20" s="18">
        <f>IF(150&gt;=DeliverStart,OtherIncPerUnitMo*'LeaseUp'!EW$8*EW$9,0)</f>
        <v/>
      </c>
      <c r="EX20" s="18">
        <f>IF(151&gt;=DeliverStart,OtherIncPerUnitMo*'LeaseUp'!EX$8*EX$9,0)</f>
        <v/>
      </c>
      <c r="EY20" s="18">
        <f>IF(152&gt;=DeliverStart,OtherIncPerUnitMo*'LeaseUp'!EY$8*EY$9,0)</f>
        <v/>
      </c>
      <c r="EZ20" s="18">
        <f>IF(153&gt;=DeliverStart,OtherIncPerUnitMo*'LeaseUp'!EZ$8*EZ$9,0)</f>
        <v/>
      </c>
      <c r="FA20" s="18">
        <f>IF(154&gt;=DeliverStart,OtherIncPerUnitMo*'LeaseUp'!FA$8*FA$9,0)</f>
        <v/>
      </c>
      <c r="FB20" s="18">
        <f>IF(155&gt;=DeliverStart,OtherIncPerUnitMo*'LeaseUp'!FB$8*FB$9,0)</f>
        <v/>
      </c>
      <c r="FC20" s="18">
        <f>IF(156&gt;=DeliverStart,OtherIncPerUnitMo*'LeaseUp'!FC$8*FC$9,0)</f>
        <v/>
      </c>
      <c r="FD20" s="18">
        <f>IF(157&gt;=DeliverStart,OtherIncPerUnitMo*'LeaseUp'!FD$8*FD$9,0)</f>
        <v/>
      </c>
      <c r="FE20" s="18">
        <f>IF(158&gt;=DeliverStart,OtherIncPerUnitMo*'LeaseUp'!FE$8*FE$9,0)</f>
        <v/>
      </c>
      <c r="FF20" s="18">
        <f>IF(159&gt;=DeliverStart,OtherIncPerUnitMo*'LeaseUp'!FF$8*FF$9,0)</f>
        <v/>
      </c>
      <c r="FG20" s="18">
        <f>IF(160&gt;=DeliverStart,OtherIncPerUnitMo*'LeaseUp'!FG$8*FG$9,0)</f>
        <v/>
      </c>
      <c r="FH20" s="18">
        <f>IF(161&gt;=DeliverStart,OtherIncPerUnitMo*'LeaseUp'!FH$8*FH$9,0)</f>
        <v/>
      </c>
      <c r="FI20" s="18">
        <f>IF(162&gt;=DeliverStart,OtherIncPerUnitMo*'LeaseUp'!FI$8*FI$9,0)</f>
        <v/>
      </c>
      <c r="FJ20" s="18">
        <f>IF(163&gt;=DeliverStart,OtherIncPerUnitMo*'LeaseUp'!FJ$8*FJ$9,0)</f>
        <v/>
      </c>
      <c r="FK20" s="18">
        <f>IF(164&gt;=DeliverStart,OtherIncPerUnitMo*'LeaseUp'!FK$8*FK$9,0)</f>
        <v/>
      </c>
      <c r="FL20" s="18">
        <f>IF(165&gt;=DeliverStart,OtherIncPerUnitMo*'LeaseUp'!FL$8*FL$9,0)</f>
        <v/>
      </c>
      <c r="FM20" s="18">
        <f>IF(166&gt;=DeliverStart,OtherIncPerUnitMo*'LeaseUp'!FM$8*FM$9,0)</f>
        <v/>
      </c>
      <c r="FN20" s="18">
        <f>IF(167&gt;=DeliverStart,OtherIncPerUnitMo*'LeaseUp'!FN$8*FN$9,0)</f>
        <v/>
      </c>
      <c r="FO20" s="18">
        <f>IF(168&gt;=DeliverStart,OtherIncPerUnitMo*'LeaseUp'!FO$8*FO$9,0)</f>
        <v/>
      </c>
      <c r="FP20" s="18">
        <f>IF(169&gt;=DeliverStart,OtherIncPerUnitMo*'LeaseUp'!FP$8*FP$9,0)</f>
        <v/>
      </c>
      <c r="FQ20" s="18">
        <f>IF(170&gt;=DeliverStart,OtherIncPerUnitMo*'LeaseUp'!FQ$8*FQ$9,0)</f>
        <v/>
      </c>
      <c r="FR20" s="18">
        <f>IF(171&gt;=DeliverStart,OtherIncPerUnitMo*'LeaseUp'!FR$8*FR$9,0)</f>
        <v/>
      </c>
      <c r="FS20" s="18">
        <f>IF(172&gt;=DeliverStart,OtherIncPerUnitMo*'LeaseUp'!FS$8*FS$9,0)</f>
        <v/>
      </c>
      <c r="FT20" s="18">
        <f>IF(173&gt;=DeliverStart,OtherIncPerUnitMo*'LeaseUp'!FT$8*FT$9,0)</f>
        <v/>
      </c>
      <c r="FU20" s="18">
        <f>IF(174&gt;=DeliverStart,OtherIncPerUnitMo*'LeaseUp'!FU$8*FU$9,0)</f>
        <v/>
      </c>
      <c r="FV20" s="18">
        <f>IF(175&gt;=DeliverStart,OtherIncPerUnitMo*'LeaseUp'!FV$8*FV$9,0)</f>
        <v/>
      </c>
      <c r="FW20" s="18">
        <f>IF(176&gt;=DeliverStart,OtherIncPerUnitMo*'LeaseUp'!FW$8*FW$9,0)</f>
        <v/>
      </c>
      <c r="FX20" s="18">
        <f>IF(177&gt;=DeliverStart,OtherIncPerUnitMo*'LeaseUp'!FX$8*FX$9,0)</f>
        <v/>
      </c>
      <c r="FY20" s="18">
        <f>IF(178&gt;=DeliverStart,OtherIncPerUnitMo*'LeaseUp'!FY$8*FY$9,0)</f>
        <v/>
      </c>
      <c r="FZ20" s="18">
        <f>IF(179&gt;=DeliverStart,OtherIncPerUnitMo*'LeaseUp'!FZ$8*FZ$9,0)</f>
        <v/>
      </c>
      <c r="GA20" s="18">
        <f>IF(180&gt;=DeliverStart,OtherIncPerUnitMo*'LeaseUp'!GA$8*GA$9,0)</f>
        <v/>
      </c>
      <c r="GB20" s="18">
        <f>IF(181&gt;=DeliverStart,OtherIncPerUnitMo*'LeaseUp'!GB$8*GB$9,0)</f>
        <v/>
      </c>
      <c r="GC20" s="18">
        <f>IF(182&gt;=DeliverStart,OtherIncPerUnitMo*'LeaseUp'!GC$8*GC$9,0)</f>
        <v/>
      </c>
      <c r="GD20" s="18">
        <f>IF(183&gt;=DeliverStart,OtherIncPerUnitMo*'LeaseUp'!GD$8*GD$9,0)</f>
        <v/>
      </c>
      <c r="GE20" s="18">
        <f>IF(184&gt;=DeliverStart,OtherIncPerUnitMo*'LeaseUp'!GE$8*GE$9,0)</f>
        <v/>
      </c>
      <c r="GF20" s="18">
        <f>IF(185&gt;=DeliverStart,OtherIncPerUnitMo*'LeaseUp'!GF$8*GF$9,0)</f>
        <v/>
      </c>
      <c r="GG20" s="18">
        <f>IF(186&gt;=DeliverStart,OtherIncPerUnitMo*'LeaseUp'!GG$8*GG$9,0)</f>
        <v/>
      </c>
      <c r="GH20" s="18">
        <f>IF(187&gt;=DeliverStart,OtherIncPerUnitMo*'LeaseUp'!GH$8*GH$9,0)</f>
        <v/>
      </c>
      <c r="GI20" s="18">
        <f>IF(188&gt;=DeliverStart,OtherIncPerUnitMo*'LeaseUp'!GI$8*GI$9,0)</f>
        <v/>
      </c>
      <c r="GJ20" s="18">
        <f>IF(189&gt;=DeliverStart,OtherIncPerUnitMo*'LeaseUp'!GJ$8*GJ$9,0)</f>
        <v/>
      </c>
      <c r="GK20" s="18">
        <f>IF(190&gt;=DeliverStart,OtherIncPerUnitMo*'LeaseUp'!GK$8*GK$9,0)</f>
        <v/>
      </c>
      <c r="GL20" s="18">
        <f>IF(191&gt;=DeliverStart,OtherIncPerUnitMo*'LeaseUp'!GL$8*GL$9,0)</f>
        <v/>
      </c>
      <c r="GM20" s="18">
        <f>IF(192&gt;=DeliverStart,OtherIncPerUnitMo*'LeaseUp'!GM$8*GM$9,0)</f>
        <v/>
      </c>
      <c r="GN20" s="18">
        <f>IF(193&gt;=DeliverStart,OtherIncPerUnitMo*'LeaseUp'!GN$8*GN$9,0)</f>
        <v/>
      </c>
      <c r="GO20" s="18">
        <f>IF(194&gt;=DeliverStart,OtherIncPerUnitMo*'LeaseUp'!GO$8*GO$9,0)</f>
        <v/>
      </c>
      <c r="GP20" s="18">
        <f>IF(195&gt;=DeliverStart,OtherIncPerUnitMo*'LeaseUp'!GP$8*GP$9,0)</f>
        <v/>
      </c>
      <c r="GQ20" s="18">
        <f>IF(196&gt;=DeliverStart,OtherIncPerUnitMo*'LeaseUp'!GQ$8*GQ$9,0)</f>
        <v/>
      </c>
      <c r="GR20" s="18">
        <f>IF(197&gt;=DeliverStart,OtherIncPerUnitMo*'LeaseUp'!GR$8*GR$9,0)</f>
        <v/>
      </c>
      <c r="GS20" s="18">
        <f>IF(198&gt;=DeliverStart,OtherIncPerUnitMo*'LeaseUp'!GS$8*GS$9,0)</f>
        <v/>
      </c>
      <c r="GT20" s="18">
        <f>IF(199&gt;=DeliverStart,OtherIncPerUnitMo*'LeaseUp'!GT$8*GT$9,0)</f>
        <v/>
      </c>
      <c r="GU20" s="18">
        <f>IF(200&gt;=DeliverStart,OtherIncPerUnitMo*'LeaseUp'!GU$8*GU$9,0)</f>
        <v/>
      </c>
      <c r="GV20" s="18">
        <f>IF(201&gt;=DeliverStart,OtherIncPerUnitMo*'LeaseUp'!GV$8*GV$9,0)</f>
        <v/>
      </c>
      <c r="GW20" s="18">
        <f>IF(202&gt;=DeliverStart,OtherIncPerUnitMo*'LeaseUp'!GW$8*GW$9,0)</f>
        <v/>
      </c>
      <c r="GX20" s="18">
        <f>IF(203&gt;=DeliverStart,OtherIncPerUnitMo*'LeaseUp'!GX$8*GX$9,0)</f>
        <v/>
      </c>
      <c r="GY20" s="18">
        <f>IF(204&gt;=DeliverStart,OtherIncPerUnitMo*'LeaseUp'!GY$8*GY$9,0)</f>
        <v/>
      </c>
      <c r="GZ20" s="18">
        <f>IF(205&gt;=DeliverStart,OtherIncPerUnitMo*'LeaseUp'!GZ$8*GZ$9,0)</f>
        <v/>
      </c>
      <c r="HA20" s="18">
        <f>IF(206&gt;=DeliverStart,OtherIncPerUnitMo*'LeaseUp'!HA$8*HA$9,0)</f>
        <v/>
      </c>
      <c r="HB20" s="18">
        <f>IF(207&gt;=DeliverStart,OtherIncPerUnitMo*'LeaseUp'!HB$8*HB$9,0)</f>
        <v/>
      </c>
      <c r="HC20" s="18">
        <f>IF(208&gt;=DeliverStart,OtherIncPerUnitMo*'LeaseUp'!HC$8*HC$9,0)</f>
        <v/>
      </c>
      <c r="HD20" s="18">
        <f>IF(209&gt;=DeliverStart,OtherIncPerUnitMo*'LeaseUp'!HD$8*HD$9,0)</f>
        <v/>
      </c>
      <c r="HE20" s="18">
        <f>IF(210&gt;=DeliverStart,OtherIncPerUnitMo*'LeaseUp'!HE$8*HE$9,0)</f>
        <v/>
      </c>
      <c r="HF20" s="18">
        <f>IF(211&gt;=DeliverStart,OtherIncPerUnitMo*'LeaseUp'!HF$8*HF$9,0)</f>
        <v/>
      </c>
      <c r="HG20" s="18">
        <f>IF(212&gt;=DeliverStart,OtherIncPerUnitMo*'LeaseUp'!HG$8*HG$9,0)</f>
        <v/>
      </c>
      <c r="HH20" s="18">
        <f>IF(213&gt;=DeliverStart,OtherIncPerUnitMo*'LeaseUp'!HH$8*HH$9,0)</f>
        <v/>
      </c>
      <c r="HI20" s="18">
        <f>IF(214&gt;=DeliverStart,OtherIncPerUnitMo*'LeaseUp'!HI$8*HI$9,0)</f>
        <v/>
      </c>
      <c r="HJ20" s="18">
        <f>IF(215&gt;=DeliverStart,OtherIncPerUnitMo*'LeaseUp'!HJ$8*HJ$9,0)</f>
        <v/>
      </c>
      <c r="HK20" s="18">
        <f>IF(216&gt;=DeliverStart,OtherIncPerUnitMo*'LeaseUp'!HK$8*HK$9,0)</f>
        <v/>
      </c>
      <c r="HL20" s="18">
        <f>IF(217&gt;=DeliverStart,OtherIncPerUnitMo*'LeaseUp'!HL$8*HL$9,0)</f>
        <v/>
      </c>
      <c r="HM20" s="18">
        <f>IF(218&gt;=DeliverStart,OtherIncPerUnitMo*'LeaseUp'!HM$8*HM$9,0)</f>
        <v/>
      </c>
      <c r="HN20" s="18">
        <f>IF(219&gt;=DeliverStart,OtherIncPerUnitMo*'LeaseUp'!HN$8*HN$9,0)</f>
        <v/>
      </c>
      <c r="HO20" s="18">
        <f>IF(220&gt;=DeliverStart,OtherIncPerUnitMo*'LeaseUp'!HO$8*HO$9,0)</f>
        <v/>
      </c>
      <c r="HP20" s="18">
        <f>IF(221&gt;=DeliverStart,OtherIncPerUnitMo*'LeaseUp'!HP$8*HP$9,0)</f>
        <v/>
      </c>
      <c r="HQ20" s="18">
        <f>IF(222&gt;=DeliverStart,OtherIncPerUnitMo*'LeaseUp'!HQ$8*HQ$9,0)</f>
        <v/>
      </c>
      <c r="HR20" s="18">
        <f>IF(223&gt;=DeliverStart,OtherIncPerUnitMo*'LeaseUp'!HR$8*HR$9,0)</f>
        <v/>
      </c>
      <c r="HS20" s="18">
        <f>IF(224&gt;=DeliverStart,OtherIncPerUnitMo*'LeaseUp'!HS$8*HS$9,0)</f>
        <v/>
      </c>
      <c r="HT20" s="18">
        <f>IF(225&gt;=DeliverStart,OtherIncPerUnitMo*'LeaseUp'!HT$8*HT$9,0)</f>
        <v/>
      </c>
      <c r="HU20" s="18">
        <f>IF(226&gt;=DeliverStart,OtherIncPerUnitMo*'LeaseUp'!HU$8*HU$9,0)</f>
        <v/>
      </c>
      <c r="HV20" s="18">
        <f>IF(227&gt;=DeliverStart,OtherIncPerUnitMo*'LeaseUp'!HV$8*HV$9,0)</f>
        <v/>
      </c>
      <c r="HW20" s="18">
        <f>IF(228&gt;=DeliverStart,OtherIncPerUnitMo*'LeaseUp'!HW$8*HW$9,0)</f>
        <v/>
      </c>
      <c r="HX20" s="18">
        <f>IF(229&gt;=DeliverStart,OtherIncPerUnitMo*'LeaseUp'!HX$8*HX$9,0)</f>
        <v/>
      </c>
      <c r="HY20" s="18">
        <f>IF(230&gt;=DeliverStart,OtherIncPerUnitMo*'LeaseUp'!HY$8*HY$9,0)</f>
        <v/>
      </c>
      <c r="HZ20" s="18">
        <f>IF(231&gt;=DeliverStart,OtherIncPerUnitMo*'LeaseUp'!HZ$8*HZ$9,0)</f>
        <v/>
      </c>
      <c r="IA20" s="18">
        <f>IF(232&gt;=DeliverStart,OtherIncPerUnitMo*'LeaseUp'!IA$8*IA$9,0)</f>
        <v/>
      </c>
      <c r="IB20" s="18">
        <f>IF(233&gt;=DeliverStart,OtherIncPerUnitMo*'LeaseUp'!IB$8*IB$9,0)</f>
        <v/>
      </c>
      <c r="IC20" s="18">
        <f>IF(234&gt;=DeliverStart,OtherIncPerUnitMo*'LeaseUp'!IC$8*IC$9,0)</f>
        <v/>
      </c>
      <c r="ID20" s="18">
        <f>IF(235&gt;=DeliverStart,OtherIncPerUnitMo*'LeaseUp'!ID$8*ID$9,0)</f>
        <v/>
      </c>
      <c r="IE20" s="18">
        <f>IF(236&gt;=DeliverStart,OtherIncPerUnitMo*'LeaseUp'!IE$8*IE$9,0)</f>
        <v/>
      </c>
      <c r="IF20" s="18">
        <f>IF(237&gt;=DeliverStart,OtherIncPerUnitMo*'LeaseUp'!IF$8*IF$9,0)</f>
        <v/>
      </c>
      <c r="IG20" s="18">
        <f>IF(238&gt;=DeliverStart,OtherIncPerUnitMo*'LeaseUp'!IG$8*IG$9,0)</f>
        <v/>
      </c>
      <c r="IH20" s="18">
        <f>IF(239&gt;=DeliverStart,OtherIncPerUnitMo*'LeaseUp'!IH$8*IH$9,0)</f>
        <v/>
      </c>
      <c r="II20" s="18">
        <f>IF(240&gt;=DeliverStart,OtherIncPerUnitMo*'LeaseUp'!II$8*II$9,0)</f>
        <v/>
      </c>
      <c r="IJ20" s="18">
        <f>IF(241&gt;=DeliverStart,OtherIncPerUnitMo*'LeaseUp'!IJ$8*IJ$9,0)</f>
        <v/>
      </c>
      <c r="IK20" s="18">
        <f>IF(242&gt;=DeliverStart,OtherIncPerUnitMo*'LeaseUp'!IK$8*IK$9,0)</f>
        <v/>
      </c>
      <c r="IL20" s="18">
        <f>IF(243&gt;=DeliverStart,OtherIncPerUnitMo*'LeaseUp'!IL$8*IL$9,0)</f>
        <v/>
      </c>
      <c r="IM20" s="18">
        <f>IF(244&gt;=DeliverStart,OtherIncPerUnitMo*'LeaseUp'!IM$8*IM$9,0)</f>
        <v/>
      </c>
      <c r="IN20" s="18">
        <f>IF(245&gt;=DeliverStart,OtherIncPerUnitMo*'LeaseUp'!IN$8*IN$9,0)</f>
        <v/>
      </c>
      <c r="IO20" s="18">
        <f>IF(246&gt;=DeliverStart,OtherIncPerUnitMo*'LeaseUp'!IO$8*IO$9,0)</f>
        <v/>
      </c>
      <c r="IP20" s="18">
        <f>IF(247&gt;=DeliverStart,OtherIncPerUnitMo*'LeaseUp'!IP$8*IP$9,0)</f>
        <v/>
      </c>
      <c r="IQ20" s="18">
        <f>IF(248&gt;=DeliverStart,OtherIncPerUnitMo*'LeaseUp'!IQ$8*IQ$9,0)</f>
        <v/>
      </c>
      <c r="IR20" s="18">
        <f>IF(249&gt;=DeliverStart,OtherIncPerUnitMo*'LeaseUp'!IR$8*IR$9,0)</f>
        <v/>
      </c>
      <c r="IS20" s="18">
        <f>IF(250&gt;=DeliverStart,OtherIncPerUnitMo*'LeaseUp'!IS$8*IS$9,0)</f>
        <v/>
      </c>
      <c r="IT20" s="18">
        <f>IF(251&gt;=DeliverStart,OtherIncPerUnitMo*'LeaseUp'!IT$8*IT$9,0)</f>
        <v/>
      </c>
      <c r="IU20" s="18">
        <f>IF(252&gt;=DeliverStart,OtherIncPerUnitMo*'LeaseUp'!IU$8*IU$9,0)</f>
        <v/>
      </c>
      <c r="IV20" s="18">
        <f>IF(253&gt;=DeliverStart,OtherIncPerUnitMo*'LeaseUp'!IV$8*IV$9,0)</f>
        <v/>
      </c>
      <c r="IW20" s="18">
        <f>IF(254&gt;=DeliverStart,OtherIncPerUnitMo*'LeaseUp'!IW$8*IW$9,0)</f>
        <v/>
      </c>
      <c r="IX20" s="18">
        <f>IF(255&gt;=DeliverStart,OtherIncPerUnitMo*'LeaseUp'!IX$8*IX$9,0)</f>
        <v/>
      </c>
      <c r="IY20" s="18">
        <f>IF(256&gt;=DeliverStart,OtherIncPerUnitMo*'LeaseUp'!IY$8*IY$9,0)</f>
        <v/>
      </c>
      <c r="IZ20" s="18">
        <f>IF(257&gt;=DeliverStart,OtherIncPerUnitMo*'LeaseUp'!IZ$8*IZ$9,0)</f>
        <v/>
      </c>
      <c r="JA20" s="18">
        <f>IF(258&gt;=DeliverStart,OtherIncPerUnitMo*'LeaseUp'!JA$8*JA$9,0)</f>
        <v/>
      </c>
      <c r="JB20" s="18">
        <f>IF(259&gt;=DeliverStart,OtherIncPerUnitMo*'LeaseUp'!JB$8*JB$9,0)</f>
        <v/>
      </c>
      <c r="JC20" s="18">
        <f>IF(260&gt;=DeliverStart,OtherIncPerUnitMo*'LeaseUp'!JC$8*JC$9,0)</f>
        <v/>
      </c>
      <c r="JD20" s="18">
        <f>IF(261&gt;=DeliverStart,OtherIncPerUnitMo*'LeaseUp'!JD$8*JD$9,0)</f>
        <v/>
      </c>
      <c r="JE20" s="18">
        <f>IF(262&gt;=DeliverStart,OtherIncPerUnitMo*'LeaseUp'!JE$8*JE$9,0)</f>
        <v/>
      </c>
      <c r="JF20" s="18">
        <f>IF(263&gt;=DeliverStart,OtherIncPerUnitMo*'LeaseUp'!JF$8*JF$9,0)</f>
        <v/>
      </c>
      <c r="JG20" s="18">
        <f>IF(264&gt;=DeliverStart,OtherIncPerUnitMo*'LeaseUp'!JG$8*JG$9,0)</f>
        <v/>
      </c>
      <c r="JH20" s="18">
        <f>IF(265&gt;=DeliverStart,OtherIncPerUnitMo*'LeaseUp'!JH$8*JH$9,0)</f>
        <v/>
      </c>
      <c r="JI20" s="18">
        <f>IF(266&gt;=DeliverStart,OtherIncPerUnitMo*'LeaseUp'!JI$8*JI$9,0)</f>
        <v/>
      </c>
      <c r="JJ20" s="18">
        <f>IF(267&gt;=DeliverStart,OtherIncPerUnitMo*'LeaseUp'!JJ$8*JJ$9,0)</f>
        <v/>
      </c>
      <c r="JK20" s="18">
        <f>IF(268&gt;=DeliverStart,OtherIncPerUnitMo*'LeaseUp'!JK$8*JK$9,0)</f>
        <v/>
      </c>
      <c r="JL20" s="18">
        <f>IF(269&gt;=DeliverStart,OtherIncPerUnitMo*'LeaseUp'!JL$8*JL$9,0)</f>
        <v/>
      </c>
      <c r="JM20" s="18">
        <f>IF(270&gt;=DeliverStart,OtherIncPerUnitMo*'LeaseUp'!JM$8*JM$9,0)</f>
        <v/>
      </c>
      <c r="JN20" s="18">
        <f>IF(271&gt;=DeliverStart,OtherIncPerUnitMo*'LeaseUp'!JN$8*JN$9,0)</f>
        <v/>
      </c>
      <c r="JO20" s="18">
        <f>IF(272&gt;=DeliverStart,OtherIncPerUnitMo*'LeaseUp'!JO$8*JO$9,0)</f>
        <v/>
      </c>
      <c r="JP20" s="18">
        <f>IF(273&gt;=DeliverStart,OtherIncPerUnitMo*'LeaseUp'!JP$8*JP$9,0)</f>
        <v/>
      </c>
      <c r="JQ20" s="18">
        <f>IF(274&gt;=DeliverStart,OtherIncPerUnitMo*'LeaseUp'!JQ$8*JQ$9,0)</f>
        <v/>
      </c>
      <c r="JR20" s="18">
        <f>IF(275&gt;=DeliverStart,OtherIncPerUnitMo*'LeaseUp'!JR$8*JR$9,0)</f>
        <v/>
      </c>
      <c r="JS20" s="18">
        <f>IF(276&gt;=DeliverStart,OtherIncPerUnitMo*'LeaseUp'!JS$8*JS$9,0)</f>
        <v/>
      </c>
      <c r="JT20" s="18">
        <f>IF(277&gt;=DeliverStart,OtherIncPerUnitMo*'LeaseUp'!JT$8*JT$9,0)</f>
        <v/>
      </c>
      <c r="JU20" s="18">
        <f>IF(278&gt;=DeliverStart,OtherIncPerUnitMo*'LeaseUp'!JU$8*JU$9,0)</f>
        <v/>
      </c>
      <c r="JV20" s="18">
        <f>IF(279&gt;=DeliverStart,OtherIncPerUnitMo*'LeaseUp'!JV$8*JV$9,0)</f>
        <v/>
      </c>
      <c r="JW20" s="18">
        <f>IF(280&gt;=DeliverStart,OtherIncPerUnitMo*'LeaseUp'!JW$8*JW$9,0)</f>
        <v/>
      </c>
      <c r="JX20" s="18">
        <f>IF(281&gt;=DeliverStart,OtherIncPerUnitMo*'LeaseUp'!JX$8*JX$9,0)</f>
        <v/>
      </c>
      <c r="JY20" s="18">
        <f>IF(282&gt;=DeliverStart,OtherIncPerUnitMo*'LeaseUp'!JY$8*JY$9,0)</f>
        <v/>
      </c>
      <c r="JZ20" s="18">
        <f>IF(283&gt;=DeliverStart,OtherIncPerUnitMo*'LeaseUp'!JZ$8*JZ$9,0)</f>
        <v/>
      </c>
      <c r="KA20" s="18">
        <f>IF(284&gt;=DeliverStart,OtherIncPerUnitMo*'LeaseUp'!KA$8*KA$9,0)</f>
        <v/>
      </c>
      <c r="KB20" s="18">
        <f>IF(285&gt;=DeliverStart,OtherIncPerUnitMo*'LeaseUp'!KB$8*KB$9,0)</f>
        <v/>
      </c>
      <c r="KC20" s="18">
        <f>IF(286&gt;=DeliverStart,OtherIncPerUnitMo*'LeaseUp'!KC$8*KC$9,0)</f>
        <v/>
      </c>
      <c r="KD20" s="18">
        <f>IF(287&gt;=DeliverStart,OtherIncPerUnitMo*'LeaseUp'!KD$8*KD$9,0)</f>
        <v/>
      </c>
      <c r="KE20" s="18">
        <f>IF(288&gt;=DeliverStart,OtherIncPerUnitMo*'LeaseUp'!KE$8*KE$9,0)</f>
        <v/>
      </c>
      <c r="KF20" s="18">
        <f>IF(289&gt;=DeliverStart,OtherIncPerUnitMo*'LeaseUp'!KF$8*KF$9,0)</f>
        <v/>
      </c>
      <c r="KG20" s="18">
        <f>IF(290&gt;=DeliverStart,OtherIncPerUnitMo*'LeaseUp'!KG$8*KG$9,0)</f>
        <v/>
      </c>
      <c r="KH20" s="18">
        <f>IF(291&gt;=DeliverStart,OtherIncPerUnitMo*'LeaseUp'!KH$8*KH$9,0)</f>
        <v/>
      </c>
      <c r="KI20" s="18">
        <f>IF(292&gt;=DeliverStart,OtherIncPerUnitMo*'LeaseUp'!KI$8*KI$9,0)</f>
        <v/>
      </c>
      <c r="KJ20" s="18">
        <f>IF(293&gt;=DeliverStart,OtherIncPerUnitMo*'LeaseUp'!KJ$8*KJ$9,0)</f>
        <v/>
      </c>
      <c r="KK20" s="18">
        <f>IF(294&gt;=DeliverStart,OtherIncPerUnitMo*'LeaseUp'!KK$8*KK$9,0)</f>
        <v/>
      </c>
      <c r="KL20" s="18">
        <f>IF(295&gt;=DeliverStart,OtherIncPerUnitMo*'LeaseUp'!KL$8*KL$9,0)</f>
        <v/>
      </c>
      <c r="KM20" s="18">
        <f>IF(296&gt;=DeliverStart,OtherIncPerUnitMo*'LeaseUp'!KM$8*KM$9,0)</f>
        <v/>
      </c>
      <c r="KN20" s="18">
        <f>IF(297&gt;=DeliverStart,OtherIncPerUnitMo*'LeaseUp'!KN$8*KN$9,0)</f>
        <v/>
      </c>
      <c r="KO20" s="18">
        <f>IF(298&gt;=DeliverStart,OtherIncPerUnitMo*'LeaseUp'!KO$8*KO$9,0)</f>
        <v/>
      </c>
      <c r="KP20" s="18">
        <f>IF(299&gt;=DeliverStart,OtherIncPerUnitMo*'LeaseUp'!KP$8*KP$9,0)</f>
        <v/>
      </c>
      <c r="KQ20" s="18">
        <f>IF(300&gt;=DeliverStart,OtherIncPerUnitMo*'LeaseUp'!KQ$8*KQ$9,0)</f>
        <v/>
      </c>
      <c r="KR20" s="18">
        <f>IF(301&gt;=DeliverStart,OtherIncPerUnitMo*'LeaseUp'!KR$8*KR$9,0)</f>
        <v/>
      </c>
      <c r="KS20" s="18">
        <f>IF(302&gt;=DeliverStart,OtherIncPerUnitMo*'LeaseUp'!KS$8*KS$9,0)</f>
        <v/>
      </c>
      <c r="KT20" s="18">
        <f>IF(303&gt;=DeliverStart,OtherIncPerUnitMo*'LeaseUp'!KT$8*KT$9,0)</f>
        <v/>
      </c>
      <c r="KU20" s="18">
        <f>IF(304&gt;=DeliverStart,OtherIncPerUnitMo*'LeaseUp'!KU$8*KU$9,0)</f>
        <v/>
      </c>
      <c r="KV20" s="18">
        <f>IF(305&gt;=DeliverStart,OtherIncPerUnitMo*'LeaseUp'!KV$8*KV$9,0)</f>
        <v/>
      </c>
      <c r="KW20" s="18">
        <f>IF(306&gt;=DeliverStart,OtherIncPerUnitMo*'LeaseUp'!KW$8*KW$9,0)</f>
        <v/>
      </c>
      <c r="KX20" s="18">
        <f>IF(307&gt;=DeliverStart,OtherIncPerUnitMo*'LeaseUp'!KX$8*KX$9,0)</f>
        <v/>
      </c>
      <c r="KY20" s="18">
        <f>IF(308&gt;=DeliverStart,OtherIncPerUnitMo*'LeaseUp'!KY$8*KY$9,0)</f>
        <v/>
      </c>
      <c r="KZ20" s="18">
        <f>IF(309&gt;=DeliverStart,OtherIncPerUnitMo*'LeaseUp'!KZ$8*KZ$9,0)</f>
        <v/>
      </c>
      <c r="LA20" s="18">
        <f>IF(310&gt;=DeliverStart,OtherIncPerUnitMo*'LeaseUp'!LA$8*LA$9,0)</f>
        <v/>
      </c>
      <c r="LB20" s="18">
        <f>IF(311&gt;=DeliverStart,OtherIncPerUnitMo*'LeaseUp'!LB$8*LB$9,0)</f>
        <v/>
      </c>
      <c r="LC20" s="18">
        <f>IF(312&gt;=DeliverStart,OtherIncPerUnitMo*'LeaseUp'!LC$8*LC$9,0)</f>
        <v/>
      </c>
      <c r="LD20" s="18">
        <f>IF(313&gt;=DeliverStart,OtherIncPerUnitMo*'LeaseUp'!LD$8*LD$9,0)</f>
        <v/>
      </c>
      <c r="LE20" s="18">
        <f>IF(314&gt;=DeliverStart,OtherIncPerUnitMo*'LeaseUp'!LE$8*LE$9,0)</f>
        <v/>
      </c>
      <c r="LF20" s="18">
        <f>IF(315&gt;=DeliverStart,OtherIncPerUnitMo*'LeaseUp'!LF$8*LF$9,0)</f>
        <v/>
      </c>
      <c r="LG20" s="18">
        <f>IF(316&gt;=DeliverStart,OtherIncPerUnitMo*'LeaseUp'!LG$8*LG$9,0)</f>
        <v/>
      </c>
      <c r="LH20" s="18">
        <f>IF(317&gt;=DeliverStart,OtherIncPerUnitMo*'LeaseUp'!LH$8*LH$9,0)</f>
        <v/>
      </c>
      <c r="LI20" s="18">
        <f>IF(318&gt;=DeliverStart,OtherIncPerUnitMo*'LeaseUp'!LI$8*LI$9,0)</f>
        <v/>
      </c>
      <c r="LJ20" s="18">
        <f>IF(319&gt;=DeliverStart,OtherIncPerUnitMo*'LeaseUp'!LJ$8*LJ$9,0)</f>
        <v/>
      </c>
      <c r="LK20" s="18">
        <f>IF(320&gt;=DeliverStart,OtherIncPerUnitMo*'LeaseUp'!LK$8*LK$9,0)</f>
        <v/>
      </c>
      <c r="LL20" s="18">
        <f>IF(321&gt;=DeliverStart,OtherIncPerUnitMo*'LeaseUp'!LL$8*LL$9,0)</f>
        <v/>
      </c>
      <c r="LM20" s="18">
        <f>IF(322&gt;=DeliverStart,OtherIncPerUnitMo*'LeaseUp'!LM$8*LM$9,0)</f>
        <v/>
      </c>
      <c r="LN20" s="18">
        <f>IF(323&gt;=DeliverStart,OtherIncPerUnitMo*'LeaseUp'!LN$8*LN$9,0)</f>
        <v/>
      </c>
      <c r="LO20" s="18">
        <f>IF(324&gt;=DeliverStart,OtherIncPerUnitMo*'LeaseUp'!LO$8*LO$9,0)</f>
        <v/>
      </c>
      <c r="LP20" s="18">
        <f>IF(325&gt;=DeliverStart,OtherIncPerUnitMo*'LeaseUp'!LP$8*LP$9,0)</f>
        <v/>
      </c>
      <c r="LQ20" s="18">
        <f>IF(326&gt;=DeliverStart,OtherIncPerUnitMo*'LeaseUp'!LQ$8*LQ$9,0)</f>
        <v/>
      </c>
      <c r="LR20" s="18">
        <f>IF(327&gt;=DeliverStart,OtherIncPerUnitMo*'LeaseUp'!LR$8*LR$9,0)</f>
        <v/>
      </c>
      <c r="LS20" s="18">
        <f>IF(328&gt;=DeliverStart,OtherIncPerUnitMo*'LeaseUp'!LS$8*LS$9,0)</f>
        <v/>
      </c>
      <c r="LT20" s="18">
        <f>IF(329&gt;=DeliverStart,OtherIncPerUnitMo*'LeaseUp'!LT$8*LT$9,0)</f>
        <v/>
      </c>
      <c r="LU20" s="18">
        <f>IF(330&gt;=DeliverStart,OtherIncPerUnitMo*'LeaseUp'!LU$8*LU$9,0)</f>
        <v/>
      </c>
      <c r="LV20" s="18">
        <f>IF(331&gt;=DeliverStart,OtherIncPerUnitMo*'LeaseUp'!LV$8*LV$9,0)</f>
        <v/>
      </c>
      <c r="LW20" s="18">
        <f>IF(332&gt;=DeliverStart,OtherIncPerUnitMo*'LeaseUp'!LW$8*LW$9,0)</f>
        <v/>
      </c>
      <c r="LX20" s="18">
        <f>IF(333&gt;=DeliverStart,OtherIncPerUnitMo*'LeaseUp'!LX$8*LX$9,0)</f>
        <v/>
      </c>
      <c r="LY20" s="18">
        <f>IF(334&gt;=DeliverStart,OtherIncPerUnitMo*'LeaseUp'!LY$8*LY$9,0)</f>
        <v/>
      </c>
      <c r="LZ20" s="18">
        <f>IF(335&gt;=DeliverStart,OtherIncPerUnitMo*'LeaseUp'!LZ$8*LZ$9,0)</f>
        <v/>
      </c>
      <c r="MA20" s="18">
        <f>IF(336&gt;=DeliverStart,OtherIncPerUnitMo*'LeaseUp'!MA$8*MA$9,0)</f>
        <v/>
      </c>
      <c r="MB20" s="18">
        <f>IF(337&gt;=DeliverStart,OtherIncPerUnitMo*'LeaseUp'!MB$8*MB$9,0)</f>
        <v/>
      </c>
      <c r="MC20" s="18">
        <f>IF(338&gt;=DeliverStart,OtherIncPerUnitMo*'LeaseUp'!MC$8*MC$9,0)</f>
        <v/>
      </c>
      <c r="MD20" s="18">
        <f>IF(339&gt;=DeliverStart,OtherIncPerUnitMo*'LeaseUp'!MD$8*MD$9,0)</f>
        <v/>
      </c>
      <c r="ME20" s="18">
        <f>IF(340&gt;=DeliverStart,OtherIncPerUnitMo*'LeaseUp'!ME$8*ME$9,0)</f>
        <v/>
      </c>
      <c r="MF20" s="18">
        <f>IF(341&gt;=DeliverStart,OtherIncPerUnitMo*'LeaseUp'!MF$8*MF$9,0)</f>
        <v/>
      </c>
      <c r="MG20" s="18">
        <f>IF(342&gt;=DeliverStart,OtherIncPerUnitMo*'LeaseUp'!MG$8*MG$9,0)</f>
        <v/>
      </c>
      <c r="MH20" s="18">
        <f>IF(343&gt;=DeliverStart,OtherIncPerUnitMo*'LeaseUp'!MH$8*MH$9,0)</f>
        <v/>
      </c>
      <c r="MI20" s="18">
        <f>IF(344&gt;=DeliverStart,OtherIncPerUnitMo*'LeaseUp'!MI$8*MI$9,0)</f>
        <v/>
      </c>
      <c r="MJ20" s="18">
        <f>IF(345&gt;=DeliverStart,OtherIncPerUnitMo*'LeaseUp'!MJ$8*MJ$9,0)</f>
        <v/>
      </c>
      <c r="MK20" s="18">
        <f>IF(346&gt;=DeliverStart,OtherIncPerUnitMo*'LeaseUp'!MK$8*MK$9,0)</f>
        <v/>
      </c>
      <c r="ML20" s="18">
        <f>IF(347&gt;=DeliverStart,OtherIncPerUnitMo*'LeaseUp'!ML$8*ML$9,0)</f>
        <v/>
      </c>
      <c r="MM20" s="18">
        <f>IF(348&gt;=DeliverStart,OtherIncPerUnitMo*'LeaseUp'!MM$8*MM$9,0)</f>
        <v/>
      </c>
      <c r="MN20" s="18">
        <f>IF(349&gt;=DeliverStart,OtherIncPerUnitMo*'LeaseUp'!MN$8*MN$9,0)</f>
        <v/>
      </c>
      <c r="MO20" s="18">
        <f>IF(350&gt;=DeliverStart,OtherIncPerUnitMo*'LeaseUp'!MO$8*MO$9,0)</f>
        <v/>
      </c>
      <c r="MP20" s="18">
        <f>IF(351&gt;=DeliverStart,OtherIncPerUnitMo*'LeaseUp'!MP$8*MP$9,0)</f>
        <v/>
      </c>
      <c r="MQ20" s="18">
        <f>IF(352&gt;=DeliverStart,OtherIncPerUnitMo*'LeaseUp'!MQ$8*MQ$9,0)</f>
        <v/>
      </c>
      <c r="MR20" s="18">
        <f>IF(353&gt;=DeliverStart,OtherIncPerUnitMo*'LeaseUp'!MR$8*MR$9,0)</f>
        <v/>
      </c>
      <c r="MS20" s="18">
        <f>IF(354&gt;=DeliverStart,OtherIncPerUnitMo*'LeaseUp'!MS$8*MS$9,0)</f>
        <v/>
      </c>
      <c r="MT20" s="18">
        <f>IF(355&gt;=DeliverStart,OtherIncPerUnitMo*'LeaseUp'!MT$8*MT$9,0)</f>
        <v/>
      </c>
      <c r="MU20" s="18">
        <f>IF(356&gt;=DeliverStart,OtherIncPerUnitMo*'LeaseUp'!MU$8*MU$9,0)</f>
        <v/>
      </c>
      <c r="MV20" s="18">
        <f>IF(357&gt;=DeliverStart,OtherIncPerUnitMo*'LeaseUp'!MV$8*MV$9,0)</f>
        <v/>
      </c>
      <c r="MW20" s="18">
        <f>IF(358&gt;=DeliverStart,OtherIncPerUnitMo*'LeaseUp'!MW$8*MW$9,0)</f>
        <v/>
      </c>
      <c r="MX20" s="18">
        <f>IF(359&gt;=DeliverStart,OtherIncPerUnitMo*'LeaseUp'!MX$8*MX$9,0)</f>
        <v/>
      </c>
      <c r="MY20" s="18">
        <f>IF(360&gt;=DeliverStart,OtherIncPerUnitMo*'LeaseUp'!MY$8*MY$9,0)</f>
        <v/>
      </c>
      <c r="MZ20" s="18">
        <f>IF(361&gt;=DeliverStart,OtherIncPerUnitMo*'LeaseUp'!MZ$8*MZ$9,0)</f>
        <v/>
      </c>
      <c r="NA20" s="18">
        <f>IF(362&gt;=DeliverStart,OtherIncPerUnitMo*'LeaseUp'!NA$8*NA$9,0)</f>
        <v/>
      </c>
      <c r="NB20" s="18">
        <f>IF(363&gt;=DeliverStart,OtherIncPerUnitMo*'LeaseUp'!NB$8*NB$9,0)</f>
        <v/>
      </c>
      <c r="NC20" s="18">
        <f>IF(364&gt;=DeliverStart,OtherIncPerUnitMo*'LeaseUp'!NC$8*NC$9,0)</f>
        <v/>
      </c>
      <c r="ND20" s="18">
        <f>IF(365&gt;=DeliverStart,OtherIncPerUnitMo*'LeaseUp'!ND$8*ND$9,0)</f>
        <v/>
      </c>
      <c r="NE20" s="18">
        <f>IF(366&gt;=DeliverStart,OtherIncPerUnitMo*'LeaseUp'!NE$8*NE$9,0)</f>
        <v/>
      </c>
      <c r="NF20" s="18">
        <f>IF(367&gt;=DeliverStart,OtherIncPerUnitMo*'LeaseUp'!NF$8*NF$9,0)</f>
        <v/>
      </c>
      <c r="NG20" s="18">
        <f>IF(368&gt;=DeliverStart,OtherIncPerUnitMo*'LeaseUp'!NG$8*NG$9,0)</f>
        <v/>
      </c>
      <c r="NH20" s="18">
        <f>IF(369&gt;=DeliverStart,OtherIncPerUnitMo*'LeaseUp'!NH$8*NH$9,0)</f>
        <v/>
      </c>
      <c r="NI20" s="18">
        <f>IF(370&gt;=DeliverStart,OtherIncPerUnitMo*'LeaseUp'!NI$8*NI$9,0)</f>
        <v/>
      </c>
      <c r="NJ20" s="18">
        <f>IF(371&gt;=DeliverStart,OtherIncPerUnitMo*'LeaseUp'!NJ$8*NJ$9,0)</f>
        <v/>
      </c>
      <c r="NK20" s="18">
        <f>IF(372&gt;=DeliverStart,OtherIncPerUnitMo*'LeaseUp'!NK$8*NK$9,0)</f>
        <v/>
      </c>
    </row>
    <row r="21">
      <c r="A21" s="5" t="inlineStr">
        <is>
          <t>Retail Income</t>
        </is>
      </c>
      <c r="C21" s="41">
        <f>SUM(D21:NK21)</f>
        <v/>
      </c>
      <c r="D21" s="18">
        <f>IF(1&gt;=DeliverStart,RetailRentMo*D$9*MIN(1,'LeaseUp'!D$9/StabilizedOccupancy),0)</f>
        <v/>
      </c>
      <c r="E21" s="18">
        <f>IF(2&gt;=DeliverStart,RetailRentMo*E$9*MIN(1,'LeaseUp'!E$9/StabilizedOccupancy),0)</f>
        <v/>
      </c>
      <c r="F21" s="18">
        <f>IF(3&gt;=DeliverStart,RetailRentMo*F$9*MIN(1,'LeaseUp'!F$9/StabilizedOccupancy),0)</f>
        <v/>
      </c>
      <c r="G21" s="18">
        <f>IF(4&gt;=DeliverStart,RetailRentMo*G$9*MIN(1,'LeaseUp'!G$9/StabilizedOccupancy),0)</f>
        <v/>
      </c>
      <c r="H21" s="18">
        <f>IF(5&gt;=DeliverStart,RetailRentMo*H$9*MIN(1,'LeaseUp'!H$9/StabilizedOccupancy),0)</f>
        <v/>
      </c>
      <c r="I21" s="18">
        <f>IF(6&gt;=DeliverStart,RetailRentMo*I$9*MIN(1,'LeaseUp'!I$9/StabilizedOccupancy),0)</f>
        <v/>
      </c>
      <c r="J21" s="18">
        <f>IF(7&gt;=DeliverStart,RetailRentMo*J$9*MIN(1,'LeaseUp'!J$9/StabilizedOccupancy),0)</f>
        <v/>
      </c>
      <c r="K21" s="18">
        <f>IF(8&gt;=DeliverStart,RetailRentMo*K$9*MIN(1,'LeaseUp'!K$9/StabilizedOccupancy),0)</f>
        <v/>
      </c>
      <c r="L21" s="18">
        <f>IF(9&gt;=DeliverStart,RetailRentMo*L$9*MIN(1,'LeaseUp'!L$9/StabilizedOccupancy),0)</f>
        <v/>
      </c>
      <c r="M21" s="18">
        <f>IF(10&gt;=DeliverStart,RetailRentMo*M$9*MIN(1,'LeaseUp'!M$9/StabilizedOccupancy),0)</f>
        <v/>
      </c>
      <c r="N21" s="18">
        <f>IF(11&gt;=DeliverStart,RetailRentMo*N$9*MIN(1,'LeaseUp'!N$9/StabilizedOccupancy),0)</f>
        <v/>
      </c>
      <c r="O21" s="18">
        <f>IF(12&gt;=DeliverStart,RetailRentMo*O$9*MIN(1,'LeaseUp'!O$9/StabilizedOccupancy),0)</f>
        <v/>
      </c>
      <c r="P21" s="18">
        <f>IF(13&gt;=DeliverStart,RetailRentMo*P$9*MIN(1,'LeaseUp'!P$9/StabilizedOccupancy),0)</f>
        <v/>
      </c>
      <c r="Q21" s="18">
        <f>IF(14&gt;=DeliverStart,RetailRentMo*Q$9*MIN(1,'LeaseUp'!Q$9/StabilizedOccupancy),0)</f>
        <v/>
      </c>
      <c r="R21" s="18">
        <f>IF(15&gt;=DeliverStart,RetailRentMo*R$9*MIN(1,'LeaseUp'!R$9/StabilizedOccupancy),0)</f>
        <v/>
      </c>
      <c r="S21" s="18">
        <f>IF(16&gt;=DeliverStart,RetailRentMo*S$9*MIN(1,'LeaseUp'!S$9/StabilizedOccupancy),0)</f>
        <v/>
      </c>
      <c r="T21" s="18">
        <f>IF(17&gt;=DeliverStart,RetailRentMo*T$9*MIN(1,'LeaseUp'!T$9/StabilizedOccupancy),0)</f>
        <v/>
      </c>
      <c r="U21" s="18">
        <f>IF(18&gt;=DeliverStart,RetailRentMo*U$9*MIN(1,'LeaseUp'!U$9/StabilizedOccupancy),0)</f>
        <v/>
      </c>
      <c r="V21" s="18">
        <f>IF(19&gt;=DeliverStart,RetailRentMo*V$9*MIN(1,'LeaseUp'!V$9/StabilizedOccupancy),0)</f>
        <v/>
      </c>
      <c r="W21" s="18">
        <f>IF(20&gt;=DeliverStart,RetailRentMo*W$9*MIN(1,'LeaseUp'!W$9/StabilizedOccupancy),0)</f>
        <v/>
      </c>
      <c r="X21" s="18">
        <f>IF(21&gt;=DeliverStart,RetailRentMo*X$9*MIN(1,'LeaseUp'!X$9/StabilizedOccupancy),0)</f>
        <v/>
      </c>
      <c r="Y21" s="18">
        <f>IF(22&gt;=DeliverStart,RetailRentMo*Y$9*MIN(1,'LeaseUp'!Y$9/StabilizedOccupancy),0)</f>
        <v/>
      </c>
      <c r="Z21" s="18">
        <f>IF(23&gt;=DeliverStart,RetailRentMo*Z$9*MIN(1,'LeaseUp'!Z$9/StabilizedOccupancy),0)</f>
        <v/>
      </c>
      <c r="AA21" s="18">
        <f>IF(24&gt;=DeliverStart,RetailRentMo*AA$9*MIN(1,'LeaseUp'!AA$9/StabilizedOccupancy),0)</f>
        <v/>
      </c>
      <c r="AB21" s="18">
        <f>IF(25&gt;=DeliverStart,RetailRentMo*AB$9*MIN(1,'LeaseUp'!AB$9/StabilizedOccupancy),0)</f>
        <v/>
      </c>
      <c r="AC21" s="18">
        <f>IF(26&gt;=DeliverStart,RetailRentMo*AC$9*MIN(1,'LeaseUp'!AC$9/StabilizedOccupancy),0)</f>
        <v/>
      </c>
      <c r="AD21" s="18">
        <f>IF(27&gt;=DeliverStart,RetailRentMo*AD$9*MIN(1,'LeaseUp'!AD$9/StabilizedOccupancy),0)</f>
        <v/>
      </c>
      <c r="AE21" s="18">
        <f>IF(28&gt;=DeliverStart,RetailRentMo*AE$9*MIN(1,'LeaseUp'!AE$9/StabilizedOccupancy),0)</f>
        <v/>
      </c>
      <c r="AF21" s="18">
        <f>IF(29&gt;=DeliverStart,RetailRentMo*AF$9*MIN(1,'LeaseUp'!AF$9/StabilizedOccupancy),0)</f>
        <v/>
      </c>
      <c r="AG21" s="18">
        <f>IF(30&gt;=DeliverStart,RetailRentMo*AG$9*MIN(1,'LeaseUp'!AG$9/StabilizedOccupancy),0)</f>
        <v/>
      </c>
      <c r="AH21" s="18">
        <f>IF(31&gt;=DeliverStart,RetailRentMo*AH$9*MIN(1,'LeaseUp'!AH$9/StabilizedOccupancy),0)</f>
        <v/>
      </c>
      <c r="AI21" s="18">
        <f>IF(32&gt;=DeliverStart,RetailRentMo*AI$9*MIN(1,'LeaseUp'!AI$9/StabilizedOccupancy),0)</f>
        <v/>
      </c>
      <c r="AJ21" s="18">
        <f>IF(33&gt;=DeliverStart,RetailRentMo*AJ$9*MIN(1,'LeaseUp'!AJ$9/StabilizedOccupancy),0)</f>
        <v/>
      </c>
      <c r="AK21" s="18">
        <f>IF(34&gt;=DeliverStart,RetailRentMo*AK$9*MIN(1,'LeaseUp'!AK$9/StabilizedOccupancy),0)</f>
        <v/>
      </c>
      <c r="AL21" s="18">
        <f>IF(35&gt;=DeliverStart,RetailRentMo*AL$9*MIN(1,'LeaseUp'!AL$9/StabilizedOccupancy),0)</f>
        <v/>
      </c>
      <c r="AM21" s="18">
        <f>IF(36&gt;=DeliverStart,RetailRentMo*AM$9*MIN(1,'LeaseUp'!AM$9/StabilizedOccupancy),0)</f>
        <v/>
      </c>
      <c r="AN21" s="18">
        <f>IF(37&gt;=DeliverStart,RetailRentMo*AN$9*MIN(1,'LeaseUp'!AN$9/StabilizedOccupancy),0)</f>
        <v/>
      </c>
      <c r="AO21" s="18">
        <f>IF(38&gt;=DeliverStart,RetailRentMo*AO$9*MIN(1,'LeaseUp'!AO$9/StabilizedOccupancy),0)</f>
        <v/>
      </c>
      <c r="AP21" s="18">
        <f>IF(39&gt;=DeliverStart,RetailRentMo*AP$9*MIN(1,'LeaseUp'!AP$9/StabilizedOccupancy),0)</f>
        <v/>
      </c>
      <c r="AQ21" s="18">
        <f>IF(40&gt;=DeliverStart,RetailRentMo*AQ$9*MIN(1,'LeaseUp'!AQ$9/StabilizedOccupancy),0)</f>
        <v/>
      </c>
      <c r="AR21" s="18">
        <f>IF(41&gt;=DeliverStart,RetailRentMo*AR$9*MIN(1,'LeaseUp'!AR$9/StabilizedOccupancy),0)</f>
        <v/>
      </c>
      <c r="AS21" s="18">
        <f>IF(42&gt;=DeliverStart,RetailRentMo*AS$9*MIN(1,'LeaseUp'!AS$9/StabilizedOccupancy),0)</f>
        <v/>
      </c>
      <c r="AT21" s="18">
        <f>IF(43&gt;=DeliverStart,RetailRentMo*AT$9*MIN(1,'LeaseUp'!AT$9/StabilizedOccupancy),0)</f>
        <v/>
      </c>
      <c r="AU21" s="18">
        <f>IF(44&gt;=DeliverStart,RetailRentMo*AU$9*MIN(1,'LeaseUp'!AU$9/StabilizedOccupancy),0)</f>
        <v/>
      </c>
      <c r="AV21" s="18">
        <f>IF(45&gt;=DeliverStart,RetailRentMo*AV$9*MIN(1,'LeaseUp'!AV$9/StabilizedOccupancy),0)</f>
        <v/>
      </c>
      <c r="AW21" s="18">
        <f>IF(46&gt;=DeliverStart,RetailRentMo*AW$9*MIN(1,'LeaseUp'!AW$9/StabilizedOccupancy),0)</f>
        <v/>
      </c>
      <c r="AX21" s="18">
        <f>IF(47&gt;=DeliverStart,RetailRentMo*AX$9*MIN(1,'LeaseUp'!AX$9/StabilizedOccupancy),0)</f>
        <v/>
      </c>
      <c r="AY21" s="18">
        <f>IF(48&gt;=DeliverStart,RetailRentMo*AY$9*MIN(1,'LeaseUp'!AY$9/StabilizedOccupancy),0)</f>
        <v/>
      </c>
      <c r="AZ21" s="18">
        <f>IF(49&gt;=DeliverStart,RetailRentMo*AZ$9*MIN(1,'LeaseUp'!AZ$9/StabilizedOccupancy),0)</f>
        <v/>
      </c>
      <c r="BA21" s="18">
        <f>IF(50&gt;=DeliverStart,RetailRentMo*BA$9*MIN(1,'LeaseUp'!BA$9/StabilizedOccupancy),0)</f>
        <v/>
      </c>
      <c r="BB21" s="18">
        <f>IF(51&gt;=DeliverStart,RetailRentMo*BB$9*MIN(1,'LeaseUp'!BB$9/StabilizedOccupancy),0)</f>
        <v/>
      </c>
      <c r="BC21" s="18">
        <f>IF(52&gt;=DeliverStart,RetailRentMo*BC$9*MIN(1,'LeaseUp'!BC$9/StabilizedOccupancy),0)</f>
        <v/>
      </c>
      <c r="BD21" s="18">
        <f>IF(53&gt;=DeliverStart,RetailRentMo*BD$9*MIN(1,'LeaseUp'!BD$9/StabilizedOccupancy),0)</f>
        <v/>
      </c>
      <c r="BE21" s="18">
        <f>IF(54&gt;=DeliverStart,RetailRentMo*BE$9*MIN(1,'LeaseUp'!BE$9/StabilizedOccupancy),0)</f>
        <v/>
      </c>
      <c r="BF21" s="18">
        <f>IF(55&gt;=DeliverStart,RetailRentMo*BF$9*MIN(1,'LeaseUp'!BF$9/StabilizedOccupancy),0)</f>
        <v/>
      </c>
      <c r="BG21" s="18">
        <f>IF(56&gt;=DeliverStart,RetailRentMo*BG$9*MIN(1,'LeaseUp'!BG$9/StabilizedOccupancy),0)</f>
        <v/>
      </c>
      <c r="BH21" s="18">
        <f>IF(57&gt;=DeliverStart,RetailRentMo*BH$9*MIN(1,'LeaseUp'!BH$9/StabilizedOccupancy),0)</f>
        <v/>
      </c>
      <c r="BI21" s="18">
        <f>IF(58&gt;=DeliverStart,RetailRentMo*BI$9*MIN(1,'LeaseUp'!BI$9/StabilizedOccupancy),0)</f>
        <v/>
      </c>
      <c r="BJ21" s="18">
        <f>IF(59&gt;=DeliverStart,RetailRentMo*BJ$9*MIN(1,'LeaseUp'!BJ$9/StabilizedOccupancy),0)</f>
        <v/>
      </c>
      <c r="BK21" s="18">
        <f>IF(60&gt;=DeliverStart,RetailRentMo*BK$9*MIN(1,'LeaseUp'!BK$9/StabilizedOccupancy),0)</f>
        <v/>
      </c>
      <c r="BL21" s="18">
        <f>IF(61&gt;=DeliverStart,RetailRentMo*BL$9*MIN(1,'LeaseUp'!BL$9/StabilizedOccupancy),0)</f>
        <v/>
      </c>
      <c r="BM21" s="18">
        <f>IF(62&gt;=DeliverStart,RetailRentMo*BM$9*MIN(1,'LeaseUp'!BM$9/StabilizedOccupancy),0)</f>
        <v/>
      </c>
      <c r="BN21" s="18">
        <f>IF(63&gt;=DeliverStart,RetailRentMo*BN$9*MIN(1,'LeaseUp'!BN$9/StabilizedOccupancy),0)</f>
        <v/>
      </c>
      <c r="BO21" s="18">
        <f>IF(64&gt;=DeliverStart,RetailRentMo*BO$9*MIN(1,'LeaseUp'!BO$9/StabilizedOccupancy),0)</f>
        <v/>
      </c>
      <c r="BP21" s="18">
        <f>IF(65&gt;=DeliverStart,RetailRentMo*BP$9*MIN(1,'LeaseUp'!BP$9/StabilizedOccupancy),0)</f>
        <v/>
      </c>
      <c r="BQ21" s="18">
        <f>IF(66&gt;=DeliverStart,RetailRentMo*BQ$9*MIN(1,'LeaseUp'!BQ$9/StabilizedOccupancy),0)</f>
        <v/>
      </c>
      <c r="BR21" s="18">
        <f>IF(67&gt;=DeliverStart,RetailRentMo*BR$9*MIN(1,'LeaseUp'!BR$9/StabilizedOccupancy),0)</f>
        <v/>
      </c>
      <c r="BS21" s="18">
        <f>IF(68&gt;=DeliverStart,RetailRentMo*BS$9*MIN(1,'LeaseUp'!BS$9/StabilizedOccupancy),0)</f>
        <v/>
      </c>
      <c r="BT21" s="18">
        <f>IF(69&gt;=DeliverStart,RetailRentMo*BT$9*MIN(1,'LeaseUp'!BT$9/StabilizedOccupancy),0)</f>
        <v/>
      </c>
      <c r="BU21" s="18">
        <f>IF(70&gt;=DeliverStart,RetailRentMo*BU$9*MIN(1,'LeaseUp'!BU$9/StabilizedOccupancy),0)</f>
        <v/>
      </c>
      <c r="BV21" s="18">
        <f>IF(71&gt;=DeliverStart,RetailRentMo*BV$9*MIN(1,'LeaseUp'!BV$9/StabilizedOccupancy),0)</f>
        <v/>
      </c>
      <c r="BW21" s="18">
        <f>IF(72&gt;=DeliverStart,RetailRentMo*BW$9*MIN(1,'LeaseUp'!BW$9/StabilizedOccupancy),0)</f>
        <v/>
      </c>
      <c r="BX21" s="18">
        <f>IF(73&gt;=DeliverStart,RetailRentMo*BX$9*MIN(1,'LeaseUp'!BX$9/StabilizedOccupancy),0)</f>
        <v/>
      </c>
      <c r="BY21" s="18">
        <f>IF(74&gt;=DeliverStart,RetailRentMo*BY$9*MIN(1,'LeaseUp'!BY$9/StabilizedOccupancy),0)</f>
        <v/>
      </c>
      <c r="BZ21" s="18">
        <f>IF(75&gt;=DeliverStart,RetailRentMo*BZ$9*MIN(1,'LeaseUp'!BZ$9/StabilizedOccupancy),0)</f>
        <v/>
      </c>
      <c r="CA21" s="18">
        <f>IF(76&gt;=DeliverStart,RetailRentMo*CA$9*MIN(1,'LeaseUp'!CA$9/StabilizedOccupancy),0)</f>
        <v/>
      </c>
      <c r="CB21" s="18">
        <f>IF(77&gt;=DeliverStart,RetailRentMo*CB$9*MIN(1,'LeaseUp'!CB$9/StabilizedOccupancy),0)</f>
        <v/>
      </c>
      <c r="CC21" s="18">
        <f>IF(78&gt;=DeliverStart,RetailRentMo*CC$9*MIN(1,'LeaseUp'!CC$9/StabilizedOccupancy),0)</f>
        <v/>
      </c>
      <c r="CD21" s="18">
        <f>IF(79&gt;=DeliverStart,RetailRentMo*CD$9*MIN(1,'LeaseUp'!CD$9/StabilizedOccupancy),0)</f>
        <v/>
      </c>
      <c r="CE21" s="18">
        <f>IF(80&gt;=DeliverStart,RetailRentMo*CE$9*MIN(1,'LeaseUp'!CE$9/StabilizedOccupancy),0)</f>
        <v/>
      </c>
      <c r="CF21" s="18">
        <f>IF(81&gt;=DeliverStart,RetailRentMo*CF$9*MIN(1,'LeaseUp'!CF$9/StabilizedOccupancy),0)</f>
        <v/>
      </c>
      <c r="CG21" s="18">
        <f>IF(82&gt;=DeliverStart,RetailRentMo*CG$9*MIN(1,'LeaseUp'!CG$9/StabilizedOccupancy),0)</f>
        <v/>
      </c>
      <c r="CH21" s="18">
        <f>IF(83&gt;=DeliverStart,RetailRentMo*CH$9*MIN(1,'LeaseUp'!CH$9/StabilizedOccupancy),0)</f>
        <v/>
      </c>
      <c r="CI21" s="18">
        <f>IF(84&gt;=DeliverStart,RetailRentMo*CI$9*MIN(1,'LeaseUp'!CI$9/StabilizedOccupancy),0)</f>
        <v/>
      </c>
      <c r="CJ21" s="18">
        <f>IF(85&gt;=DeliverStart,RetailRentMo*CJ$9*MIN(1,'LeaseUp'!CJ$9/StabilizedOccupancy),0)</f>
        <v/>
      </c>
      <c r="CK21" s="18">
        <f>IF(86&gt;=DeliverStart,RetailRentMo*CK$9*MIN(1,'LeaseUp'!CK$9/StabilizedOccupancy),0)</f>
        <v/>
      </c>
      <c r="CL21" s="18">
        <f>IF(87&gt;=DeliverStart,RetailRentMo*CL$9*MIN(1,'LeaseUp'!CL$9/StabilizedOccupancy),0)</f>
        <v/>
      </c>
      <c r="CM21" s="18">
        <f>IF(88&gt;=DeliverStart,RetailRentMo*CM$9*MIN(1,'LeaseUp'!CM$9/StabilizedOccupancy),0)</f>
        <v/>
      </c>
      <c r="CN21" s="18">
        <f>IF(89&gt;=DeliverStart,RetailRentMo*CN$9*MIN(1,'LeaseUp'!CN$9/StabilizedOccupancy),0)</f>
        <v/>
      </c>
      <c r="CO21" s="18">
        <f>IF(90&gt;=DeliverStart,RetailRentMo*CO$9*MIN(1,'LeaseUp'!CO$9/StabilizedOccupancy),0)</f>
        <v/>
      </c>
      <c r="CP21" s="18">
        <f>IF(91&gt;=DeliverStart,RetailRentMo*CP$9*MIN(1,'LeaseUp'!CP$9/StabilizedOccupancy),0)</f>
        <v/>
      </c>
      <c r="CQ21" s="18">
        <f>IF(92&gt;=DeliverStart,RetailRentMo*CQ$9*MIN(1,'LeaseUp'!CQ$9/StabilizedOccupancy),0)</f>
        <v/>
      </c>
      <c r="CR21" s="18">
        <f>IF(93&gt;=DeliverStart,RetailRentMo*CR$9*MIN(1,'LeaseUp'!CR$9/StabilizedOccupancy),0)</f>
        <v/>
      </c>
      <c r="CS21" s="18">
        <f>IF(94&gt;=DeliverStart,RetailRentMo*CS$9*MIN(1,'LeaseUp'!CS$9/StabilizedOccupancy),0)</f>
        <v/>
      </c>
      <c r="CT21" s="18">
        <f>IF(95&gt;=DeliverStart,RetailRentMo*CT$9*MIN(1,'LeaseUp'!CT$9/StabilizedOccupancy),0)</f>
        <v/>
      </c>
      <c r="CU21" s="18">
        <f>IF(96&gt;=DeliverStart,RetailRentMo*CU$9*MIN(1,'LeaseUp'!CU$9/StabilizedOccupancy),0)</f>
        <v/>
      </c>
      <c r="CV21" s="18">
        <f>IF(97&gt;=DeliverStart,RetailRentMo*CV$9*MIN(1,'LeaseUp'!CV$9/StabilizedOccupancy),0)</f>
        <v/>
      </c>
      <c r="CW21" s="18">
        <f>IF(98&gt;=DeliverStart,RetailRentMo*CW$9*MIN(1,'LeaseUp'!CW$9/StabilizedOccupancy),0)</f>
        <v/>
      </c>
      <c r="CX21" s="18">
        <f>IF(99&gt;=DeliverStart,RetailRentMo*CX$9*MIN(1,'LeaseUp'!CX$9/StabilizedOccupancy),0)</f>
        <v/>
      </c>
      <c r="CY21" s="18">
        <f>IF(100&gt;=DeliverStart,RetailRentMo*CY$9*MIN(1,'LeaseUp'!CY$9/StabilizedOccupancy),0)</f>
        <v/>
      </c>
      <c r="CZ21" s="18">
        <f>IF(101&gt;=DeliverStart,RetailRentMo*CZ$9*MIN(1,'LeaseUp'!CZ$9/StabilizedOccupancy),0)</f>
        <v/>
      </c>
      <c r="DA21" s="18">
        <f>IF(102&gt;=DeliverStart,RetailRentMo*DA$9*MIN(1,'LeaseUp'!DA$9/StabilizedOccupancy),0)</f>
        <v/>
      </c>
      <c r="DB21" s="18">
        <f>IF(103&gt;=DeliverStart,RetailRentMo*DB$9*MIN(1,'LeaseUp'!DB$9/StabilizedOccupancy),0)</f>
        <v/>
      </c>
      <c r="DC21" s="18">
        <f>IF(104&gt;=DeliverStart,RetailRentMo*DC$9*MIN(1,'LeaseUp'!DC$9/StabilizedOccupancy),0)</f>
        <v/>
      </c>
      <c r="DD21" s="18">
        <f>IF(105&gt;=DeliverStart,RetailRentMo*DD$9*MIN(1,'LeaseUp'!DD$9/StabilizedOccupancy),0)</f>
        <v/>
      </c>
      <c r="DE21" s="18">
        <f>IF(106&gt;=DeliverStart,RetailRentMo*DE$9*MIN(1,'LeaseUp'!DE$9/StabilizedOccupancy),0)</f>
        <v/>
      </c>
      <c r="DF21" s="18">
        <f>IF(107&gt;=DeliverStart,RetailRentMo*DF$9*MIN(1,'LeaseUp'!DF$9/StabilizedOccupancy),0)</f>
        <v/>
      </c>
      <c r="DG21" s="18">
        <f>IF(108&gt;=DeliverStart,RetailRentMo*DG$9*MIN(1,'LeaseUp'!DG$9/StabilizedOccupancy),0)</f>
        <v/>
      </c>
      <c r="DH21" s="18">
        <f>IF(109&gt;=DeliverStart,RetailRentMo*DH$9*MIN(1,'LeaseUp'!DH$9/StabilizedOccupancy),0)</f>
        <v/>
      </c>
      <c r="DI21" s="18">
        <f>IF(110&gt;=DeliverStart,RetailRentMo*DI$9*MIN(1,'LeaseUp'!DI$9/StabilizedOccupancy),0)</f>
        <v/>
      </c>
      <c r="DJ21" s="18">
        <f>IF(111&gt;=DeliverStart,RetailRentMo*DJ$9*MIN(1,'LeaseUp'!DJ$9/StabilizedOccupancy),0)</f>
        <v/>
      </c>
      <c r="DK21" s="18">
        <f>IF(112&gt;=DeliverStart,RetailRentMo*DK$9*MIN(1,'LeaseUp'!DK$9/StabilizedOccupancy),0)</f>
        <v/>
      </c>
      <c r="DL21" s="18">
        <f>IF(113&gt;=DeliverStart,RetailRentMo*DL$9*MIN(1,'LeaseUp'!DL$9/StabilizedOccupancy),0)</f>
        <v/>
      </c>
      <c r="DM21" s="18">
        <f>IF(114&gt;=DeliverStart,RetailRentMo*DM$9*MIN(1,'LeaseUp'!DM$9/StabilizedOccupancy),0)</f>
        <v/>
      </c>
      <c r="DN21" s="18">
        <f>IF(115&gt;=DeliverStart,RetailRentMo*DN$9*MIN(1,'LeaseUp'!DN$9/StabilizedOccupancy),0)</f>
        <v/>
      </c>
      <c r="DO21" s="18">
        <f>IF(116&gt;=DeliverStart,RetailRentMo*DO$9*MIN(1,'LeaseUp'!DO$9/StabilizedOccupancy),0)</f>
        <v/>
      </c>
      <c r="DP21" s="18">
        <f>IF(117&gt;=DeliverStart,RetailRentMo*DP$9*MIN(1,'LeaseUp'!DP$9/StabilizedOccupancy),0)</f>
        <v/>
      </c>
      <c r="DQ21" s="18">
        <f>IF(118&gt;=DeliverStart,RetailRentMo*DQ$9*MIN(1,'LeaseUp'!DQ$9/StabilizedOccupancy),0)</f>
        <v/>
      </c>
      <c r="DR21" s="18">
        <f>IF(119&gt;=DeliverStart,RetailRentMo*DR$9*MIN(1,'LeaseUp'!DR$9/StabilizedOccupancy),0)</f>
        <v/>
      </c>
      <c r="DS21" s="18">
        <f>IF(120&gt;=DeliverStart,RetailRentMo*DS$9*MIN(1,'LeaseUp'!DS$9/StabilizedOccupancy),0)</f>
        <v/>
      </c>
      <c r="DT21" s="18">
        <f>IF(121&gt;=DeliverStart,RetailRentMo*DT$9*MIN(1,'LeaseUp'!DT$9/StabilizedOccupancy),0)</f>
        <v/>
      </c>
      <c r="DU21" s="18">
        <f>IF(122&gt;=DeliverStart,RetailRentMo*DU$9*MIN(1,'LeaseUp'!DU$9/StabilizedOccupancy),0)</f>
        <v/>
      </c>
      <c r="DV21" s="18">
        <f>IF(123&gt;=DeliverStart,RetailRentMo*DV$9*MIN(1,'LeaseUp'!DV$9/StabilizedOccupancy),0)</f>
        <v/>
      </c>
      <c r="DW21" s="18">
        <f>IF(124&gt;=DeliverStart,RetailRentMo*DW$9*MIN(1,'LeaseUp'!DW$9/StabilizedOccupancy),0)</f>
        <v/>
      </c>
      <c r="DX21" s="18">
        <f>IF(125&gt;=DeliverStart,RetailRentMo*DX$9*MIN(1,'LeaseUp'!DX$9/StabilizedOccupancy),0)</f>
        <v/>
      </c>
      <c r="DY21" s="18">
        <f>IF(126&gt;=DeliverStart,RetailRentMo*DY$9*MIN(1,'LeaseUp'!DY$9/StabilizedOccupancy),0)</f>
        <v/>
      </c>
      <c r="DZ21" s="18">
        <f>IF(127&gt;=DeliverStart,RetailRentMo*DZ$9*MIN(1,'LeaseUp'!DZ$9/StabilizedOccupancy),0)</f>
        <v/>
      </c>
      <c r="EA21" s="18">
        <f>IF(128&gt;=DeliverStart,RetailRentMo*EA$9*MIN(1,'LeaseUp'!EA$9/StabilizedOccupancy),0)</f>
        <v/>
      </c>
      <c r="EB21" s="18">
        <f>IF(129&gt;=DeliverStart,RetailRentMo*EB$9*MIN(1,'LeaseUp'!EB$9/StabilizedOccupancy),0)</f>
        <v/>
      </c>
      <c r="EC21" s="18">
        <f>IF(130&gt;=DeliverStart,RetailRentMo*EC$9*MIN(1,'LeaseUp'!EC$9/StabilizedOccupancy),0)</f>
        <v/>
      </c>
      <c r="ED21" s="18">
        <f>IF(131&gt;=DeliverStart,RetailRentMo*ED$9*MIN(1,'LeaseUp'!ED$9/StabilizedOccupancy),0)</f>
        <v/>
      </c>
      <c r="EE21" s="18">
        <f>IF(132&gt;=DeliverStart,RetailRentMo*EE$9*MIN(1,'LeaseUp'!EE$9/StabilizedOccupancy),0)</f>
        <v/>
      </c>
      <c r="EF21" s="18">
        <f>IF(133&gt;=DeliverStart,RetailRentMo*EF$9*MIN(1,'LeaseUp'!EF$9/StabilizedOccupancy),0)</f>
        <v/>
      </c>
      <c r="EG21" s="18">
        <f>IF(134&gt;=DeliverStart,RetailRentMo*EG$9*MIN(1,'LeaseUp'!EG$9/StabilizedOccupancy),0)</f>
        <v/>
      </c>
      <c r="EH21" s="18">
        <f>IF(135&gt;=DeliverStart,RetailRentMo*EH$9*MIN(1,'LeaseUp'!EH$9/StabilizedOccupancy),0)</f>
        <v/>
      </c>
      <c r="EI21" s="18">
        <f>IF(136&gt;=DeliverStart,RetailRentMo*EI$9*MIN(1,'LeaseUp'!EI$9/StabilizedOccupancy),0)</f>
        <v/>
      </c>
      <c r="EJ21" s="18">
        <f>IF(137&gt;=DeliverStart,RetailRentMo*EJ$9*MIN(1,'LeaseUp'!EJ$9/StabilizedOccupancy),0)</f>
        <v/>
      </c>
      <c r="EK21" s="18">
        <f>IF(138&gt;=DeliverStart,RetailRentMo*EK$9*MIN(1,'LeaseUp'!EK$9/StabilizedOccupancy),0)</f>
        <v/>
      </c>
      <c r="EL21" s="18">
        <f>IF(139&gt;=DeliverStart,RetailRentMo*EL$9*MIN(1,'LeaseUp'!EL$9/StabilizedOccupancy),0)</f>
        <v/>
      </c>
      <c r="EM21" s="18">
        <f>IF(140&gt;=DeliverStart,RetailRentMo*EM$9*MIN(1,'LeaseUp'!EM$9/StabilizedOccupancy),0)</f>
        <v/>
      </c>
      <c r="EN21" s="18">
        <f>IF(141&gt;=DeliverStart,RetailRentMo*EN$9*MIN(1,'LeaseUp'!EN$9/StabilizedOccupancy),0)</f>
        <v/>
      </c>
      <c r="EO21" s="18">
        <f>IF(142&gt;=DeliverStart,RetailRentMo*EO$9*MIN(1,'LeaseUp'!EO$9/StabilizedOccupancy),0)</f>
        <v/>
      </c>
      <c r="EP21" s="18">
        <f>IF(143&gt;=DeliverStart,RetailRentMo*EP$9*MIN(1,'LeaseUp'!EP$9/StabilizedOccupancy),0)</f>
        <v/>
      </c>
      <c r="EQ21" s="18">
        <f>IF(144&gt;=DeliverStart,RetailRentMo*EQ$9*MIN(1,'LeaseUp'!EQ$9/StabilizedOccupancy),0)</f>
        <v/>
      </c>
      <c r="ER21" s="18">
        <f>IF(145&gt;=DeliverStart,RetailRentMo*ER$9*MIN(1,'LeaseUp'!ER$9/StabilizedOccupancy),0)</f>
        <v/>
      </c>
      <c r="ES21" s="18">
        <f>IF(146&gt;=DeliverStart,RetailRentMo*ES$9*MIN(1,'LeaseUp'!ES$9/StabilizedOccupancy),0)</f>
        <v/>
      </c>
      <c r="ET21" s="18">
        <f>IF(147&gt;=DeliverStart,RetailRentMo*ET$9*MIN(1,'LeaseUp'!ET$9/StabilizedOccupancy),0)</f>
        <v/>
      </c>
      <c r="EU21" s="18">
        <f>IF(148&gt;=DeliverStart,RetailRentMo*EU$9*MIN(1,'LeaseUp'!EU$9/StabilizedOccupancy),0)</f>
        <v/>
      </c>
      <c r="EV21" s="18">
        <f>IF(149&gt;=DeliverStart,RetailRentMo*EV$9*MIN(1,'LeaseUp'!EV$9/StabilizedOccupancy),0)</f>
        <v/>
      </c>
      <c r="EW21" s="18">
        <f>IF(150&gt;=DeliverStart,RetailRentMo*EW$9*MIN(1,'LeaseUp'!EW$9/StabilizedOccupancy),0)</f>
        <v/>
      </c>
      <c r="EX21" s="18">
        <f>IF(151&gt;=DeliverStart,RetailRentMo*EX$9*MIN(1,'LeaseUp'!EX$9/StabilizedOccupancy),0)</f>
        <v/>
      </c>
      <c r="EY21" s="18">
        <f>IF(152&gt;=DeliverStart,RetailRentMo*EY$9*MIN(1,'LeaseUp'!EY$9/StabilizedOccupancy),0)</f>
        <v/>
      </c>
      <c r="EZ21" s="18">
        <f>IF(153&gt;=DeliverStart,RetailRentMo*EZ$9*MIN(1,'LeaseUp'!EZ$9/StabilizedOccupancy),0)</f>
        <v/>
      </c>
      <c r="FA21" s="18">
        <f>IF(154&gt;=DeliverStart,RetailRentMo*FA$9*MIN(1,'LeaseUp'!FA$9/StabilizedOccupancy),0)</f>
        <v/>
      </c>
      <c r="FB21" s="18">
        <f>IF(155&gt;=DeliverStart,RetailRentMo*FB$9*MIN(1,'LeaseUp'!FB$9/StabilizedOccupancy),0)</f>
        <v/>
      </c>
      <c r="FC21" s="18">
        <f>IF(156&gt;=DeliverStart,RetailRentMo*FC$9*MIN(1,'LeaseUp'!FC$9/StabilizedOccupancy),0)</f>
        <v/>
      </c>
      <c r="FD21" s="18">
        <f>IF(157&gt;=DeliverStart,RetailRentMo*FD$9*MIN(1,'LeaseUp'!FD$9/StabilizedOccupancy),0)</f>
        <v/>
      </c>
      <c r="FE21" s="18">
        <f>IF(158&gt;=DeliverStart,RetailRentMo*FE$9*MIN(1,'LeaseUp'!FE$9/StabilizedOccupancy),0)</f>
        <v/>
      </c>
      <c r="FF21" s="18">
        <f>IF(159&gt;=DeliverStart,RetailRentMo*FF$9*MIN(1,'LeaseUp'!FF$9/StabilizedOccupancy),0)</f>
        <v/>
      </c>
      <c r="FG21" s="18">
        <f>IF(160&gt;=DeliverStart,RetailRentMo*FG$9*MIN(1,'LeaseUp'!FG$9/StabilizedOccupancy),0)</f>
        <v/>
      </c>
      <c r="FH21" s="18">
        <f>IF(161&gt;=DeliverStart,RetailRentMo*FH$9*MIN(1,'LeaseUp'!FH$9/StabilizedOccupancy),0)</f>
        <v/>
      </c>
      <c r="FI21" s="18">
        <f>IF(162&gt;=DeliverStart,RetailRentMo*FI$9*MIN(1,'LeaseUp'!FI$9/StabilizedOccupancy),0)</f>
        <v/>
      </c>
      <c r="FJ21" s="18">
        <f>IF(163&gt;=DeliverStart,RetailRentMo*FJ$9*MIN(1,'LeaseUp'!FJ$9/StabilizedOccupancy),0)</f>
        <v/>
      </c>
      <c r="FK21" s="18">
        <f>IF(164&gt;=DeliverStart,RetailRentMo*FK$9*MIN(1,'LeaseUp'!FK$9/StabilizedOccupancy),0)</f>
        <v/>
      </c>
      <c r="FL21" s="18">
        <f>IF(165&gt;=DeliverStart,RetailRentMo*FL$9*MIN(1,'LeaseUp'!FL$9/StabilizedOccupancy),0)</f>
        <v/>
      </c>
      <c r="FM21" s="18">
        <f>IF(166&gt;=DeliverStart,RetailRentMo*FM$9*MIN(1,'LeaseUp'!FM$9/StabilizedOccupancy),0)</f>
        <v/>
      </c>
      <c r="FN21" s="18">
        <f>IF(167&gt;=DeliverStart,RetailRentMo*FN$9*MIN(1,'LeaseUp'!FN$9/StabilizedOccupancy),0)</f>
        <v/>
      </c>
      <c r="FO21" s="18">
        <f>IF(168&gt;=DeliverStart,RetailRentMo*FO$9*MIN(1,'LeaseUp'!FO$9/StabilizedOccupancy),0)</f>
        <v/>
      </c>
      <c r="FP21" s="18">
        <f>IF(169&gt;=DeliverStart,RetailRentMo*FP$9*MIN(1,'LeaseUp'!FP$9/StabilizedOccupancy),0)</f>
        <v/>
      </c>
      <c r="FQ21" s="18">
        <f>IF(170&gt;=DeliverStart,RetailRentMo*FQ$9*MIN(1,'LeaseUp'!FQ$9/StabilizedOccupancy),0)</f>
        <v/>
      </c>
      <c r="FR21" s="18">
        <f>IF(171&gt;=DeliverStart,RetailRentMo*FR$9*MIN(1,'LeaseUp'!FR$9/StabilizedOccupancy),0)</f>
        <v/>
      </c>
      <c r="FS21" s="18">
        <f>IF(172&gt;=DeliverStart,RetailRentMo*FS$9*MIN(1,'LeaseUp'!FS$9/StabilizedOccupancy),0)</f>
        <v/>
      </c>
      <c r="FT21" s="18">
        <f>IF(173&gt;=DeliverStart,RetailRentMo*FT$9*MIN(1,'LeaseUp'!FT$9/StabilizedOccupancy),0)</f>
        <v/>
      </c>
      <c r="FU21" s="18">
        <f>IF(174&gt;=DeliverStart,RetailRentMo*FU$9*MIN(1,'LeaseUp'!FU$9/StabilizedOccupancy),0)</f>
        <v/>
      </c>
      <c r="FV21" s="18">
        <f>IF(175&gt;=DeliverStart,RetailRentMo*FV$9*MIN(1,'LeaseUp'!FV$9/StabilizedOccupancy),0)</f>
        <v/>
      </c>
      <c r="FW21" s="18">
        <f>IF(176&gt;=DeliverStart,RetailRentMo*FW$9*MIN(1,'LeaseUp'!FW$9/StabilizedOccupancy),0)</f>
        <v/>
      </c>
      <c r="FX21" s="18">
        <f>IF(177&gt;=DeliverStart,RetailRentMo*FX$9*MIN(1,'LeaseUp'!FX$9/StabilizedOccupancy),0)</f>
        <v/>
      </c>
      <c r="FY21" s="18">
        <f>IF(178&gt;=DeliverStart,RetailRentMo*FY$9*MIN(1,'LeaseUp'!FY$9/StabilizedOccupancy),0)</f>
        <v/>
      </c>
      <c r="FZ21" s="18">
        <f>IF(179&gt;=DeliverStart,RetailRentMo*FZ$9*MIN(1,'LeaseUp'!FZ$9/StabilizedOccupancy),0)</f>
        <v/>
      </c>
      <c r="GA21" s="18">
        <f>IF(180&gt;=DeliverStart,RetailRentMo*GA$9*MIN(1,'LeaseUp'!GA$9/StabilizedOccupancy),0)</f>
        <v/>
      </c>
      <c r="GB21" s="18">
        <f>IF(181&gt;=DeliverStart,RetailRentMo*GB$9*MIN(1,'LeaseUp'!GB$9/StabilizedOccupancy),0)</f>
        <v/>
      </c>
      <c r="GC21" s="18">
        <f>IF(182&gt;=DeliverStart,RetailRentMo*GC$9*MIN(1,'LeaseUp'!GC$9/StabilizedOccupancy),0)</f>
        <v/>
      </c>
      <c r="GD21" s="18">
        <f>IF(183&gt;=DeliverStart,RetailRentMo*GD$9*MIN(1,'LeaseUp'!GD$9/StabilizedOccupancy),0)</f>
        <v/>
      </c>
      <c r="GE21" s="18">
        <f>IF(184&gt;=DeliverStart,RetailRentMo*GE$9*MIN(1,'LeaseUp'!GE$9/StabilizedOccupancy),0)</f>
        <v/>
      </c>
      <c r="GF21" s="18">
        <f>IF(185&gt;=DeliverStart,RetailRentMo*GF$9*MIN(1,'LeaseUp'!GF$9/StabilizedOccupancy),0)</f>
        <v/>
      </c>
      <c r="GG21" s="18">
        <f>IF(186&gt;=DeliverStart,RetailRentMo*GG$9*MIN(1,'LeaseUp'!GG$9/StabilizedOccupancy),0)</f>
        <v/>
      </c>
      <c r="GH21" s="18">
        <f>IF(187&gt;=DeliverStart,RetailRentMo*GH$9*MIN(1,'LeaseUp'!GH$9/StabilizedOccupancy),0)</f>
        <v/>
      </c>
      <c r="GI21" s="18">
        <f>IF(188&gt;=DeliverStart,RetailRentMo*GI$9*MIN(1,'LeaseUp'!GI$9/StabilizedOccupancy),0)</f>
        <v/>
      </c>
      <c r="GJ21" s="18">
        <f>IF(189&gt;=DeliverStart,RetailRentMo*GJ$9*MIN(1,'LeaseUp'!GJ$9/StabilizedOccupancy),0)</f>
        <v/>
      </c>
      <c r="GK21" s="18">
        <f>IF(190&gt;=DeliverStart,RetailRentMo*GK$9*MIN(1,'LeaseUp'!GK$9/StabilizedOccupancy),0)</f>
        <v/>
      </c>
      <c r="GL21" s="18">
        <f>IF(191&gt;=DeliverStart,RetailRentMo*GL$9*MIN(1,'LeaseUp'!GL$9/StabilizedOccupancy),0)</f>
        <v/>
      </c>
      <c r="GM21" s="18">
        <f>IF(192&gt;=DeliverStart,RetailRentMo*GM$9*MIN(1,'LeaseUp'!GM$9/StabilizedOccupancy),0)</f>
        <v/>
      </c>
      <c r="GN21" s="18">
        <f>IF(193&gt;=DeliverStart,RetailRentMo*GN$9*MIN(1,'LeaseUp'!GN$9/StabilizedOccupancy),0)</f>
        <v/>
      </c>
      <c r="GO21" s="18">
        <f>IF(194&gt;=DeliverStart,RetailRentMo*GO$9*MIN(1,'LeaseUp'!GO$9/StabilizedOccupancy),0)</f>
        <v/>
      </c>
      <c r="GP21" s="18">
        <f>IF(195&gt;=DeliverStart,RetailRentMo*GP$9*MIN(1,'LeaseUp'!GP$9/StabilizedOccupancy),0)</f>
        <v/>
      </c>
      <c r="GQ21" s="18">
        <f>IF(196&gt;=DeliverStart,RetailRentMo*GQ$9*MIN(1,'LeaseUp'!GQ$9/StabilizedOccupancy),0)</f>
        <v/>
      </c>
      <c r="GR21" s="18">
        <f>IF(197&gt;=DeliverStart,RetailRentMo*GR$9*MIN(1,'LeaseUp'!GR$9/StabilizedOccupancy),0)</f>
        <v/>
      </c>
      <c r="GS21" s="18">
        <f>IF(198&gt;=DeliverStart,RetailRentMo*GS$9*MIN(1,'LeaseUp'!GS$9/StabilizedOccupancy),0)</f>
        <v/>
      </c>
      <c r="GT21" s="18">
        <f>IF(199&gt;=DeliverStart,RetailRentMo*GT$9*MIN(1,'LeaseUp'!GT$9/StabilizedOccupancy),0)</f>
        <v/>
      </c>
      <c r="GU21" s="18">
        <f>IF(200&gt;=DeliverStart,RetailRentMo*GU$9*MIN(1,'LeaseUp'!GU$9/StabilizedOccupancy),0)</f>
        <v/>
      </c>
      <c r="GV21" s="18">
        <f>IF(201&gt;=DeliverStart,RetailRentMo*GV$9*MIN(1,'LeaseUp'!GV$9/StabilizedOccupancy),0)</f>
        <v/>
      </c>
      <c r="GW21" s="18">
        <f>IF(202&gt;=DeliverStart,RetailRentMo*GW$9*MIN(1,'LeaseUp'!GW$9/StabilizedOccupancy),0)</f>
        <v/>
      </c>
      <c r="GX21" s="18">
        <f>IF(203&gt;=DeliverStart,RetailRentMo*GX$9*MIN(1,'LeaseUp'!GX$9/StabilizedOccupancy),0)</f>
        <v/>
      </c>
      <c r="GY21" s="18">
        <f>IF(204&gt;=DeliverStart,RetailRentMo*GY$9*MIN(1,'LeaseUp'!GY$9/StabilizedOccupancy),0)</f>
        <v/>
      </c>
      <c r="GZ21" s="18">
        <f>IF(205&gt;=DeliverStart,RetailRentMo*GZ$9*MIN(1,'LeaseUp'!GZ$9/StabilizedOccupancy),0)</f>
        <v/>
      </c>
      <c r="HA21" s="18">
        <f>IF(206&gt;=DeliverStart,RetailRentMo*HA$9*MIN(1,'LeaseUp'!HA$9/StabilizedOccupancy),0)</f>
        <v/>
      </c>
      <c r="HB21" s="18">
        <f>IF(207&gt;=DeliverStart,RetailRentMo*HB$9*MIN(1,'LeaseUp'!HB$9/StabilizedOccupancy),0)</f>
        <v/>
      </c>
      <c r="HC21" s="18">
        <f>IF(208&gt;=DeliverStart,RetailRentMo*HC$9*MIN(1,'LeaseUp'!HC$9/StabilizedOccupancy),0)</f>
        <v/>
      </c>
      <c r="HD21" s="18">
        <f>IF(209&gt;=DeliverStart,RetailRentMo*HD$9*MIN(1,'LeaseUp'!HD$9/StabilizedOccupancy),0)</f>
        <v/>
      </c>
      <c r="HE21" s="18">
        <f>IF(210&gt;=DeliverStart,RetailRentMo*HE$9*MIN(1,'LeaseUp'!HE$9/StabilizedOccupancy),0)</f>
        <v/>
      </c>
      <c r="HF21" s="18">
        <f>IF(211&gt;=DeliverStart,RetailRentMo*HF$9*MIN(1,'LeaseUp'!HF$9/StabilizedOccupancy),0)</f>
        <v/>
      </c>
      <c r="HG21" s="18">
        <f>IF(212&gt;=DeliverStart,RetailRentMo*HG$9*MIN(1,'LeaseUp'!HG$9/StabilizedOccupancy),0)</f>
        <v/>
      </c>
      <c r="HH21" s="18">
        <f>IF(213&gt;=DeliverStart,RetailRentMo*HH$9*MIN(1,'LeaseUp'!HH$9/StabilizedOccupancy),0)</f>
        <v/>
      </c>
      <c r="HI21" s="18">
        <f>IF(214&gt;=DeliverStart,RetailRentMo*HI$9*MIN(1,'LeaseUp'!HI$9/StabilizedOccupancy),0)</f>
        <v/>
      </c>
      <c r="HJ21" s="18">
        <f>IF(215&gt;=DeliverStart,RetailRentMo*HJ$9*MIN(1,'LeaseUp'!HJ$9/StabilizedOccupancy),0)</f>
        <v/>
      </c>
      <c r="HK21" s="18">
        <f>IF(216&gt;=DeliverStart,RetailRentMo*HK$9*MIN(1,'LeaseUp'!HK$9/StabilizedOccupancy),0)</f>
        <v/>
      </c>
      <c r="HL21" s="18">
        <f>IF(217&gt;=DeliverStart,RetailRentMo*HL$9*MIN(1,'LeaseUp'!HL$9/StabilizedOccupancy),0)</f>
        <v/>
      </c>
      <c r="HM21" s="18">
        <f>IF(218&gt;=DeliverStart,RetailRentMo*HM$9*MIN(1,'LeaseUp'!HM$9/StabilizedOccupancy),0)</f>
        <v/>
      </c>
      <c r="HN21" s="18">
        <f>IF(219&gt;=DeliverStart,RetailRentMo*HN$9*MIN(1,'LeaseUp'!HN$9/StabilizedOccupancy),0)</f>
        <v/>
      </c>
      <c r="HO21" s="18">
        <f>IF(220&gt;=DeliverStart,RetailRentMo*HO$9*MIN(1,'LeaseUp'!HO$9/StabilizedOccupancy),0)</f>
        <v/>
      </c>
      <c r="HP21" s="18">
        <f>IF(221&gt;=DeliverStart,RetailRentMo*HP$9*MIN(1,'LeaseUp'!HP$9/StabilizedOccupancy),0)</f>
        <v/>
      </c>
      <c r="HQ21" s="18">
        <f>IF(222&gt;=DeliverStart,RetailRentMo*HQ$9*MIN(1,'LeaseUp'!HQ$9/StabilizedOccupancy),0)</f>
        <v/>
      </c>
      <c r="HR21" s="18">
        <f>IF(223&gt;=DeliverStart,RetailRentMo*HR$9*MIN(1,'LeaseUp'!HR$9/StabilizedOccupancy),0)</f>
        <v/>
      </c>
      <c r="HS21" s="18">
        <f>IF(224&gt;=DeliverStart,RetailRentMo*HS$9*MIN(1,'LeaseUp'!HS$9/StabilizedOccupancy),0)</f>
        <v/>
      </c>
      <c r="HT21" s="18">
        <f>IF(225&gt;=DeliverStart,RetailRentMo*HT$9*MIN(1,'LeaseUp'!HT$9/StabilizedOccupancy),0)</f>
        <v/>
      </c>
      <c r="HU21" s="18">
        <f>IF(226&gt;=DeliverStart,RetailRentMo*HU$9*MIN(1,'LeaseUp'!HU$9/StabilizedOccupancy),0)</f>
        <v/>
      </c>
      <c r="HV21" s="18">
        <f>IF(227&gt;=DeliverStart,RetailRentMo*HV$9*MIN(1,'LeaseUp'!HV$9/StabilizedOccupancy),0)</f>
        <v/>
      </c>
      <c r="HW21" s="18">
        <f>IF(228&gt;=DeliverStart,RetailRentMo*HW$9*MIN(1,'LeaseUp'!HW$9/StabilizedOccupancy),0)</f>
        <v/>
      </c>
      <c r="HX21" s="18">
        <f>IF(229&gt;=DeliverStart,RetailRentMo*HX$9*MIN(1,'LeaseUp'!HX$9/StabilizedOccupancy),0)</f>
        <v/>
      </c>
      <c r="HY21" s="18">
        <f>IF(230&gt;=DeliverStart,RetailRentMo*HY$9*MIN(1,'LeaseUp'!HY$9/StabilizedOccupancy),0)</f>
        <v/>
      </c>
      <c r="HZ21" s="18">
        <f>IF(231&gt;=DeliverStart,RetailRentMo*HZ$9*MIN(1,'LeaseUp'!HZ$9/StabilizedOccupancy),0)</f>
        <v/>
      </c>
      <c r="IA21" s="18">
        <f>IF(232&gt;=DeliverStart,RetailRentMo*IA$9*MIN(1,'LeaseUp'!IA$9/StabilizedOccupancy),0)</f>
        <v/>
      </c>
      <c r="IB21" s="18">
        <f>IF(233&gt;=DeliverStart,RetailRentMo*IB$9*MIN(1,'LeaseUp'!IB$9/StabilizedOccupancy),0)</f>
        <v/>
      </c>
      <c r="IC21" s="18">
        <f>IF(234&gt;=DeliverStart,RetailRentMo*IC$9*MIN(1,'LeaseUp'!IC$9/StabilizedOccupancy),0)</f>
        <v/>
      </c>
      <c r="ID21" s="18">
        <f>IF(235&gt;=DeliverStart,RetailRentMo*ID$9*MIN(1,'LeaseUp'!ID$9/StabilizedOccupancy),0)</f>
        <v/>
      </c>
      <c r="IE21" s="18">
        <f>IF(236&gt;=DeliverStart,RetailRentMo*IE$9*MIN(1,'LeaseUp'!IE$9/StabilizedOccupancy),0)</f>
        <v/>
      </c>
      <c r="IF21" s="18">
        <f>IF(237&gt;=DeliverStart,RetailRentMo*IF$9*MIN(1,'LeaseUp'!IF$9/StabilizedOccupancy),0)</f>
        <v/>
      </c>
      <c r="IG21" s="18">
        <f>IF(238&gt;=DeliverStart,RetailRentMo*IG$9*MIN(1,'LeaseUp'!IG$9/StabilizedOccupancy),0)</f>
        <v/>
      </c>
      <c r="IH21" s="18">
        <f>IF(239&gt;=DeliverStart,RetailRentMo*IH$9*MIN(1,'LeaseUp'!IH$9/StabilizedOccupancy),0)</f>
        <v/>
      </c>
      <c r="II21" s="18">
        <f>IF(240&gt;=DeliverStart,RetailRentMo*II$9*MIN(1,'LeaseUp'!II$9/StabilizedOccupancy),0)</f>
        <v/>
      </c>
      <c r="IJ21" s="18">
        <f>IF(241&gt;=DeliverStart,RetailRentMo*IJ$9*MIN(1,'LeaseUp'!IJ$9/StabilizedOccupancy),0)</f>
        <v/>
      </c>
      <c r="IK21" s="18">
        <f>IF(242&gt;=DeliverStart,RetailRentMo*IK$9*MIN(1,'LeaseUp'!IK$9/StabilizedOccupancy),0)</f>
        <v/>
      </c>
      <c r="IL21" s="18">
        <f>IF(243&gt;=DeliverStart,RetailRentMo*IL$9*MIN(1,'LeaseUp'!IL$9/StabilizedOccupancy),0)</f>
        <v/>
      </c>
      <c r="IM21" s="18">
        <f>IF(244&gt;=DeliverStart,RetailRentMo*IM$9*MIN(1,'LeaseUp'!IM$9/StabilizedOccupancy),0)</f>
        <v/>
      </c>
      <c r="IN21" s="18">
        <f>IF(245&gt;=DeliverStart,RetailRentMo*IN$9*MIN(1,'LeaseUp'!IN$9/StabilizedOccupancy),0)</f>
        <v/>
      </c>
      <c r="IO21" s="18">
        <f>IF(246&gt;=DeliverStart,RetailRentMo*IO$9*MIN(1,'LeaseUp'!IO$9/StabilizedOccupancy),0)</f>
        <v/>
      </c>
      <c r="IP21" s="18">
        <f>IF(247&gt;=DeliverStart,RetailRentMo*IP$9*MIN(1,'LeaseUp'!IP$9/StabilizedOccupancy),0)</f>
        <v/>
      </c>
      <c r="IQ21" s="18">
        <f>IF(248&gt;=DeliverStart,RetailRentMo*IQ$9*MIN(1,'LeaseUp'!IQ$9/StabilizedOccupancy),0)</f>
        <v/>
      </c>
      <c r="IR21" s="18">
        <f>IF(249&gt;=DeliverStart,RetailRentMo*IR$9*MIN(1,'LeaseUp'!IR$9/StabilizedOccupancy),0)</f>
        <v/>
      </c>
      <c r="IS21" s="18">
        <f>IF(250&gt;=DeliverStart,RetailRentMo*IS$9*MIN(1,'LeaseUp'!IS$9/StabilizedOccupancy),0)</f>
        <v/>
      </c>
      <c r="IT21" s="18">
        <f>IF(251&gt;=DeliverStart,RetailRentMo*IT$9*MIN(1,'LeaseUp'!IT$9/StabilizedOccupancy),0)</f>
        <v/>
      </c>
      <c r="IU21" s="18">
        <f>IF(252&gt;=DeliverStart,RetailRentMo*IU$9*MIN(1,'LeaseUp'!IU$9/StabilizedOccupancy),0)</f>
        <v/>
      </c>
      <c r="IV21" s="18">
        <f>IF(253&gt;=DeliverStart,RetailRentMo*IV$9*MIN(1,'LeaseUp'!IV$9/StabilizedOccupancy),0)</f>
        <v/>
      </c>
      <c r="IW21" s="18">
        <f>IF(254&gt;=DeliverStart,RetailRentMo*IW$9*MIN(1,'LeaseUp'!IW$9/StabilizedOccupancy),0)</f>
        <v/>
      </c>
      <c r="IX21" s="18">
        <f>IF(255&gt;=DeliverStart,RetailRentMo*IX$9*MIN(1,'LeaseUp'!IX$9/StabilizedOccupancy),0)</f>
        <v/>
      </c>
      <c r="IY21" s="18">
        <f>IF(256&gt;=DeliverStart,RetailRentMo*IY$9*MIN(1,'LeaseUp'!IY$9/StabilizedOccupancy),0)</f>
        <v/>
      </c>
      <c r="IZ21" s="18">
        <f>IF(257&gt;=DeliverStart,RetailRentMo*IZ$9*MIN(1,'LeaseUp'!IZ$9/StabilizedOccupancy),0)</f>
        <v/>
      </c>
      <c r="JA21" s="18">
        <f>IF(258&gt;=DeliverStart,RetailRentMo*JA$9*MIN(1,'LeaseUp'!JA$9/StabilizedOccupancy),0)</f>
        <v/>
      </c>
      <c r="JB21" s="18">
        <f>IF(259&gt;=DeliverStart,RetailRentMo*JB$9*MIN(1,'LeaseUp'!JB$9/StabilizedOccupancy),0)</f>
        <v/>
      </c>
      <c r="JC21" s="18">
        <f>IF(260&gt;=DeliverStart,RetailRentMo*JC$9*MIN(1,'LeaseUp'!JC$9/StabilizedOccupancy),0)</f>
        <v/>
      </c>
      <c r="JD21" s="18">
        <f>IF(261&gt;=DeliverStart,RetailRentMo*JD$9*MIN(1,'LeaseUp'!JD$9/StabilizedOccupancy),0)</f>
        <v/>
      </c>
      <c r="JE21" s="18">
        <f>IF(262&gt;=DeliverStart,RetailRentMo*JE$9*MIN(1,'LeaseUp'!JE$9/StabilizedOccupancy),0)</f>
        <v/>
      </c>
      <c r="JF21" s="18">
        <f>IF(263&gt;=DeliverStart,RetailRentMo*JF$9*MIN(1,'LeaseUp'!JF$9/StabilizedOccupancy),0)</f>
        <v/>
      </c>
      <c r="JG21" s="18">
        <f>IF(264&gt;=DeliverStart,RetailRentMo*JG$9*MIN(1,'LeaseUp'!JG$9/StabilizedOccupancy),0)</f>
        <v/>
      </c>
      <c r="JH21" s="18">
        <f>IF(265&gt;=DeliverStart,RetailRentMo*JH$9*MIN(1,'LeaseUp'!JH$9/StabilizedOccupancy),0)</f>
        <v/>
      </c>
      <c r="JI21" s="18">
        <f>IF(266&gt;=DeliverStart,RetailRentMo*JI$9*MIN(1,'LeaseUp'!JI$9/StabilizedOccupancy),0)</f>
        <v/>
      </c>
      <c r="JJ21" s="18">
        <f>IF(267&gt;=DeliverStart,RetailRentMo*JJ$9*MIN(1,'LeaseUp'!JJ$9/StabilizedOccupancy),0)</f>
        <v/>
      </c>
      <c r="JK21" s="18">
        <f>IF(268&gt;=DeliverStart,RetailRentMo*JK$9*MIN(1,'LeaseUp'!JK$9/StabilizedOccupancy),0)</f>
        <v/>
      </c>
      <c r="JL21" s="18">
        <f>IF(269&gt;=DeliverStart,RetailRentMo*JL$9*MIN(1,'LeaseUp'!JL$9/StabilizedOccupancy),0)</f>
        <v/>
      </c>
      <c r="JM21" s="18">
        <f>IF(270&gt;=DeliverStart,RetailRentMo*JM$9*MIN(1,'LeaseUp'!JM$9/StabilizedOccupancy),0)</f>
        <v/>
      </c>
      <c r="JN21" s="18">
        <f>IF(271&gt;=DeliverStart,RetailRentMo*JN$9*MIN(1,'LeaseUp'!JN$9/StabilizedOccupancy),0)</f>
        <v/>
      </c>
      <c r="JO21" s="18">
        <f>IF(272&gt;=DeliverStart,RetailRentMo*JO$9*MIN(1,'LeaseUp'!JO$9/StabilizedOccupancy),0)</f>
        <v/>
      </c>
      <c r="JP21" s="18">
        <f>IF(273&gt;=DeliverStart,RetailRentMo*JP$9*MIN(1,'LeaseUp'!JP$9/StabilizedOccupancy),0)</f>
        <v/>
      </c>
      <c r="JQ21" s="18">
        <f>IF(274&gt;=DeliverStart,RetailRentMo*JQ$9*MIN(1,'LeaseUp'!JQ$9/StabilizedOccupancy),0)</f>
        <v/>
      </c>
      <c r="JR21" s="18">
        <f>IF(275&gt;=DeliverStart,RetailRentMo*JR$9*MIN(1,'LeaseUp'!JR$9/StabilizedOccupancy),0)</f>
        <v/>
      </c>
      <c r="JS21" s="18">
        <f>IF(276&gt;=DeliverStart,RetailRentMo*JS$9*MIN(1,'LeaseUp'!JS$9/StabilizedOccupancy),0)</f>
        <v/>
      </c>
      <c r="JT21" s="18">
        <f>IF(277&gt;=DeliverStart,RetailRentMo*JT$9*MIN(1,'LeaseUp'!JT$9/StabilizedOccupancy),0)</f>
        <v/>
      </c>
      <c r="JU21" s="18">
        <f>IF(278&gt;=DeliverStart,RetailRentMo*JU$9*MIN(1,'LeaseUp'!JU$9/StabilizedOccupancy),0)</f>
        <v/>
      </c>
      <c r="JV21" s="18">
        <f>IF(279&gt;=DeliverStart,RetailRentMo*JV$9*MIN(1,'LeaseUp'!JV$9/StabilizedOccupancy),0)</f>
        <v/>
      </c>
      <c r="JW21" s="18">
        <f>IF(280&gt;=DeliverStart,RetailRentMo*JW$9*MIN(1,'LeaseUp'!JW$9/StabilizedOccupancy),0)</f>
        <v/>
      </c>
      <c r="JX21" s="18">
        <f>IF(281&gt;=DeliverStart,RetailRentMo*JX$9*MIN(1,'LeaseUp'!JX$9/StabilizedOccupancy),0)</f>
        <v/>
      </c>
      <c r="JY21" s="18">
        <f>IF(282&gt;=DeliverStart,RetailRentMo*JY$9*MIN(1,'LeaseUp'!JY$9/StabilizedOccupancy),0)</f>
        <v/>
      </c>
      <c r="JZ21" s="18">
        <f>IF(283&gt;=DeliverStart,RetailRentMo*JZ$9*MIN(1,'LeaseUp'!JZ$9/StabilizedOccupancy),0)</f>
        <v/>
      </c>
      <c r="KA21" s="18">
        <f>IF(284&gt;=DeliverStart,RetailRentMo*KA$9*MIN(1,'LeaseUp'!KA$9/StabilizedOccupancy),0)</f>
        <v/>
      </c>
      <c r="KB21" s="18">
        <f>IF(285&gt;=DeliverStart,RetailRentMo*KB$9*MIN(1,'LeaseUp'!KB$9/StabilizedOccupancy),0)</f>
        <v/>
      </c>
      <c r="KC21" s="18">
        <f>IF(286&gt;=DeliverStart,RetailRentMo*KC$9*MIN(1,'LeaseUp'!KC$9/StabilizedOccupancy),0)</f>
        <v/>
      </c>
      <c r="KD21" s="18">
        <f>IF(287&gt;=DeliverStart,RetailRentMo*KD$9*MIN(1,'LeaseUp'!KD$9/StabilizedOccupancy),0)</f>
        <v/>
      </c>
      <c r="KE21" s="18">
        <f>IF(288&gt;=DeliverStart,RetailRentMo*KE$9*MIN(1,'LeaseUp'!KE$9/StabilizedOccupancy),0)</f>
        <v/>
      </c>
      <c r="KF21" s="18">
        <f>IF(289&gt;=DeliverStart,RetailRentMo*KF$9*MIN(1,'LeaseUp'!KF$9/StabilizedOccupancy),0)</f>
        <v/>
      </c>
      <c r="KG21" s="18">
        <f>IF(290&gt;=DeliverStart,RetailRentMo*KG$9*MIN(1,'LeaseUp'!KG$9/StabilizedOccupancy),0)</f>
        <v/>
      </c>
      <c r="KH21" s="18">
        <f>IF(291&gt;=DeliverStart,RetailRentMo*KH$9*MIN(1,'LeaseUp'!KH$9/StabilizedOccupancy),0)</f>
        <v/>
      </c>
      <c r="KI21" s="18">
        <f>IF(292&gt;=DeliverStart,RetailRentMo*KI$9*MIN(1,'LeaseUp'!KI$9/StabilizedOccupancy),0)</f>
        <v/>
      </c>
      <c r="KJ21" s="18">
        <f>IF(293&gt;=DeliverStart,RetailRentMo*KJ$9*MIN(1,'LeaseUp'!KJ$9/StabilizedOccupancy),0)</f>
        <v/>
      </c>
      <c r="KK21" s="18">
        <f>IF(294&gt;=DeliverStart,RetailRentMo*KK$9*MIN(1,'LeaseUp'!KK$9/StabilizedOccupancy),0)</f>
        <v/>
      </c>
      <c r="KL21" s="18">
        <f>IF(295&gt;=DeliverStart,RetailRentMo*KL$9*MIN(1,'LeaseUp'!KL$9/StabilizedOccupancy),0)</f>
        <v/>
      </c>
      <c r="KM21" s="18">
        <f>IF(296&gt;=DeliverStart,RetailRentMo*KM$9*MIN(1,'LeaseUp'!KM$9/StabilizedOccupancy),0)</f>
        <v/>
      </c>
      <c r="KN21" s="18">
        <f>IF(297&gt;=DeliverStart,RetailRentMo*KN$9*MIN(1,'LeaseUp'!KN$9/StabilizedOccupancy),0)</f>
        <v/>
      </c>
      <c r="KO21" s="18">
        <f>IF(298&gt;=DeliverStart,RetailRentMo*KO$9*MIN(1,'LeaseUp'!KO$9/StabilizedOccupancy),0)</f>
        <v/>
      </c>
      <c r="KP21" s="18">
        <f>IF(299&gt;=DeliverStart,RetailRentMo*KP$9*MIN(1,'LeaseUp'!KP$9/StabilizedOccupancy),0)</f>
        <v/>
      </c>
      <c r="KQ21" s="18">
        <f>IF(300&gt;=DeliverStart,RetailRentMo*KQ$9*MIN(1,'LeaseUp'!KQ$9/StabilizedOccupancy),0)</f>
        <v/>
      </c>
      <c r="KR21" s="18">
        <f>IF(301&gt;=DeliverStart,RetailRentMo*KR$9*MIN(1,'LeaseUp'!KR$9/StabilizedOccupancy),0)</f>
        <v/>
      </c>
      <c r="KS21" s="18">
        <f>IF(302&gt;=DeliverStart,RetailRentMo*KS$9*MIN(1,'LeaseUp'!KS$9/StabilizedOccupancy),0)</f>
        <v/>
      </c>
      <c r="KT21" s="18">
        <f>IF(303&gt;=DeliverStart,RetailRentMo*KT$9*MIN(1,'LeaseUp'!KT$9/StabilizedOccupancy),0)</f>
        <v/>
      </c>
      <c r="KU21" s="18">
        <f>IF(304&gt;=DeliverStart,RetailRentMo*KU$9*MIN(1,'LeaseUp'!KU$9/StabilizedOccupancy),0)</f>
        <v/>
      </c>
      <c r="KV21" s="18">
        <f>IF(305&gt;=DeliverStart,RetailRentMo*KV$9*MIN(1,'LeaseUp'!KV$9/StabilizedOccupancy),0)</f>
        <v/>
      </c>
      <c r="KW21" s="18">
        <f>IF(306&gt;=DeliverStart,RetailRentMo*KW$9*MIN(1,'LeaseUp'!KW$9/StabilizedOccupancy),0)</f>
        <v/>
      </c>
      <c r="KX21" s="18">
        <f>IF(307&gt;=DeliverStart,RetailRentMo*KX$9*MIN(1,'LeaseUp'!KX$9/StabilizedOccupancy),0)</f>
        <v/>
      </c>
      <c r="KY21" s="18">
        <f>IF(308&gt;=DeliverStart,RetailRentMo*KY$9*MIN(1,'LeaseUp'!KY$9/StabilizedOccupancy),0)</f>
        <v/>
      </c>
      <c r="KZ21" s="18">
        <f>IF(309&gt;=DeliverStart,RetailRentMo*KZ$9*MIN(1,'LeaseUp'!KZ$9/StabilizedOccupancy),0)</f>
        <v/>
      </c>
      <c r="LA21" s="18">
        <f>IF(310&gt;=DeliverStart,RetailRentMo*LA$9*MIN(1,'LeaseUp'!LA$9/StabilizedOccupancy),0)</f>
        <v/>
      </c>
      <c r="LB21" s="18">
        <f>IF(311&gt;=DeliverStart,RetailRentMo*LB$9*MIN(1,'LeaseUp'!LB$9/StabilizedOccupancy),0)</f>
        <v/>
      </c>
      <c r="LC21" s="18">
        <f>IF(312&gt;=DeliverStart,RetailRentMo*LC$9*MIN(1,'LeaseUp'!LC$9/StabilizedOccupancy),0)</f>
        <v/>
      </c>
      <c r="LD21" s="18">
        <f>IF(313&gt;=DeliverStart,RetailRentMo*LD$9*MIN(1,'LeaseUp'!LD$9/StabilizedOccupancy),0)</f>
        <v/>
      </c>
      <c r="LE21" s="18">
        <f>IF(314&gt;=DeliverStart,RetailRentMo*LE$9*MIN(1,'LeaseUp'!LE$9/StabilizedOccupancy),0)</f>
        <v/>
      </c>
      <c r="LF21" s="18">
        <f>IF(315&gt;=DeliverStart,RetailRentMo*LF$9*MIN(1,'LeaseUp'!LF$9/StabilizedOccupancy),0)</f>
        <v/>
      </c>
      <c r="LG21" s="18">
        <f>IF(316&gt;=DeliverStart,RetailRentMo*LG$9*MIN(1,'LeaseUp'!LG$9/StabilizedOccupancy),0)</f>
        <v/>
      </c>
      <c r="LH21" s="18">
        <f>IF(317&gt;=DeliverStart,RetailRentMo*LH$9*MIN(1,'LeaseUp'!LH$9/StabilizedOccupancy),0)</f>
        <v/>
      </c>
      <c r="LI21" s="18">
        <f>IF(318&gt;=DeliverStart,RetailRentMo*LI$9*MIN(1,'LeaseUp'!LI$9/StabilizedOccupancy),0)</f>
        <v/>
      </c>
      <c r="LJ21" s="18">
        <f>IF(319&gt;=DeliverStart,RetailRentMo*LJ$9*MIN(1,'LeaseUp'!LJ$9/StabilizedOccupancy),0)</f>
        <v/>
      </c>
      <c r="LK21" s="18">
        <f>IF(320&gt;=DeliverStart,RetailRentMo*LK$9*MIN(1,'LeaseUp'!LK$9/StabilizedOccupancy),0)</f>
        <v/>
      </c>
      <c r="LL21" s="18">
        <f>IF(321&gt;=DeliverStart,RetailRentMo*LL$9*MIN(1,'LeaseUp'!LL$9/StabilizedOccupancy),0)</f>
        <v/>
      </c>
      <c r="LM21" s="18">
        <f>IF(322&gt;=DeliverStart,RetailRentMo*LM$9*MIN(1,'LeaseUp'!LM$9/StabilizedOccupancy),0)</f>
        <v/>
      </c>
      <c r="LN21" s="18">
        <f>IF(323&gt;=DeliverStart,RetailRentMo*LN$9*MIN(1,'LeaseUp'!LN$9/StabilizedOccupancy),0)</f>
        <v/>
      </c>
      <c r="LO21" s="18">
        <f>IF(324&gt;=DeliverStart,RetailRentMo*LO$9*MIN(1,'LeaseUp'!LO$9/StabilizedOccupancy),0)</f>
        <v/>
      </c>
      <c r="LP21" s="18">
        <f>IF(325&gt;=DeliverStart,RetailRentMo*LP$9*MIN(1,'LeaseUp'!LP$9/StabilizedOccupancy),0)</f>
        <v/>
      </c>
      <c r="LQ21" s="18">
        <f>IF(326&gt;=DeliverStart,RetailRentMo*LQ$9*MIN(1,'LeaseUp'!LQ$9/StabilizedOccupancy),0)</f>
        <v/>
      </c>
      <c r="LR21" s="18">
        <f>IF(327&gt;=DeliverStart,RetailRentMo*LR$9*MIN(1,'LeaseUp'!LR$9/StabilizedOccupancy),0)</f>
        <v/>
      </c>
      <c r="LS21" s="18">
        <f>IF(328&gt;=DeliverStart,RetailRentMo*LS$9*MIN(1,'LeaseUp'!LS$9/StabilizedOccupancy),0)</f>
        <v/>
      </c>
      <c r="LT21" s="18">
        <f>IF(329&gt;=DeliverStart,RetailRentMo*LT$9*MIN(1,'LeaseUp'!LT$9/StabilizedOccupancy),0)</f>
        <v/>
      </c>
      <c r="LU21" s="18">
        <f>IF(330&gt;=DeliverStart,RetailRentMo*LU$9*MIN(1,'LeaseUp'!LU$9/StabilizedOccupancy),0)</f>
        <v/>
      </c>
      <c r="LV21" s="18">
        <f>IF(331&gt;=DeliverStart,RetailRentMo*LV$9*MIN(1,'LeaseUp'!LV$9/StabilizedOccupancy),0)</f>
        <v/>
      </c>
      <c r="LW21" s="18">
        <f>IF(332&gt;=DeliverStart,RetailRentMo*LW$9*MIN(1,'LeaseUp'!LW$9/StabilizedOccupancy),0)</f>
        <v/>
      </c>
      <c r="LX21" s="18">
        <f>IF(333&gt;=DeliverStart,RetailRentMo*LX$9*MIN(1,'LeaseUp'!LX$9/StabilizedOccupancy),0)</f>
        <v/>
      </c>
      <c r="LY21" s="18">
        <f>IF(334&gt;=DeliverStart,RetailRentMo*LY$9*MIN(1,'LeaseUp'!LY$9/StabilizedOccupancy),0)</f>
        <v/>
      </c>
      <c r="LZ21" s="18">
        <f>IF(335&gt;=DeliverStart,RetailRentMo*LZ$9*MIN(1,'LeaseUp'!LZ$9/StabilizedOccupancy),0)</f>
        <v/>
      </c>
      <c r="MA21" s="18">
        <f>IF(336&gt;=DeliverStart,RetailRentMo*MA$9*MIN(1,'LeaseUp'!MA$9/StabilizedOccupancy),0)</f>
        <v/>
      </c>
      <c r="MB21" s="18">
        <f>IF(337&gt;=DeliverStart,RetailRentMo*MB$9*MIN(1,'LeaseUp'!MB$9/StabilizedOccupancy),0)</f>
        <v/>
      </c>
      <c r="MC21" s="18">
        <f>IF(338&gt;=DeliverStart,RetailRentMo*MC$9*MIN(1,'LeaseUp'!MC$9/StabilizedOccupancy),0)</f>
        <v/>
      </c>
      <c r="MD21" s="18">
        <f>IF(339&gt;=DeliverStart,RetailRentMo*MD$9*MIN(1,'LeaseUp'!MD$9/StabilizedOccupancy),0)</f>
        <v/>
      </c>
      <c r="ME21" s="18">
        <f>IF(340&gt;=DeliverStart,RetailRentMo*ME$9*MIN(1,'LeaseUp'!ME$9/StabilizedOccupancy),0)</f>
        <v/>
      </c>
      <c r="MF21" s="18">
        <f>IF(341&gt;=DeliverStart,RetailRentMo*MF$9*MIN(1,'LeaseUp'!MF$9/StabilizedOccupancy),0)</f>
        <v/>
      </c>
      <c r="MG21" s="18">
        <f>IF(342&gt;=DeliverStart,RetailRentMo*MG$9*MIN(1,'LeaseUp'!MG$9/StabilizedOccupancy),0)</f>
        <v/>
      </c>
      <c r="MH21" s="18">
        <f>IF(343&gt;=DeliverStart,RetailRentMo*MH$9*MIN(1,'LeaseUp'!MH$9/StabilizedOccupancy),0)</f>
        <v/>
      </c>
      <c r="MI21" s="18">
        <f>IF(344&gt;=DeliverStart,RetailRentMo*MI$9*MIN(1,'LeaseUp'!MI$9/StabilizedOccupancy),0)</f>
        <v/>
      </c>
      <c r="MJ21" s="18">
        <f>IF(345&gt;=DeliverStart,RetailRentMo*MJ$9*MIN(1,'LeaseUp'!MJ$9/StabilizedOccupancy),0)</f>
        <v/>
      </c>
      <c r="MK21" s="18">
        <f>IF(346&gt;=DeliverStart,RetailRentMo*MK$9*MIN(1,'LeaseUp'!MK$9/StabilizedOccupancy),0)</f>
        <v/>
      </c>
      <c r="ML21" s="18">
        <f>IF(347&gt;=DeliverStart,RetailRentMo*ML$9*MIN(1,'LeaseUp'!ML$9/StabilizedOccupancy),0)</f>
        <v/>
      </c>
      <c r="MM21" s="18">
        <f>IF(348&gt;=DeliverStart,RetailRentMo*MM$9*MIN(1,'LeaseUp'!MM$9/StabilizedOccupancy),0)</f>
        <v/>
      </c>
      <c r="MN21" s="18">
        <f>IF(349&gt;=DeliverStart,RetailRentMo*MN$9*MIN(1,'LeaseUp'!MN$9/StabilizedOccupancy),0)</f>
        <v/>
      </c>
      <c r="MO21" s="18">
        <f>IF(350&gt;=DeliverStart,RetailRentMo*MO$9*MIN(1,'LeaseUp'!MO$9/StabilizedOccupancy),0)</f>
        <v/>
      </c>
      <c r="MP21" s="18">
        <f>IF(351&gt;=DeliverStart,RetailRentMo*MP$9*MIN(1,'LeaseUp'!MP$9/StabilizedOccupancy),0)</f>
        <v/>
      </c>
      <c r="MQ21" s="18">
        <f>IF(352&gt;=DeliverStart,RetailRentMo*MQ$9*MIN(1,'LeaseUp'!MQ$9/StabilizedOccupancy),0)</f>
        <v/>
      </c>
      <c r="MR21" s="18">
        <f>IF(353&gt;=DeliverStart,RetailRentMo*MR$9*MIN(1,'LeaseUp'!MR$9/StabilizedOccupancy),0)</f>
        <v/>
      </c>
      <c r="MS21" s="18">
        <f>IF(354&gt;=DeliverStart,RetailRentMo*MS$9*MIN(1,'LeaseUp'!MS$9/StabilizedOccupancy),0)</f>
        <v/>
      </c>
      <c r="MT21" s="18">
        <f>IF(355&gt;=DeliverStart,RetailRentMo*MT$9*MIN(1,'LeaseUp'!MT$9/StabilizedOccupancy),0)</f>
        <v/>
      </c>
      <c r="MU21" s="18">
        <f>IF(356&gt;=DeliverStart,RetailRentMo*MU$9*MIN(1,'LeaseUp'!MU$9/StabilizedOccupancy),0)</f>
        <v/>
      </c>
      <c r="MV21" s="18">
        <f>IF(357&gt;=DeliverStart,RetailRentMo*MV$9*MIN(1,'LeaseUp'!MV$9/StabilizedOccupancy),0)</f>
        <v/>
      </c>
      <c r="MW21" s="18">
        <f>IF(358&gt;=DeliverStart,RetailRentMo*MW$9*MIN(1,'LeaseUp'!MW$9/StabilizedOccupancy),0)</f>
        <v/>
      </c>
      <c r="MX21" s="18">
        <f>IF(359&gt;=DeliverStart,RetailRentMo*MX$9*MIN(1,'LeaseUp'!MX$9/StabilizedOccupancy),0)</f>
        <v/>
      </c>
      <c r="MY21" s="18">
        <f>IF(360&gt;=DeliverStart,RetailRentMo*MY$9*MIN(1,'LeaseUp'!MY$9/StabilizedOccupancy),0)</f>
        <v/>
      </c>
      <c r="MZ21" s="18">
        <f>IF(361&gt;=DeliverStart,RetailRentMo*MZ$9*MIN(1,'LeaseUp'!MZ$9/StabilizedOccupancy),0)</f>
        <v/>
      </c>
      <c r="NA21" s="18">
        <f>IF(362&gt;=DeliverStart,RetailRentMo*NA$9*MIN(1,'LeaseUp'!NA$9/StabilizedOccupancy),0)</f>
        <v/>
      </c>
      <c r="NB21" s="18">
        <f>IF(363&gt;=DeliverStart,RetailRentMo*NB$9*MIN(1,'LeaseUp'!NB$9/StabilizedOccupancy),0)</f>
        <v/>
      </c>
      <c r="NC21" s="18">
        <f>IF(364&gt;=DeliverStart,RetailRentMo*NC$9*MIN(1,'LeaseUp'!NC$9/StabilizedOccupancy),0)</f>
        <v/>
      </c>
      <c r="ND21" s="18">
        <f>IF(365&gt;=DeliverStart,RetailRentMo*ND$9*MIN(1,'LeaseUp'!ND$9/StabilizedOccupancy),0)</f>
        <v/>
      </c>
      <c r="NE21" s="18">
        <f>IF(366&gt;=DeliverStart,RetailRentMo*NE$9*MIN(1,'LeaseUp'!NE$9/StabilizedOccupancy),0)</f>
        <v/>
      </c>
      <c r="NF21" s="18">
        <f>IF(367&gt;=DeliverStart,RetailRentMo*NF$9*MIN(1,'LeaseUp'!NF$9/StabilizedOccupancy),0)</f>
        <v/>
      </c>
      <c r="NG21" s="18">
        <f>IF(368&gt;=DeliverStart,RetailRentMo*NG$9*MIN(1,'LeaseUp'!NG$9/StabilizedOccupancy),0)</f>
        <v/>
      </c>
      <c r="NH21" s="18">
        <f>IF(369&gt;=DeliverStart,RetailRentMo*NH$9*MIN(1,'LeaseUp'!NH$9/StabilizedOccupancy),0)</f>
        <v/>
      </c>
      <c r="NI21" s="18">
        <f>IF(370&gt;=DeliverStart,RetailRentMo*NI$9*MIN(1,'LeaseUp'!NI$9/StabilizedOccupancy),0)</f>
        <v/>
      </c>
      <c r="NJ21" s="18">
        <f>IF(371&gt;=DeliverStart,RetailRentMo*NJ$9*MIN(1,'LeaseUp'!NJ$9/StabilizedOccupancy),0)</f>
        <v/>
      </c>
      <c r="NK21" s="18">
        <f>IF(372&gt;=DeliverStart,RetailRentMo*NK$9*MIN(1,'LeaseUp'!NK$9/StabilizedOccupancy),0)</f>
        <v/>
      </c>
    </row>
    <row r="22">
      <c r="A22" s="21" t="inlineStr">
        <is>
          <t>Effective Gross Income</t>
        </is>
      </c>
      <c r="C22" s="41">
        <f>SUM(D22:NK22)</f>
        <v/>
      </c>
      <c r="D22" s="43">
        <f>D$13+D$14+D$15+D$16+D$17+D$18+D$19+D$20+D$21</f>
        <v/>
      </c>
      <c r="E22" s="43">
        <f>E$13+E$14+E$15+E$16+E$17+E$18+E$19+E$20+E$21</f>
        <v/>
      </c>
      <c r="F22" s="43">
        <f>F$13+F$14+F$15+F$16+F$17+F$18+F$19+F$20+F$21</f>
        <v/>
      </c>
      <c r="G22" s="43">
        <f>G$13+G$14+G$15+G$16+G$17+G$18+G$19+G$20+G$21</f>
        <v/>
      </c>
      <c r="H22" s="43">
        <f>H$13+H$14+H$15+H$16+H$17+H$18+H$19+H$20+H$21</f>
        <v/>
      </c>
      <c r="I22" s="43">
        <f>I$13+I$14+I$15+I$16+I$17+I$18+I$19+I$20+I$21</f>
        <v/>
      </c>
      <c r="J22" s="43">
        <f>J$13+J$14+J$15+J$16+J$17+J$18+J$19+J$20+J$21</f>
        <v/>
      </c>
      <c r="K22" s="43">
        <f>K$13+K$14+K$15+K$16+K$17+K$18+K$19+K$20+K$21</f>
        <v/>
      </c>
      <c r="L22" s="43">
        <f>L$13+L$14+L$15+L$16+L$17+L$18+L$19+L$20+L$21</f>
        <v/>
      </c>
      <c r="M22" s="43">
        <f>M$13+M$14+M$15+M$16+M$17+M$18+M$19+M$20+M$21</f>
        <v/>
      </c>
      <c r="N22" s="43">
        <f>N$13+N$14+N$15+N$16+N$17+N$18+N$19+N$20+N$21</f>
        <v/>
      </c>
      <c r="O22" s="43">
        <f>O$13+O$14+O$15+O$16+O$17+O$18+O$19+O$20+O$21</f>
        <v/>
      </c>
      <c r="P22" s="43">
        <f>P$13+P$14+P$15+P$16+P$17+P$18+P$19+P$20+P$21</f>
        <v/>
      </c>
      <c r="Q22" s="43">
        <f>Q$13+Q$14+Q$15+Q$16+Q$17+Q$18+Q$19+Q$20+Q$21</f>
        <v/>
      </c>
      <c r="R22" s="43">
        <f>R$13+R$14+R$15+R$16+R$17+R$18+R$19+R$20+R$21</f>
        <v/>
      </c>
      <c r="S22" s="43">
        <f>S$13+S$14+S$15+S$16+S$17+S$18+S$19+S$20+S$21</f>
        <v/>
      </c>
      <c r="T22" s="43">
        <f>T$13+T$14+T$15+T$16+T$17+T$18+T$19+T$20+T$21</f>
        <v/>
      </c>
      <c r="U22" s="43">
        <f>U$13+U$14+U$15+U$16+U$17+U$18+U$19+U$20+U$21</f>
        <v/>
      </c>
      <c r="V22" s="43">
        <f>V$13+V$14+V$15+V$16+V$17+V$18+V$19+V$20+V$21</f>
        <v/>
      </c>
      <c r="W22" s="43">
        <f>W$13+W$14+W$15+W$16+W$17+W$18+W$19+W$20+W$21</f>
        <v/>
      </c>
      <c r="X22" s="43">
        <f>X$13+X$14+X$15+X$16+X$17+X$18+X$19+X$20+X$21</f>
        <v/>
      </c>
      <c r="Y22" s="43">
        <f>Y$13+Y$14+Y$15+Y$16+Y$17+Y$18+Y$19+Y$20+Y$21</f>
        <v/>
      </c>
      <c r="Z22" s="43">
        <f>Z$13+Z$14+Z$15+Z$16+Z$17+Z$18+Z$19+Z$20+Z$21</f>
        <v/>
      </c>
      <c r="AA22" s="43">
        <f>AA$13+AA$14+AA$15+AA$16+AA$17+AA$18+AA$19+AA$20+AA$21</f>
        <v/>
      </c>
      <c r="AB22" s="43">
        <f>AB$13+AB$14+AB$15+AB$16+AB$17+AB$18+AB$19+AB$20+AB$21</f>
        <v/>
      </c>
      <c r="AC22" s="43">
        <f>AC$13+AC$14+AC$15+AC$16+AC$17+AC$18+AC$19+AC$20+AC$21</f>
        <v/>
      </c>
      <c r="AD22" s="43">
        <f>AD$13+AD$14+AD$15+AD$16+AD$17+AD$18+AD$19+AD$20+AD$21</f>
        <v/>
      </c>
      <c r="AE22" s="43">
        <f>AE$13+AE$14+AE$15+AE$16+AE$17+AE$18+AE$19+AE$20+AE$21</f>
        <v/>
      </c>
      <c r="AF22" s="43">
        <f>AF$13+AF$14+AF$15+AF$16+AF$17+AF$18+AF$19+AF$20+AF$21</f>
        <v/>
      </c>
      <c r="AG22" s="43">
        <f>AG$13+AG$14+AG$15+AG$16+AG$17+AG$18+AG$19+AG$20+AG$21</f>
        <v/>
      </c>
      <c r="AH22" s="43">
        <f>AH$13+AH$14+AH$15+AH$16+AH$17+AH$18+AH$19+AH$20+AH$21</f>
        <v/>
      </c>
      <c r="AI22" s="43">
        <f>AI$13+AI$14+AI$15+AI$16+AI$17+AI$18+AI$19+AI$20+AI$21</f>
        <v/>
      </c>
      <c r="AJ22" s="43">
        <f>AJ$13+AJ$14+AJ$15+AJ$16+AJ$17+AJ$18+AJ$19+AJ$20+AJ$21</f>
        <v/>
      </c>
      <c r="AK22" s="43">
        <f>AK$13+AK$14+AK$15+AK$16+AK$17+AK$18+AK$19+AK$20+AK$21</f>
        <v/>
      </c>
      <c r="AL22" s="43">
        <f>AL$13+AL$14+AL$15+AL$16+AL$17+AL$18+AL$19+AL$20+AL$21</f>
        <v/>
      </c>
      <c r="AM22" s="43">
        <f>AM$13+AM$14+AM$15+AM$16+AM$17+AM$18+AM$19+AM$20+AM$21</f>
        <v/>
      </c>
      <c r="AN22" s="43">
        <f>AN$13+AN$14+AN$15+AN$16+AN$17+AN$18+AN$19+AN$20+AN$21</f>
        <v/>
      </c>
      <c r="AO22" s="43">
        <f>AO$13+AO$14+AO$15+AO$16+AO$17+AO$18+AO$19+AO$20+AO$21</f>
        <v/>
      </c>
      <c r="AP22" s="43">
        <f>AP$13+AP$14+AP$15+AP$16+AP$17+AP$18+AP$19+AP$20+AP$21</f>
        <v/>
      </c>
      <c r="AQ22" s="43">
        <f>AQ$13+AQ$14+AQ$15+AQ$16+AQ$17+AQ$18+AQ$19+AQ$20+AQ$21</f>
        <v/>
      </c>
      <c r="AR22" s="43">
        <f>AR$13+AR$14+AR$15+AR$16+AR$17+AR$18+AR$19+AR$20+AR$21</f>
        <v/>
      </c>
      <c r="AS22" s="43">
        <f>AS$13+AS$14+AS$15+AS$16+AS$17+AS$18+AS$19+AS$20+AS$21</f>
        <v/>
      </c>
      <c r="AT22" s="43">
        <f>AT$13+AT$14+AT$15+AT$16+AT$17+AT$18+AT$19+AT$20+AT$21</f>
        <v/>
      </c>
      <c r="AU22" s="43">
        <f>AU$13+AU$14+AU$15+AU$16+AU$17+AU$18+AU$19+AU$20+AU$21</f>
        <v/>
      </c>
      <c r="AV22" s="43">
        <f>AV$13+AV$14+AV$15+AV$16+AV$17+AV$18+AV$19+AV$20+AV$21</f>
        <v/>
      </c>
      <c r="AW22" s="43">
        <f>AW$13+AW$14+AW$15+AW$16+AW$17+AW$18+AW$19+AW$20+AW$21</f>
        <v/>
      </c>
      <c r="AX22" s="43">
        <f>AX$13+AX$14+AX$15+AX$16+AX$17+AX$18+AX$19+AX$20+AX$21</f>
        <v/>
      </c>
      <c r="AY22" s="43">
        <f>AY$13+AY$14+AY$15+AY$16+AY$17+AY$18+AY$19+AY$20+AY$21</f>
        <v/>
      </c>
      <c r="AZ22" s="43">
        <f>AZ$13+AZ$14+AZ$15+AZ$16+AZ$17+AZ$18+AZ$19+AZ$20+AZ$21</f>
        <v/>
      </c>
      <c r="BA22" s="43">
        <f>BA$13+BA$14+BA$15+BA$16+BA$17+BA$18+BA$19+BA$20+BA$21</f>
        <v/>
      </c>
      <c r="BB22" s="43">
        <f>BB$13+BB$14+BB$15+BB$16+BB$17+BB$18+BB$19+BB$20+BB$21</f>
        <v/>
      </c>
      <c r="BC22" s="43">
        <f>BC$13+BC$14+BC$15+BC$16+BC$17+BC$18+BC$19+BC$20+BC$21</f>
        <v/>
      </c>
      <c r="BD22" s="43">
        <f>BD$13+BD$14+BD$15+BD$16+BD$17+BD$18+BD$19+BD$20+BD$21</f>
        <v/>
      </c>
      <c r="BE22" s="43">
        <f>BE$13+BE$14+BE$15+BE$16+BE$17+BE$18+BE$19+BE$20+BE$21</f>
        <v/>
      </c>
      <c r="BF22" s="43">
        <f>BF$13+BF$14+BF$15+BF$16+BF$17+BF$18+BF$19+BF$20+BF$21</f>
        <v/>
      </c>
      <c r="BG22" s="43">
        <f>BG$13+BG$14+BG$15+BG$16+BG$17+BG$18+BG$19+BG$20+BG$21</f>
        <v/>
      </c>
      <c r="BH22" s="43">
        <f>BH$13+BH$14+BH$15+BH$16+BH$17+BH$18+BH$19+BH$20+BH$21</f>
        <v/>
      </c>
      <c r="BI22" s="43">
        <f>BI$13+BI$14+BI$15+BI$16+BI$17+BI$18+BI$19+BI$20+BI$21</f>
        <v/>
      </c>
      <c r="BJ22" s="43">
        <f>BJ$13+BJ$14+BJ$15+BJ$16+BJ$17+BJ$18+BJ$19+BJ$20+BJ$21</f>
        <v/>
      </c>
      <c r="BK22" s="43">
        <f>BK$13+BK$14+BK$15+BK$16+BK$17+BK$18+BK$19+BK$20+BK$21</f>
        <v/>
      </c>
      <c r="BL22" s="43">
        <f>BL$13+BL$14+BL$15+BL$16+BL$17+BL$18+BL$19+BL$20+BL$21</f>
        <v/>
      </c>
      <c r="BM22" s="43">
        <f>BM$13+BM$14+BM$15+BM$16+BM$17+BM$18+BM$19+BM$20+BM$21</f>
        <v/>
      </c>
      <c r="BN22" s="43">
        <f>BN$13+BN$14+BN$15+BN$16+BN$17+BN$18+BN$19+BN$20+BN$21</f>
        <v/>
      </c>
      <c r="BO22" s="43">
        <f>BO$13+BO$14+BO$15+BO$16+BO$17+BO$18+BO$19+BO$20+BO$21</f>
        <v/>
      </c>
      <c r="BP22" s="43">
        <f>BP$13+BP$14+BP$15+BP$16+BP$17+BP$18+BP$19+BP$20+BP$21</f>
        <v/>
      </c>
      <c r="BQ22" s="43">
        <f>BQ$13+BQ$14+BQ$15+BQ$16+BQ$17+BQ$18+BQ$19+BQ$20+BQ$21</f>
        <v/>
      </c>
      <c r="BR22" s="43">
        <f>BR$13+BR$14+BR$15+BR$16+BR$17+BR$18+BR$19+BR$20+BR$21</f>
        <v/>
      </c>
      <c r="BS22" s="43">
        <f>BS$13+BS$14+BS$15+BS$16+BS$17+BS$18+BS$19+BS$20+BS$21</f>
        <v/>
      </c>
      <c r="BT22" s="43">
        <f>BT$13+BT$14+BT$15+BT$16+BT$17+BT$18+BT$19+BT$20+BT$21</f>
        <v/>
      </c>
      <c r="BU22" s="43">
        <f>BU$13+BU$14+BU$15+BU$16+BU$17+BU$18+BU$19+BU$20+BU$21</f>
        <v/>
      </c>
      <c r="BV22" s="43">
        <f>BV$13+BV$14+BV$15+BV$16+BV$17+BV$18+BV$19+BV$20+BV$21</f>
        <v/>
      </c>
      <c r="BW22" s="43">
        <f>BW$13+BW$14+BW$15+BW$16+BW$17+BW$18+BW$19+BW$20+BW$21</f>
        <v/>
      </c>
      <c r="BX22" s="43">
        <f>BX$13+BX$14+BX$15+BX$16+BX$17+BX$18+BX$19+BX$20+BX$21</f>
        <v/>
      </c>
      <c r="BY22" s="43">
        <f>BY$13+BY$14+BY$15+BY$16+BY$17+BY$18+BY$19+BY$20+BY$21</f>
        <v/>
      </c>
      <c r="BZ22" s="43">
        <f>BZ$13+BZ$14+BZ$15+BZ$16+BZ$17+BZ$18+BZ$19+BZ$20+BZ$21</f>
        <v/>
      </c>
      <c r="CA22" s="43">
        <f>CA$13+CA$14+CA$15+CA$16+CA$17+CA$18+CA$19+CA$20+CA$21</f>
        <v/>
      </c>
      <c r="CB22" s="43">
        <f>CB$13+CB$14+CB$15+CB$16+CB$17+CB$18+CB$19+CB$20+CB$21</f>
        <v/>
      </c>
      <c r="CC22" s="43">
        <f>CC$13+CC$14+CC$15+CC$16+CC$17+CC$18+CC$19+CC$20+CC$21</f>
        <v/>
      </c>
      <c r="CD22" s="43">
        <f>CD$13+CD$14+CD$15+CD$16+CD$17+CD$18+CD$19+CD$20+CD$21</f>
        <v/>
      </c>
      <c r="CE22" s="43">
        <f>CE$13+CE$14+CE$15+CE$16+CE$17+CE$18+CE$19+CE$20+CE$21</f>
        <v/>
      </c>
      <c r="CF22" s="43">
        <f>CF$13+CF$14+CF$15+CF$16+CF$17+CF$18+CF$19+CF$20+CF$21</f>
        <v/>
      </c>
      <c r="CG22" s="43">
        <f>CG$13+CG$14+CG$15+CG$16+CG$17+CG$18+CG$19+CG$20+CG$21</f>
        <v/>
      </c>
      <c r="CH22" s="43">
        <f>CH$13+CH$14+CH$15+CH$16+CH$17+CH$18+CH$19+CH$20+CH$21</f>
        <v/>
      </c>
      <c r="CI22" s="43">
        <f>CI$13+CI$14+CI$15+CI$16+CI$17+CI$18+CI$19+CI$20+CI$21</f>
        <v/>
      </c>
      <c r="CJ22" s="43">
        <f>CJ$13+CJ$14+CJ$15+CJ$16+CJ$17+CJ$18+CJ$19+CJ$20+CJ$21</f>
        <v/>
      </c>
      <c r="CK22" s="43">
        <f>CK$13+CK$14+CK$15+CK$16+CK$17+CK$18+CK$19+CK$20+CK$21</f>
        <v/>
      </c>
      <c r="CL22" s="43">
        <f>CL$13+CL$14+CL$15+CL$16+CL$17+CL$18+CL$19+CL$20+CL$21</f>
        <v/>
      </c>
      <c r="CM22" s="43">
        <f>CM$13+CM$14+CM$15+CM$16+CM$17+CM$18+CM$19+CM$20+CM$21</f>
        <v/>
      </c>
      <c r="CN22" s="43">
        <f>CN$13+CN$14+CN$15+CN$16+CN$17+CN$18+CN$19+CN$20+CN$21</f>
        <v/>
      </c>
      <c r="CO22" s="43">
        <f>CO$13+CO$14+CO$15+CO$16+CO$17+CO$18+CO$19+CO$20+CO$21</f>
        <v/>
      </c>
      <c r="CP22" s="43">
        <f>CP$13+CP$14+CP$15+CP$16+CP$17+CP$18+CP$19+CP$20+CP$21</f>
        <v/>
      </c>
      <c r="CQ22" s="43">
        <f>CQ$13+CQ$14+CQ$15+CQ$16+CQ$17+CQ$18+CQ$19+CQ$20+CQ$21</f>
        <v/>
      </c>
      <c r="CR22" s="43">
        <f>CR$13+CR$14+CR$15+CR$16+CR$17+CR$18+CR$19+CR$20+CR$21</f>
        <v/>
      </c>
      <c r="CS22" s="43">
        <f>CS$13+CS$14+CS$15+CS$16+CS$17+CS$18+CS$19+CS$20+CS$21</f>
        <v/>
      </c>
      <c r="CT22" s="43">
        <f>CT$13+CT$14+CT$15+CT$16+CT$17+CT$18+CT$19+CT$20+CT$21</f>
        <v/>
      </c>
      <c r="CU22" s="43">
        <f>CU$13+CU$14+CU$15+CU$16+CU$17+CU$18+CU$19+CU$20+CU$21</f>
        <v/>
      </c>
      <c r="CV22" s="43">
        <f>CV$13+CV$14+CV$15+CV$16+CV$17+CV$18+CV$19+CV$20+CV$21</f>
        <v/>
      </c>
      <c r="CW22" s="43">
        <f>CW$13+CW$14+CW$15+CW$16+CW$17+CW$18+CW$19+CW$20+CW$21</f>
        <v/>
      </c>
      <c r="CX22" s="43">
        <f>CX$13+CX$14+CX$15+CX$16+CX$17+CX$18+CX$19+CX$20+CX$21</f>
        <v/>
      </c>
      <c r="CY22" s="43">
        <f>CY$13+CY$14+CY$15+CY$16+CY$17+CY$18+CY$19+CY$20+CY$21</f>
        <v/>
      </c>
      <c r="CZ22" s="43">
        <f>CZ$13+CZ$14+CZ$15+CZ$16+CZ$17+CZ$18+CZ$19+CZ$20+CZ$21</f>
        <v/>
      </c>
      <c r="DA22" s="43">
        <f>DA$13+DA$14+DA$15+DA$16+DA$17+DA$18+DA$19+DA$20+DA$21</f>
        <v/>
      </c>
      <c r="DB22" s="43">
        <f>DB$13+DB$14+DB$15+DB$16+DB$17+DB$18+DB$19+DB$20+DB$21</f>
        <v/>
      </c>
      <c r="DC22" s="43">
        <f>DC$13+DC$14+DC$15+DC$16+DC$17+DC$18+DC$19+DC$20+DC$21</f>
        <v/>
      </c>
      <c r="DD22" s="43">
        <f>DD$13+DD$14+DD$15+DD$16+DD$17+DD$18+DD$19+DD$20+DD$21</f>
        <v/>
      </c>
      <c r="DE22" s="43">
        <f>DE$13+DE$14+DE$15+DE$16+DE$17+DE$18+DE$19+DE$20+DE$21</f>
        <v/>
      </c>
      <c r="DF22" s="43">
        <f>DF$13+DF$14+DF$15+DF$16+DF$17+DF$18+DF$19+DF$20+DF$21</f>
        <v/>
      </c>
      <c r="DG22" s="43">
        <f>DG$13+DG$14+DG$15+DG$16+DG$17+DG$18+DG$19+DG$20+DG$21</f>
        <v/>
      </c>
      <c r="DH22" s="43">
        <f>DH$13+DH$14+DH$15+DH$16+DH$17+DH$18+DH$19+DH$20+DH$21</f>
        <v/>
      </c>
      <c r="DI22" s="43">
        <f>DI$13+DI$14+DI$15+DI$16+DI$17+DI$18+DI$19+DI$20+DI$21</f>
        <v/>
      </c>
      <c r="DJ22" s="43">
        <f>DJ$13+DJ$14+DJ$15+DJ$16+DJ$17+DJ$18+DJ$19+DJ$20+DJ$21</f>
        <v/>
      </c>
      <c r="DK22" s="43">
        <f>DK$13+DK$14+DK$15+DK$16+DK$17+DK$18+DK$19+DK$20+DK$21</f>
        <v/>
      </c>
      <c r="DL22" s="43">
        <f>DL$13+DL$14+DL$15+DL$16+DL$17+DL$18+DL$19+DL$20+DL$21</f>
        <v/>
      </c>
      <c r="DM22" s="43">
        <f>DM$13+DM$14+DM$15+DM$16+DM$17+DM$18+DM$19+DM$20+DM$21</f>
        <v/>
      </c>
      <c r="DN22" s="43">
        <f>DN$13+DN$14+DN$15+DN$16+DN$17+DN$18+DN$19+DN$20+DN$21</f>
        <v/>
      </c>
      <c r="DO22" s="43">
        <f>DO$13+DO$14+DO$15+DO$16+DO$17+DO$18+DO$19+DO$20+DO$21</f>
        <v/>
      </c>
      <c r="DP22" s="43">
        <f>DP$13+DP$14+DP$15+DP$16+DP$17+DP$18+DP$19+DP$20+DP$21</f>
        <v/>
      </c>
      <c r="DQ22" s="43">
        <f>DQ$13+DQ$14+DQ$15+DQ$16+DQ$17+DQ$18+DQ$19+DQ$20+DQ$21</f>
        <v/>
      </c>
      <c r="DR22" s="43">
        <f>DR$13+DR$14+DR$15+DR$16+DR$17+DR$18+DR$19+DR$20+DR$21</f>
        <v/>
      </c>
      <c r="DS22" s="43">
        <f>DS$13+DS$14+DS$15+DS$16+DS$17+DS$18+DS$19+DS$20+DS$21</f>
        <v/>
      </c>
      <c r="DT22" s="43">
        <f>DT$13+DT$14+DT$15+DT$16+DT$17+DT$18+DT$19+DT$20+DT$21</f>
        <v/>
      </c>
      <c r="DU22" s="43">
        <f>DU$13+DU$14+DU$15+DU$16+DU$17+DU$18+DU$19+DU$20+DU$21</f>
        <v/>
      </c>
      <c r="DV22" s="43">
        <f>DV$13+DV$14+DV$15+DV$16+DV$17+DV$18+DV$19+DV$20+DV$21</f>
        <v/>
      </c>
      <c r="DW22" s="43">
        <f>DW$13+DW$14+DW$15+DW$16+DW$17+DW$18+DW$19+DW$20+DW$21</f>
        <v/>
      </c>
      <c r="DX22" s="43">
        <f>DX$13+DX$14+DX$15+DX$16+DX$17+DX$18+DX$19+DX$20+DX$21</f>
        <v/>
      </c>
      <c r="DY22" s="43">
        <f>DY$13+DY$14+DY$15+DY$16+DY$17+DY$18+DY$19+DY$20+DY$21</f>
        <v/>
      </c>
      <c r="DZ22" s="43">
        <f>DZ$13+DZ$14+DZ$15+DZ$16+DZ$17+DZ$18+DZ$19+DZ$20+DZ$21</f>
        <v/>
      </c>
      <c r="EA22" s="43">
        <f>EA$13+EA$14+EA$15+EA$16+EA$17+EA$18+EA$19+EA$20+EA$21</f>
        <v/>
      </c>
      <c r="EB22" s="43">
        <f>EB$13+EB$14+EB$15+EB$16+EB$17+EB$18+EB$19+EB$20+EB$21</f>
        <v/>
      </c>
      <c r="EC22" s="43">
        <f>EC$13+EC$14+EC$15+EC$16+EC$17+EC$18+EC$19+EC$20+EC$21</f>
        <v/>
      </c>
      <c r="ED22" s="43">
        <f>ED$13+ED$14+ED$15+ED$16+ED$17+ED$18+ED$19+ED$20+ED$21</f>
        <v/>
      </c>
      <c r="EE22" s="43">
        <f>EE$13+EE$14+EE$15+EE$16+EE$17+EE$18+EE$19+EE$20+EE$21</f>
        <v/>
      </c>
      <c r="EF22" s="43">
        <f>EF$13+EF$14+EF$15+EF$16+EF$17+EF$18+EF$19+EF$20+EF$21</f>
        <v/>
      </c>
      <c r="EG22" s="43">
        <f>EG$13+EG$14+EG$15+EG$16+EG$17+EG$18+EG$19+EG$20+EG$21</f>
        <v/>
      </c>
      <c r="EH22" s="43">
        <f>EH$13+EH$14+EH$15+EH$16+EH$17+EH$18+EH$19+EH$20+EH$21</f>
        <v/>
      </c>
      <c r="EI22" s="43">
        <f>EI$13+EI$14+EI$15+EI$16+EI$17+EI$18+EI$19+EI$20+EI$21</f>
        <v/>
      </c>
      <c r="EJ22" s="43">
        <f>EJ$13+EJ$14+EJ$15+EJ$16+EJ$17+EJ$18+EJ$19+EJ$20+EJ$21</f>
        <v/>
      </c>
      <c r="EK22" s="43">
        <f>EK$13+EK$14+EK$15+EK$16+EK$17+EK$18+EK$19+EK$20+EK$21</f>
        <v/>
      </c>
      <c r="EL22" s="43">
        <f>EL$13+EL$14+EL$15+EL$16+EL$17+EL$18+EL$19+EL$20+EL$21</f>
        <v/>
      </c>
      <c r="EM22" s="43">
        <f>EM$13+EM$14+EM$15+EM$16+EM$17+EM$18+EM$19+EM$20+EM$21</f>
        <v/>
      </c>
      <c r="EN22" s="43">
        <f>EN$13+EN$14+EN$15+EN$16+EN$17+EN$18+EN$19+EN$20+EN$21</f>
        <v/>
      </c>
      <c r="EO22" s="43">
        <f>EO$13+EO$14+EO$15+EO$16+EO$17+EO$18+EO$19+EO$20+EO$21</f>
        <v/>
      </c>
      <c r="EP22" s="43">
        <f>EP$13+EP$14+EP$15+EP$16+EP$17+EP$18+EP$19+EP$20+EP$21</f>
        <v/>
      </c>
      <c r="EQ22" s="43">
        <f>EQ$13+EQ$14+EQ$15+EQ$16+EQ$17+EQ$18+EQ$19+EQ$20+EQ$21</f>
        <v/>
      </c>
      <c r="ER22" s="43">
        <f>ER$13+ER$14+ER$15+ER$16+ER$17+ER$18+ER$19+ER$20+ER$21</f>
        <v/>
      </c>
      <c r="ES22" s="43">
        <f>ES$13+ES$14+ES$15+ES$16+ES$17+ES$18+ES$19+ES$20+ES$21</f>
        <v/>
      </c>
      <c r="ET22" s="43">
        <f>ET$13+ET$14+ET$15+ET$16+ET$17+ET$18+ET$19+ET$20+ET$21</f>
        <v/>
      </c>
      <c r="EU22" s="43">
        <f>EU$13+EU$14+EU$15+EU$16+EU$17+EU$18+EU$19+EU$20+EU$21</f>
        <v/>
      </c>
      <c r="EV22" s="43">
        <f>EV$13+EV$14+EV$15+EV$16+EV$17+EV$18+EV$19+EV$20+EV$21</f>
        <v/>
      </c>
      <c r="EW22" s="43">
        <f>EW$13+EW$14+EW$15+EW$16+EW$17+EW$18+EW$19+EW$20+EW$21</f>
        <v/>
      </c>
      <c r="EX22" s="43">
        <f>EX$13+EX$14+EX$15+EX$16+EX$17+EX$18+EX$19+EX$20+EX$21</f>
        <v/>
      </c>
      <c r="EY22" s="43">
        <f>EY$13+EY$14+EY$15+EY$16+EY$17+EY$18+EY$19+EY$20+EY$21</f>
        <v/>
      </c>
      <c r="EZ22" s="43">
        <f>EZ$13+EZ$14+EZ$15+EZ$16+EZ$17+EZ$18+EZ$19+EZ$20+EZ$21</f>
        <v/>
      </c>
      <c r="FA22" s="43">
        <f>FA$13+FA$14+FA$15+FA$16+FA$17+FA$18+FA$19+FA$20+FA$21</f>
        <v/>
      </c>
      <c r="FB22" s="43">
        <f>FB$13+FB$14+FB$15+FB$16+FB$17+FB$18+FB$19+FB$20+FB$21</f>
        <v/>
      </c>
      <c r="FC22" s="43">
        <f>FC$13+FC$14+FC$15+FC$16+FC$17+FC$18+FC$19+FC$20+FC$21</f>
        <v/>
      </c>
      <c r="FD22" s="43">
        <f>FD$13+FD$14+FD$15+FD$16+FD$17+FD$18+FD$19+FD$20+FD$21</f>
        <v/>
      </c>
      <c r="FE22" s="43">
        <f>FE$13+FE$14+FE$15+FE$16+FE$17+FE$18+FE$19+FE$20+FE$21</f>
        <v/>
      </c>
      <c r="FF22" s="43">
        <f>FF$13+FF$14+FF$15+FF$16+FF$17+FF$18+FF$19+FF$20+FF$21</f>
        <v/>
      </c>
      <c r="FG22" s="43">
        <f>FG$13+FG$14+FG$15+FG$16+FG$17+FG$18+FG$19+FG$20+FG$21</f>
        <v/>
      </c>
      <c r="FH22" s="43">
        <f>FH$13+FH$14+FH$15+FH$16+FH$17+FH$18+FH$19+FH$20+FH$21</f>
        <v/>
      </c>
      <c r="FI22" s="43">
        <f>FI$13+FI$14+FI$15+FI$16+FI$17+FI$18+FI$19+FI$20+FI$21</f>
        <v/>
      </c>
      <c r="FJ22" s="43">
        <f>FJ$13+FJ$14+FJ$15+FJ$16+FJ$17+FJ$18+FJ$19+FJ$20+FJ$21</f>
        <v/>
      </c>
      <c r="FK22" s="43">
        <f>FK$13+FK$14+FK$15+FK$16+FK$17+FK$18+FK$19+FK$20+FK$21</f>
        <v/>
      </c>
      <c r="FL22" s="43">
        <f>FL$13+FL$14+FL$15+FL$16+FL$17+FL$18+FL$19+FL$20+FL$21</f>
        <v/>
      </c>
      <c r="FM22" s="43">
        <f>FM$13+FM$14+FM$15+FM$16+FM$17+FM$18+FM$19+FM$20+FM$21</f>
        <v/>
      </c>
      <c r="FN22" s="43">
        <f>FN$13+FN$14+FN$15+FN$16+FN$17+FN$18+FN$19+FN$20+FN$21</f>
        <v/>
      </c>
      <c r="FO22" s="43">
        <f>FO$13+FO$14+FO$15+FO$16+FO$17+FO$18+FO$19+FO$20+FO$21</f>
        <v/>
      </c>
      <c r="FP22" s="43">
        <f>FP$13+FP$14+FP$15+FP$16+FP$17+FP$18+FP$19+FP$20+FP$21</f>
        <v/>
      </c>
      <c r="FQ22" s="43">
        <f>FQ$13+FQ$14+FQ$15+FQ$16+FQ$17+FQ$18+FQ$19+FQ$20+FQ$21</f>
        <v/>
      </c>
      <c r="FR22" s="43">
        <f>FR$13+FR$14+FR$15+FR$16+FR$17+FR$18+FR$19+FR$20+FR$21</f>
        <v/>
      </c>
      <c r="FS22" s="43">
        <f>FS$13+FS$14+FS$15+FS$16+FS$17+FS$18+FS$19+FS$20+FS$21</f>
        <v/>
      </c>
      <c r="FT22" s="43">
        <f>FT$13+FT$14+FT$15+FT$16+FT$17+FT$18+FT$19+FT$20+FT$21</f>
        <v/>
      </c>
      <c r="FU22" s="43">
        <f>FU$13+FU$14+FU$15+FU$16+FU$17+FU$18+FU$19+FU$20+FU$21</f>
        <v/>
      </c>
      <c r="FV22" s="43">
        <f>FV$13+FV$14+FV$15+FV$16+FV$17+FV$18+FV$19+FV$20+FV$21</f>
        <v/>
      </c>
      <c r="FW22" s="43">
        <f>FW$13+FW$14+FW$15+FW$16+FW$17+FW$18+FW$19+FW$20+FW$21</f>
        <v/>
      </c>
      <c r="FX22" s="43">
        <f>FX$13+FX$14+FX$15+FX$16+FX$17+FX$18+FX$19+FX$20+FX$21</f>
        <v/>
      </c>
      <c r="FY22" s="43">
        <f>FY$13+FY$14+FY$15+FY$16+FY$17+FY$18+FY$19+FY$20+FY$21</f>
        <v/>
      </c>
      <c r="FZ22" s="43">
        <f>FZ$13+FZ$14+FZ$15+FZ$16+FZ$17+FZ$18+FZ$19+FZ$20+FZ$21</f>
        <v/>
      </c>
      <c r="GA22" s="43">
        <f>GA$13+GA$14+GA$15+GA$16+GA$17+GA$18+GA$19+GA$20+GA$21</f>
        <v/>
      </c>
      <c r="GB22" s="43">
        <f>GB$13+GB$14+GB$15+GB$16+GB$17+GB$18+GB$19+GB$20+GB$21</f>
        <v/>
      </c>
      <c r="GC22" s="43">
        <f>GC$13+GC$14+GC$15+GC$16+GC$17+GC$18+GC$19+GC$20+GC$21</f>
        <v/>
      </c>
      <c r="GD22" s="43">
        <f>GD$13+GD$14+GD$15+GD$16+GD$17+GD$18+GD$19+GD$20+GD$21</f>
        <v/>
      </c>
      <c r="GE22" s="43">
        <f>GE$13+GE$14+GE$15+GE$16+GE$17+GE$18+GE$19+GE$20+GE$21</f>
        <v/>
      </c>
      <c r="GF22" s="43">
        <f>GF$13+GF$14+GF$15+GF$16+GF$17+GF$18+GF$19+GF$20+GF$21</f>
        <v/>
      </c>
      <c r="GG22" s="43">
        <f>GG$13+GG$14+GG$15+GG$16+GG$17+GG$18+GG$19+GG$20+GG$21</f>
        <v/>
      </c>
      <c r="GH22" s="43">
        <f>GH$13+GH$14+GH$15+GH$16+GH$17+GH$18+GH$19+GH$20+GH$21</f>
        <v/>
      </c>
      <c r="GI22" s="43">
        <f>GI$13+GI$14+GI$15+GI$16+GI$17+GI$18+GI$19+GI$20+GI$21</f>
        <v/>
      </c>
      <c r="GJ22" s="43">
        <f>GJ$13+GJ$14+GJ$15+GJ$16+GJ$17+GJ$18+GJ$19+GJ$20+GJ$21</f>
        <v/>
      </c>
      <c r="GK22" s="43">
        <f>GK$13+GK$14+GK$15+GK$16+GK$17+GK$18+GK$19+GK$20+GK$21</f>
        <v/>
      </c>
      <c r="GL22" s="43">
        <f>GL$13+GL$14+GL$15+GL$16+GL$17+GL$18+GL$19+GL$20+GL$21</f>
        <v/>
      </c>
      <c r="GM22" s="43">
        <f>GM$13+GM$14+GM$15+GM$16+GM$17+GM$18+GM$19+GM$20+GM$21</f>
        <v/>
      </c>
      <c r="GN22" s="43">
        <f>GN$13+GN$14+GN$15+GN$16+GN$17+GN$18+GN$19+GN$20+GN$21</f>
        <v/>
      </c>
      <c r="GO22" s="43">
        <f>GO$13+GO$14+GO$15+GO$16+GO$17+GO$18+GO$19+GO$20+GO$21</f>
        <v/>
      </c>
      <c r="GP22" s="43">
        <f>GP$13+GP$14+GP$15+GP$16+GP$17+GP$18+GP$19+GP$20+GP$21</f>
        <v/>
      </c>
      <c r="GQ22" s="43">
        <f>GQ$13+GQ$14+GQ$15+GQ$16+GQ$17+GQ$18+GQ$19+GQ$20+GQ$21</f>
        <v/>
      </c>
      <c r="GR22" s="43">
        <f>GR$13+GR$14+GR$15+GR$16+GR$17+GR$18+GR$19+GR$20+GR$21</f>
        <v/>
      </c>
      <c r="GS22" s="43">
        <f>GS$13+GS$14+GS$15+GS$16+GS$17+GS$18+GS$19+GS$20+GS$21</f>
        <v/>
      </c>
      <c r="GT22" s="43">
        <f>GT$13+GT$14+GT$15+GT$16+GT$17+GT$18+GT$19+GT$20+GT$21</f>
        <v/>
      </c>
      <c r="GU22" s="43">
        <f>GU$13+GU$14+GU$15+GU$16+GU$17+GU$18+GU$19+GU$20+GU$21</f>
        <v/>
      </c>
      <c r="GV22" s="43">
        <f>GV$13+GV$14+GV$15+GV$16+GV$17+GV$18+GV$19+GV$20+GV$21</f>
        <v/>
      </c>
      <c r="GW22" s="43">
        <f>GW$13+GW$14+GW$15+GW$16+GW$17+GW$18+GW$19+GW$20+GW$21</f>
        <v/>
      </c>
      <c r="GX22" s="43">
        <f>GX$13+GX$14+GX$15+GX$16+GX$17+GX$18+GX$19+GX$20+GX$21</f>
        <v/>
      </c>
      <c r="GY22" s="43">
        <f>GY$13+GY$14+GY$15+GY$16+GY$17+GY$18+GY$19+GY$20+GY$21</f>
        <v/>
      </c>
      <c r="GZ22" s="43">
        <f>GZ$13+GZ$14+GZ$15+GZ$16+GZ$17+GZ$18+GZ$19+GZ$20+GZ$21</f>
        <v/>
      </c>
      <c r="HA22" s="43">
        <f>HA$13+HA$14+HA$15+HA$16+HA$17+HA$18+HA$19+HA$20+HA$21</f>
        <v/>
      </c>
      <c r="HB22" s="43">
        <f>HB$13+HB$14+HB$15+HB$16+HB$17+HB$18+HB$19+HB$20+HB$21</f>
        <v/>
      </c>
      <c r="HC22" s="43">
        <f>HC$13+HC$14+HC$15+HC$16+HC$17+HC$18+HC$19+HC$20+HC$21</f>
        <v/>
      </c>
      <c r="HD22" s="43">
        <f>HD$13+HD$14+HD$15+HD$16+HD$17+HD$18+HD$19+HD$20+HD$21</f>
        <v/>
      </c>
      <c r="HE22" s="43">
        <f>HE$13+HE$14+HE$15+HE$16+HE$17+HE$18+HE$19+HE$20+HE$21</f>
        <v/>
      </c>
      <c r="HF22" s="43">
        <f>HF$13+HF$14+HF$15+HF$16+HF$17+HF$18+HF$19+HF$20+HF$21</f>
        <v/>
      </c>
      <c r="HG22" s="43">
        <f>HG$13+HG$14+HG$15+HG$16+HG$17+HG$18+HG$19+HG$20+HG$21</f>
        <v/>
      </c>
      <c r="HH22" s="43">
        <f>HH$13+HH$14+HH$15+HH$16+HH$17+HH$18+HH$19+HH$20+HH$21</f>
        <v/>
      </c>
      <c r="HI22" s="43">
        <f>HI$13+HI$14+HI$15+HI$16+HI$17+HI$18+HI$19+HI$20+HI$21</f>
        <v/>
      </c>
      <c r="HJ22" s="43">
        <f>HJ$13+HJ$14+HJ$15+HJ$16+HJ$17+HJ$18+HJ$19+HJ$20+HJ$21</f>
        <v/>
      </c>
      <c r="HK22" s="43">
        <f>HK$13+HK$14+HK$15+HK$16+HK$17+HK$18+HK$19+HK$20+HK$21</f>
        <v/>
      </c>
      <c r="HL22" s="43">
        <f>HL$13+HL$14+HL$15+HL$16+HL$17+HL$18+HL$19+HL$20+HL$21</f>
        <v/>
      </c>
      <c r="HM22" s="43">
        <f>HM$13+HM$14+HM$15+HM$16+HM$17+HM$18+HM$19+HM$20+HM$21</f>
        <v/>
      </c>
      <c r="HN22" s="43">
        <f>HN$13+HN$14+HN$15+HN$16+HN$17+HN$18+HN$19+HN$20+HN$21</f>
        <v/>
      </c>
      <c r="HO22" s="43">
        <f>HO$13+HO$14+HO$15+HO$16+HO$17+HO$18+HO$19+HO$20+HO$21</f>
        <v/>
      </c>
      <c r="HP22" s="43">
        <f>HP$13+HP$14+HP$15+HP$16+HP$17+HP$18+HP$19+HP$20+HP$21</f>
        <v/>
      </c>
      <c r="HQ22" s="43">
        <f>HQ$13+HQ$14+HQ$15+HQ$16+HQ$17+HQ$18+HQ$19+HQ$20+HQ$21</f>
        <v/>
      </c>
      <c r="HR22" s="43">
        <f>HR$13+HR$14+HR$15+HR$16+HR$17+HR$18+HR$19+HR$20+HR$21</f>
        <v/>
      </c>
      <c r="HS22" s="43">
        <f>HS$13+HS$14+HS$15+HS$16+HS$17+HS$18+HS$19+HS$20+HS$21</f>
        <v/>
      </c>
      <c r="HT22" s="43">
        <f>HT$13+HT$14+HT$15+HT$16+HT$17+HT$18+HT$19+HT$20+HT$21</f>
        <v/>
      </c>
      <c r="HU22" s="43">
        <f>HU$13+HU$14+HU$15+HU$16+HU$17+HU$18+HU$19+HU$20+HU$21</f>
        <v/>
      </c>
      <c r="HV22" s="43">
        <f>HV$13+HV$14+HV$15+HV$16+HV$17+HV$18+HV$19+HV$20+HV$21</f>
        <v/>
      </c>
      <c r="HW22" s="43">
        <f>HW$13+HW$14+HW$15+HW$16+HW$17+HW$18+HW$19+HW$20+HW$21</f>
        <v/>
      </c>
      <c r="HX22" s="43">
        <f>HX$13+HX$14+HX$15+HX$16+HX$17+HX$18+HX$19+HX$20+HX$21</f>
        <v/>
      </c>
      <c r="HY22" s="43">
        <f>HY$13+HY$14+HY$15+HY$16+HY$17+HY$18+HY$19+HY$20+HY$21</f>
        <v/>
      </c>
      <c r="HZ22" s="43">
        <f>HZ$13+HZ$14+HZ$15+HZ$16+HZ$17+HZ$18+HZ$19+HZ$20+HZ$21</f>
        <v/>
      </c>
      <c r="IA22" s="43">
        <f>IA$13+IA$14+IA$15+IA$16+IA$17+IA$18+IA$19+IA$20+IA$21</f>
        <v/>
      </c>
      <c r="IB22" s="43">
        <f>IB$13+IB$14+IB$15+IB$16+IB$17+IB$18+IB$19+IB$20+IB$21</f>
        <v/>
      </c>
      <c r="IC22" s="43">
        <f>IC$13+IC$14+IC$15+IC$16+IC$17+IC$18+IC$19+IC$20+IC$21</f>
        <v/>
      </c>
      <c r="ID22" s="43">
        <f>ID$13+ID$14+ID$15+ID$16+ID$17+ID$18+ID$19+ID$20+ID$21</f>
        <v/>
      </c>
      <c r="IE22" s="43">
        <f>IE$13+IE$14+IE$15+IE$16+IE$17+IE$18+IE$19+IE$20+IE$21</f>
        <v/>
      </c>
      <c r="IF22" s="43">
        <f>IF$13+IF$14+IF$15+IF$16+IF$17+IF$18+IF$19+IF$20+IF$21</f>
        <v/>
      </c>
      <c r="IG22" s="43">
        <f>IG$13+IG$14+IG$15+IG$16+IG$17+IG$18+IG$19+IG$20+IG$21</f>
        <v/>
      </c>
      <c r="IH22" s="43">
        <f>IH$13+IH$14+IH$15+IH$16+IH$17+IH$18+IH$19+IH$20+IH$21</f>
        <v/>
      </c>
      <c r="II22" s="43">
        <f>II$13+II$14+II$15+II$16+II$17+II$18+II$19+II$20+II$21</f>
        <v/>
      </c>
      <c r="IJ22" s="43">
        <f>IJ$13+IJ$14+IJ$15+IJ$16+IJ$17+IJ$18+IJ$19+IJ$20+IJ$21</f>
        <v/>
      </c>
      <c r="IK22" s="43">
        <f>IK$13+IK$14+IK$15+IK$16+IK$17+IK$18+IK$19+IK$20+IK$21</f>
        <v/>
      </c>
      <c r="IL22" s="43">
        <f>IL$13+IL$14+IL$15+IL$16+IL$17+IL$18+IL$19+IL$20+IL$21</f>
        <v/>
      </c>
      <c r="IM22" s="43">
        <f>IM$13+IM$14+IM$15+IM$16+IM$17+IM$18+IM$19+IM$20+IM$21</f>
        <v/>
      </c>
      <c r="IN22" s="43">
        <f>IN$13+IN$14+IN$15+IN$16+IN$17+IN$18+IN$19+IN$20+IN$21</f>
        <v/>
      </c>
      <c r="IO22" s="43">
        <f>IO$13+IO$14+IO$15+IO$16+IO$17+IO$18+IO$19+IO$20+IO$21</f>
        <v/>
      </c>
      <c r="IP22" s="43">
        <f>IP$13+IP$14+IP$15+IP$16+IP$17+IP$18+IP$19+IP$20+IP$21</f>
        <v/>
      </c>
      <c r="IQ22" s="43">
        <f>IQ$13+IQ$14+IQ$15+IQ$16+IQ$17+IQ$18+IQ$19+IQ$20+IQ$21</f>
        <v/>
      </c>
      <c r="IR22" s="43">
        <f>IR$13+IR$14+IR$15+IR$16+IR$17+IR$18+IR$19+IR$20+IR$21</f>
        <v/>
      </c>
      <c r="IS22" s="43">
        <f>IS$13+IS$14+IS$15+IS$16+IS$17+IS$18+IS$19+IS$20+IS$21</f>
        <v/>
      </c>
      <c r="IT22" s="43">
        <f>IT$13+IT$14+IT$15+IT$16+IT$17+IT$18+IT$19+IT$20+IT$21</f>
        <v/>
      </c>
      <c r="IU22" s="43">
        <f>IU$13+IU$14+IU$15+IU$16+IU$17+IU$18+IU$19+IU$20+IU$21</f>
        <v/>
      </c>
      <c r="IV22" s="43">
        <f>IV$13+IV$14+IV$15+IV$16+IV$17+IV$18+IV$19+IV$20+IV$21</f>
        <v/>
      </c>
      <c r="IW22" s="43">
        <f>IW$13+IW$14+IW$15+IW$16+IW$17+IW$18+IW$19+IW$20+IW$21</f>
        <v/>
      </c>
      <c r="IX22" s="43">
        <f>IX$13+IX$14+IX$15+IX$16+IX$17+IX$18+IX$19+IX$20+IX$21</f>
        <v/>
      </c>
      <c r="IY22" s="43">
        <f>IY$13+IY$14+IY$15+IY$16+IY$17+IY$18+IY$19+IY$20+IY$21</f>
        <v/>
      </c>
      <c r="IZ22" s="43">
        <f>IZ$13+IZ$14+IZ$15+IZ$16+IZ$17+IZ$18+IZ$19+IZ$20+IZ$21</f>
        <v/>
      </c>
      <c r="JA22" s="43">
        <f>JA$13+JA$14+JA$15+JA$16+JA$17+JA$18+JA$19+JA$20+JA$21</f>
        <v/>
      </c>
      <c r="JB22" s="43">
        <f>JB$13+JB$14+JB$15+JB$16+JB$17+JB$18+JB$19+JB$20+JB$21</f>
        <v/>
      </c>
      <c r="JC22" s="43">
        <f>JC$13+JC$14+JC$15+JC$16+JC$17+JC$18+JC$19+JC$20+JC$21</f>
        <v/>
      </c>
      <c r="JD22" s="43">
        <f>JD$13+JD$14+JD$15+JD$16+JD$17+JD$18+JD$19+JD$20+JD$21</f>
        <v/>
      </c>
      <c r="JE22" s="43">
        <f>JE$13+JE$14+JE$15+JE$16+JE$17+JE$18+JE$19+JE$20+JE$21</f>
        <v/>
      </c>
      <c r="JF22" s="43">
        <f>JF$13+JF$14+JF$15+JF$16+JF$17+JF$18+JF$19+JF$20+JF$21</f>
        <v/>
      </c>
      <c r="JG22" s="43">
        <f>JG$13+JG$14+JG$15+JG$16+JG$17+JG$18+JG$19+JG$20+JG$21</f>
        <v/>
      </c>
      <c r="JH22" s="43">
        <f>JH$13+JH$14+JH$15+JH$16+JH$17+JH$18+JH$19+JH$20+JH$21</f>
        <v/>
      </c>
      <c r="JI22" s="43">
        <f>JI$13+JI$14+JI$15+JI$16+JI$17+JI$18+JI$19+JI$20+JI$21</f>
        <v/>
      </c>
      <c r="JJ22" s="43">
        <f>JJ$13+JJ$14+JJ$15+JJ$16+JJ$17+JJ$18+JJ$19+JJ$20+JJ$21</f>
        <v/>
      </c>
      <c r="JK22" s="43">
        <f>JK$13+JK$14+JK$15+JK$16+JK$17+JK$18+JK$19+JK$20+JK$21</f>
        <v/>
      </c>
      <c r="JL22" s="43">
        <f>JL$13+JL$14+JL$15+JL$16+JL$17+JL$18+JL$19+JL$20+JL$21</f>
        <v/>
      </c>
      <c r="JM22" s="43">
        <f>JM$13+JM$14+JM$15+JM$16+JM$17+JM$18+JM$19+JM$20+JM$21</f>
        <v/>
      </c>
      <c r="JN22" s="43">
        <f>JN$13+JN$14+JN$15+JN$16+JN$17+JN$18+JN$19+JN$20+JN$21</f>
        <v/>
      </c>
      <c r="JO22" s="43">
        <f>JO$13+JO$14+JO$15+JO$16+JO$17+JO$18+JO$19+JO$20+JO$21</f>
        <v/>
      </c>
      <c r="JP22" s="43">
        <f>JP$13+JP$14+JP$15+JP$16+JP$17+JP$18+JP$19+JP$20+JP$21</f>
        <v/>
      </c>
      <c r="JQ22" s="43">
        <f>JQ$13+JQ$14+JQ$15+JQ$16+JQ$17+JQ$18+JQ$19+JQ$20+JQ$21</f>
        <v/>
      </c>
      <c r="JR22" s="43">
        <f>JR$13+JR$14+JR$15+JR$16+JR$17+JR$18+JR$19+JR$20+JR$21</f>
        <v/>
      </c>
      <c r="JS22" s="43">
        <f>JS$13+JS$14+JS$15+JS$16+JS$17+JS$18+JS$19+JS$20+JS$21</f>
        <v/>
      </c>
      <c r="JT22" s="43">
        <f>JT$13+JT$14+JT$15+JT$16+JT$17+JT$18+JT$19+JT$20+JT$21</f>
        <v/>
      </c>
      <c r="JU22" s="43">
        <f>JU$13+JU$14+JU$15+JU$16+JU$17+JU$18+JU$19+JU$20+JU$21</f>
        <v/>
      </c>
      <c r="JV22" s="43">
        <f>JV$13+JV$14+JV$15+JV$16+JV$17+JV$18+JV$19+JV$20+JV$21</f>
        <v/>
      </c>
      <c r="JW22" s="43">
        <f>JW$13+JW$14+JW$15+JW$16+JW$17+JW$18+JW$19+JW$20+JW$21</f>
        <v/>
      </c>
      <c r="JX22" s="43">
        <f>JX$13+JX$14+JX$15+JX$16+JX$17+JX$18+JX$19+JX$20+JX$21</f>
        <v/>
      </c>
      <c r="JY22" s="43">
        <f>JY$13+JY$14+JY$15+JY$16+JY$17+JY$18+JY$19+JY$20+JY$21</f>
        <v/>
      </c>
      <c r="JZ22" s="43">
        <f>JZ$13+JZ$14+JZ$15+JZ$16+JZ$17+JZ$18+JZ$19+JZ$20+JZ$21</f>
        <v/>
      </c>
      <c r="KA22" s="43">
        <f>KA$13+KA$14+KA$15+KA$16+KA$17+KA$18+KA$19+KA$20+KA$21</f>
        <v/>
      </c>
      <c r="KB22" s="43">
        <f>KB$13+KB$14+KB$15+KB$16+KB$17+KB$18+KB$19+KB$20+KB$21</f>
        <v/>
      </c>
      <c r="KC22" s="43">
        <f>KC$13+KC$14+KC$15+KC$16+KC$17+KC$18+KC$19+KC$20+KC$21</f>
        <v/>
      </c>
      <c r="KD22" s="43">
        <f>KD$13+KD$14+KD$15+KD$16+KD$17+KD$18+KD$19+KD$20+KD$21</f>
        <v/>
      </c>
      <c r="KE22" s="43">
        <f>KE$13+KE$14+KE$15+KE$16+KE$17+KE$18+KE$19+KE$20+KE$21</f>
        <v/>
      </c>
      <c r="KF22" s="43">
        <f>KF$13+KF$14+KF$15+KF$16+KF$17+KF$18+KF$19+KF$20+KF$21</f>
        <v/>
      </c>
      <c r="KG22" s="43">
        <f>KG$13+KG$14+KG$15+KG$16+KG$17+KG$18+KG$19+KG$20+KG$21</f>
        <v/>
      </c>
      <c r="KH22" s="43">
        <f>KH$13+KH$14+KH$15+KH$16+KH$17+KH$18+KH$19+KH$20+KH$21</f>
        <v/>
      </c>
      <c r="KI22" s="43">
        <f>KI$13+KI$14+KI$15+KI$16+KI$17+KI$18+KI$19+KI$20+KI$21</f>
        <v/>
      </c>
      <c r="KJ22" s="43">
        <f>KJ$13+KJ$14+KJ$15+KJ$16+KJ$17+KJ$18+KJ$19+KJ$20+KJ$21</f>
        <v/>
      </c>
      <c r="KK22" s="43">
        <f>KK$13+KK$14+KK$15+KK$16+KK$17+KK$18+KK$19+KK$20+KK$21</f>
        <v/>
      </c>
      <c r="KL22" s="43">
        <f>KL$13+KL$14+KL$15+KL$16+KL$17+KL$18+KL$19+KL$20+KL$21</f>
        <v/>
      </c>
      <c r="KM22" s="43">
        <f>KM$13+KM$14+KM$15+KM$16+KM$17+KM$18+KM$19+KM$20+KM$21</f>
        <v/>
      </c>
      <c r="KN22" s="43">
        <f>KN$13+KN$14+KN$15+KN$16+KN$17+KN$18+KN$19+KN$20+KN$21</f>
        <v/>
      </c>
      <c r="KO22" s="43">
        <f>KO$13+KO$14+KO$15+KO$16+KO$17+KO$18+KO$19+KO$20+KO$21</f>
        <v/>
      </c>
      <c r="KP22" s="43">
        <f>KP$13+KP$14+KP$15+KP$16+KP$17+KP$18+KP$19+KP$20+KP$21</f>
        <v/>
      </c>
      <c r="KQ22" s="43">
        <f>KQ$13+KQ$14+KQ$15+KQ$16+KQ$17+KQ$18+KQ$19+KQ$20+KQ$21</f>
        <v/>
      </c>
      <c r="KR22" s="43">
        <f>KR$13+KR$14+KR$15+KR$16+KR$17+KR$18+KR$19+KR$20+KR$21</f>
        <v/>
      </c>
      <c r="KS22" s="43">
        <f>KS$13+KS$14+KS$15+KS$16+KS$17+KS$18+KS$19+KS$20+KS$21</f>
        <v/>
      </c>
      <c r="KT22" s="43">
        <f>KT$13+KT$14+KT$15+KT$16+KT$17+KT$18+KT$19+KT$20+KT$21</f>
        <v/>
      </c>
      <c r="KU22" s="43">
        <f>KU$13+KU$14+KU$15+KU$16+KU$17+KU$18+KU$19+KU$20+KU$21</f>
        <v/>
      </c>
      <c r="KV22" s="43">
        <f>KV$13+KV$14+KV$15+KV$16+KV$17+KV$18+KV$19+KV$20+KV$21</f>
        <v/>
      </c>
      <c r="KW22" s="43">
        <f>KW$13+KW$14+KW$15+KW$16+KW$17+KW$18+KW$19+KW$20+KW$21</f>
        <v/>
      </c>
      <c r="KX22" s="43">
        <f>KX$13+KX$14+KX$15+KX$16+KX$17+KX$18+KX$19+KX$20+KX$21</f>
        <v/>
      </c>
      <c r="KY22" s="43">
        <f>KY$13+KY$14+KY$15+KY$16+KY$17+KY$18+KY$19+KY$20+KY$21</f>
        <v/>
      </c>
      <c r="KZ22" s="43">
        <f>KZ$13+KZ$14+KZ$15+KZ$16+KZ$17+KZ$18+KZ$19+KZ$20+KZ$21</f>
        <v/>
      </c>
      <c r="LA22" s="43">
        <f>LA$13+LA$14+LA$15+LA$16+LA$17+LA$18+LA$19+LA$20+LA$21</f>
        <v/>
      </c>
      <c r="LB22" s="43">
        <f>LB$13+LB$14+LB$15+LB$16+LB$17+LB$18+LB$19+LB$20+LB$21</f>
        <v/>
      </c>
      <c r="LC22" s="43">
        <f>LC$13+LC$14+LC$15+LC$16+LC$17+LC$18+LC$19+LC$20+LC$21</f>
        <v/>
      </c>
      <c r="LD22" s="43">
        <f>LD$13+LD$14+LD$15+LD$16+LD$17+LD$18+LD$19+LD$20+LD$21</f>
        <v/>
      </c>
      <c r="LE22" s="43">
        <f>LE$13+LE$14+LE$15+LE$16+LE$17+LE$18+LE$19+LE$20+LE$21</f>
        <v/>
      </c>
      <c r="LF22" s="43">
        <f>LF$13+LF$14+LF$15+LF$16+LF$17+LF$18+LF$19+LF$20+LF$21</f>
        <v/>
      </c>
      <c r="LG22" s="43">
        <f>LG$13+LG$14+LG$15+LG$16+LG$17+LG$18+LG$19+LG$20+LG$21</f>
        <v/>
      </c>
      <c r="LH22" s="43">
        <f>LH$13+LH$14+LH$15+LH$16+LH$17+LH$18+LH$19+LH$20+LH$21</f>
        <v/>
      </c>
      <c r="LI22" s="43">
        <f>LI$13+LI$14+LI$15+LI$16+LI$17+LI$18+LI$19+LI$20+LI$21</f>
        <v/>
      </c>
      <c r="LJ22" s="43">
        <f>LJ$13+LJ$14+LJ$15+LJ$16+LJ$17+LJ$18+LJ$19+LJ$20+LJ$21</f>
        <v/>
      </c>
      <c r="LK22" s="43">
        <f>LK$13+LK$14+LK$15+LK$16+LK$17+LK$18+LK$19+LK$20+LK$21</f>
        <v/>
      </c>
      <c r="LL22" s="43">
        <f>LL$13+LL$14+LL$15+LL$16+LL$17+LL$18+LL$19+LL$20+LL$21</f>
        <v/>
      </c>
      <c r="LM22" s="43">
        <f>LM$13+LM$14+LM$15+LM$16+LM$17+LM$18+LM$19+LM$20+LM$21</f>
        <v/>
      </c>
      <c r="LN22" s="43">
        <f>LN$13+LN$14+LN$15+LN$16+LN$17+LN$18+LN$19+LN$20+LN$21</f>
        <v/>
      </c>
      <c r="LO22" s="43">
        <f>LO$13+LO$14+LO$15+LO$16+LO$17+LO$18+LO$19+LO$20+LO$21</f>
        <v/>
      </c>
      <c r="LP22" s="43">
        <f>LP$13+LP$14+LP$15+LP$16+LP$17+LP$18+LP$19+LP$20+LP$21</f>
        <v/>
      </c>
      <c r="LQ22" s="43">
        <f>LQ$13+LQ$14+LQ$15+LQ$16+LQ$17+LQ$18+LQ$19+LQ$20+LQ$21</f>
        <v/>
      </c>
      <c r="LR22" s="43">
        <f>LR$13+LR$14+LR$15+LR$16+LR$17+LR$18+LR$19+LR$20+LR$21</f>
        <v/>
      </c>
      <c r="LS22" s="43">
        <f>LS$13+LS$14+LS$15+LS$16+LS$17+LS$18+LS$19+LS$20+LS$21</f>
        <v/>
      </c>
      <c r="LT22" s="43">
        <f>LT$13+LT$14+LT$15+LT$16+LT$17+LT$18+LT$19+LT$20+LT$21</f>
        <v/>
      </c>
      <c r="LU22" s="43">
        <f>LU$13+LU$14+LU$15+LU$16+LU$17+LU$18+LU$19+LU$20+LU$21</f>
        <v/>
      </c>
      <c r="LV22" s="43">
        <f>LV$13+LV$14+LV$15+LV$16+LV$17+LV$18+LV$19+LV$20+LV$21</f>
        <v/>
      </c>
      <c r="LW22" s="43">
        <f>LW$13+LW$14+LW$15+LW$16+LW$17+LW$18+LW$19+LW$20+LW$21</f>
        <v/>
      </c>
      <c r="LX22" s="43">
        <f>LX$13+LX$14+LX$15+LX$16+LX$17+LX$18+LX$19+LX$20+LX$21</f>
        <v/>
      </c>
      <c r="LY22" s="43">
        <f>LY$13+LY$14+LY$15+LY$16+LY$17+LY$18+LY$19+LY$20+LY$21</f>
        <v/>
      </c>
      <c r="LZ22" s="43">
        <f>LZ$13+LZ$14+LZ$15+LZ$16+LZ$17+LZ$18+LZ$19+LZ$20+LZ$21</f>
        <v/>
      </c>
      <c r="MA22" s="43">
        <f>MA$13+MA$14+MA$15+MA$16+MA$17+MA$18+MA$19+MA$20+MA$21</f>
        <v/>
      </c>
      <c r="MB22" s="43">
        <f>MB$13+MB$14+MB$15+MB$16+MB$17+MB$18+MB$19+MB$20+MB$21</f>
        <v/>
      </c>
      <c r="MC22" s="43">
        <f>MC$13+MC$14+MC$15+MC$16+MC$17+MC$18+MC$19+MC$20+MC$21</f>
        <v/>
      </c>
      <c r="MD22" s="43">
        <f>MD$13+MD$14+MD$15+MD$16+MD$17+MD$18+MD$19+MD$20+MD$21</f>
        <v/>
      </c>
      <c r="ME22" s="43">
        <f>ME$13+ME$14+ME$15+ME$16+ME$17+ME$18+ME$19+ME$20+ME$21</f>
        <v/>
      </c>
      <c r="MF22" s="43">
        <f>MF$13+MF$14+MF$15+MF$16+MF$17+MF$18+MF$19+MF$20+MF$21</f>
        <v/>
      </c>
      <c r="MG22" s="43">
        <f>MG$13+MG$14+MG$15+MG$16+MG$17+MG$18+MG$19+MG$20+MG$21</f>
        <v/>
      </c>
      <c r="MH22" s="43">
        <f>MH$13+MH$14+MH$15+MH$16+MH$17+MH$18+MH$19+MH$20+MH$21</f>
        <v/>
      </c>
      <c r="MI22" s="43">
        <f>MI$13+MI$14+MI$15+MI$16+MI$17+MI$18+MI$19+MI$20+MI$21</f>
        <v/>
      </c>
      <c r="MJ22" s="43">
        <f>MJ$13+MJ$14+MJ$15+MJ$16+MJ$17+MJ$18+MJ$19+MJ$20+MJ$21</f>
        <v/>
      </c>
      <c r="MK22" s="43">
        <f>MK$13+MK$14+MK$15+MK$16+MK$17+MK$18+MK$19+MK$20+MK$21</f>
        <v/>
      </c>
      <c r="ML22" s="43">
        <f>ML$13+ML$14+ML$15+ML$16+ML$17+ML$18+ML$19+ML$20+ML$21</f>
        <v/>
      </c>
      <c r="MM22" s="43">
        <f>MM$13+MM$14+MM$15+MM$16+MM$17+MM$18+MM$19+MM$20+MM$21</f>
        <v/>
      </c>
      <c r="MN22" s="43">
        <f>MN$13+MN$14+MN$15+MN$16+MN$17+MN$18+MN$19+MN$20+MN$21</f>
        <v/>
      </c>
      <c r="MO22" s="43">
        <f>MO$13+MO$14+MO$15+MO$16+MO$17+MO$18+MO$19+MO$20+MO$21</f>
        <v/>
      </c>
      <c r="MP22" s="43">
        <f>MP$13+MP$14+MP$15+MP$16+MP$17+MP$18+MP$19+MP$20+MP$21</f>
        <v/>
      </c>
      <c r="MQ22" s="43">
        <f>MQ$13+MQ$14+MQ$15+MQ$16+MQ$17+MQ$18+MQ$19+MQ$20+MQ$21</f>
        <v/>
      </c>
      <c r="MR22" s="43">
        <f>MR$13+MR$14+MR$15+MR$16+MR$17+MR$18+MR$19+MR$20+MR$21</f>
        <v/>
      </c>
      <c r="MS22" s="43">
        <f>MS$13+MS$14+MS$15+MS$16+MS$17+MS$18+MS$19+MS$20+MS$21</f>
        <v/>
      </c>
      <c r="MT22" s="43">
        <f>MT$13+MT$14+MT$15+MT$16+MT$17+MT$18+MT$19+MT$20+MT$21</f>
        <v/>
      </c>
      <c r="MU22" s="43">
        <f>MU$13+MU$14+MU$15+MU$16+MU$17+MU$18+MU$19+MU$20+MU$21</f>
        <v/>
      </c>
      <c r="MV22" s="43">
        <f>MV$13+MV$14+MV$15+MV$16+MV$17+MV$18+MV$19+MV$20+MV$21</f>
        <v/>
      </c>
      <c r="MW22" s="43">
        <f>MW$13+MW$14+MW$15+MW$16+MW$17+MW$18+MW$19+MW$20+MW$21</f>
        <v/>
      </c>
      <c r="MX22" s="43">
        <f>MX$13+MX$14+MX$15+MX$16+MX$17+MX$18+MX$19+MX$20+MX$21</f>
        <v/>
      </c>
      <c r="MY22" s="43">
        <f>MY$13+MY$14+MY$15+MY$16+MY$17+MY$18+MY$19+MY$20+MY$21</f>
        <v/>
      </c>
      <c r="MZ22" s="43">
        <f>MZ$13+MZ$14+MZ$15+MZ$16+MZ$17+MZ$18+MZ$19+MZ$20+MZ$21</f>
        <v/>
      </c>
      <c r="NA22" s="43">
        <f>NA$13+NA$14+NA$15+NA$16+NA$17+NA$18+NA$19+NA$20+NA$21</f>
        <v/>
      </c>
      <c r="NB22" s="43">
        <f>NB$13+NB$14+NB$15+NB$16+NB$17+NB$18+NB$19+NB$20+NB$21</f>
        <v/>
      </c>
      <c r="NC22" s="43">
        <f>NC$13+NC$14+NC$15+NC$16+NC$17+NC$18+NC$19+NC$20+NC$21</f>
        <v/>
      </c>
      <c r="ND22" s="43">
        <f>ND$13+ND$14+ND$15+ND$16+ND$17+ND$18+ND$19+ND$20+ND$21</f>
        <v/>
      </c>
      <c r="NE22" s="43">
        <f>NE$13+NE$14+NE$15+NE$16+NE$17+NE$18+NE$19+NE$20+NE$21</f>
        <v/>
      </c>
      <c r="NF22" s="43">
        <f>NF$13+NF$14+NF$15+NF$16+NF$17+NF$18+NF$19+NF$20+NF$21</f>
        <v/>
      </c>
      <c r="NG22" s="43">
        <f>NG$13+NG$14+NG$15+NG$16+NG$17+NG$18+NG$19+NG$20+NG$21</f>
        <v/>
      </c>
      <c r="NH22" s="43">
        <f>NH$13+NH$14+NH$15+NH$16+NH$17+NH$18+NH$19+NH$20+NH$21</f>
        <v/>
      </c>
      <c r="NI22" s="43">
        <f>NI$13+NI$14+NI$15+NI$16+NI$17+NI$18+NI$19+NI$20+NI$21</f>
        <v/>
      </c>
      <c r="NJ22" s="43">
        <f>NJ$13+NJ$14+NJ$15+NJ$16+NJ$17+NJ$18+NJ$19+NJ$20+NJ$21</f>
        <v/>
      </c>
      <c r="NK22" s="43">
        <f>NK$13+NK$14+NK$15+NK$16+NK$17+NK$18+NK$19+NK$20+NK$21</f>
        <v/>
      </c>
    </row>
    <row r="23">
      <c r="A23" s="3" t="inlineStr">
        <is>
          <t>Operating Expenses</t>
        </is>
      </c>
      <c r="B23" s="4" t="n"/>
      <c r="C23" s="4" t="n"/>
    </row>
    <row r="24">
      <c r="A24" s="5" t="inlineStr">
        <is>
          <t>Insurance</t>
        </is>
      </c>
      <c r="C24" s="41">
        <f>SUM(D24:NK24)</f>
        <v/>
      </c>
      <c r="D24" s="18">
        <f>IF(1&gt;=DeliverStart,ExpInsurancePerUnit*TotalUnits/12*D$7,0)</f>
        <v/>
      </c>
      <c r="E24" s="18">
        <f>IF(2&gt;=DeliverStart,ExpInsurancePerUnit*TotalUnits/12*E$7,0)</f>
        <v/>
      </c>
      <c r="F24" s="18">
        <f>IF(3&gt;=DeliverStart,ExpInsurancePerUnit*TotalUnits/12*F$7,0)</f>
        <v/>
      </c>
      <c r="G24" s="18">
        <f>IF(4&gt;=DeliverStart,ExpInsurancePerUnit*TotalUnits/12*G$7,0)</f>
        <v/>
      </c>
      <c r="H24" s="18">
        <f>IF(5&gt;=DeliverStart,ExpInsurancePerUnit*TotalUnits/12*H$7,0)</f>
        <v/>
      </c>
      <c r="I24" s="18">
        <f>IF(6&gt;=DeliverStart,ExpInsurancePerUnit*TotalUnits/12*I$7,0)</f>
        <v/>
      </c>
      <c r="J24" s="18">
        <f>IF(7&gt;=DeliverStart,ExpInsurancePerUnit*TotalUnits/12*J$7,0)</f>
        <v/>
      </c>
      <c r="K24" s="18">
        <f>IF(8&gt;=DeliverStart,ExpInsurancePerUnit*TotalUnits/12*K$7,0)</f>
        <v/>
      </c>
      <c r="L24" s="18">
        <f>IF(9&gt;=DeliverStart,ExpInsurancePerUnit*TotalUnits/12*L$7,0)</f>
        <v/>
      </c>
      <c r="M24" s="18">
        <f>IF(10&gt;=DeliverStart,ExpInsurancePerUnit*TotalUnits/12*M$7,0)</f>
        <v/>
      </c>
      <c r="N24" s="18">
        <f>IF(11&gt;=DeliverStart,ExpInsurancePerUnit*TotalUnits/12*N$7,0)</f>
        <v/>
      </c>
      <c r="O24" s="18">
        <f>IF(12&gt;=DeliverStart,ExpInsurancePerUnit*TotalUnits/12*O$7,0)</f>
        <v/>
      </c>
      <c r="P24" s="18">
        <f>IF(13&gt;=DeliverStart,ExpInsurancePerUnit*TotalUnits/12*P$7,0)</f>
        <v/>
      </c>
      <c r="Q24" s="18">
        <f>IF(14&gt;=DeliverStart,ExpInsurancePerUnit*TotalUnits/12*Q$7,0)</f>
        <v/>
      </c>
      <c r="R24" s="18">
        <f>IF(15&gt;=DeliverStart,ExpInsurancePerUnit*TotalUnits/12*R$7,0)</f>
        <v/>
      </c>
      <c r="S24" s="18">
        <f>IF(16&gt;=DeliverStart,ExpInsurancePerUnit*TotalUnits/12*S$7,0)</f>
        <v/>
      </c>
      <c r="T24" s="18">
        <f>IF(17&gt;=DeliverStart,ExpInsurancePerUnit*TotalUnits/12*T$7,0)</f>
        <v/>
      </c>
      <c r="U24" s="18">
        <f>IF(18&gt;=DeliverStart,ExpInsurancePerUnit*TotalUnits/12*U$7,0)</f>
        <v/>
      </c>
      <c r="V24" s="18">
        <f>IF(19&gt;=DeliverStart,ExpInsurancePerUnit*TotalUnits/12*V$7,0)</f>
        <v/>
      </c>
      <c r="W24" s="18">
        <f>IF(20&gt;=DeliverStart,ExpInsurancePerUnit*TotalUnits/12*W$7,0)</f>
        <v/>
      </c>
      <c r="X24" s="18">
        <f>IF(21&gt;=DeliverStart,ExpInsurancePerUnit*TotalUnits/12*X$7,0)</f>
        <v/>
      </c>
      <c r="Y24" s="18">
        <f>IF(22&gt;=DeliverStart,ExpInsurancePerUnit*TotalUnits/12*Y$7,0)</f>
        <v/>
      </c>
      <c r="Z24" s="18">
        <f>IF(23&gt;=DeliverStart,ExpInsurancePerUnit*TotalUnits/12*Z$7,0)</f>
        <v/>
      </c>
      <c r="AA24" s="18">
        <f>IF(24&gt;=DeliverStart,ExpInsurancePerUnit*TotalUnits/12*AA$7,0)</f>
        <v/>
      </c>
      <c r="AB24" s="18">
        <f>IF(25&gt;=DeliverStart,ExpInsurancePerUnit*TotalUnits/12*AB$7,0)</f>
        <v/>
      </c>
      <c r="AC24" s="18">
        <f>IF(26&gt;=DeliverStart,ExpInsurancePerUnit*TotalUnits/12*AC$7,0)</f>
        <v/>
      </c>
      <c r="AD24" s="18">
        <f>IF(27&gt;=DeliverStart,ExpInsurancePerUnit*TotalUnits/12*AD$7,0)</f>
        <v/>
      </c>
      <c r="AE24" s="18">
        <f>IF(28&gt;=DeliverStart,ExpInsurancePerUnit*TotalUnits/12*AE$7,0)</f>
        <v/>
      </c>
      <c r="AF24" s="18">
        <f>IF(29&gt;=DeliverStart,ExpInsurancePerUnit*TotalUnits/12*AF$7,0)</f>
        <v/>
      </c>
      <c r="AG24" s="18">
        <f>IF(30&gt;=DeliverStart,ExpInsurancePerUnit*TotalUnits/12*AG$7,0)</f>
        <v/>
      </c>
      <c r="AH24" s="18">
        <f>IF(31&gt;=DeliverStart,ExpInsurancePerUnit*TotalUnits/12*AH$7,0)</f>
        <v/>
      </c>
      <c r="AI24" s="18">
        <f>IF(32&gt;=DeliverStart,ExpInsurancePerUnit*TotalUnits/12*AI$7,0)</f>
        <v/>
      </c>
      <c r="AJ24" s="18">
        <f>IF(33&gt;=DeliverStart,ExpInsurancePerUnit*TotalUnits/12*AJ$7,0)</f>
        <v/>
      </c>
      <c r="AK24" s="18">
        <f>IF(34&gt;=DeliverStart,ExpInsurancePerUnit*TotalUnits/12*AK$7,0)</f>
        <v/>
      </c>
      <c r="AL24" s="18">
        <f>IF(35&gt;=DeliverStart,ExpInsurancePerUnit*TotalUnits/12*AL$7,0)</f>
        <v/>
      </c>
      <c r="AM24" s="18">
        <f>IF(36&gt;=DeliverStart,ExpInsurancePerUnit*TotalUnits/12*AM$7,0)</f>
        <v/>
      </c>
      <c r="AN24" s="18">
        <f>IF(37&gt;=DeliverStart,ExpInsurancePerUnit*TotalUnits/12*AN$7,0)</f>
        <v/>
      </c>
      <c r="AO24" s="18">
        <f>IF(38&gt;=DeliverStart,ExpInsurancePerUnit*TotalUnits/12*AO$7,0)</f>
        <v/>
      </c>
      <c r="AP24" s="18">
        <f>IF(39&gt;=DeliverStart,ExpInsurancePerUnit*TotalUnits/12*AP$7,0)</f>
        <v/>
      </c>
      <c r="AQ24" s="18">
        <f>IF(40&gt;=DeliverStart,ExpInsurancePerUnit*TotalUnits/12*AQ$7,0)</f>
        <v/>
      </c>
      <c r="AR24" s="18">
        <f>IF(41&gt;=DeliverStart,ExpInsurancePerUnit*TotalUnits/12*AR$7,0)</f>
        <v/>
      </c>
      <c r="AS24" s="18">
        <f>IF(42&gt;=DeliverStart,ExpInsurancePerUnit*TotalUnits/12*AS$7,0)</f>
        <v/>
      </c>
      <c r="AT24" s="18">
        <f>IF(43&gt;=DeliverStart,ExpInsurancePerUnit*TotalUnits/12*AT$7,0)</f>
        <v/>
      </c>
      <c r="AU24" s="18">
        <f>IF(44&gt;=DeliverStart,ExpInsurancePerUnit*TotalUnits/12*AU$7,0)</f>
        <v/>
      </c>
      <c r="AV24" s="18">
        <f>IF(45&gt;=DeliverStart,ExpInsurancePerUnit*TotalUnits/12*AV$7,0)</f>
        <v/>
      </c>
      <c r="AW24" s="18">
        <f>IF(46&gt;=DeliverStart,ExpInsurancePerUnit*TotalUnits/12*AW$7,0)</f>
        <v/>
      </c>
      <c r="AX24" s="18">
        <f>IF(47&gt;=DeliverStart,ExpInsurancePerUnit*TotalUnits/12*AX$7,0)</f>
        <v/>
      </c>
      <c r="AY24" s="18">
        <f>IF(48&gt;=DeliverStart,ExpInsurancePerUnit*TotalUnits/12*AY$7,0)</f>
        <v/>
      </c>
      <c r="AZ24" s="18">
        <f>IF(49&gt;=DeliverStart,ExpInsurancePerUnit*TotalUnits/12*AZ$7,0)</f>
        <v/>
      </c>
      <c r="BA24" s="18">
        <f>IF(50&gt;=DeliverStart,ExpInsurancePerUnit*TotalUnits/12*BA$7,0)</f>
        <v/>
      </c>
      <c r="BB24" s="18">
        <f>IF(51&gt;=DeliverStart,ExpInsurancePerUnit*TotalUnits/12*BB$7,0)</f>
        <v/>
      </c>
      <c r="BC24" s="18">
        <f>IF(52&gt;=DeliverStart,ExpInsurancePerUnit*TotalUnits/12*BC$7,0)</f>
        <v/>
      </c>
      <c r="BD24" s="18">
        <f>IF(53&gt;=DeliverStart,ExpInsurancePerUnit*TotalUnits/12*BD$7,0)</f>
        <v/>
      </c>
      <c r="BE24" s="18">
        <f>IF(54&gt;=DeliverStart,ExpInsurancePerUnit*TotalUnits/12*BE$7,0)</f>
        <v/>
      </c>
      <c r="BF24" s="18">
        <f>IF(55&gt;=DeliverStart,ExpInsurancePerUnit*TotalUnits/12*BF$7,0)</f>
        <v/>
      </c>
      <c r="BG24" s="18">
        <f>IF(56&gt;=DeliverStart,ExpInsurancePerUnit*TotalUnits/12*BG$7,0)</f>
        <v/>
      </c>
      <c r="BH24" s="18">
        <f>IF(57&gt;=DeliverStart,ExpInsurancePerUnit*TotalUnits/12*BH$7,0)</f>
        <v/>
      </c>
      <c r="BI24" s="18">
        <f>IF(58&gt;=DeliverStart,ExpInsurancePerUnit*TotalUnits/12*BI$7,0)</f>
        <v/>
      </c>
      <c r="BJ24" s="18">
        <f>IF(59&gt;=DeliverStart,ExpInsurancePerUnit*TotalUnits/12*BJ$7,0)</f>
        <v/>
      </c>
      <c r="BK24" s="18">
        <f>IF(60&gt;=DeliverStart,ExpInsurancePerUnit*TotalUnits/12*BK$7,0)</f>
        <v/>
      </c>
      <c r="BL24" s="18">
        <f>IF(61&gt;=DeliverStart,ExpInsurancePerUnit*TotalUnits/12*BL$7,0)</f>
        <v/>
      </c>
      <c r="BM24" s="18">
        <f>IF(62&gt;=DeliverStart,ExpInsurancePerUnit*TotalUnits/12*BM$7,0)</f>
        <v/>
      </c>
      <c r="BN24" s="18">
        <f>IF(63&gt;=DeliverStart,ExpInsurancePerUnit*TotalUnits/12*BN$7,0)</f>
        <v/>
      </c>
      <c r="BO24" s="18">
        <f>IF(64&gt;=DeliverStart,ExpInsurancePerUnit*TotalUnits/12*BO$7,0)</f>
        <v/>
      </c>
      <c r="BP24" s="18">
        <f>IF(65&gt;=DeliverStart,ExpInsurancePerUnit*TotalUnits/12*BP$7,0)</f>
        <v/>
      </c>
      <c r="BQ24" s="18">
        <f>IF(66&gt;=DeliverStart,ExpInsurancePerUnit*TotalUnits/12*BQ$7,0)</f>
        <v/>
      </c>
      <c r="BR24" s="18">
        <f>IF(67&gt;=DeliverStart,ExpInsurancePerUnit*TotalUnits/12*BR$7,0)</f>
        <v/>
      </c>
      <c r="BS24" s="18">
        <f>IF(68&gt;=DeliverStart,ExpInsurancePerUnit*TotalUnits/12*BS$7,0)</f>
        <v/>
      </c>
      <c r="BT24" s="18">
        <f>IF(69&gt;=DeliverStart,ExpInsurancePerUnit*TotalUnits/12*BT$7,0)</f>
        <v/>
      </c>
      <c r="BU24" s="18">
        <f>IF(70&gt;=DeliverStart,ExpInsurancePerUnit*TotalUnits/12*BU$7,0)</f>
        <v/>
      </c>
      <c r="BV24" s="18">
        <f>IF(71&gt;=DeliverStart,ExpInsurancePerUnit*TotalUnits/12*BV$7,0)</f>
        <v/>
      </c>
      <c r="BW24" s="18">
        <f>IF(72&gt;=DeliverStart,ExpInsurancePerUnit*TotalUnits/12*BW$7,0)</f>
        <v/>
      </c>
      <c r="BX24" s="18">
        <f>IF(73&gt;=DeliverStart,ExpInsurancePerUnit*TotalUnits/12*BX$7,0)</f>
        <v/>
      </c>
      <c r="BY24" s="18">
        <f>IF(74&gt;=DeliverStart,ExpInsurancePerUnit*TotalUnits/12*BY$7,0)</f>
        <v/>
      </c>
      <c r="BZ24" s="18">
        <f>IF(75&gt;=DeliverStart,ExpInsurancePerUnit*TotalUnits/12*BZ$7,0)</f>
        <v/>
      </c>
      <c r="CA24" s="18">
        <f>IF(76&gt;=DeliverStart,ExpInsurancePerUnit*TotalUnits/12*CA$7,0)</f>
        <v/>
      </c>
      <c r="CB24" s="18">
        <f>IF(77&gt;=DeliverStart,ExpInsurancePerUnit*TotalUnits/12*CB$7,0)</f>
        <v/>
      </c>
      <c r="CC24" s="18">
        <f>IF(78&gt;=DeliverStart,ExpInsurancePerUnit*TotalUnits/12*CC$7,0)</f>
        <v/>
      </c>
      <c r="CD24" s="18">
        <f>IF(79&gt;=DeliverStart,ExpInsurancePerUnit*TotalUnits/12*CD$7,0)</f>
        <v/>
      </c>
      <c r="CE24" s="18">
        <f>IF(80&gt;=DeliverStart,ExpInsurancePerUnit*TotalUnits/12*CE$7,0)</f>
        <v/>
      </c>
      <c r="CF24" s="18">
        <f>IF(81&gt;=DeliverStart,ExpInsurancePerUnit*TotalUnits/12*CF$7,0)</f>
        <v/>
      </c>
      <c r="CG24" s="18">
        <f>IF(82&gt;=DeliverStart,ExpInsurancePerUnit*TotalUnits/12*CG$7,0)</f>
        <v/>
      </c>
      <c r="CH24" s="18">
        <f>IF(83&gt;=DeliverStart,ExpInsurancePerUnit*TotalUnits/12*CH$7,0)</f>
        <v/>
      </c>
      <c r="CI24" s="18">
        <f>IF(84&gt;=DeliverStart,ExpInsurancePerUnit*TotalUnits/12*CI$7,0)</f>
        <v/>
      </c>
      <c r="CJ24" s="18">
        <f>IF(85&gt;=DeliverStart,ExpInsurancePerUnit*TotalUnits/12*CJ$7,0)</f>
        <v/>
      </c>
      <c r="CK24" s="18">
        <f>IF(86&gt;=DeliverStart,ExpInsurancePerUnit*TotalUnits/12*CK$7,0)</f>
        <v/>
      </c>
      <c r="CL24" s="18">
        <f>IF(87&gt;=DeliverStart,ExpInsurancePerUnit*TotalUnits/12*CL$7,0)</f>
        <v/>
      </c>
      <c r="CM24" s="18">
        <f>IF(88&gt;=DeliverStart,ExpInsurancePerUnit*TotalUnits/12*CM$7,0)</f>
        <v/>
      </c>
      <c r="CN24" s="18">
        <f>IF(89&gt;=DeliverStart,ExpInsurancePerUnit*TotalUnits/12*CN$7,0)</f>
        <v/>
      </c>
      <c r="CO24" s="18">
        <f>IF(90&gt;=DeliverStart,ExpInsurancePerUnit*TotalUnits/12*CO$7,0)</f>
        <v/>
      </c>
      <c r="CP24" s="18">
        <f>IF(91&gt;=DeliverStart,ExpInsurancePerUnit*TotalUnits/12*CP$7,0)</f>
        <v/>
      </c>
      <c r="CQ24" s="18">
        <f>IF(92&gt;=DeliverStart,ExpInsurancePerUnit*TotalUnits/12*CQ$7,0)</f>
        <v/>
      </c>
      <c r="CR24" s="18">
        <f>IF(93&gt;=DeliverStart,ExpInsurancePerUnit*TotalUnits/12*CR$7,0)</f>
        <v/>
      </c>
      <c r="CS24" s="18">
        <f>IF(94&gt;=DeliverStart,ExpInsurancePerUnit*TotalUnits/12*CS$7,0)</f>
        <v/>
      </c>
      <c r="CT24" s="18">
        <f>IF(95&gt;=DeliverStart,ExpInsurancePerUnit*TotalUnits/12*CT$7,0)</f>
        <v/>
      </c>
      <c r="CU24" s="18">
        <f>IF(96&gt;=DeliverStart,ExpInsurancePerUnit*TotalUnits/12*CU$7,0)</f>
        <v/>
      </c>
      <c r="CV24" s="18">
        <f>IF(97&gt;=DeliverStart,ExpInsurancePerUnit*TotalUnits/12*CV$7,0)</f>
        <v/>
      </c>
      <c r="CW24" s="18">
        <f>IF(98&gt;=DeliverStart,ExpInsurancePerUnit*TotalUnits/12*CW$7,0)</f>
        <v/>
      </c>
      <c r="CX24" s="18">
        <f>IF(99&gt;=DeliverStart,ExpInsurancePerUnit*TotalUnits/12*CX$7,0)</f>
        <v/>
      </c>
      <c r="CY24" s="18">
        <f>IF(100&gt;=DeliverStart,ExpInsurancePerUnit*TotalUnits/12*CY$7,0)</f>
        <v/>
      </c>
      <c r="CZ24" s="18">
        <f>IF(101&gt;=DeliverStart,ExpInsurancePerUnit*TotalUnits/12*CZ$7,0)</f>
        <v/>
      </c>
      <c r="DA24" s="18">
        <f>IF(102&gt;=DeliverStart,ExpInsurancePerUnit*TotalUnits/12*DA$7,0)</f>
        <v/>
      </c>
      <c r="DB24" s="18">
        <f>IF(103&gt;=DeliverStart,ExpInsurancePerUnit*TotalUnits/12*DB$7,0)</f>
        <v/>
      </c>
      <c r="DC24" s="18">
        <f>IF(104&gt;=DeliverStart,ExpInsurancePerUnit*TotalUnits/12*DC$7,0)</f>
        <v/>
      </c>
      <c r="DD24" s="18">
        <f>IF(105&gt;=DeliverStart,ExpInsurancePerUnit*TotalUnits/12*DD$7,0)</f>
        <v/>
      </c>
      <c r="DE24" s="18">
        <f>IF(106&gt;=DeliverStart,ExpInsurancePerUnit*TotalUnits/12*DE$7,0)</f>
        <v/>
      </c>
      <c r="DF24" s="18">
        <f>IF(107&gt;=DeliverStart,ExpInsurancePerUnit*TotalUnits/12*DF$7,0)</f>
        <v/>
      </c>
      <c r="DG24" s="18">
        <f>IF(108&gt;=DeliverStart,ExpInsurancePerUnit*TotalUnits/12*DG$7,0)</f>
        <v/>
      </c>
      <c r="DH24" s="18">
        <f>IF(109&gt;=DeliverStart,ExpInsurancePerUnit*TotalUnits/12*DH$7,0)</f>
        <v/>
      </c>
      <c r="DI24" s="18">
        <f>IF(110&gt;=DeliverStart,ExpInsurancePerUnit*TotalUnits/12*DI$7,0)</f>
        <v/>
      </c>
      <c r="DJ24" s="18">
        <f>IF(111&gt;=DeliverStart,ExpInsurancePerUnit*TotalUnits/12*DJ$7,0)</f>
        <v/>
      </c>
      <c r="DK24" s="18">
        <f>IF(112&gt;=DeliverStart,ExpInsurancePerUnit*TotalUnits/12*DK$7,0)</f>
        <v/>
      </c>
      <c r="DL24" s="18">
        <f>IF(113&gt;=DeliverStart,ExpInsurancePerUnit*TotalUnits/12*DL$7,0)</f>
        <v/>
      </c>
      <c r="DM24" s="18">
        <f>IF(114&gt;=DeliverStart,ExpInsurancePerUnit*TotalUnits/12*DM$7,0)</f>
        <v/>
      </c>
      <c r="DN24" s="18">
        <f>IF(115&gt;=DeliverStart,ExpInsurancePerUnit*TotalUnits/12*DN$7,0)</f>
        <v/>
      </c>
      <c r="DO24" s="18">
        <f>IF(116&gt;=DeliverStart,ExpInsurancePerUnit*TotalUnits/12*DO$7,0)</f>
        <v/>
      </c>
      <c r="DP24" s="18">
        <f>IF(117&gt;=DeliverStart,ExpInsurancePerUnit*TotalUnits/12*DP$7,0)</f>
        <v/>
      </c>
      <c r="DQ24" s="18">
        <f>IF(118&gt;=DeliverStart,ExpInsurancePerUnit*TotalUnits/12*DQ$7,0)</f>
        <v/>
      </c>
      <c r="DR24" s="18">
        <f>IF(119&gt;=DeliverStart,ExpInsurancePerUnit*TotalUnits/12*DR$7,0)</f>
        <v/>
      </c>
      <c r="DS24" s="18">
        <f>IF(120&gt;=DeliverStart,ExpInsurancePerUnit*TotalUnits/12*DS$7,0)</f>
        <v/>
      </c>
      <c r="DT24" s="18">
        <f>IF(121&gt;=DeliverStart,ExpInsurancePerUnit*TotalUnits/12*DT$7,0)</f>
        <v/>
      </c>
      <c r="DU24" s="18">
        <f>IF(122&gt;=DeliverStart,ExpInsurancePerUnit*TotalUnits/12*DU$7,0)</f>
        <v/>
      </c>
      <c r="DV24" s="18">
        <f>IF(123&gt;=DeliverStart,ExpInsurancePerUnit*TotalUnits/12*DV$7,0)</f>
        <v/>
      </c>
      <c r="DW24" s="18">
        <f>IF(124&gt;=DeliverStart,ExpInsurancePerUnit*TotalUnits/12*DW$7,0)</f>
        <v/>
      </c>
      <c r="DX24" s="18">
        <f>IF(125&gt;=DeliverStart,ExpInsurancePerUnit*TotalUnits/12*DX$7,0)</f>
        <v/>
      </c>
      <c r="DY24" s="18">
        <f>IF(126&gt;=DeliverStart,ExpInsurancePerUnit*TotalUnits/12*DY$7,0)</f>
        <v/>
      </c>
      <c r="DZ24" s="18">
        <f>IF(127&gt;=DeliverStart,ExpInsurancePerUnit*TotalUnits/12*DZ$7,0)</f>
        <v/>
      </c>
      <c r="EA24" s="18">
        <f>IF(128&gt;=DeliverStart,ExpInsurancePerUnit*TotalUnits/12*EA$7,0)</f>
        <v/>
      </c>
      <c r="EB24" s="18">
        <f>IF(129&gt;=DeliverStart,ExpInsurancePerUnit*TotalUnits/12*EB$7,0)</f>
        <v/>
      </c>
      <c r="EC24" s="18">
        <f>IF(130&gt;=DeliverStart,ExpInsurancePerUnit*TotalUnits/12*EC$7,0)</f>
        <v/>
      </c>
      <c r="ED24" s="18">
        <f>IF(131&gt;=DeliverStart,ExpInsurancePerUnit*TotalUnits/12*ED$7,0)</f>
        <v/>
      </c>
      <c r="EE24" s="18">
        <f>IF(132&gt;=DeliverStart,ExpInsurancePerUnit*TotalUnits/12*EE$7,0)</f>
        <v/>
      </c>
      <c r="EF24" s="18">
        <f>IF(133&gt;=DeliverStart,ExpInsurancePerUnit*TotalUnits/12*EF$7,0)</f>
        <v/>
      </c>
      <c r="EG24" s="18">
        <f>IF(134&gt;=DeliverStart,ExpInsurancePerUnit*TotalUnits/12*EG$7,0)</f>
        <v/>
      </c>
      <c r="EH24" s="18">
        <f>IF(135&gt;=DeliverStart,ExpInsurancePerUnit*TotalUnits/12*EH$7,0)</f>
        <v/>
      </c>
      <c r="EI24" s="18">
        <f>IF(136&gt;=DeliverStart,ExpInsurancePerUnit*TotalUnits/12*EI$7,0)</f>
        <v/>
      </c>
      <c r="EJ24" s="18">
        <f>IF(137&gt;=DeliverStart,ExpInsurancePerUnit*TotalUnits/12*EJ$7,0)</f>
        <v/>
      </c>
      <c r="EK24" s="18">
        <f>IF(138&gt;=DeliverStart,ExpInsurancePerUnit*TotalUnits/12*EK$7,0)</f>
        <v/>
      </c>
      <c r="EL24" s="18">
        <f>IF(139&gt;=DeliverStart,ExpInsurancePerUnit*TotalUnits/12*EL$7,0)</f>
        <v/>
      </c>
      <c r="EM24" s="18">
        <f>IF(140&gt;=DeliverStart,ExpInsurancePerUnit*TotalUnits/12*EM$7,0)</f>
        <v/>
      </c>
      <c r="EN24" s="18">
        <f>IF(141&gt;=DeliverStart,ExpInsurancePerUnit*TotalUnits/12*EN$7,0)</f>
        <v/>
      </c>
      <c r="EO24" s="18">
        <f>IF(142&gt;=DeliverStart,ExpInsurancePerUnit*TotalUnits/12*EO$7,0)</f>
        <v/>
      </c>
      <c r="EP24" s="18">
        <f>IF(143&gt;=DeliverStart,ExpInsurancePerUnit*TotalUnits/12*EP$7,0)</f>
        <v/>
      </c>
      <c r="EQ24" s="18">
        <f>IF(144&gt;=DeliverStart,ExpInsurancePerUnit*TotalUnits/12*EQ$7,0)</f>
        <v/>
      </c>
      <c r="ER24" s="18">
        <f>IF(145&gt;=DeliverStart,ExpInsurancePerUnit*TotalUnits/12*ER$7,0)</f>
        <v/>
      </c>
      <c r="ES24" s="18">
        <f>IF(146&gt;=DeliverStart,ExpInsurancePerUnit*TotalUnits/12*ES$7,0)</f>
        <v/>
      </c>
      <c r="ET24" s="18">
        <f>IF(147&gt;=DeliverStart,ExpInsurancePerUnit*TotalUnits/12*ET$7,0)</f>
        <v/>
      </c>
      <c r="EU24" s="18">
        <f>IF(148&gt;=DeliverStart,ExpInsurancePerUnit*TotalUnits/12*EU$7,0)</f>
        <v/>
      </c>
      <c r="EV24" s="18">
        <f>IF(149&gt;=DeliverStart,ExpInsurancePerUnit*TotalUnits/12*EV$7,0)</f>
        <v/>
      </c>
      <c r="EW24" s="18">
        <f>IF(150&gt;=DeliverStart,ExpInsurancePerUnit*TotalUnits/12*EW$7,0)</f>
        <v/>
      </c>
      <c r="EX24" s="18">
        <f>IF(151&gt;=DeliverStart,ExpInsurancePerUnit*TotalUnits/12*EX$7,0)</f>
        <v/>
      </c>
      <c r="EY24" s="18">
        <f>IF(152&gt;=DeliverStart,ExpInsurancePerUnit*TotalUnits/12*EY$7,0)</f>
        <v/>
      </c>
      <c r="EZ24" s="18">
        <f>IF(153&gt;=DeliverStart,ExpInsurancePerUnit*TotalUnits/12*EZ$7,0)</f>
        <v/>
      </c>
      <c r="FA24" s="18">
        <f>IF(154&gt;=DeliverStart,ExpInsurancePerUnit*TotalUnits/12*FA$7,0)</f>
        <v/>
      </c>
      <c r="FB24" s="18">
        <f>IF(155&gt;=DeliverStart,ExpInsurancePerUnit*TotalUnits/12*FB$7,0)</f>
        <v/>
      </c>
      <c r="FC24" s="18">
        <f>IF(156&gt;=DeliverStart,ExpInsurancePerUnit*TotalUnits/12*FC$7,0)</f>
        <v/>
      </c>
      <c r="FD24" s="18">
        <f>IF(157&gt;=DeliverStart,ExpInsurancePerUnit*TotalUnits/12*FD$7,0)</f>
        <v/>
      </c>
      <c r="FE24" s="18">
        <f>IF(158&gt;=DeliverStart,ExpInsurancePerUnit*TotalUnits/12*FE$7,0)</f>
        <v/>
      </c>
      <c r="FF24" s="18">
        <f>IF(159&gt;=DeliverStart,ExpInsurancePerUnit*TotalUnits/12*FF$7,0)</f>
        <v/>
      </c>
      <c r="FG24" s="18">
        <f>IF(160&gt;=DeliverStart,ExpInsurancePerUnit*TotalUnits/12*FG$7,0)</f>
        <v/>
      </c>
      <c r="FH24" s="18">
        <f>IF(161&gt;=DeliverStart,ExpInsurancePerUnit*TotalUnits/12*FH$7,0)</f>
        <v/>
      </c>
      <c r="FI24" s="18">
        <f>IF(162&gt;=DeliverStart,ExpInsurancePerUnit*TotalUnits/12*FI$7,0)</f>
        <v/>
      </c>
      <c r="FJ24" s="18">
        <f>IF(163&gt;=DeliverStart,ExpInsurancePerUnit*TotalUnits/12*FJ$7,0)</f>
        <v/>
      </c>
      <c r="FK24" s="18">
        <f>IF(164&gt;=DeliverStart,ExpInsurancePerUnit*TotalUnits/12*FK$7,0)</f>
        <v/>
      </c>
      <c r="FL24" s="18">
        <f>IF(165&gt;=DeliverStart,ExpInsurancePerUnit*TotalUnits/12*FL$7,0)</f>
        <v/>
      </c>
      <c r="FM24" s="18">
        <f>IF(166&gt;=DeliverStart,ExpInsurancePerUnit*TotalUnits/12*FM$7,0)</f>
        <v/>
      </c>
      <c r="FN24" s="18">
        <f>IF(167&gt;=DeliverStart,ExpInsurancePerUnit*TotalUnits/12*FN$7,0)</f>
        <v/>
      </c>
      <c r="FO24" s="18">
        <f>IF(168&gt;=DeliverStart,ExpInsurancePerUnit*TotalUnits/12*FO$7,0)</f>
        <v/>
      </c>
      <c r="FP24" s="18">
        <f>IF(169&gt;=DeliverStart,ExpInsurancePerUnit*TotalUnits/12*FP$7,0)</f>
        <v/>
      </c>
      <c r="FQ24" s="18">
        <f>IF(170&gt;=DeliverStart,ExpInsurancePerUnit*TotalUnits/12*FQ$7,0)</f>
        <v/>
      </c>
      <c r="FR24" s="18">
        <f>IF(171&gt;=DeliverStart,ExpInsurancePerUnit*TotalUnits/12*FR$7,0)</f>
        <v/>
      </c>
      <c r="FS24" s="18">
        <f>IF(172&gt;=DeliverStart,ExpInsurancePerUnit*TotalUnits/12*FS$7,0)</f>
        <v/>
      </c>
      <c r="FT24" s="18">
        <f>IF(173&gt;=DeliverStart,ExpInsurancePerUnit*TotalUnits/12*FT$7,0)</f>
        <v/>
      </c>
      <c r="FU24" s="18">
        <f>IF(174&gt;=DeliverStart,ExpInsurancePerUnit*TotalUnits/12*FU$7,0)</f>
        <v/>
      </c>
      <c r="FV24" s="18">
        <f>IF(175&gt;=DeliverStart,ExpInsurancePerUnit*TotalUnits/12*FV$7,0)</f>
        <v/>
      </c>
      <c r="FW24" s="18">
        <f>IF(176&gt;=DeliverStart,ExpInsurancePerUnit*TotalUnits/12*FW$7,0)</f>
        <v/>
      </c>
      <c r="FX24" s="18">
        <f>IF(177&gt;=DeliverStart,ExpInsurancePerUnit*TotalUnits/12*FX$7,0)</f>
        <v/>
      </c>
      <c r="FY24" s="18">
        <f>IF(178&gt;=DeliverStart,ExpInsurancePerUnit*TotalUnits/12*FY$7,0)</f>
        <v/>
      </c>
      <c r="FZ24" s="18">
        <f>IF(179&gt;=DeliverStart,ExpInsurancePerUnit*TotalUnits/12*FZ$7,0)</f>
        <v/>
      </c>
      <c r="GA24" s="18">
        <f>IF(180&gt;=DeliverStart,ExpInsurancePerUnit*TotalUnits/12*GA$7,0)</f>
        <v/>
      </c>
      <c r="GB24" s="18">
        <f>IF(181&gt;=DeliverStart,ExpInsurancePerUnit*TotalUnits/12*GB$7,0)</f>
        <v/>
      </c>
      <c r="GC24" s="18">
        <f>IF(182&gt;=DeliverStart,ExpInsurancePerUnit*TotalUnits/12*GC$7,0)</f>
        <v/>
      </c>
      <c r="GD24" s="18">
        <f>IF(183&gt;=DeliverStart,ExpInsurancePerUnit*TotalUnits/12*GD$7,0)</f>
        <v/>
      </c>
      <c r="GE24" s="18">
        <f>IF(184&gt;=DeliverStart,ExpInsurancePerUnit*TotalUnits/12*GE$7,0)</f>
        <v/>
      </c>
      <c r="GF24" s="18">
        <f>IF(185&gt;=DeliverStart,ExpInsurancePerUnit*TotalUnits/12*GF$7,0)</f>
        <v/>
      </c>
      <c r="GG24" s="18">
        <f>IF(186&gt;=DeliverStart,ExpInsurancePerUnit*TotalUnits/12*GG$7,0)</f>
        <v/>
      </c>
      <c r="GH24" s="18">
        <f>IF(187&gt;=DeliverStart,ExpInsurancePerUnit*TotalUnits/12*GH$7,0)</f>
        <v/>
      </c>
      <c r="GI24" s="18">
        <f>IF(188&gt;=DeliverStart,ExpInsurancePerUnit*TotalUnits/12*GI$7,0)</f>
        <v/>
      </c>
      <c r="GJ24" s="18">
        <f>IF(189&gt;=DeliverStart,ExpInsurancePerUnit*TotalUnits/12*GJ$7,0)</f>
        <v/>
      </c>
      <c r="GK24" s="18">
        <f>IF(190&gt;=DeliverStart,ExpInsurancePerUnit*TotalUnits/12*GK$7,0)</f>
        <v/>
      </c>
      <c r="GL24" s="18">
        <f>IF(191&gt;=DeliverStart,ExpInsurancePerUnit*TotalUnits/12*GL$7,0)</f>
        <v/>
      </c>
      <c r="GM24" s="18">
        <f>IF(192&gt;=DeliverStart,ExpInsurancePerUnit*TotalUnits/12*GM$7,0)</f>
        <v/>
      </c>
      <c r="GN24" s="18">
        <f>IF(193&gt;=DeliverStart,ExpInsurancePerUnit*TotalUnits/12*GN$7,0)</f>
        <v/>
      </c>
      <c r="GO24" s="18">
        <f>IF(194&gt;=DeliverStart,ExpInsurancePerUnit*TotalUnits/12*GO$7,0)</f>
        <v/>
      </c>
      <c r="GP24" s="18">
        <f>IF(195&gt;=DeliverStart,ExpInsurancePerUnit*TotalUnits/12*GP$7,0)</f>
        <v/>
      </c>
      <c r="GQ24" s="18">
        <f>IF(196&gt;=DeliverStart,ExpInsurancePerUnit*TotalUnits/12*GQ$7,0)</f>
        <v/>
      </c>
      <c r="GR24" s="18">
        <f>IF(197&gt;=DeliverStart,ExpInsurancePerUnit*TotalUnits/12*GR$7,0)</f>
        <v/>
      </c>
      <c r="GS24" s="18">
        <f>IF(198&gt;=DeliverStart,ExpInsurancePerUnit*TotalUnits/12*GS$7,0)</f>
        <v/>
      </c>
      <c r="GT24" s="18">
        <f>IF(199&gt;=DeliverStart,ExpInsurancePerUnit*TotalUnits/12*GT$7,0)</f>
        <v/>
      </c>
      <c r="GU24" s="18">
        <f>IF(200&gt;=DeliverStart,ExpInsurancePerUnit*TotalUnits/12*GU$7,0)</f>
        <v/>
      </c>
      <c r="GV24" s="18">
        <f>IF(201&gt;=DeliverStart,ExpInsurancePerUnit*TotalUnits/12*GV$7,0)</f>
        <v/>
      </c>
      <c r="GW24" s="18">
        <f>IF(202&gt;=DeliverStart,ExpInsurancePerUnit*TotalUnits/12*GW$7,0)</f>
        <v/>
      </c>
      <c r="GX24" s="18">
        <f>IF(203&gt;=DeliverStart,ExpInsurancePerUnit*TotalUnits/12*GX$7,0)</f>
        <v/>
      </c>
      <c r="GY24" s="18">
        <f>IF(204&gt;=DeliverStart,ExpInsurancePerUnit*TotalUnits/12*GY$7,0)</f>
        <v/>
      </c>
      <c r="GZ24" s="18">
        <f>IF(205&gt;=DeliverStart,ExpInsurancePerUnit*TotalUnits/12*GZ$7,0)</f>
        <v/>
      </c>
      <c r="HA24" s="18">
        <f>IF(206&gt;=DeliverStart,ExpInsurancePerUnit*TotalUnits/12*HA$7,0)</f>
        <v/>
      </c>
      <c r="HB24" s="18">
        <f>IF(207&gt;=DeliverStart,ExpInsurancePerUnit*TotalUnits/12*HB$7,0)</f>
        <v/>
      </c>
      <c r="HC24" s="18">
        <f>IF(208&gt;=DeliverStart,ExpInsurancePerUnit*TotalUnits/12*HC$7,0)</f>
        <v/>
      </c>
      <c r="HD24" s="18">
        <f>IF(209&gt;=DeliverStart,ExpInsurancePerUnit*TotalUnits/12*HD$7,0)</f>
        <v/>
      </c>
      <c r="HE24" s="18">
        <f>IF(210&gt;=DeliverStart,ExpInsurancePerUnit*TotalUnits/12*HE$7,0)</f>
        <v/>
      </c>
      <c r="HF24" s="18">
        <f>IF(211&gt;=DeliverStart,ExpInsurancePerUnit*TotalUnits/12*HF$7,0)</f>
        <v/>
      </c>
      <c r="HG24" s="18">
        <f>IF(212&gt;=DeliverStart,ExpInsurancePerUnit*TotalUnits/12*HG$7,0)</f>
        <v/>
      </c>
      <c r="HH24" s="18">
        <f>IF(213&gt;=DeliverStart,ExpInsurancePerUnit*TotalUnits/12*HH$7,0)</f>
        <v/>
      </c>
      <c r="HI24" s="18">
        <f>IF(214&gt;=DeliverStart,ExpInsurancePerUnit*TotalUnits/12*HI$7,0)</f>
        <v/>
      </c>
      <c r="HJ24" s="18">
        <f>IF(215&gt;=DeliverStart,ExpInsurancePerUnit*TotalUnits/12*HJ$7,0)</f>
        <v/>
      </c>
      <c r="HK24" s="18">
        <f>IF(216&gt;=DeliverStart,ExpInsurancePerUnit*TotalUnits/12*HK$7,0)</f>
        <v/>
      </c>
      <c r="HL24" s="18">
        <f>IF(217&gt;=DeliverStart,ExpInsurancePerUnit*TotalUnits/12*HL$7,0)</f>
        <v/>
      </c>
      <c r="HM24" s="18">
        <f>IF(218&gt;=DeliverStart,ExpInsurancePerUnit*TotalUnits/12*HM$7,0)</f>
        <v/>
      </c>
      <c r="HN24" s="18">
        <f>IF(219&gt;=DeliverStart,ExpInsurancePerUnit*TotalUnits/12*HN$7,0)</f>
        <v/>
      </c>
      <c r="HO24" s="18">
        <f>IF(220&gt;=DeliverStart,ExpInsurancePerUnit*TotalUnits/12*HO$7,0)</f>
        <v/>
      </c>
      <c r="HP24" s="18">
        <f>IF(221&gt;=DeliverStart,ExpInsurancePerUnit*TotalUnits/12*HP$7,0)</f>
        <v/>
      </c>
      <c r="HQ24" s="18">
        <f>IF(222&gt;=DeliverStart,ExpInsurancePerUnit*TotalUnits/12*HQ$7,0)</f>
        <v/>
      </c>
      <c r="HR24" s="18">
        <f>IF(223&gt;=DeliverStart,ExpInsurancePerUnit*TotalUnits/12*HR$7,0)</f>
        <v/>
      </c>
      <c r="HS24" s="18">
        <f>IF(224&gt;=DeliverStart,ExpInsurancePerUnit*TotalUnits/12*HS$7,0)</f>
        <v/>
      </c>
      <c r="HT24" s="18">
        <f>IF(225&gt;=DeliverStart,ExpInsurancePerUnit*TotalUnits/12*HT$7,0)</f>
        <v/>
      </c>
      <c r="HU24" s="18">
        <f>IF(226&gt;=DeliverStart,ExpInsurancePerUnit*TotalUnits/12*HU$7,0)</f>
        <v/>
      </c>
      <c r="HV24" s="18">
        <f>IF(227&gt;=DeliverStart,ExpInsurancePerUnit*TotalUnits/12*HV$7,0)</f>
        <v/>
      </c>
      <c r="HW24" s="18">
        <f>IF(228&gt;=DeliverStart,ExpInsurancePerUnit*TotalUnits/12*HW$7,0)</f>
        <v/>
      </c>
      <c r="HX24" s="18">
        <f>IF(229&gt;=DeliverStart,ExpInsurancePerUnit*TotalUnits/12*HX$7,0)</f>
        <v/>
      </c>
      <c r="HY24" s="18">
        <f>IF(230&gt;=DeliverStart,ExpInsurancePerUnit*TotalUnits/12*HY$7,0)</f>
        <v/>
      </c>
      <c r="HZ24" s="18">
        <f>IF(231&gt;=DeliverStart,ExpInsurancePerUnit*TotalUnits/12*HZ$7,0)</f>
        <v/>
      </c>
      <c r="IA24" s="18">
        <f>IF(232&gt;=DeliverStart,ExpInsurancePerUnit*TotalUnits/12*IA$7,0)</f>
        <v/>
      </c>
      <c r="IB24" s="18">
        <f>IF(233&gt;=DeliverStart,ExpInsurancePerUnit*TotalUnits/12*IB$7,0)</f>
        <v/>
      </c>
      <c r="IC24" s="18">
        <f>IF(234&gt;=DeliverStart,ExpInsurancePerUnit*TotalUnits/12*IC$7,0)</f>
        <v/>
      </c>
      <c r="ID24" s="18">
        <f>IF(235&gt;=DeliverStart,ExpInsurancePerUnit*TotalUnits/12*ID$7,0)</f>
        <v/>
      </c>
      <c r="IE24" s="18">
        <f>IF(236&gt;=DeliverStart,ExpInsurancePerUnit*TotalUnits/12*IE$7,0)</f>
        <v/>
      </c>
      <c r="IF24" s="18">
        <f>IF(237&gt;=DeliverStart,ExpInsurancePerUnit*TotalUnits/12*IF$7,0)</f>
        <v/>
      </c>
      <c r="IG24" s="18">
        <f>IF(238&gt;=DeliverStart,ExpInsurancePerUnit*TotalUnits/12*IG$7,0)</f>
        <v/>
      </c>
      <c r="IH24" s="18">
        <f>IF(239&gt;=DeliverStart,ExpInsurancePerUnit*TotalUnits/12*IH$7,0)</f>
        <v/>
      </c>
      <c r="II24" s="18">
        <f>IF(240&gt;=DeliverStart,ExpInsurancePerUnit*TotalUnits/12*II$7,0)</f>
        <v/>
      </c>
      <c r="IJ24" s="18">
        <f>IF(241&gt;=DeliverStart,ExpInsurancePerUnit*TotalUnits/12*IJ$7,0)</f>
        <v/>
      </c>
      <c r="IK24" s="18">
        <f>IF(242&gt;=DeliverStart,ExpInsurancePerUnit*TotalUnits/12*IK$7,0)</f>
        <v/>
      </c>
      <c r="IL24" s="18">
        <f>IF(243&gt;=DeliverStart,ExpInsurancePerUnit*TotalUnits/12*IL$7,0)</f>
        <v/>
      </c>
      <c r="IM24" s="18">
        <f>IF(244&gt;=DeliverStart,ExpInsurancePerUnit*TotalUnits/12*IM$7,0)</f>
        <v/>
      </c>
      <c r="IN24" s="18">
        <f>IF(245&gt;=DeliverStart,ExpInsurancePerUnit*TotalUnits/12*IN$7,0)</f>
        <v/>
      </c>
      <c r="IO24" s="18">
        <f>IF(246&gt;=DeliverStart,ExpInsurancePerUnit*TotalUnits/12*IO$7,0)</f>
        <v/>
      </c>
      <c r="IP24" s="18">
        <f>IF(247&gt;=DeliverStart,ExpInsurancePerUnit*TotalUnits/12*IP$7,0)</f>
        <v/>
      </c>
      <c r="IQ24" s="18">
        <f>IF(248&gt;=DeliverStart,ExpInsurancePerUnit*TotalUnits/12*IQ$7,0)</f>
        <v/>
      </c>
      <c r="IR24" s="18">
        <f>IF(249&gt;=DeliverStart,ExpInsurancePerUnit*TotalUnits/12*IR$7,0)</f>
        <v/>
      </c>
      <c r="IS24" s="18">
        <f>IF(250&gt;=DeliverStart,ExpInsurancePerUnit*TotalUnits/12*IS$7,0)</f>
        <v/>
      </c>
      <c r="IT24" s="18">
        <f>IF(251&gt;=DeliverStart,ExpInsurancePerUnit*TotalUnits/12*IT$7,0)</f>
        <v/>
      </c>
      <c r="IU24" s="18">
        <f>IF(252&gt;=DeliverStart,ExpInsurancePerUnit*TotalUnits/12*IU$7,0)</f>
        <v/>
      </c>
      <c r="IV24" s="18">
        <f>IF(253&gt;=DeliverStart,ExpInsurancePerUnit*TotalUnits/12*IV$7,0)</f>
        <v/>
      </c>
      <c r="IW24" s="18">
        <f>IF(254&gt;=DeliverStart,ExpInsurancePerUnit*TotalUnits/12*IW$7,0)</f>
        <v/>
      </c>
      <c r="IX24" s="18">
        <f>IF(255&gt;=DeliverStart,ExpInsurancePerUnit*TotalUnits/12*IX$7,0)</f>
        <v/>
      </c>
      <c r="IY24" s="18">
        <f>IF(256&gt;=DeliverStart,ExpInsurancePerUnit*TotalUnits/12*IY$7,0)</f>
        <v/>
      </c>
      <c r="IZ24" s="18">
        <f>IF(257&gt;=DeliverStart,ExpInsurancePerUnit*TotalUnits/12*IZ$7,0)</f>
        <v/>
      </c>
      <c r="JA24" s="18">
        <f>IF(258&gt;=DeliverStart,ExpInsurancePerUnit*TotalUnits/12*JA$7,0)</f>
        <v/>
      </c>
      <c r="JB24" s="18">
        <f>IF(259&gt;=DeliverStart,ExpInsurancePerUnit*TotalUnits/12*JB$7,0)</f>
        <v/>
      </c>
      <c r="JC24" s="18">
        <f>IF(260&gt;=DeliverStart,ExpInsurancePerUnit*TotalUnits/12*JC$7,0)</f>
        <v/>
      </c>
      <c r="JD24" s="18">
        <f>IF(261&gt;=DeliverStart,ExpInsurancePerUnit*TotalUnits/12*JD$7,0)</f>
        <v/>
      </c>
      <c r="JE24" s="18">
        <f>IF(262&gt;=DeliverStart,ExpInsurancePerUnit*TotalUnits/12*JE$7,0)</f>
        <v/>
      </c>
      <c r="JF24" s="18">
        <f>IF(263&gt;=DeliverStart,ExpInsurancePerUnit*TotalUnits/12*JF$7,0)</f>
        <v/>
      </c>
      <c r="JG24" s="18">
        <f>IF(264&gt;=DeliverStart,ExpInsurancePerUnit*TotalUnits/12*JG$7,0)</f>
        <v/>
      </c>
      <c r="JH24" s="18">
        <f>IF(265&gt;=DeliverStart,ExpInsurancePerUnit*TotalUnits/12*JH$7,0)</f>
        <v/>
      </c>
      <c r="JI24" s="18">
        <f>IF(266&gt;=DeliverStart,ExpInsurancePerUnit*TotalUnits/12*JI$7,0)</f>
        <v/>
      </c>
      <c r="JJ24" s="18">
        <f>IF(267&gt;=DeliverStart,ExpInsurancePerUnit*TotalUnits/12*JJ$7,0)</f>
        <v/>
      </c>
      <c r="JK24" s="18">
        <f>IF(268&gt;=DeliverStart,ExpInsurancePerUnit*TotalUnits/12*JK$7,0)</f>
        <v/>
      </c>
      <c r="JL24" s="18">
        <f>IF(269&gt;=DeliverStart,ExpInsurancePerUnit*TotalUnits/12*JL$7,0)</f>
        <v/>
      </c>
      <c r="JM24" s="18">
        <f>IF(270&gt;=DeliverStart,ExpInsurancePerUnit*TotalUnits/12*JM$7,0)</f>
        <v/>
      </c>
      <c r="JN24" s="18">
        <f>IF(271&gt;=DeliverStart,ExpInsurancePerUnit*TotalUnits/12*JN$7,0)</f>
        <v/>
      </c>
      <c r="JO24" s="18">
        <f>IF(272&gt;=DeliverStart,ExpInsurancePerUnit*TotalUnits/12*JO$7,0)</f>
        <v/>
      </c>
      <c r="JP24" s="18">
        <f>IF(273&gt;=DeliverStart,ExpInsurancePerUnit*TotalUnits/12*JP$7,0)</f>
        <v/>
      </c>
      <c r="JQ24" s="18">
        <f>IF(274&gt;=DeliverStart,ExpInsurancePerUnit*TotalUnits/12*JQ$7,0)</f>
        <v/>
      </c>
      <c r="JR24" s="18">
        <f>IF(275&gt;=DeliverStart,ExpInsurancePerUnit*TotalUnits/12*JR$7,0)</f>
        <v/>
      </c>
      <c r="JS24" s="18">
        <f>IF(276&gt;=DeliverStart,ExpInsurancePerUnit*TotalUnits/12*JS$7,0)</f>
        <v/>
      </c>
      <c r="JT24" s="18">
        <f>IF(277&gt;=DeliverStart,ExpInsurancePerUnit*TotalUnits/12*JT$7,0)</f>
        <v/>
      </c>
      <c r="JU24" s="18">
        <f>IF(278&gt;=DeliverStart,ExpInsurancePerUnit*TotalUnits/12*JU$7,0)</f>
        <v/>
      </c>
      <c r="JV24" s="18">
        <f>IF(279&gt;=DeliverStart,ExpInsurancePerUnit*TotalUnits/12*JV$7,0)</f>
        <v/>
      </c>
      <c r="JW24" s="18">
        <f>IF(280&gt;=DeliverStart,ExpInsurancePerUnit*TotalUnits/12*JW$7,0)</f>
        <v/>
      </c>
      <c r="JX24" s="18">
        <f>IF(281&gt;=DeliverStart,ExpInsurancePerUnit*TotalUnits/12*JX$7,0)</f>
        <v/>
      </c>
      <c r="JY24" s="18">
        <f>IF(282&gt;=DeliverStart,ExpInsurancePerUnit*TotalUnits/12*JY$7,0)</f>
        <v/>
      </c>
      <c r="JZ24" s="18">
        <f>IF(283&gt;=DeliverStart,ExpInsurancePerUnit*TotalUnits/12*JZ$7,0)</f>
        <v/>
      </c>
      <c r="KA24" s="18">
        <f>IF(284&gt;=DeliverStart,ExpInsurancePerUnit*TotalUnits/12*KA$7,0)</f>
        <v/>
      </c>
      <c r="KB24" s="18">
        <f>IF(285&gt;=DeliverStart,ExpInsurancePerUnit*TotalUnits/12*KB$7,0)</f>
        <v/>
      </c>
      <c r="KC24" s="18">
        <f>IF(286&gt;=DeliverStart,ExpInsurancePerUnit*TotalUnits/12*KC$7,0)</f>
        <v/>
      </c>
      <c r="KD24" s="18">
        <f>IF(287&gt;=DeliverStart,ExpInsurancePerUnit*TotalUnits/12*KD$7,0)</f>
        <v/>
      </c>
      <c r="KE24" s="18">
        <f>IF(288&gt;=DeliverStart,ExpInsurancePerUnit*TotalUnits/12*KE$7,0)</f>
        <v/>
      </c>
      <c r="KF24" s="18">
        <f>IF(289&gt;=DeliverStart,ExpInsurancePerUnit*TotalUnits/12*KF$7,0)</f>
        <v/>
      </c>
      <c r="KG24" s="18">
        <f>IF(290&gt;=DeliverStart,ExpInsurancePerUnit*TotalUnits/12*KG$7,0)</f>
        <v/>
      </c>
      <c r="KH24" s="18">
        <f>IF(291&gt;=DeliverStart,ExpInsurancePerUnit*TotalUnits/12*KH$7,0)</f>
        <v/>
      </c>
      <c r="KI24" s="18">
        <f>IF(292&gt;=DeliverStart,ExpInsurancePerUnit*TotalUnits/12*KI$7,0)</f>
        <v/>
      </c>
      <c r="KJ24" s="18">
        <f>IF(293&gt;=DeliverStart,ExpInsurancePerUnit*TotalUnits/12*KJ$7,0)</f>
        <v/>
      </c>
      <c r="KK24" s="18">
        <f>IF(294&gt;=DeliverStart,ExpInsurancePerUnit*TotalUnits/12*KK$7,0)</f>
        <v/>
      </c>
      <c r="KL24" s="18">
        <f>IF(295&gt;=DeliverStart,ExpInsurancePerUnit*TotalUnits/12*KL$7,0)</f>
        <v/>
      </c>
      <c r="KM24" s="18">
        <f>IF(296&gt;=DeliverStart,ExpInsurancePerUnit*TotalUnits/12*KM$7,0)</f>
        <v/>
      </c>
      <c r="KN24" s="18">
        <f>IF(297&gt;=DeliverStart,ExpInsurancePerUnit*TotalUnits/12*KN$7,0)</f>
        <v/>
      </c>
      <c r="KO24" s="18">
        <f>IF(298&gt;=DeliverStart,ExpInsurancePerUnit*TotalUnits/12*KO$7,0)</f>
        <v/>
      </c>
      <c r="KP24" s="18">
        <f>IF(299&gt;=DeliverStart,ExpInsurancePerUnit*TotalUnits/12*KP$7,0)</f>
        <v/>
      </c>
      <c r="KQ24" s="18">
        <f>IF(300&gt;=DeliverStart,ExpInsurancePerUnit*TotalUnits/12*KQ$7,0)</f>
        <v/>
      </c>
      <c r="KR24" s="18">
        <f>IF(301&gt;=DeliverStart,ExpInsurancePerUnit*TotalUnits/12*KR$7,0)</f>
        <v/>
      </c>
      <c r="KS24" s="18">
        <f>IF(302&gt;=DeliverStart,ExpInsurancePerUnit*TotalUnits/12*KS$7,0)</f>
        <v/>
      </c>
      <c r="KT24" s="18">
        <f>IF(303&gt;=DeliverStart,ExpInsurancePerUnit*TotalUnits/12*KT$7,0)</f>
        <v/>
      </c>
      <c r="KU24" s="18">
        <f>IF(304&gt;=DeliverStart,ExpInsurancePerUnit*TotalUnits/12*KU$7,0)</f>
        <v/>
      </c>
      <c r="KV24" s="18">
        <f>IF(305&gt;=DeliverStart,ExpInsurancePerUnit*TotalUnits/12*KV$7,0)</f>
        <v/>
      </c>
      <c r="KW24" s="18">
        <f>IF(306&gt;=DeliverStart,ExpInsurancePerUnit*TotalUnits/12*KW$7,0)</f>
        <v/>
      </c>
      <c r="KX24" s="18">
        <f>IF(307&gt;=DeliverStart,ExpInsurancePerUnit*TotalUnits/12*KX$7,0)</f>
        <v/>
      </c>
      <c r="KY24" s="18">
        <f>IF(308&gt;=DeliverStart,ExpInsurancePerUnit*TotalUnits/12*KY$7,0)</f>
        <v/>
      </c>
      <c r="KZ24" s="18">
        <f>IF(309&gt;=DeliverStart,ExpInsurancePerUnit*TotalUnits/12*KZ$7,0)</f>
        <v/>
      </c>
      <c r="LA24" s="18">
        <f>IF(310&gt;=DeliverStart,ExpInsurancePerUnit*TotalUnits/12*LA$7,0)</f>
        <v/>
      </c>
      <c r="LB24" s="18">
        <f>IF(311&gt;=DeliverStart,ExpInsurancePerUnit*TotalUnits/12*LB$7,0)</f>
        <v/>
      </c>
      <c r="LC24" s="18">
        <f>IF(312&gt;=DeliverStart,ExpInsurancePerUnit*TotalUnits/12*LC$7,0)</f>
        <v/>
      </c>
      <c r="LD24" s="18">
        <f>IF(313&gt;=DeliverStart,ExpInsurancePerUnit*TotalUnits/12*LD$7,0)</f>
        <v/>
      </c>
      <c r="LE24" s="18">
        <f>IF(314&gt;=DeliverStart,ExpInsurancePerUnit*TotalUnits/12*LE$7,0)</f>
        <v/>
      </c>
      <c r="LF24" s="18">
        <f>IF(315&gt;=DeliverStart,ExpInsurancePerUnit*TotalUnits/12*LF$7,0)</f>
        <v/>
      </c>
      <c r="LG24" s="18">
        <f>IF(316&gt;=DeliverStart,ExpInsurancePerUnit*TotalUnits/12*LG$7,0)</f>
        <v/>
      </c>
      <c r="LH24" s="18">
        <f>IF(317&gt;=DeliverStart,ExpInsurancePerUnit*TotalUnits/12*LH$7,0)</f>
        <v/>
      </c>
      <c r="LI24" s="18">
        <f>IF(318&gt;=DeliverStart,ExpInsurancePerUnit*TotalUnits/12*LI$7,0)</f>
        <v/>
      </c>
      <c r="LJ24" s="18">
        <f>IF(319&gt;=DeliverStart,ExpInsurancePerUnit*TotalUnits/12*LJ$7,0)</f>
        <v/>
      </c>
      <c r="LK24" s="18">
        <f>IF(320&gt;=DeliverStart,ExpInsurancePerUnit*TotalUnits/12*LK$7,0)</f>
        <v/>
      </c>
      <c r="LL24" s="18">
        <f>IF(321&gt;=DeliverStart,ExpInsurancePerUnit*TotalUnits/12*LL$7,0)</f>
        <v/>
      </c>
      <c r="LM24" s="18">
        <f>IF(322&gt;=DeliverStart,ExpInsurancePerUnit*TotalUnits/12*LM$7,0)</f>
        <v/>
      </c>
      <c r="LN24" s="18">
        <f>IF(323&gt;=DeliverStart,ExpInsurancePerUnit*TotalUnits/12*LN$7,0)</f>
        <v/>
      </c>
      <c r="LO24" s="18">
        <f>IF(324&gt;=DeliverStart,ExpInsurancePerUnit*TotalUnits/12*LO$7,0)</f>
        <v/>
      </c>
      <c r="LP24" s="18">
        <f>IF(325&gt;=DeliverStart,ExpInsurancePerUnit*TotalUnits/12*LP$7,0)</f>
        <v/>
      </c>
      <c r="LQ24" s="18">
        <f>IF(326&gt;=DeliverStart,ExpInsurancePerUnit*TotalUnits/12*LQ$7,0)</f>
        <v/>
      </c>
      <c r="LR24" s="18">
        <f>IF(327&gt;=DeliverStart,ExpInsurancePerUnit*TotalUnits/12*LR$7,0)</f>
        <v/>
      </c>
      <c r="LS24" s="18">
        <f>IF(328&gt;=DeliverStart,ExpInsurancePerUnit*TotalUnits/12*LS$7,0)</f>
        <v/>
      </c>
      <c r="LT24" s="18">
        <f>IF(329&gt;=DeliverStart,ExpInsurancePerUnit*TotalUnits/12*LT$7,0)</f>
        <v/>
      </c>
      <c r="LU24" s="18">
        <f>IF(330&gt;=DeliverStart,ExpInsurancePerUnit*TotalUnits/12*LU$7,0)</f>
        <v/>
      </c>
      <c r="LV24" s="18">
        <f>IF(331&gt;=DeliverStart,ExpInsurancePerUnit*TotalUnits/12*LV$7,0)</f>
        <v/>
      </c>
      <c r="LW24" s="18">
        <f>IF(332&gt;=DeliverStart,ExpInsurancePerUnit*TotalUnits/12*LW$7,0)</f>
        <v/>
      </c>
      <c r="LX24" s="18">
        <f>IF(333&gt;=DeliverStart,ExpInsurancePerUnit*TotalUnits/12*LX$7,0)</f>
        <v/>
      </c>
      <c r="LY24" s="18">
        <f>IF(334&gt;=DeliverStart,ExpInsurancePerUnit*TotalUnits/12*LY$7,0)</f>
        <v/>
      </c>
      <c r="LZ24" s="18">
        <f>IF(335&gt;=DeliverStart,ExpInsurancePerUnit*TotalUnits/12*LZ$7,0)</f>
        <v/>
      </c>
      <c r="MA24" s="18">
        <f>IF(336&gt;=DeliverStart,ExpInsurancePerUnit*TotalUnits/12*MA$7,0)</f>
        <v/>
      </c>
      <c r="MB24" s="18">
        <f>IF(337&gt;=DeliverStart,ExpInsurancePerUnit*TotalUnits/12*MB$7,0)</f>
        <v/>
      </c>
      <c r="MC24" s="18">
        <f>IF(338&gt;=DeliverStart,ExpInsurancePerUnit*TotalUnits/12*MC$7,0)</f>
        <v/>
      </c>
      <c r="MD24" s="18">
        <f>IF(339&gt;=DeliverStart,ExpInsurancePerUnit*TotalUnits/12*MD$7,0)</f>
        <v/>
      </c>
      <c r="ME24" s="18">
        <f>IF(340&gt;=DeliverStart,ExpInsurancePerUnit*TotalUnits/12*ME$7,0)</f>
        <v/>
      </c>
      <c r="MF24" s="18">
        <f>IF(341&gt;=DeliverStart,ExpInsurancePerUnit*TotalUnits/12*MF$7,0)</f>
        <v/>
      </c>
      <c r="MG24" s="18">
        <f>IF(342&gt;=DeliverStart,ExpInsurancePerUnit*TotalUnits/12*MG$7,0)</f>
        <v/>
      </c>
      <c r="MH24" s="18">
        <f>IF(343&gt;=DeliverStart,ExpInsurancePerUnit*TotalUnits/12*MH$7,0)</f>
        <v/>
      </c>
      <c r="MI24" s="18">
        <f>IF(344&gt;=DeliverStart,ExpInsurancePerUnit*TotalUnits/12*MI$7,0)</f>
        <v/>
      </c>
      <c r="MJ24" s="18">
        <f>IF(345&gt;=DeliverStart,ExpInsurancePerUnit*TotalUnits/12*MJ$7,0)</f>
        <v/>
      </c>
      <c r="MK24" s="18">
        <f>IF(346&gt;=DeliverStart,ExpInsurancePerUnit*TotalUnits/12*MK$7,0)</f>
        <v/>
      </c>
      <c r="ML24" s="18">
        <f>IF(347&gt;=DeliverStart,ExpInsurancePerUnit*TotalUnits/12*ML$7,0)</f>
        <v/>
      </c>
      <c r="MM24" s="18">
        <f>IF(348&gt;=DeliverStart,ExpInsurancePerUnit*TotalUnits/12*MM$7,0)</f>
        <v/>
      </c>
      <c r="MN24" s="18">
        <f>IF(349&gt;=DeliverStart,ExpInsurancePerUnit*TotalUnits/12*MN$7,0)</f>
        <v/>
      </c>
      <c r="MO24" s="18">
        <f>IF(350&gt;=DeliverStart,ExpInsurancePerUnit*TotalUnits/12*MO$7,0)</f>
        <v/>
      </c>
      <c r="MP24" s="18">
        <f>IF(351&gt;=DeliverStart,ExpInsurancePerUnit*TotalUnits/12*MP$7,0)</f>
        <v/>
      </c>
      <c r="MQ24" s="18">
        <f>IF(352&gt;=DeliverStart,ExpInsurancePerUnit*TotalUnits/12*MQ$7,0)</f>
        <v/>
      </c>
      <c r="MR24" s="18">
        <f>IF(353&gt;=DeliverStart,ExpInsurancePerUnit*TotalUnits/12*MR$7,0)</f>
        <v/>
      </c>
      <c r="MS24" s="18">
        <f>IF(354&gt;=DeliverStart,ExpInsurancePerUnit*TotalUnits/12*MS$7,0)</f>
        <v/>
      </c>
      <c r="MT24" s="18">
        <f>IF(355&gt;=DeliverStart,ExpInsurancePerUnit*TotalUnits/12*MT$7,0)</f>
        <v/>
      </c>
      <c r="MU24" s="18">
        <f>IF(356&gt;=DeliverStart,ExpInsurancePerUnit*TotalUnits/12*MU$7,0)</f>
        <v/>
      </c>
      <c r="MV24" s="18">
        <f>IF(357&gt;=DeliverStart,ExpInsurancePerUnit*TotalUnits/12*MV$7,0)</f>
        <v/>
      </c>
      <c r="MW24" s="18">
        <f>IF(358&gt;=DeliverStart,ExpInsurancePerUnit*TotalUnits/12*MW$7,0)</f>
        <v/>
      </c>
      <c r="MX24" s="18">
        <f>IF(359&gt;=DeliverStart,ExpInsurancePerUnit*TotalUnits/12*MX$7,0)</f>
        <v/>
      </c>
      <c r="MY24" s="18">
        <f>IF(360&gt;=DeliverStart,ExpInsurancePerUnit*TotalUnits/12*MY$7,0)</f>
        <v/>
      </c>
      <c r="MZ24" s="18">
        <f>IF(361&gt;=DeliverStart,ExpInsurancePerUnit*TotalUnits/12*MZ$7,0)</f>
        <v/>
      </c>
      <c r="NA24" s="18">
        <f>IF(362&gt;=DeliverStart,ExpInsurancePerUnit*TotalUnits/12*NA$7,0)</f>
        <v/>
      </c>
      <c r="NB24" s="18">
        <f>IF(363&gt;=DeliverStart,ExpInsurancePerUnit*TotalUnits/12*NB$7,0)</f>
        <v/>
      </c>
      <c r="NC24" s="18">
        <f>IF(364&gt;=DeliverStart,ExpInsurancePerUnit*TotalUnits/12*NC$7,0)</f>
        <v/>
      </c>
      <c r="ND24" s="18">
        <f>IF(365&gt;=DeliverStart,ExpInsurancePerUnit*TotalUnits/12*ND$7,0)</f>
        <v/>
      </c>
      <c r="NE24" s="18">
        <f>IF(366&gt;=DeliverStart,ExpInsurancePerUnit*TotalUnits/12*NE$7,0)</f>
        <v/>
      </c>
      <c r="NF24" s="18">
        <f>IF(367&gt;=DeliverStart,ExpInsurancePerUnit*TotalUnits/12*NF$7,0)</f>
        <v/>
      </c>
      <c r="NG24" s="18">
        <f>IF(368&gt;=DeliverStart,ExpInsurancePerUnit*TotalUnits/12*NG$7,0)</f>
        <v/>
      </c>
      <c r="NH24" s="18">
        <f>IF(369&gt;=DeliverStart,ExpInsurancePerUnit*TotalUnits/12*NH$7,0)</f>
        <v/>
      </c>
      <c r="NI24" s="18">
        <f>IF(370&gt;=DeliverStart,ExpInsurancePerUnit*TotalUnits/12*NI$7,0)</f>
        <v/>
      </c>
      <c r="NJ24" s="18">
        <f>IF(371&gt;=DeliverStart,ExpInsurancePerUnit*TotalUnits/12*NJ$7,0)</f>
        <v/>
      </c>
      <c r="NK24" s="18">
        <f>IF(372&gt;=DeliverStart,ExpInsurancePerUnit*TotalUnits/12*NK$7,0)</f>
        <v/>
      </c>
    </row>
    <row r="25">
      <c r="A25" s="5" t="inlineStr">
        <is>
          <t>Admin &amp; Legal</t>
        </is>
      </c>
      <c r="C25" s="41">
        <f>SUM(D25:NK25)</f>
        <v/>
      </c>
      <c r="D25" s="18">
        <f>IF(1&gt;=DeliverStart,ExpAdminPerUnit*TotalUnits/12*D$7,0)</f>
        <v/>
      </c>
      <c r="E25" s="18">
        <f>IF(2&gt;=DeliverStart,ExpAdminPerUnit*TotalUnits/12*E$7,0)</f>
        <v/>
      </c>
      <c r="F25" s="18">
        <f>IF(3&gt;=DeliverStart,ExpAdminPerUnit*TotalUnits/12*F$7,0)</f>
        <v/>
      </c>
      <c r="G25" s="18">
        <f>IF(4&gt;=DeliverStart,ExpAdminPerUnit*TotalUnits/12*G$7,0)</f>
        <v/>
      </c>
      <c r="H25" s="18">
        <f>IF(5&gt;=DeliverStart,ExpAdminPerUnit*TotalUnits/12*H$7,0)</f>
        <v/>
      </c>
      <c r="I25" s="18">
        <f>IF(6&gt;=DeliverStart,ExpAdminPerUnit*TotalUnits/12*I$7,0)</f>
        <v/>
      </c>
      <c r="J25" s="18">
        <f>IF(7&gt;=DeliverStart,ExpAdminPerUnit*TotalUnits/12*J$7,0)</f>
        <v/>
      </c>
      <c r="K25" s="18">
        <f>IF(8&gt;=DeliverStart,ExpAdminPerUnit*TotalUnits/12*K$7,0)</f>
        <v/>
      </c>
      <c r="L25" s="18">
        <f>IF(9&gt;=DeliverStart,ExpAdminPerUnit*TotalUnits/12*L$7,0)</f>
        <v/>
      </c>
      <c r="M25" s="18">
        <f>IF(10&gt;=DeliverStart,ExpAdminPerUnit*TotalUnits/12*M$7,0)</f>
        <v/>
      </c>
      <c r="N25" s="18">
        <f>IF(11&gt;=DeliverStart,ExpAdminPerUnit*TotalUnits/12*N$7,0)</f>
        <v/>
      </c>
      <c r="O25" s="18">
        <f>IF(12&gt;=DeliverStart,ExpAdminPerUnit*TotalUnits/12*O$7,0)</f>
        <v/>
      </c>
      <c r="P25" s="18">
        <f>IF(13&gt;=DeliverStart,ExpAdminPerUnit*TotalUnits/12*P$7,0)</f>
        <v/>
      </c>
      <c r="Q25" s="18">
        <f>IF(14&gt;=DeliverStart,ExpAdminPerUnit*TotalUnits/12*Q$7,0)</f>
        <v/>
      </c>
      <c r="R25" s="18">
        <f>IF(15&gt;=DeliverStart,ExpAdminPerUnit*TotalUnits/12*R$7,0)</f>
        <v/>
      </c>
      <c r="S25" s="18">
        <f>IF(16&gt;=DeliverStart,ExpAdminPerUnit*TotalUnits/12*S$7,0)</f>
        <v/>
      </c>
      <c r="T25" s="18">
        <f>IF(17&gt;=DeliverStart,ExpAdminPerUnit*TotalUnits/12*T$7,0)</f>
        <v/>
      </c>
      <c r="U25" s="18">
        <f>IF(18&gt;=DeliverStart,ExpAdminPerUnit*TotalUnits/12*U$7,0)</f>
        <v/>
      </c>
      <c r="V25" s="18">
        <f>IF(19&gt;=DeliverStart,ExpAdminPerUnit*TotalUnits/12*V$7,0)</f>
        <v/>
      </c>
      <c r="W25" s="18">
        <f>IF(20&gt;=DeliverStart,ExpAdminPerUnit*TotalUnits/12*W$7,0)</f>
        <v/>
      </c>
      <c r="X25" s="18">
        <f>IF(21&gt;=DeliverStart,ExpAdminPerUnit*TotalUnits/12*X$7,0)</f>
        <v/>
      </c>
      <c r="Y25" s="18">
        <f>IF(22&gt;=DeliverStart,ExpAdminPerUnit*TotalUnits/12*Y$7,0)</f>
        <v/>
      </c>
      <c r="Z25" s="18">
        <f>IF(23&gt;=DeliverStart,ExpAdminPerUnit*TotalUnits/12*Z$7,0)</f>
        <v/>
      </c>
      <c r="AA25" s="18">
        <f>IF(24&gt;=DeliverStart,ExpAdminPerUnit*TotalUnits/12*AA$7,0)</f>
        <v/>
      </c>
      <c r="AB25" s="18">
        <f>IF(25&gt;=DeliverStart,ExpAdminPerUnit*TotalUnits/12*AB$7,0)</f>
        <v/>
      </c>
      <c r="AC25" s="18">
        <f>IF(26&gt;=DeliverStart,ExpAdminPerUnit*TotalUnits/12*AC$7,0)</f>
        <v/>
      </c>
      <c r="AD25" s="18">
        <f>IF(27&gt;=DeliverStart,ExpAdminPerUnit*TotalUnits/12*AD$7,0)</f>
        <v/>
      </c>
      <c r="AE25" s="18">
        <f>IF(28&gt;=DeliverStart,ExpAdminPerUnit*TotalUnits/12*AE$7,0)</f>
        <v/>
      </c>
      <c r="AF25" s="18">
        <f>IF(29&gt;=DeliverStart,ExpAdminPerUnit*TotalUnits/12*AF$7,0)</f>
        <v/>
      </c>
      <c r="AG25" s="18">
        <f>IF(30&gt;=DeliverStart,ExpAdminPerUnit*TotalUnits/12*AG$7,0)</f>
        <v/>
      </c>
      <c r="AH25" s="18">
        <f>IF(31&gt;=DeliverStart,ExpAdminPerUnit*TotalUnits/12*AH$7,0)</f>
        <v/>
      </c>
      <c r="AI25" s="18">
        <f>IF(32&gt;=DeliverStart,ExpAdminPerUnit*TotalUnits/12*AI$7,0)</f>
        <v/>
      </c>
      <c r="AJ25" s="18">
        <f>IF(33&gt;=DeliverStart,ExpAdminPerUnit*TotalUnits/12*AJ$7,0)</f>
        <v/>
      </c>
      <c r="AK25" s="18">
        <f>IF(34&gt;=DeliverStart,ExpAdminPerUnit*TotalUnits/12*AK$7,0)</f>
        <v/>
      </c>
      <c r="AL25" s="18">
        <f>IF(35&gt;=DeliverStart,ExpAdminPerUnit*TotalUnits/12*AL$7,0)</f>
        <v/>
      </c>
      <c r="AM25" s="18">
        <f>IF(36&gt;=DeliverStart,ExpAdminPerUnit*TotalUnits/12*AM$7,0)</f>
        <v/>
      </c>
      <c r="AN25" s="18">
        <f>IF(37&gt;=DeliverStart,ExpAdminPerUnit*TotalUnits/12*AN$7,0)</f>
        <v/>
      </c>
      <c r="AO25" s="18">
        <f>IF(38&gt;=DeliverStart,ExpAdminPerUnit*TotalUnits/12*AO$7,0)</f>
        <v/>
      </c>
      <c r="AP25" s="18">
        <f>IF(39&gt;=DeliverStart,ExpAdminPerUnit*TotalUnits/12*AP$7,0)</f>
        <v/>
      </c>
      <c r="AQ25" s="18">
        <f>IF(40&gt;=DeliverStart,ExpAdminPerUnit*TotalUnits/12*AQ$7,0)</f>
        <v/>
      </c>
      <c r="AR25" s="18">
        <f>IF(41&gt;=DeliverStart,ExpAdminPerUnit*TotalUnits/12*AR$7,0)</f>
        <v/>
      </c>
      <c r="AS25" s="18">
        <f>IF(42&gt;=DeliverStart,ExpAdminPerUnit*TotalUnits/12*AS$7,0)</f>
        <v/>
      </c>
      <c r="AT25" s="18">
        <f>IF(43&gt;=DeliverStart,ExpAdminPerUnit*TotalUnits/12*AT$7,0)</f>
        <v/>
      </c>
      <c r="AU25" s="18">
        <f>IF(44&gt;=DeliverStart,ExpAdminPerUnit*TotalUnits/12*AU$7,0)</f>
        <v/>
      </c>
      <c r="AV25" s="18">
        <f>IF(45&gt;=DeliverStart,ExpAdminPerUnit*TotalUnits/12*AV$7,0)</f>
        <v/>
      </c>
      <c r="AW25" s="18">
        <f>IF(46&gt;=DeliverStart,ExpAdminPerUnit*TotalUnits/12*AW$7,0)</f>
        <v/>
      </c>
      <c r="AX25" s="18">
        <f>IF(47&gt;=DeliverStart,ExpAdminPerUnit*TotalUnits/12*AX$7,0)</f>
        <v/>
      </c>
      <c r="AY25" s="18">
        <f>IF(48&gt;=DeliverStart,ExpAdminPerUnit*TotalUnits/12*AY$7,0)</f>
        <v/>
      </c>
      <c r="AZ25" s="18">
        <f>IF(49&gt;=DeliverStart,ExpAdminPerUnit*TotalUnits/12*AZ$7,0)</f>
        <v/>
      </c>
      <c r="BA25" s="18">
        <f>IF(50&gt;=DeliverStart,ExpAdminPerUnit*TotalUnits/12*BA$7,0)</f>
        <v/>
      </c>
      <c r="BB25" s="18">
        <f>IF(51&gt;=DeliverStart,ExpAdminPerUnit*TotalUnits/12*BB$7,0)</f>
        <v/>
      </c>
      <c r="BC25" s="18">
        <f>IF(52&gt;=DeliverStart,ExpAdminPerUnit*TotalUnits/12*BC$7,0)</f>
        <v/>
      </c>
      <c r="BD25" s="18">
        <f>IF(53&gt;=DeliverStart,ExpAdminPerUnit*TotalUnits/12*BD$7,0)</f>
        <v/>
      </c>
      <c r="BE25" s="18">
        <f>IF(54&gt;=DeliverStart,ExpAdminPerUnit*TotalUnits/12*BE$7,0)</f>
        <v/>
      </c>
      <c r="BF25" s="18">
        <f>IF(55&gt;=DeliverStart,ExpAdminPerUnit*TotalUnits/12*BF$7,0)</f>
        <v/>
      </c>
      <c r="BG25" s="18">
        <f>IF(56&gt;=DeliverStart,ExpAdminPerUnit*TotalUnits/12*BG$7,0)</f>
        <v/>
      </c>
      <c r="BH25" s="18">
        <f>IF(57&gt;=DeliverStart,ExpAdminPerUnit*TotalUnits/12*BH$7,0)</f>
        <v/>
      </c>
      <c r="BI25" s="18">
        <f>IF(58&gt;=DeliverStart,ExpAdminPerUnit*TotalUnits/12*BI$7,0)</f>
        <v/>
      </c>
      <c r="BJ25" s="18">
        <f>IF(59&gt;=DeliverStart,ExpAdminPerUnit*TotalUnits/12*BJ$7,0)</f>
        <v/>
      </c>
      <c r="BK25" s="18">
        <f>IF(60&gt;=DeliverStart,ExpAdminPerUnit*TotalUnits/12*BK$7,0)</f>
        <v/>
      </c>
      <c r="BL25" s="18">
        <f>IF(61&gt;=DeliverStart,ExpAdminPerUnit*TotalUnits/12*BL$7,0)</f>
        <v/>
      </c>
      <c r="BM25" s="18">
        <f>IF(62&gt;=DeliverStart,ExpAdminPerUnit*TotalUnits/12*BM$7,0)</f>
        <v/>
      </c>
      <c r="BN25" s="18">
        <f>IF(63&gt;=DeliverStart,ExpAdminPerUnit*TotalUnits/12*BN$7,0)</f>
        <v/>
      </c>
      <c r="BO25" s="18">
        <f>IF(64&gt;=DeliverStart,ExpAdminPerUnit*TotalUnits/12*BO$7,0)</f>
        <v/>
      </c>
      <c r="BP25" s="18">
        <f>IF(65&gt;=DeliverStart,ExpAdminPerUnit*TotalUnits/12*BP$7,0)</f>
        <v/>
      </c>
      <c r="BQ25" s="18">
        <f>IF(66&gt;=DeliverStart,ExpAdminPerUnit*TotalUnits/12*BQ$7,0)</f>
        <v/>
      </c>
      <c r="BR25" s="18">
        <f>IF(67&gt;=DeliverStart,ExpAdminPerUnit*TotalUnits/12*BR$7,0)</f>
        <v/>
      </c>
      <c r="BS25" s="18">
        <f>IF(68&gt;=DeliverStart,ExpAdminPerUnit*TotalUnits/12*BS$7,0)</f>
        <v/>
      </c>
      <c r="BT25" s="18">
        <f>IF(69&gt;=DeliverStart,ExpAdminPerUnit*TotalUnits/12*BT$7,0)</f>
        <v/>
      </c>
      <c r="BU25" s="18">
        <f>IF(70&gt;=DeliverStart,ExpAdminPerUnit*TotalUnits/12*BU$7,0)</f>
        <v/>
      </c>
      <c r="BV25" s="18">
        <f>IF(71&gt;=DeliverStart,ExpAdminPerUnit*TotalUnits/12*BV$7,0)</f>
        <v/>
      </c>
      <c r="BW25" s="18">
        <f>IF(72&gt;=DeliverStart,ExpAdminPerUnit*TotalUnits/12*BW$7,0)</f>
        <v/>
      </c>
      <c r="BX25" s="18">
        <f>IF(73&gt;=DeliverStart,ExpAdminPerUnit*TotalUnits/12*BX$7,0)</f>
        <v/>
      </c>
      <c r="BY25" s="18">
        <f>IF(74&gt;=DeliverStart,ExpAdminPerUnit*TotalUnits/12*BY$7,0)</f>
        <v/>
      </c>
      <c r="BZ25" s="18">
        <f>IF(75&gt;=DeliverStart,ExpAdminPerUnit*TotalUnits/12*BZ$7,0)</f>
        <v/>
      </c>
      <c r="CA25" s="18">
        <f>IF(76&gt;=DeliverStart,ExpAdminPerUnit*TotalUnits/12*CA$7,0)</f>
        <v/>
      </c>
      <c r="CB25" s="18">
        <f>IF(77&gt;=DeliverStart,ExpAdminPerUnit*TotalUnits/12*CB$7,0)</f>
        <v/>
      </c>
      <c r="CC25" s="18">
        <f>IF(78&gt;=DeliverStart,ExpAdminPerUnit*TotalUnits/12*CC$7,0)</f>
        <v/>
      </c>
      <c r="CD25" s="18">
        <f>IF(79&gt;=DeliverStart,ExpAdminPerUnit*TotalUnits/12*CD$7,0)</f>
        <v/>
      </c>
      <c r="CE25" s="18">
        <f>IF(80&gt;=DeliverStart,ExpAdminPerUnit*TotalUnits/12*CE$7,0)</f>
        <v/>
      </c>
      <c r="CF25" s="18">
        <f>IF(81&gt;=DeliverStart,ExpAdminPerUnit*TotalUnits/12*CF$7,0)</f>
        <v/>
      </c>
      <c r="CG25" s="18">
        <f>IF(82&gt;=DeliverStart,ExpAdminPerUnit*TotalUnits/12*CG$7,0)</f>
        <v/>
      </c>
      <c r="CH25" s="18">
        <f>IF(83&gt;=DeliverStart,ExpAdminPerUnit*TotalUnits/12*CH$7,0)</f>
        <v/>
      </c>
      <c r="CI25" s="18">
        <f>IF(84&gt;=DeliverStart,ExpAdminPerUnit*TotalUnits/12*CI$7,0)</f>
        <v/>
      </c>
      <c r="CJ25" s="18">
        <f>IF(85&gt;=DeliverStart,ExpAdminPerUnit*TotalUnits/12*CJ$7,0)</f>
        <v/>
      </c>
      <c r="CK25" s="18">
        <f>IF(86&gt;=DeliverStart,ExpAdminPerUnit*TotalUnits/12*CK$7,0)</f>
        <v/>
      </c>
      <c r="CL25" s="18">
        <f>IF(87&gt;=DeliverStart,ExpAdminPerUnit*TotalUnits/12*CL$7,0)</f>
        <v/>
      </c>
      <c r="CM25" s="18">
        <f>IF(88&gt;=DeliverStart,ExpAdminPerUnit*TotalUnits/12*CM$7,0)</f>
        <v/>
      </c>
      <c r="CN25" s="18">
        <f>IF(89&gt;=DeliverStart,ExpAdminPerUnit*TotalUnits/12*CN$7,0)</f>
        <v/>
      </c>
      <c r="CO25" s="18">
        <f>IF(90&gt;=DeliverStart,ExpAdminPerUnit*TotalUnits/12*CO$7,0)</f>
        <v/>
      </c>
      <c r="CP25" s="18">
        <f>IF(91&gt;=DeliverStart,ExpAdminPerUnit*TotalUnits/12*CP$7,0)</f>
        <v/>
      </c>
      <c r="CQ25" s="18">
        <f>IF(92&gt;=DeliverStart,ExpAdminPerUnit*TotalUnits/12*CQ$7,0)</f>
        <v/>
      </c>
      <c r="CR25" s="18">
        <f>IF(93&gt;=DeliverStart,ExpAdminPerUnit*TotalUnits/12*CR$7,0)</f>
        <v/>
      </c>
      <c r="CS25" s="18">
        <f>IF(94&gt;=DeliverStart,ExpAdminPerUnit*TotalUnits/12*CS$7,0)</f>
        <v/>
      </c>
      <c r="CT25" s="18">
        <f>IF(95&gt;=DeliverStart,ExpAdminPerUnit*TotalUnits/12*CT$7,0)</f>
        <v/>
      </c>
      <c r="CU25" s="18">
        <f>IF(96&gt;=DeliverStart,ExpAdminPerUnit*TotalUnits/12*CU$7,0)</f>
        <v/>
      </c>
      <c r="CV25" s="18">
        <f>IF(97&gt;=DeliverStart,ExpAdminPerUnit*TotalUnits/12*CV$7,0)</f>
        <v/>
      </c>
      <c r="CW25" s="18">
        <f>IF(98&gt;=DeliverStart,ExpAdminPerUnit*TotalUnits/12*CW$7,0)</f>
        <v/>
      </c>
      <c r="CX25" s="18">
        <f>IF(99&gt;=DeliverStart,ExpAdminPerUnit*TotalUnits/12*CX$7,0)</f>
        <v/>
      </c>
      <c r="CY25" s="18">
        <f>IF(100&gt;=DeliverStart,ExpAdminPerUnit*TotalUnits/12*CY$7,0)</f>
        <v/>
      </c>
      <c r="CZ25" s="18">
        <f>IF(101&gt;=DeliverStart,ExpAdminPerUnit*TotalUnits/12*CZ$7,0)</f>
        <v/>
      </c>
      <c r="DA25" s="18">
        <f>IF(102&gt;=DeliverStart,ExpAdminPerUnit*TotalUnits/12*DA$7,0)</f>
        <v/>
      </c>
      <c r="DB25" s="18">
        <f>IF(103&gt;=DeliverStart,ExpAdminPerUnit*TotalUnits/12*DB$7,0)</f>
        <v/>
      </c>
      <c r="DC25" s="18">
        <f>IF(104&gt;=DeliverStart,ExpAdminPerUnit*TotalUnits/12*DC$7,0)</f>
        <v/>
      </c>
      <c r="DD25" s="18">
        <f>IF(105&gt;=DeliverStart,ExpAdminPerUnit*TotalUnits/12*DD$7,0)</f>
        <v/>
      </c>
      <c r="DE25" s="18">
        <f>IF(106&gt;=DeliverStart,ExpAdminPerUnit*TotalUnits/12*DE$7,0)</f>
        <v/>
      </c>
      <c r="DF25" s="18">
        <f>IF(107&gt;=DeliverStart,ExpAdminPerUnit*TotalUnits/12*DF$7,0)</f>
        <v/>
      </c>
      <c r="DG25" s="18">
        <f>IF(108&gt;=DeliverStart,ExpAdminPerUnit*TotalUnits/12*DG$7,0)</f>
        <v/>
      </c>
      <c r="DH25" s="18">
        <f>IF(109&gt;=DeliverStart,ExpAdminPerUnit*TotalUnits/12*DH$7,0)</f>
        <v/>
      </c>
      <c r="DI25" s="18">
        <f>IF(110&gt;=DeliverStart,ExpAdminPerUnit*TotalUnits/12*DI$7,0)</f>
        <v/>
      </c>
      <c r="DJ25" s="18">
        <f>IF(111&gt;=DeliverStart,ExpAdminPerUnit*TotalUnits/12*DJ$7,0)</f>
        <v/>
      </c>
      <c r="DK25" s="18">
        <f>IF(112&gt;=DeliverStart,ExpAdminPerUnit*TotalUnits/12*DK$7,0)</f>
        <v/>
      </c>
      <c r="DL25" s="18">
        <f>IF(113&gt;=DeliverStart,ExpAdminPerUnit*TotalUnits/12*DL$7,0)</f>
        <v/>
      </c>
      <c r="DM25" s="18">
        <f>IF(114&gt;=DeliverStart,ExpAdminPerUnit*TotalUnits/12*DM$7,0)</f>
        <v/>
      </c>
      <c r="DN25" s="18">
        <f>IF(115&gt;=DeliverStart,ExpAdminPerUnit*TotalUnits/12*DN$7,0)</f>
        <v/>
      </c>
      <c r="DO25" s="18">
        <f>IF(116&gt;=DeliverStart,ExpAdminPerUnit*TotalUnits/12*DO$7,0)</f>
        <v/>
      </c>
      <c r="DP25" s="18">
        <f>IF(117&gt;=DeliverStart,ExpAdminPerUnit*TotalUnits/12*DP$7,0)</f>
        <v/>
      </c>
      <c r="DQ25" s="18">
        <f>IF(118&gt;=DeliverStart,ExpAdminPerUnit*TotalUnits/12*DQ$7,0)</f>
        <v/>
      </c>
      <c r="DR25" s="18">
        <f>IF(119&gt;=DeliverStart,ExpAdminPerUnit*TotalUnits/12*DR$7,0)</f>
        <v/>
      </c>
      <c r="DS25" s="18">
        <f>IF(120&gt;=DeliverStart,ExpAdminPerUnit*TotalUnits/12*DS$7,0)</f>
        <v/>
      </c>
      <c r="DT25" s="18">
        <f>IF(121&gt;=DeliverStart,ExpAdminPerUnit*TotalUnits/12*DT$7,0)</f>
        <v/>
      </c>
      <c r="DU25" s="18">
        <f>IF(122&gt;=DeliverStart,ExpAdminPerUnit*TotalUnits/12*DU$7,0)</f>
        <v/>
      </c>
      <c r="DV25" s="18">
        <f>IF(123&gt;=DeliverStart,ExpAdminPerUnit*TotalUnits/12*DV$7,0)</f>
        <v/>
      </c>
      <c r="DW25" s="18">
        <f>IF(124&gt;=DeliverStart,ExpAdminPerUnit*TotalUnits/12*DW$7,0)</f>
        <v/>
      </c>
      <c r="DX25" s="18">
        <f>IF(125&gt;=DeliverStart,ExpAdminPerUnit*TotalUnits/12*DX$7,0)</f>
        <v/>
      </c>
      <c r="DY25" s="18">
        <f>IF(126&gt;=DeliverStart,ExpAdminPerUnit*TotalUnits/12*DY$7,0)</f>
        <v/>
      </c>
      <c r="DZ25" s="18">
        <f>IF(127&gt;=DeliverStart,ExpAdminPerUnit*TotalUnits/12*DZ$7,0)</f>
        <v/>
      </c>
      <c r="EA25" s="18">
        <f>IF(128&gt;=DeliverStart,ExpAdminPerUnit*TotalUnits/12*EA$7,0)</f>
        <v/>
      </c>
      <c r="EB25" s="18">
        <f>IF(129&gt;=DeliverStart,ExpAdminPerUnit*TotalUnits/12*EB$7,0)</f>
        <v/>
      </c>
      <c r="EC25" s="18">
        <f>IF(130&gt;=DeliverStart,ExpAdminPerUnit*TotalUnits/12*EC$7,0)</f>
        <v/>
      </c>
      <c r="ED25" s="18">
        <f>IF(131&gt;=DeliverStart,ExpAdminPerUnit*TotalUnits/12*ED$7,0)</f>
        <v/>
      </c>
      <c r="EE25" s="18">
        <f>IF(132&gt;=DeliverStart,ExpAdminPerUnit*TotalUnits/12*EE$7,0)</f>
        <v/>
      </c>
      <c r="EF25" s="18">
        <f>IF(133&gt;=DeliverStart,ExpAdminPerUnit*TotalUnits/12*EF$7,0)</f>
        <v/>
      </c>
      <c r="EG25" s="18">
        <f>IF(134&gt;=DeliverStart,ExpAdminPerUnit*TotalUnits/12*EG$7,0)</f>
        <v/>
      </c>
      <c r="EH25" s="18">
        <f>IF(135&gt;=DeliverStart,ExpAdminPerUnit*TotalUnits/12*EH$7,0)</f>
        <v/>
      </c>
      <c r="EI25" s="18">
        <f>IF(136&gt;=DeliverStart,ExpAdminPerUnit*TotalUnits/12*EI$7,0)</f>
        <v/>
      </c>
      <c r="EJ25" s="18">
        <f>IF(137&gt;=DeliverStart,ExpAdminPerUnit*TotalUnits/12*EJ$7,0)</f>
        <v/>
      </c>
      <c r="EK25" s="18">
        <f>IF(138&gt;=DeliverStart,ExpAdminPerUnit*TotalUnits/12*EK$7,0)</f>
        <v/>
      </c>
      <c r="EL25" s="18">
        <f>IF(139&gt;=DeliverStart,ExpAdminPerUnit*TotalUnits/12*EL$7,0)</f>
        <v/>
      </c>
      <c r="EM25" s="18">
        <f>IF(140&gt;=DeliverStart,ExpAdminPerUnit*TotalUnits/12*EM$7,0)</f>
        <v/>
      </c>
      <c r="EN25" s="18">
        <f>IF(141&gt;=DeliverStart,ExpAdminPerUnit*TotalUnits/12*EN$7,0)</f>
        <v/>
      </c>
      <c r="EO25" s="18">
        <f>IF(142&gt;=DeliverStart,ExpAdminPerUnit*TotalUnits/12*EO$7,0)</f>
        <v/>
      </c>
      <c r="EP25" s="18">
        <f>IF(143&gt;=DeliverStart,ExpAdminPerUnit*TotalUnits/12*EP$7,0)</f>
        <v/>
      </c>
      <c r="EQ25" s="18">
        <f>IF(144&gt;=DeliverStart,ExpAdminPerUnit*TotalUnits/12*EQ$7,0)</f>
        <v/>
      </c>
      <c r="ER25" s="18">
        <f>IF(145&gt;=DeliverStart,ExpAdminPerUnit*TotalUnits/12*ER$7,0)</f>
        <v/>
      </c>
      <c r="ES25" s="18">
        <f>IF(146&gt;=DeliverStart,ExpAdminPerUnit*TotalUnits/12*ES$7,0)</f>
        <v/>
      </c>
      <c r="ET25" s="18">
        <f>IF(147&gt;=DeliverStart,ExpAdminPerUnit*TotalUnits/12*ET$7,0)</f>
        <v/>
      </c>
      <c r="EU25" s="18">
        <f>IF(148&gt;=DeliverStart,ExpAdminPerUnit*TotalUnits/12*EU$7,0)</f>
        <v/>
      </c>
      <c r="EV25" s="18">
        <f>IF(149&gt;=DeliverStart,ExpAdminPerUnit*TotalUnits/12*EV$7,0)</f>
        <v/>
      </c>
      <c r="EW25" s="18">
        <f>IF(150&gt;=DeliverStart,ExpAdminPerUnit*TotalUnits/12*EW$7,0)</f>
        <v/>
      </c>
      <c r="EX25" s="18">
        <f>IF(151&gt;=DeliverStart,ExpAdminPerUnit*TotalUnits/12*EX$7,0)</f>
        <v/>
      </c>
      <c r="EY25" s="18">
        <f>IF(152&gt;=DeliverStart,ExpAdminPerUnit*TotalUnits/12*EY$7,0)</f>
        <v/>
      </c>
      <c r="EZ25" s="18">
        <f>IF(153&gt;=DeliverStart,ExpAdminPerUnit*TotalUnits/12*EZ$7,0)</f>
        <v/>
      </c>
      <c r="FA25" s="18">
        <f>IF(154&gt;=DeliverStart,ExpAdminPerUnit*TotalUnits/12*FA$7,0)</f>
        <v/>
      </c>
      <c r="FB25" s="18">
        <f>IF(155&gt;=DeliverStart,ExpAdminPerUnit*TotalUnits/12*FB$7,0)</f>
        <v/>
      </c>
      <c r="FC25" s="18">
        <f>IF(156&gt;=DeliverStart,ExpAdminPerUnit*TotalUnits/12*FC$7,0)</f>
        <v/>
      </c>
      <c r="FD25" s="18">
        <f>IF(157&gt;=DeliverStart,ExpAdminPerUnit*TotalUnits/12*FD$7,0)</f>
        <v/>
      </c>
      <c r="FE25" s="18">
        <f>IF(158&gt;=DeliverStart,ExpAdminPerUnit*TotalUnits/12*FE$7,0)</f>
        <v/>
      </c>
      <c r="FF25" s="18">
        <f>IF(159&gt;=DeliverStart,ExpAdminPerUnit*TotalUnits/12*FF$7,0)</f>
        <v/>
      </c>
      <c r="FG25" s="18">
        <f>IF(160&gt;=DeliverStart,ExpAdminPerUnit*TotalUnits/12*FG$7,0)</f>
        <v/>
      </c>
      <c r="FH25" s="18">
        <f>IF(161&gt;=DeliverStart,ExpAdminPerUnit*TotalUnits/12*FH$7,0)</f>
        <v/>
      </c>
      <c r="FI25" s="18">
        <f>IF(162&gt;=DeliverStart,ExpAdminPerUnit*TotalUnits/12*FI$7,0)</f>
        <v/>
      </c>
      <c r="FJ25" s="18">
        <f>IF(163&gt;=DeliverStart,ExpAdminPerUnit*TotalUnits/12*FJ$7,0)</f>
        <v/>
      </c>
      <c r="FK25" s="18">
        <f>IF(164&gt;=DeliverStart,ExpAdminPerUnit*TotalUnits/12*FK$7,0)</f>
        <v/>
      </c>
      <c r="FL25" s="18">
        <f>IF(165&gt;=DeliverStart,ExpAdminPerUnit*TotalUnits/12*FL$7,0)</f>
        <v/>
      </c>
      <c r="FM25" s="18">
        <f>IF(166&gt;=DeliverStart,ExpAdminPerUnit*TotalUnits/12*FM$7,0)</f>
        <v/>
      </c>
      <c r="FN25" s="18">
        <f>IF(167&gt;=DeliverStart,ExpAdminPerUnit*TotalUnits/12*FN$7,0)</f>
        <v/>
      </c>
      <c r="FO25" s="18">
        <f>IF(168&gt;=DeliverStart,ExpAdminPerUnit*TotalUnits/12*FO$7,0)</f>
        <v/>
      </c>
      <c r="FP25" s="18">
        <f>IF(169&gt;=DeliverStart,ExpAdminPerUnit*TotalUnits/12*FP$7,0)</f>
        <v/>
      </c>
      <c r="FQ25" s="18">
        <f>IF(170&gt;=DeliverStart,ExpAdminPerUnit*TotalUnits/12*FQ$7,0)</f>
        <v/>
      </c>
      <c r="FR25" s="18">
        <f>IF(171&gt;=DeliverStart,ExpAdminPerUnit*TotalUnits/12*FR$7,0)</f>
        <v/>
      </c>
      <c r="FS25" s="18">
        <f>IF(172&gt;=DeliverStart,ExpAdminPerUnit*TotalUnits/12*FS$7,0)</f>
        <v/>
      </c>
      <c r="FT25" s="18">
        <f>IF(173&gt;=DeliverStart,ExpAdminPerUnit*TotalUnits/12*FT$7,0)</f>
        <v/>
      </c>
      <c r="FU25" s="18">
        <f>IF(174&gt;=DeliverStart,ExpAdminPerUnit*TotalUnits/12*FU$7,0)</f>
        <v/>
      </c>
      <c r="FV25" s="18">
        <f>IF(175&gt;=DeliverStart,ExpAdminPerUnit*TotalUnits/12*FV$7,0)</f>
        <v/>
      </c>
      <c r="FW25" s="18">
        <f>IF(176&gt;=DeliverStart,ExpAdminPerUnit*TotalUnits/12*FW$7,0)</f>
        <v/>
      </c>
      <c r="FX25" s="18">
        <f>IF(177&gt;=DeliverStart,ExpAdminPerUnit*TotalUnits/12*FX$7,0)</f>
        <v/>
      </c>
      <c r="FY25" s="18">
        <f>IF(178&gt;=DeliverStart,ExpAdminPerUnit*TotalUnits/12*FY$7,0)</f>
        <v/>
      </c>
      <c r="FZ25" s="18">
        <f>IF(179&gt;=DeliverStart,ExpAdminPerUnit*TotalUnits/12*FZ$7,0)</f>
        <v/>
      </c>
      <c r="GA25" s="18">
        <f>IF(180&gt;=DeliverStart,ExpAdminPerUnit*TotalUnits/12*GA$7,0)</f>
        <v/>
      </c>
      <c r="GB25" s="18">
        <f>IF(181&gt;=DeliverStart,ExpAdminPerUnit*TotalUnits/12*GB$7,0)</f>
        <v/>
      </c>
      <c r="GC25" s="18">
        <f>IF(182&gt;=DeliverStart,ExpAdminPerUnit*TotalUnits/12*GC$7,0)</f>
        <v/>
      </c>
      <c r="GD25" s="18">
        <f>IF(183&gt;=DeliverStart,ExpAdminPerUnit*TotalUnits/12*GD$7,0)</f>
        <v/>
      </c>
      <c r="GE25" s="18">
        <f>IF(184&gt;=DeliverStart,ExpAdminPerUnit*TotalUnits/12*GE$7,0)</f>
        <v/>
      </c>
      <c r="GF25" s="18">
        <f>IF(185&gt;=DeliverStart,ExpAdminPerUnit*TotalUnits/12*GF$7,0)</f>
        <v/>
      </c>
      <c r="GG25" s="18">
        <f>IF(186&gt;=DeliverStart,ExpAdminPerUnit*TotalUnits/12*GG$7,0)</f>
        <v/>
      </c>
      <c r="GH25" s="18">
        <f>IF(187&gt;=DeliverStart,ExpAdminPerUnit*TotalUnits/12*GH$7,0)</f>
        <v/>
      </c>
      <c r="GI25" s="18">
        <f>IF(188&gt;=DeliverStart,ExpAdminPerUnit*TotalUnits/12*GI$7,0)</f>
        <v/>
      </c>
      <c r="GJ25" s="18">
        <f>IF(189&gt;=DeliverStart,ExpAdminPerUnit*TotalUnits/12*GJ$7,0)</f>
        <v/>
      </c>
      <c r="GK25" s="18">
        <f>IF(190&gt;=DeliverStart,ExpAdminPerUnit*TotalUnits/12*GK$7,0)</f>
        <v/>
      </c>
      <c r="GL25" s="18">
        <f>IF(191&gt;=DeliverStart,ExpAdminPerUnit*TotalUnits/12*GL$7,0)</f>
        <v/>
      </c>
      <c r="GM25" s="18">
        <f>IF(192&gt;=DeliverStart,ExpAdminPerUnit*TotalUnits/12*GM$7,0)</f>
        <v/>
      </c>
      <c r="GN25" s="18">
        <f>IF(193&gt;=DeliverStart,ExpAdminPerUnit*TotalUnits/12*GN$7,0)</f>
        <v/>
      </c>
      <c r="GO25" s="18">
        <f>IF(194&gt;=DeliverStart,ExpAdminPerUnit*TotalUnits/12*GO$7,0)</f>
        <v/>
      </c>
      <c r="GP25" s="18">
        <f>IF(195&gt;=DeliverStart,ExpAdminPerUnit*TotalUnits/12*GP$7,0)</f>
        <v/>
      </c>
      <c r="GQ25" s="18">
        <f>IF(196&gt;=DeliverStart,ExpAdminPerUnit*TotalUnits/12*GQ$7,0)</f>
        <v/>
      </c>
      <c r="GR25" s="18">
        <f>IF(197&gt;=DeliverStart,ExpAdminPerUnit*TotalUnits/12*GR$7,0)</f>
        <v/>
      </c>
      <c r="GS25" s="18">
        <f>IF(198&gt;=DeliverStart,ExpAdminPerUnit*TotalUnits/12*GS$7,0)</f>
        <v/>
      </c>
      <c r="GT25" s="18">
        <f>IF(199&gt;=DeliverStart,ExpAdminPerUnit*TotalUnits/12*GT$7,0)</f>
        <v/>
      </c>
      <c r="GU25" s="18">
        <f>IF(200&gt;=DeliverStart,ExpAdminPerUnit*TotalUnits/12*GU$7,0)</f>
        <v/>
      </c>
      <c r="GV25" s="18">
        <f>IF(201&gt;=DeliverStart,ExpAdminPerUnit*TotalUnits/12*GV$7,0)</f>
        <v/>
      </c>
      <c r="GW25" s="18">
        <f>IF(202&gt;=DeliverStart,ExpAdminPerUnit*TotalUnits/12*GW$7,0)</f>
        <v/>
      </c>
      <c r="GX25" s="18">
        <f>IF(203&gt;=DeliverStart,ExpAdminPerUnit*TotalUnits/12*GX$7,0)</f>
        <v/>
      </c>
      <c r="GY25" s="18">
        <f>IF(204&gt;=DeliverStart,ExpAdminPerUnit*TotalUnits/12*GY$7,0)</f>
        <v/>
      </c>
      <c r="GZ25" s="18">
        <f>IF(205&gt;=DeliverStart,ExpAdminPerUnit*TotalUnits/12*GZ$7,0)</f>
        <v/>
      </c>
      <c r="HA25" s="18">
        <f>IF(206&gt;=DeliverStart,ExpAdminPerUnit*TotalUnits/12*HA$7,0)</f>
        <v/>
      </c>
      <c r="HB25" s="18">
        <f>IF(207&gt;=DeliverStart,ExpAdminPerUnit*TotalUnits/12*HB$7,0)</f>
        <v/>
      </c>
      <c r="HC25" s="18">
        <f>IF(208&gt;=DeliverStart,ExpAdminPerUnit*TotalUnits/12*HC$7,0)</f>
        <v/>
      </c>
      <c r="HD25" s="18">
        <f>IF(209&gt;=DeliverStart,ExpAdminPerUnit*TotalUnits/12*HD$7,0)</f>
        <v/>
      </c>
      <c r="HE25" s="18">
        <f>IF(210&gt;=DeliverStart,ExpAdminPerUnit*TotalUnits/12*HE$7,0)</f>
        <v/>
      </c>
      <c r="HF25" s="18">
        <f>IF(211&gt;=DeliverStart,ExpAdminPerUnit*TotalUnits/12*HF$7,0)</f>
        <v/>
      </c>
      <c r="HG25" s="18">
        <f>IF(212&gt;=DeliverStart,ExpAdminPerUnit*TotalUnits/12*HG$7,0)</f>
        <v/>
      </c>
      <c r="HH25" s="18">
        <f>IF(213&gt;=DeliverStart,ExpAdminPerUnit*TotalUnits/12*HH$7,0)</f>
        <v/>
      </c>
      <c r="HI25" s="18">
        <f>IF(214&gt;=DeliverStart,ExpAdminPerUnit*TotalUnits/12*HI$7,0)</f>
        <v/>
      </c>
      <c r="HJ25" s="18">
        <f>IF(215&gt;=DeliverStart,ExpAdminPerUnit*TotalUnits/12*HJ$7,0)</f>
        <v/>
      </c>
      <c r="HK25" s="18">
        <f>IF(216&gt;=DeliverStart,ExpAdminPerUnit*TotalUnits/12*HK$7,0)</f>
        <v/>
      </c>
      <c r="HL25" s="18">
        <f>IF(217&gt;=DeliverStart,ExpAdminPerUnit*TotalUnits/12*HL$7,0)</f>
        <v/>
      </c>
      <c r="HM25" s="18">
        <f>IF(218&gt;=DeliverStart,ExpAdminPerUnit*TotalUnits/12*HM$7,0)</f>
        <v/>
      </c>
      <c r="HN25" s="18">
        <f>IF(219&gt;=DeliverStart,ExpAdminPerUnit*TotalUnits/12*HN$7,0)</f>
        <v/>
      </c>
      <c r="HO25" s="18">
        <f>IF(220&gt;=DeliverStart,ExpAdminPerUnit*TotalUnits/12*HO$7,0)</f>
        <v/>
      </c>
      <c r="HP25" s="18">
        <f>IF(221&gt;=DeliverStart,ExpAdminPerUnit*TotalUnits/12*HP$7,0)</f>
        <v/>
      </c>
      <c r="HQ25" s="18">
        <f>IF(222&gt;=DeliverStart,ExpAdminPerUnit*TotalUnits/12*HQ$7,0)</f>
        <v/>
      </c>
      <c r="HR25" s="18">
        <f>IF(223&gt;=DeliverStart,ExpAdminPerUnit*TotalUnits/12*HR$7,0)</f>
        <v/>
      </c>
      <c r="HS25" s="18">
        <f>IF(224&gt;=DeliverStart,ExpAdminPerUnit*TotalUnits/12*HS$7,0)</f>
        <v/>
      </c>
      <c r="HT25" s="18">
        <f>IF(225&gt;=DeliverStart,ExpAdminPerUnit*TotalUnits/12*HT$7,0)</f>
        <v/>
      </c>
      <c r="HU25" s="18">
        <f>IF(226&gt;=DeliverStart,ExpAdminPerUnit*TotalUnits/12*HU$7,0)</f>
        <v/>
      </c>
      <c r="HV25" s="18">
        <f>IF(227&gt;=DeliverStart,ExpAdminPerUnit*TotalUnits/12*HV$7,0)</f>
        <v/>
      </c>
      <c r="HW25" s="18">
        <f>IF(228&gt;=DeliverStart,ExpAdminPerUnit*TotalUnits/12*HW$7,0)</f>
        <v/>
      </c>
      <c r="HX25" s="18">
        <f>IF(229&gt;=DeliverStart,ExpAdminPerUnit*TotalUnits/12*HX$7,0)</f>
        <v/>
      </c>
      <c r="HY25" s="18">
        <f>IF(230&gt;=DeliverStart,ExpAdminPerUnit*TotalUnits/12*HY$7,0)</f>
        <v/>
      </c>
      <c r="HZ25" s="18">
        <f>IF(231&gt;=DeliverStart,ExpAdminPerUnit*TotalUnits/12*HZ$7,0)</f>
        <v/>
      </c>
      <c r="IA25" s="18">
        <f>IF(232&gt;=DeliverStart,ExpAdminPerUnit*TotalUnits/12*IA$7,0)</f>
        <v/>
      </c>
      <c r="IB25" s="18">
        <f>IF(233&gt;=DeliverStart,ExpAdminPerUnit*TotalUnits/12*IB$7,0)</f>
        <v/>
      </c>
      <c r="IC25" s="18">
        <f>IF(234&gt;=DeliverStart,ExpAdminPerUnit*TotalUnits/12*IC$7,0)</f>
        <v/>
      </c>
      <c r="ID25" s="18">
        <f>IF(235&gt;=DeliverStart,ExpAdminPerUnit*TotalUnits/12*ID$7,0)</f>
        <v/>
      </c>
      <c r="IE25" s="18">
        <f>IF(236&gt;=DeliverStart,ExpAdminPerUnit*TotalUnits/12*IE$7,0)</f>
        <v/>
      </c>
      <c r="IF25" s="18">
        <f>IF(237&gt;=DeliverStart,ExpAdminPerUnit*TotalUnits/12*IF$7,0)</f>
        <v/>
      </c>
      <c r="IG25" s="18">
        <f>IF(238&gt;=DeliverStart,ExpAdminPerUnit*TotalUnits/12*IG$7,0)</f>
        <v/>
      </c>
      <c r="IH25" s="18">
        <f>IF(239&gt;=DeliverStart,ExpAdminPerUnit*TotalUnits/12*IH$7,0)</f>
        <v/>
      </c>
      <c r="II25" s="18">
        <f>IF(240&gt;=DeliverStart,ExpAdminPerUnit*TotalUnits/12*II$7,0)</f>
        <v/>
      </c>
      <c r="IJ25" s="18">
        <f>IF(241&gt;=DeliverStart,ExpAdminPerUnit*TotalUnits/12*IJ$7,0)</f>
        <v/>
      </c>
      <c r="IK25" s="18">
        <f>IF(242&gt;=DeliverStart,ExpAdminPerUnit*TotalUnits/12*IK$7,0)</f>
        <v/>
      </c>
      <c r="IL25" s="18">
        <f>IF(243&gt;=DeliverStart,ExpAdminPerUnit*TotalUnits/12*IL$7,0)</f>
        <v/>
      </c>
      <c r="IM25" s="18">
        <f>IF(244&gt;=DeliverStart,ExpAdminPerUnit*TotalUnits/12*IM$7,0)</f>
        <v/>
      </c>
      <c r="IN25" s="18">
        <f>IF(245&gt;=DeliverStart,ExpAdminPerUnit*TotalUnits/12*IN$7,0)</f>
        <v/>
      </c>
      <c r="IO25" s="18">
        <f>IF(246&gt;=DeliverStart,ExpAdminPerUnit*TotalUnits/12*IO$7,0)</f>
        <v/>
      </c>
      <c r="IP25" s="18">
        <f>IF(247&gt;=DeliverStart,ExpAdminPerUnit*TotalUnits/12*IP$7,0)</f>
        <v/>
      </c>
      <c r="IQ25" s="18">
        <f>IF(248&gt;=DeliverStart,ExpAdminPerUnit*TotalUnits/12*IQ$7,0)</f>
        <v/>
      </c>
      <c r="IR25" s="18">
        <f>IF(249&gt;=DeliverStart,ExpAdminPerUnit*TotalUnits/12*IR$7,0)</f>
        <v/>
      </c>
      <c r="IS25" s="18">
        <f>IF(250&gt;=DeliverStart,ExpAdminPerUnit*TotalUnits/12*IS$7,0)</f>
        <v/>
      </c>
      <c r="IT25" s="18">
        <f>IF(251&gt;=DeliverStart,ExpAdminPerUnit*TotalUnits/12*IT$7,0)</f>
        <v/>
      </c>
      <c r="IU25" s="18">
        <f>IF(252&gt;=DeliverStart,ExpAdminPerUnit*TotalUnits/12*IU$7,0)</f>
        <v/>
      </c>
      <c r="IV25" s="18">
        <f>IF(253&gt;=DeliverStart,ExpAdminPerUnit*TotalUnits/12*IV$7,0)</f>
        <v/>
      </c>
      <c r="IW25" s="18">
        <f>IF(254&gt;=DeliverStart,ExpAdminPerUnit*TotalUnits/12*IW$7,0)</f>
        <v/>
      </c>
      <c r="IX25" s="18">
        <f>IF(255&gt;=DeliverStart,ExpAdminPerUnit*TotalUnits/12*IX$7,0)</f>
        <v/>
      </c>
      <c r="IY25" s="18">
        <f>IF(256&gt;=DeliverStart,ExpAdminPerUnit*TotalUnits/12*IY$7,0)</f>
        <v/>
      </c>
      <c r="IZ25" s="18">
        <f>IF(257&gt;=DeliverStart,ExpAdminPerUnit*TotalUnits/12*IZ$7,0)</f>
        <v/>
      </c>
      <c r="JA25" s="18">
        <f>IF(258&gt;=DeliverStart,ExpAdminPerUnit*TotalUnits/12*JA$7,0)</f>
        <v/>
      </c>
      <c r="JB25" s="18">
        <f>IF(259&gt;=DeliverStart,ExpAdminPerUnit*TotalUnits/12*JB$7,0)</f>
        <v/>
      </c>
      <c r="JC25" s="18">
        <f>IF(260&gt;=DeliverStart,ExpAdminPerUnit*TotalUnits/12*JC$7,0)</f>
        <v/>
      </c>
      <c r="JD25" s="18">
        <f>IF(261&gt;=DeliverStart,ExpAdminPerUnit*TotalUnits/12*JD$7,0)</f>
        <v/>
      </c>
      <c r="JE25" s="18">
        <f>IF(262&gt;=DeliverStart,ExpAdminPerUnit*TotalUnits/12*JE$7,0)</f>
        <v/>
      </c>
      <c r="JF25" s="18">
        <f>IF(263&gt;=DeliverStart,ExpAdminPerUnit*TotalUnits/12*JF$7,0)</f>
        <v/>
      </c>
      <c r="JG25" s="18">
        <f>IF(264&gt;=DeliverStart,ExpAdminPerUnit*TotalUnits/12*JG$7,0)</f>
        <v/>
      </c>
      <c r="JH25" s="18">
        <f>IF(265&gt;=DeliverStart,ExpAdminPerUnit*TotalUnits/12*JH$7,0)</f>
        <v/>
      </c>
      <c r="JI25" s="18">
        <f>IF(266&gt;=DeliverStart,ExpAdminPerUnit*TotalUnits/12*JI$7,0)</f>
        <v/>
      </c>
      <c r="JJ25" s="18">
        <f>IF(267&gt;=DeliverStart,ExpAdminPerUnit*TotalUnits/12*JJ$7,0)</f>
        <v/>
      </c>
      <c r="JK25" s="18">
        <f>IF(268&gt;=DeliverStart,ExpAdminPerUnit*TotalUnits/12*JK$7,0)</f>
        <v/>
      </c>
      <c r="JL25" s="18">
        <f>IF(269&gt;=DeliverStart,ExpAdminPerUnit*TotalUnits/12*JL$7,0)</f>
        <v/>
      </c>
      <c r="JM25" s="18">
        <f>IF(270&gt;=DeliverStart,ExpAdminPerUnit*TotalUnits/12*JM$7,0)</f>
        <v/>
      </c>
      <c r="JN25" s="18">
        <f>IF(271&gt;=DeliverStart,ExpAdminPerUnit*TotalUnits/12*JN$7,0)</f>
        <v/>
      </c>
      <c r="JO25" s="18">
        <f>IF(272&gt;=DeliverStart,ExpAdminPerUnit*TotalUnits/12*JO$7,0)</f>
        <v/>
      </c>
      <c r="JP25" s="18">
        <f>IF(273&gt;=DeliverStart,ExpAdminPerUnit*TotalUnits/12*JP$7,0)</f>
        <v/>
      </c>
      <c r="JQ25" s="18">
        <f>IF(274&gt;=DeliverStart,ExpAdminPerUnit*TotalUnits/12*JQ$7,0)</f>
        <v/>
      </c>
      <c r="JR25" s="18">
        <f>IF(275&gt;=DeliverStart,ExpAdminPerUnit*TotalUnits/12*JR$7,0)</f>
        <v/>
      </c>
      <c r="JS25" s="18">
        <f>IF(276&gt;=DeliverStart,ExpAdminPerUnit*TotalUnits/12*JS$7,0)</f>
        <v/>
      </c>
      <c r="JT25" s="18">
        <f>IF(277&gt;=DeliverStart,ExpAdminPerUnit*TotalUnits/12*JT$7,0)</f>
        <v/>
      </c>
      <c r="JU25" s="18">
        <f>IF(278&gt;=DeliverStart,ExpAdminPerUnit*TotalUnits/12*JU$7,0)</f>
        <v/>
      </c>
      <c r="JV25" s="18">
        <f>IF(279&gt;=DeliverStart,ExpAdminPerUnit*TotalUnits/12*JV$7,0)</f>
        <v/>
      </c>
      <c r="JW25" s="18">
        <f>IF(280&gt;=DeliverStart,ExpAdminPerUnit*TotalUnits/12*JW$7,0)</f>
        <v/>
      </c>
      <c r="JX25" s="18">
        <f>IF(281&gt;=DeliverStart,ExpAdminPerUnit*TotalUnits/12*JX$7,0)</f>
        <v/>
      </c>
      <c r="JY25" s="18">
        <f>IF(282&gt;=DeliverStart,ExpAdminPerUnit*TotalUnits/12*JY$7,0)</f>
        <v/>
      </c>
      <c r="JZ25" s="18">
        <f>IF(283&gt;=DeliverStart,ExpAdminPerUnit*TotalUnits/12*JZ$7,0)</f>
        <v/>
      </c>
      <c r="KA25" s="18">
        <f>IF(284&gt;=DeliverStart,ExpAdminPerUnit*TotalUnits/12*KA$7,0)</f>
        <v/>
      </c>
      <c r="KB25" s="18">
        <f>IF(285&gt;=DeliverStart,ExpAdminPerUnit*TotalUnits/12*KB$7,0)</f>
        <v/>
      </c>
      <c r="KC25" s="18">
        <f>IF(286&gt;=DeliverStart,ExpAdminPerUnit*TotalUnits/12*KC$7,0)</f>
        <v/>
      </c>
      <c r="KD25" s="18">
        <f>IF(287&gt;=DeliverStart,ExpAdminPerUnit*TotalUnits/12*KD$7,0)</f>
        <v/>
      </c>
      <c r="KE25" s="18">
        <f>IF(288&gt;=DeliverStart,ExpAdminPerUnit*TotalUnits/12*KE$7,0)</f>
        <v/>
      </c>
      <c r="KF25" s="18">
        <f>IF(289&gt;=DeliverStart,ExpAdminPerUnit*TotalUnits/12*KF$7,0)</f>
        <v/>
      </c>
      <c r="KG25" s="18">
        <f>IF(290&gt;=DeliverStart,ExpAdminPerUnit*TotalUnits/12*KG$7,0)</f>
        <v/>
      </c>
      <c r="KH25" s="18">
        <f>IF(291&gt;=DeliverStart,ExpAdminPerUnit*TotalUnits/12*KH$7,0)</f>
        <v/>
      </c>
      <c r="KI25" s="18">
        <f>IF(292&gt;=DeliverStart,ExpAdminPerUnit*TotalUnits/12*KI$7,0)</f>
        <v/>
      </c>
      <c r="KJ25" s="18">
        <f>IF(293&gt;=DeliverStart,ExpAdminPerUnit*TotalUnits/12*KJ$7,0)</f>
        <v/>
      </c>
      <c r="KK25" s="18">
        <f>IF(294&gt;=DeliverStart,ExpAdminPerUnit*TotalUnits/12*KK$7,0)</f>
        <v/>
      </c>
      <c r="KL25" s="18">
        <f>IF(295&gt;=DeliverStart,ExpAdminPerUnit*TotalUnits/12*KL$7,0)</f>
        <v/>
      </c>
      <c r="KM25" s="18">
        <f>IF(296&gt;=DeliverStart,ExpAdminPerUnit*TotalUnits/12*KM$7,0)</f>
        <v/>
      </c>
      <c r="KN25" s="18">
        <f>IF(297&gt;=DeliverStart,ExpAdminPerUnit*TotalUnits/12*KN$7,0)</f>
        <v/>
      </c>
      <c r="KO25" s="18">
        <f>IF(298&gt;=DeliverStart,ExpAdminPerUnit*TotalUnits/12*KO$7,0)</f>
        <v/>
      </c>
      <c r="KP25" s="18">
        <f>IF(299&gt;=DeliverStart,ExpAdminPerUnit*TotalUnits/12*KP$7,0)</f>
        <v/>
      </c>
      <c r="KQ25" s="18">
        <f>IF(300&gt;=DeliverStart,ExpAdminPerUnit*TotalUnits/12*KQ$7,0)</f>
        <v/>
      </c>
      <c r="KR25" s="18">
        <f>IF(301&gt;=DeliverStart,ExpAdminPerUnit*TotalUnits/12*KR$7,0)</f>
        <v/>
      </c>
      <c r="KS25" s="18">
        <f>IF(302&gt;=DeliverStart,ExpAdminPerUnit*TotalUnits/12*KS$7,0)</f>
        <v/>
      </c>
      <c r="KT25" s="18">
        <f>IF(303&gt;=DeliverStart,ExpAdminPerUnit*TotalUnits/12*KT$7,0)</f>
        <v/>
      </c>
      <c r="KU25" s="18">
        <f>IF(304&gt;=DeliverStart,ExpAdminPerUnit*TotalUnits/12*KU$7,0)</f>
        <v/>
      </c>
      <c r="KV25" s="18">
        <f>IF(305&gt;=DeliverStart,ExpAdminPerUnit*TotalUnits/12*KV$7,0)</f>
        <v/>
      </c>
      <c r="KW25" s="18">
        <f>IF(306&gt;=DeliverStart,ExpAdminPerUnit*TotalUnits/12*KW$7,0)</f>
        <v/>
      </c>
      <c r="KX25" s="18">
        <f>IF(307&gt;=DeliverStart,ExpAdminPerUnit*TotalUnits/12*KX$7,0)</f>
        <v/>
      </c>
      <c r="KY25" s="18">
        <f>IF(308&gt;=DeliverStart,ExpAdminPerUnit*TotalUnits/12*KY$7,0)</f>
        <v/>
      </c>
      <c r="KZ25" s="18">
        <f>IF(309&gt;=DeliverStart,ExpAdminPerUnit*TotalUnits/12*KZ$7,0)</f>
        <v/>
      </c>
      <c r="LA25" s="18">
        <f>IF(310&gt;=DeliverStart,ExpAdminPerUnit*TotalUnits/12*LA$7,0)</f>
        <v/>
      </c>
      <c r="LB25" s="18">
        <f>IF(311&gt;=DeliverStart,ExpAdminPerUnit*TotalUnits/12*LB$7,0)</f>
        <v/>
      </c>
      <c r="LC25" s="18">
        <f>IF(312&gt;=DeliverStart,ExpAdminPerUnit*TotalUnits/12*LC$7,0)</f>
        <v/>
      </c>
      <c r="LD25" s="18">
        <f>IF(313&gt;=DeliverStart,ExpAdminPerUnit*TotalUnits/12*LD$7,0)</f>
        <v/>
      </c>
      <c r="LE25" s="18">
        <f>IF(314&gt;=DeliverStart,ExpAdminPerUnit*TotalUnits/12*LE$7,0)</f>
        <v/>
      </c>
      <c r="LF25" s="18">
        <f>IF(315&gt;=DeliverStart,ExpAdminPerUnit*TotalUnits/12*LF$7,0)</f>
        <v/>
      </c>
      <c r="LG25" s="18">
        <f>IF(316&gt;=DeliverStart,ExpAdminPerUnit*TotalUnits/12*LG$7,0)</f>
        <v/>
      </c>
      <c r="LH25" s="18">
        <f>IF(317&gt;=DeliverStart,ExpAdminPerUnit*TotalUnits/12*LH$7,0)</f>
        <v/>
      </c>
      <c r="LI25" s="18">
        <f>IF(318&gt;=DeliverStart,ExpAdminPerUnit*TotalUnits/12*LI$7,0)</f>
        <v/>
      </c>
      <c r="LJ25" s="18">
        <f>IF(319&gt;=DeliverStart,ExpAdminPerUnit*TotalUnits/12*LJ$7,0)</f>
        <v/>
      </c>
      <c r="LK25" s="18">
        <f>IF(320&gt;=DeliverStart,ExpAdminPerUnit*TotalUnits/12*LK$7,0)</f>
        <v/>
      </c>
      <c r="LL25" s="18">
        <f>IF(321&gt;=DeliverStart,ExpAdminPerUnit*TotalUnits/12*LL$7,0)</f>
        <v/>
      </c>
      <c r="LM25" s="18">
        <f>IF(322&gt;=DeliverStart,ExpAdminPerUnit*TotalUnits/12*LM$7,0)</f>
        <v/>
      </c>
      <c r="LN25" s="18">
        <f>IF(323&gt;=DeliverStart,ExpAdminPerUnit*TotalUnits/12*LN$7,0)</f>
        <v/>
      </c>
      <c r="LO25" s="18">
        <f>IF(324&gt;=DeliverStart,ExpAdminPerUnit*TotalUnits/12*LO$7,0)</f>
        <v/>
      </c>
      <c r="LP25" s="18">
        <f>IF(325&gt;=DeliverStart,ExpAdminPerUnit*TotalUnits/12*LP$7,0)</f>
        <v/>
      </c>
      <c r="LQ25" s="18">
        <f>IF(326&gt;=DeliverStart,ExpAdminPerUnit*TotalUnits/12*LQ$7,0)</f>
        <v/>
      </c>
      <c r="LR25" s="18">
        <f>IF(327&gt;=DeliverStart,ExpAdminPerUnit*TotalUnits/12*LR$7,0)</f>
        <v/>
      </c>
      <c r="LS25" s="18">
        <f>IF(328&gt;=DeliverStart,ExpAdminPerUnit*TotalUnits/12*LS$7,0)</f>
        <v/>
      </c>
      <c r="LT25" s="18">
        <f>IF(329&gt;=DeliverStart,ExpAdminPerUnit*TotalUnits/12*LT$7,0)</f>
        <v/>
      </c>
      <c r="LU25" s="18">
        <f>IF(330&gt;=DeliverStart,ExpAdminPerUnit*TotalUnits/12*LU$7,0)</f>
        <v/>
      </c>
      <c r="LV25" s="18">
        <f>IF(331&gt;=DeliverStart,ExpAdminPerUnit*TotalUnits/12*LV$7,0)</f>
        <v/>
      </c>
      <c r="LW25" s="18">
        <f>IF(332&gt;=DeliverStart,ExpAdminPerUnit*TotalUnits/12*LW$7,0)</f>
        <v/>
      </c>
      <c r="LX25" s="18">
        <f>IF(333&gt;=DeliverStart,ExpAdminPerUnit*TotalUnits/12*LX$7,0)</f>
        <v/>
      </c>
      <c r="LY25" s="18">
        <f>IF(334&gt;=DeliverStart,ExpAdminPerUnit*TotalUnits/12*LY$7,0)</f>
        <v/>
      </c>
      <c r="LZ25" s="18">
        <f>IF(335&gt;=DeliverStart,ExpAdminPerUnit*TotalUnits/12*LZ$7,0)</f>
        <v/>
      </c>
      <c r="MA25" s="18">
        <f>IF(336&gt;=DeliverStart,ExpAdminPerUnit*TotalUnits/12*MA$7,0)</f>
        <v/>
      </c>
      <c r="MB25" s="18">
        <f>IF(337&gt;=DeliverStart,ExpAdminPerUnit*TotalUnits/12*MB$7,0)</f>
        <v/>
      </c>
      <c r="MC25" s="18">
        <f>IF(338&gt;=DeliverStart,ExpAdminPerUnit*TotalUnits/12*MC$7,0)</f>
        <v/>
      </c>
      <c r="MD25" s="18">
        <f>IF(339&gt;=DeliverStart,ExpAdminPerUnit*TotalUnits/12*MD$7,0)</f>
        <v/>
      </c>
      <c r="ME25" s="18">
        <f>IF(340&gt;=DeliverStart,ExpAdminPerUnit*TotalUnits/12*ME$7,0)</f>
        <v/>
      </c>
      <c r="MF25" s="18">
        <f>IF(341&gt;=DeliverStart,ExpAdminPerUnit*TotalUnits/12*MF$7,0)</f>
        <v/>
      </c>
      <c r="MG25" s="18">
        <f>IF(342&gt;=DeliverStart,ExpAdminPerUnit*TotalUnits/12*MG$7,0)</f>
        <v/>
      </c>
      <c r="MH25" s="18">
        <f>IF(343&gt;=DeliverStart,ExpAdminPerUnit*TotalUnits/12*MH$7,0)</f>
        <v/>
      </c>
      <c r="MI25" s="18">
        <f>IF(344&gt;=DeliverStart,ExpAdminPerUnit*TotalUnits/12*MI$7,0)</f>
        <v/>
      </c>
      <c r="MJ25" s="18">
        <f>IF(345&gt;=DeliverStart,ExpAdminPerUnit*TotalUnits/12*MJ$7,0)</f>
        <v/>
      </c>
      <c r="MK25" s="18">
        <f>IF(346&gt;=DeliverStart,ExpAdminPerUnit*TotalUnits/12*MK$7,0)</f>
        <v/>
      </c>
      <c r="ML25" s="18">
        <f>IF(347&gt;=DeliverStart,ExpAdminPerUnit*TotalUnits/12*ML$7,0)</f>
        <v/>
      </c>
      <c r="MM25" s="18">
        <f>IF(348&gt;=DeliverStart,ExpAdminPerUnit*TotalUnits/12*MM$7,0)</f>
        <v/>
      </c>
      <c r="MN25" s="18">
        <f>IF(349&gt;=DeliverStart,ExpAdminPerUnit*TotalUnits/12*MN$7,0)</f>
        <v/>
      </c>
      <c r="MO25" s="18">
        <f>IF(350&gt;=DeliverStart,ExpAdminPerUnit*TotalUnits/12*MO$7,0)</f>
        <v/>
      </c>
      <c r="MP25" s="18">
        <f>IF(351&gt;=DeliverStart,ExpAdminPerUnit*TotalUnits/12*MP$7,0)</f>
        <v/>
      </c>
      <c r="MQ25" s="18">
        <f>IF(352&gt;=DeliverStart,ExpAdminPerUnit*TotalUnits/12*MQ$7,0)</f>
        <v/>
      </c>
      <c r="MR25" s="18">
        <f>IF(353&gt;=DeliverStart,ExpAdminPerUnit*TotalUnits/12*MR$7,0)</f>
        <v/>
      </c>
      <c r="MS25" s="18">
        <f>IF(354&gt;=DeliverStart,ExpAdminPerUnit*TotalUnits/12*MS$7,0)</f>
        <v/>
      </c>
      <c r="MT25" s="18">
        <f>IF(355&gt;=DeliverStart,ExpAdminPerUnit*TotalUnits/12*MT$7,0)</f>
        <v/>
      </c>
      <c r="MU25" s="18">
        <f>IF(356&gt;=DeliverStart,ExpAdminPerUnit*TotalUnits/12*MU$7,0)</f>
        <v/>
      </c>
      <c r="MV25" s="18">
        <f>IF(357&gt;=DeliverStart,ExpAdminPerUnit*TotalUnits/12*MV$7,0)</f>
        <v/>
      </c>
      <c r="MW25" s="18">
        <f>IF(358&gt;=DeliverStart,ExpAdminPerUnit*TotalUnits/12*MW$7,0)</f>
        <v/>
      </c>
      <c r="MX25" s="18">
        <f>IF(359&gt;=DeliverStart,ExpAdminPerUnit*TotalUnits/12*MX$7,0)</f>
        <v/>
      </c>
      <c r="MY25" s="18">
        <f>IF(360&gt;=DeliverStart,ExpAdminPerUnit*TotalUnits/12*MY$7,0)</f>
        <v/>
      </c>
      <c r="MZ25" s="18">
        <f>IF(361&gt;=DeliverStart,ExpAdminPerUnit*TotalUnits/12*MZ$7,0)</f>
        <v/>
      </c>
      <c r="NA25" s="18">
        <f>IF(362&gt;=DeliverStart,ExpAdminPerUnit*TotalUnits/12*NA$7,0)</f>
        <v/>
      </c>
      <c r="NB25" s="18">
        <f>IF(363&gt;=DeliverStart,ExpAdminPerUnit*TotalUnits/12*NB$7,0)</f>
        <v/>
      </c>
      <c r="NC25" s="18">
        <f>IF(364&gt;=DeliverStart,ExpAdminPerUnit*TotalUnits/12*NC$7,0)</f>
        <v/>
      </c>
      <c r="ND25" s="18">
        <f>IF(365&gt;=DeliverStart,ExpAdminPerUnit*TotalUnits/12*ND$7,0)</f>
        <v/>
      </c>
      <c r="NE25" s="18">
        <f>IF(366&gt;=DeliverStart,ExpAdminPerUnit*TotalUnits/12*NE$7,0)</f>
        <v/>
      </c>
      <c r="NF25" s="18">
        <f>IF(367&gt;=DeliverStart,ExpAdminPerUnit*TotalUnits/12*NF$7,0)</f>
        <v/>
      </c>
      <c r="NG25" s="18">
        <f>IF(368&gt;=DeliverStart,ExpAdminPerUnit*TotalUnits/12*NG$7,0)</f>
        <v/>
      </c>
      <c r="NH25" s="18">
        <f>IF(369&gt;=DeliverStart,ExpAdminPerUnit*TotalUnits/12*NH$7,0)</f>
        <v/>
      </c>
      <c r="NI25" s="18">
        <f>IF(370&gt;=DeliverStart,ExpAdminPerUnit*TotalUnits/12*NI$7,0)</f>
        <v/>
      </c>
      <c r="NJ25" s="18">
        <f>IF(371&gt;=DeliverStart,ExpAdminPerUnit*TotalUnits/12*NJ$7,0)</f>
        <v/>
      </c>
      <c r="NK25" s="18">
        <f>IF(372&gt;=DeliverStart,ExpAdminPerUnit*TotalUnits/12*NK$7,0)</f>
        <v/>
      </c>
    </row>
    <row r="26">
      <c r="A26" s="5" t="inlineStr">
        <is>
          <t>Utilities (variable)</t>
        </is>
      </c>
      <c r="C26" s="41">
        <f>SUM(D26:NK26)</f>
        <v/>
      </c>
      <c r="D26" s="18">
        <f>IF(1&gt;=DeliverStart,ExpUtilitiesPerUnit*TotalUnits/12*D$8*D$10,0)</f>
        <v/>
      </c>
      <c r="E26" s="18">
        <f>IF(2&gt;=DeliverStart,ExpUtilitiesPerUnit*TotalUnits/12*E$8*E$10,0)</f>
        <v/>
      </c>
      <c r="F26" s="18">
        <f>IF(3&gt;=DeliverStart,ExpUtilitiesPerUnit*TotalUnits/12*F$8*F$10,0)</f>
        <v/>
      </c>
      <c r="G26" s="18">
        <f>IF(4&gt;=DeliverStart,ExpUtilitiesPerUnit*TotalUnits/12*G$8*G$10,0)</f>
        <v/>
      </c>
      <c r="H26" s="18">
        <f>IF(5&gt;=DeliverStart,ExpUtilitiesPerUnit*TotalUnits/12*H$8*H$10,0)</f>
        <v/>
      </c>
      <c r="I26" s="18">
        <f>IF(6&gt;=DeliverStart,ExpUtilitiesPerUnit*TotalUnits/12*I$8*I$10,0)</f>
        <v/>
      </c>
      <c r="J26" s="18">
        <f>IF(7&gt;=DeliverStart,ExpUtilitiesPerUnit*TotalUnits/12*J$8*J$10,0)</f>
        <v/>
      </c>
      <c r="K26" s="18">
        <f>IF(8&gt;=DeliverStart,ExpUtilitiesPerUnit*TotalUnits/12*K$8*K$10,0)</f>
        <v/>
      </c>
      <c r="L26" s="18">
        <f>IF(9&gt;=DeliverStart,ExpUtilitiesPerUnit*TotalUnits/12*L$8*L$10,0)</f>
        <v/>
      </c>
      <c r="M26" s="18">
        <f>IF(10&gt;=DeliverStart,ExpUtilitiesPerUnit*TotalUnits/12*M$8*M$10,0)</f>
        <v/>
      </c>
      <c r="N26" s="18">
        <f>IF(11&gt;=DeliverStart,ExpUtilitiesPerUnit*TotalUnits/12*N$8*N$10,0)</f>
        <v/>
      </c>
      <c r="O26" s="18">
        <f>IF(12&gt;=DeliverStart,ExpUtilitiesPerUnit*TotalUnits/12*O$8*O$10,0)</f>
        <v/>
      </c>
      <c r="P26" s="18">
        <f>IF(13&gt;=DeliverStart,ExpUtilitiesPerUnit*TotalUnits/12*P$8*P$10,0)</f>
        <v/>
      </c>
      <c r="Q26" s="18">
        <f>IF(14&gt;=DeliverStart,ExpUtilitiesPerUnit*TotalUnits/12*Q$8*Q$10,0)</f>
        <v/>
      </c>
      <c r="R26" s="18">
        <f>IF(15&gt;=DeliverStart,ExpUtilitiesPerUnit*TotalUnits/12*R$8*R$10,0)</f>
        <v/>
      </c>
      <c r="S26" s="18">
        <f>IF(16&gt;=DeliverStart,ExpUtilitiesPerUnit*TotalUnits/12*S$8*S$10,0)</f>
        <v/>
      </c>
      <c r="T26" s="18">
        <f>IF(17&gt;=DeliverStart,ExpUtilitiesPerUnit*TotalUnits/12*T$8*T$10,0)</f>
        <v/>
      </c>
      <c r="U26" s="18">
        <f>IF(18&gt;=DeliverStart,ExpUtilitiesPerUnit*TotalUnits/12*U$8*U$10,0)</f>
        <v/>
      </c>
      <c r="V26" s="18">
        <f>IF(19&gt;=DeliverStart,ExpUtilitiesPerUnit*TotalUnits/12*V$8*V$10,0)</f>
        <v/>
      </c>
      <c r="W26" s="18">
        <f>IF(20&gt;=DeliverStart,ExpUtilitiesPerUnit*TotalUnits/12*W$8*W$10,0)</f>
        <v/>
      </c>
      <c r="X26" s="18">
        <f>IF(21&gt;=DeliverStart,ExpUtilitiesPerUnit*TotalUnits/12*X$8*X$10,0)</f>
        <v/>
      </c>
      <c r="Y26" s="18">
        <f>IF(22&gt;=DeliverStart,ExpUtilitiesPerUnit*TotalUnits/12*Y$8*Y$10,0)</f>
        <v/>
      </c>
      <c r="Z26" s="18">
        <f>IF(23&gt;=DeliverStart,ExpUtilitiesPerUnit*TotalUnits/12*Z$8*Z$10,0)</f>
        <v/>
      </c>
      <c r="AA26" s="18">
        <f>IF(24&gt;=DeliverStart,ExpUtilitiesPerUnit*TotalUnits/12*AA$8*AA$10,0)</f>
        <v/>
      </c>
      <c r="AB26" s="18">
        <f>IF(25&gt;=DeliverStart,ExpUtilitiesPerUnit*TotalUnits/12*AB$8*AB$10,0)</f>
        <v/>
      </c>
      <c r="AC26" s="18">
        <f>IF(26&gt;=DeliverStart,ExpUtilitiesPerUnit*TotalUnits/12*AC$8*AC$10,0)</f>
        <v/>
      </c>
      <c r="AD26" s="18">
        <f>IF(27&gt;=DeliverStart,ExpUtilitiesPerUnit*TotalUnits/12*AD$8*AD$10,0)</f>
        <v/>
      </c>
      <c r="AE26" s="18">
        <f>IF(28&gt;=DeliverStart,ExpUtilitiesPerUnit*TotalUnits/12*AE$8*AE$10,0)</f>
        <v/>
      </c>
      <c r="AF26" s="18">
        <f>IF(29&gt;=DeliverStart,ExpUtilitiesPerUnit*TotalUnits/12*AF$8*AF$10,0)</f>
        <v/>
      </c>
      <c r="AG26" s="18">
        <f>IF(30&gt;=DeliverStart,ExpUtilitiesPerUnit*TotalUnits/12*AG$8*AG$10,0)</f>
        <v/>
      </c>
      <c r="AH26" s="18">
        <f>IF(31&gt;=DeliverStart,ExpUtilitiesPerUnit*TotalUnits/12*AH$8*AH$10,0)</f>
        <v/>
      </c>
      <c r="AI26" s="18">
        <f>IF(32&gt;=DeliverStart,ExpUtilitiesPerUnit*TotalUnits/12*AI$8*AI$10,0)</f>
        <v/>
      </c>
      <c r="AJ26" s="18">
        <f>IF(33&gt;=DeliverStart,ExpUtilitiesPerUnit*TotalUnits/12*AJ$8*AJ$10,0)</f>
        <v/>
      </c>
      <c r="AK26" s="18">
        <f>IF(34&gt;=DeliverStart,ExpUtilitiesPerUnit*TotalUnits/12*AK$8*AK$10,0)</f>
        <v/>
      </c>
      <c r="AL26" s="18">
        <f>IF(35&gt;=DeliverStart,ExpUtilitiesPerUnit*TotalUnits/12*AL$8*AL$10,0)</f>
        <v/>
      </c>
      <c r="AM26" s="18">
        <f>IF(36&gt;=DeliverStart,ExpUtilitiesPerUnit*TotalUnits/12*AM$8*AM$10,0)</f>
        <v/>
      </c>
      <c r="AN26" s="18">
        <f>IF(37&gt;=DeliverStart,ExpUtilitiesPerUnit*TotalUnits/12*AN$8*AN$10,0)</f>
        <v/>
      </c>
      <c r="AO26" s="18">
        <f>IF(38&gt;=DeliverStart,ExpUtilitiesPerUnit*TotalUnits/12*AO$8*AO$10,0)</f>
        <v/>
      </c>
      <c r="AP26" s="18">
        <f>IF(39&gt;=DeliverStart,ExpUtilitiesPerUnit*TotalUnits/12*AP$8*AP$10,0)</f>
        <v/>
      </c>
      <c r="AQ26" s="18">
        <f>IF(40&gt;=DeliverStart,ExpUtilitiesPerUnit*TotalUnits/12*AQ$8*AQ$10,0)</f>
        <v/>
      </c>
      <c r="AR26" s="18">
        <f>IF(41&gt;=DeliverStart,ExpUtilitiesPerUnit*TotalUnits/12*AR$8*AR$10,0)</f>
        <v/>
      </c>
      <c r="AS26" s="18">
        <f>IF(42&gt;=DeliverStart,ExpUtilitiesPerUnit*TotalUnits/12*AS$8*AS$10,0)</f>
        <v/>
      </c>
      <c r="AT26" s="18">
        <f>IF(43&gt;=DeliverStart,ExpUtilitiesPerUnit*TotalUnits/12*AT$8*AT$10,0)</f>
        <v/>
      </c>
      <c r="AU26" s="18">
        <f>IF(44&gt;=DeliverStart,ExpUtilitiesPerUnit*TotalUnits/12*AU$8*AU$10,0)</f>
        <v/>
      </c>
      <c r="AV26" s="18">
        <f>IF(45&gt;=DeliverStart,ExpUtilitiesPerUnit*TotalUnits/12*AV$8*AV$10,0)</f>
        <v/>
      </c>
      <c r="AW26" s="18">
        <f>IF(46&gt;=DeliverStart,ExpUtilitiesPerUnit*TotalUnits/12*AW$8*AW$10,0)</f>
        <v/>
      </c>
      <c r="AX26" s="18">
        <f>IF(47&gt;=DeliverStart,ExpUtilitiesPerUnit*TotalUnits/12*AX$8*AX$10,0)</f>
        <v/>
      </c>
      <c r="AY26" s="18">
        <f>IF(48&gt;=DeliverStart,ExpUtilitiesPerUnit*TotalUnits/12*AY$8*AY$10,0)</f>
        <v/>
      </c>
      <c r="AZ26" s="18">
        <f>IF(49&gt;=DeliverStart,ExpUtilitiesPerUnit*TotalUnits/12*AZ$8*AZ$10,0)</f>
        <v/>
      </c>
      <c r="BA26" s="18">
        <f>IF(50&gt;=DeliverStart,ExpUtilitiesPerUnit*TotalUnits/12*BA$8*BA$10,0)</f>
        <v/>
      </c>
      <c r="BB26" s="18">
        <f>IF(51&gt;=DeliverStart,ExpUtilitiesPerUnit*TotalUnits/12*BB$8*BB$10,0)</f>
        <v/>
      </c>
      <c r="BC26" s="18">
        <f>IF(52&gt;=DeliverStart,ExpUtilitiesPerUnit*TotalUnits/12*BC$8*BC$10,0)</f>
        <v/>
      </c>
      <c r="BD26" s="18">
        <f>IF(53&gt;=DeliverStart,ExpUtilitiesPerUnit*TotalUnits/12*BD$8*BD$10,0)</f>
        <v/>
      </c>
      <c r="BE26" s="18">
        <f>IF(54&gt;=DeliverStart,ExpUtilitiesPerUnit*TotalUnits/12*BE$8*BE$10,0)</f>
        <v/>
      </c>
      <c r="BF26" s="18">
        <f>IF(55&gt;=DeliverStart,ExpUtilitiesPerUnit*TotalUnits/12*BF$8*BF$10,0)</f>
        <v/>
      </c>
      <c r="BG26" s="18">
        <f>IF(56&gt;=DeliverStart,ExpUtilitiesPerUnit*TotalUnits/12*BG$8*BG$10,0)</f>
        <v/>
      </c>
      <c r="BH26" s="18">
        <f>IF(57&gt;=DeliverStart,ExpUtilitiesPerUnit*TotalUnits/12*BH$8*BH$10,0)</f>
        <v/>
      </c>
      <c r="BI26" s="18">
        <f>IF(58&gt;=DeliverStart,ExpUtilitiesPerUnit*TotalUnits/12*BI$8*BI$10,0)</f>
        <v/>
      </c>
      <c r="BJ26" s="18">
        <f>IF(59&gt;=DeliverStart,ExpUtilitiesPerUnit*TotalUnits/12*BJ$8*BJ$10,0)</f>
        <v/>
      </c>
      <c r="BK26" s="18">
        <f>IF(60&gt;=DeliverStart,ExpUtilitiesPerUnit*TotalUnits/12*BK$8*BK$10,0)</f>
        <v/>
      </c>
      <c r="BL26" s="18">
        <f>IF(61&gt;=DeliverStart,ExpUtilitiesPerUnit*TotalUnits/12*BL$8*BL$10,0)</f>
        <v/>
      </c>
      <c r="BM26" s="18">
        <f>IF(62&gt;=DeliverStart,ExpUtilitiesPerUnit*TotalUnits/12*BM$8*BM$10,0)</f>
        <v/>
      </c>
      <c r="BN26" s="18">
        <f>IF(63&gt;=DeliverStart,ExpUtilitiesPerUnit*TotalUnits/12*BN$8*BN$10,0)</f>
        <v/>
      </c>
      <c r="BO26" s="18">
        <f>IF(64&gt;=DeliverStart,ExpUtilitiesPerUnit*TotalUnits/12*BO$8*BO$10,0)</f>
        <v/>
      </c>
      <c r="BP26" s="18">
        <f>IF(65&gt;=DeliverStart,ExpUtilitiesPerUnit*TotalUnits/12*BP$8*BP$10,0)</f>
        <v/>
      </c>
      <c r="BQ26" s="18">
        <f>IF(66&gt;=DeliverStart,ExpUtilitiesPerUnit*TotalUnits/12*BQ$8*BQ$10,0)</f>
        <v/>
      </c>
      <c r="BR26" s="18">
        <f>IF(67&gt;=DeliverStart,ExpUtilitiesPerUnit*TotalUnits/12*BR$8*BR$10,0)</f>
        <v/>
      </c>
      <c r="BS26" s="18">
        <f>IF(68&gt;=DeliverStart,ExpUtilitiesPerUnit*TotalUnits/12*BS$8*BS$10,0)</f>
        <v/>
      </c>
      <c r="BT26" s="18">
        <f>IF(69&gt;=DeliverStart,ExpUtilitiesPerUnit*TotalUnits/12*BT$8*BT$10,0)</f>
        <v/>
      </c>
      <c r="BU26" s="18">
        <f>IF(70&gt;=DeliverStart,ExpUtilitiesPerUnit*TotalUnits/12*BU$8*BU$10,0)</f>
        <v/>
      </c>
      <c r="BV26" s="18">
        <f>IF(71&gt;=DeliverStart,ExpUtilitiesPerUnit*TotalUnits/12*BV$8*BV$10,0)</f>
        <v/>
      </c>
      <c r="BW26" s="18">
        <f>IF(72&gt;=DeliverStart,ExpUtilitiesPerUnit*TotalUnits/12*BW$8*BW$10,0)</f>
        <v/>
      </c>
      <c r="BX26" s="18">
        <f>IF(73&gt;=DeliverStart,ExpUtilitiesPerUnit*TotalUnits/12*BX$8*BX$10,0)</f>
        <v/>
      </c>
      <c r="BY26" s="18">
        <f>IF(74&gt;=DeliverStart,ExpUtilitiesPerUnit*TotalUnits/12*BY$8*BY$10,0)</f>
        <v/>
      </c>
      <c r="BZ26" s="18">
        <f>IF(75&gt;=DeliverStart,ExpUtilitiesPerUnit*TotalUnits/12*BZ$8*BZ$10,0)</f>
        <v/>
      </c>
      <c r="CA26" s="18">
        <f>IF(76&gt;=DeliverStart,ExpUtilitiesPerUnit*TotalUnits/12*CA$8*CA$10,0)</f>
        <v/>
      </c>
      <c r="CB26" s="18">
        <f>IF(77&gt;=DeliverStart,ExpUtilitiesPerUnit*TotalUnits/12*CB$8*CB$10,0)</f>
        <v/>
      </c>
      <c r="CC26" s="18">
        <f>IF(78&gt;=DeliverStart,ExpUtilitiesPerUnit*TotalUnits/12*CC$8*CC$10,0)</f>
        <v/>
      </c>
      <c r="CD26" s="18">
        <f>IF(79&gt;=DeliverStart,ExpUtilitiesPerUnit*TotalUnits/12*CD$8*CD$10,0)</f>
        <v/>
      </c>
      <c r="CE26" s="18">
        <f>IF(80&gt;=DeliverStart,ExpUtilitiesPerUnit*TotalUnits/12*CE$8*CE$10,0)</f>
        <v/>
      </c>
      <c r="CF26" s="18">
        <f>IF(81&gt;=DeliverStart,ExpUtilitiesPerUnit*TotalUnits/12*CF$8*CF$10,0)</f>
        <v/>
      </c>
      <c r="CG26" s="18">
        <f>IF(82&gt;=DeliverStart,ExpUtilitiesPerUnit*TotalUnits/12*CG$8*CG$10,0)</f>
        <v/>
      </c>
      <c r="CH26" s="18">
        <f>IF(83&gt;=DeliverStart,ExpUtilitiesPerUnit*TotalUnits/12*CH$8*CH$10,0)</f>
        <v/>
      </c>
      <c r="CI26" s="18">
        <f>IF(84&gt;=DeliverStart,ExpUtilitiesPerUnit*TotalUnits/12*CI$8*CI$10,0)</f>
        <v/>
      </c>
      <c r="CJ26" s="18">
        <f>IF(85&gt;=DeliverStart,ExpUtilitiesPerUnit*TotalUnits/12*CJ$8*CJ$10,0)</f>
        <v/>
      </c>
      <c r="CK26" s="18">
        <f>IF(86&gt;=DeliverStart,ExpUtilitiesPerUnit*TotalUnits/12*CK$8*CK$10,0)</f>
        <v/>
      </c>
      <c r="CL26" s="18">
        <f>IF(87&gt;=DeliverStart,ExpUtilitiesPerUnit*TotalUnits/12*CL$8*CL$10,0)</f>
        <v/>
      </c>
      <c r="CM26" s="18">
        <f>IF(88&gt;=DeliverStart,ExpUtilitiesPerUnit*TotalUnits/12*CM$8*CM$10,0)</f>
        <v/>
      </c>
      <c r="CN26" s="18">
        <f>IF(89&gt;=DeliverStart,ExpUtilitiesPerUnit*TotalUnits/12*CN$8*CN$10,0)</f>
        <v/>
      </c>
      <c r="CO26" s="18">
        <f>IF(90&gt;=DeliverStart,ExpUtilitiesPerUnit*TotalUnits/12*CO$8*CO$10,0)</f>
        <v/>
      </c>
      <c r="CP26" s="18">
        <f>IF(91&gt;=DeliverStart,ExpUtilitiesPerUnit*TotalUnits/12*CP$8*CP$10,0)</f>
        <v/>
      </c>
      <c r="CQ26" s="18">
        <f>IF(92&gt;=DeliverStart,ExpUtilitiesPerUnit*TotalUnits/12*CQ$8*CQ$10,0)</f>
        <v/>
      </c>
      <c r="CR26" s="18">
        <f>IF(93&gt;=DeliverStart,ExpUtilitiesPerUnit*TotalUnits/12*CR$8*CR$10,0)</f>
        <v/>
      </c>
      <c r="CS26" s="18">
        <f>IF(94&gt;=DeliverStart,ExpUtilitiesPerUnit*TotalUnits/12*CS$8*CS$10,0)</f>
        <v/>
      </c>
      <c r="CT26" s="18">
        <f>IF(95&gt;=DeliverStart,ExpUtilitiesPerUnit*TotalUnits/12*CT$8*CT$10,0)</f>
        <v/>
      </c>
      <c r="CU26" s="18">
        <f>IF(96&gt;=DeliverStart,ExpUtilitiesPerUnit*TotalUnits/12*CU$8*CU$10,0)</f>
        <v/>
      </c>
      <c r="CV26" s="18">
        <f>IF(97&gt;=DeliverStart,ExpUtilitiesPerUnit*TotalUnits/12*CV$8*CV$10,0)</f>
        <v/>
      </c>
      <c r="CW26" s="18">
        <f>IF(98&gt;=DeliverStart,ExpUtilitiesPerUnit*TotalUnits/12*CW$8*CW$10,0)</f>
        <v/>
      </c>
      <c r="CX26" s="18">
        <f>IF(99&gt;=DeliverStart,ExpUtilitiesPerUnit*TotalUnits/12*CX$8*CX$10,0)</f>
        <v/>
      </c>
      <c r="CY26" s="18">
        <f>IF(100&gt;=DeliverStart,ExpUtilitiesPerUnit*TotalUnits/12*CY$8*CY$10,0)</f>
        <v/>
      </c>
      <c r="CZ26" s="18">
        <f>IF(101&gt;=DeliverStart,ExpUtilitiesPerUnit*TotalUnits/12*CZ$8*CZ$10,0)</f>
        <v/>
      </c>
      <c r="DA26" s="18">
        <f>IF(102&gt;=DeliverStart,ExpUtilitiesPerUnit*TotalUnits/12*DA$8*DA$10,0)</f>
        <v/>
      </c>
      <c r="DB26" s="18">
        <f>IF(103&gt;=DeliverStart,ExpUtilitiesPerUnit*TotalUnits/12*DB$8*DB$10,0)</f>
        <v/>
      </c>
      <c r="DC26" s="18">
        <f>IF(104&gt;=DeliverStart,ExpUtilitiesPerUnit*TotalUnits/12*DC$8*DC$10,0)</f>
        <v/>
      </c>
      <c r="DD26" s="18">
        <f>IF(105&gt;=DeliverStart,ExpUtilitiesPerUnit*TotalUnits/12*DD$8*DD$10,0)</f>
        <v/>
      </c>
      <c r="DE26" s="18">
        <f>IF(106&gt;=DeliverStart,ExpUtilitiesPerUnit*TotalUnits/12*DE$8*DE$10,0)</f>
        <v/>
      </c>
      <c r="DF26" s="18">
        <f>IF(107&gt;=DeliverStart,ExpUtilitiesPerUnit*TotalUnits/12*DF$8*DF$10,0)</f>
        <v/>
      </c>
      <c r="DG26" s="18">
        <f>IF(108&gt;=DeliverStart,ExpUtilitiesPerUnit*TotalUnits/12*DG$8*DG$10,0)</f>
        <v/>
      </c>
      <c r="DH26" s="18">
        <f>IF(109&gt;=DeliverStart,ExpUtilitiesPerUnit*TotalUnits/12*DH$8*DH$10,0)</f>
        <v/>
      </c>
      <c r="DI26" s="18">
        <f>IF(110&gt;=DeliverStart,ExpUtilitiesPerUnit*TotalUnits/12*DI$8*DI$10,0)</f>
        <v/>
      </c>
      <c r="DJ26" s="18">
        <f>IF(111&gt;=DeliverStart,ExpUtilitiesPerUnit*TotalUnits/12*DJ$8*DJ$10,0)</f>
        <v/>
      </c>
      <c r="DK26" s="18">
        <f>IF(112&gt;=DeliverStart,ExpUtilitiesPerUnit*TotalUnits/12*DK$8*DK$10,0)</f>
        <v/>
      </c>
      <c r="DL26" s="18">
        <f>IF(113&gt;=DeliverStart,ExpUtilitiesPerUnit*TotalUnits/12*DL$8*DL$10,0)</f>
        <v/>
      </c>
      <c r="DM26" s="18">
        <f>IF(114&gt;=DeliverStart,ExpUtilitiesPerUnit*TotalUnits/12*DM$8*DM$10,0)</f>
        <v/>
      </c>
      <c r="DN26" s="18">
        <f>IF(115&gt;=DeliverStart,ExpUtilitiesPerUnit*TotalUnits/12*DN$8*DN$10,0)</f>
        <v/>
      </c>
      <c r="DO26" s="18">
        <f>IF(116&gt;=DeliverStart,ExpUtilitiesPerUnit*TotalUnits/12*DO$8*DO$10,0)</f>
        <v/>
      </c>
      <c r="DP26" s="18">
        <f>IF(117&gt;=DeliverStart,ExpUtilitiesPerUnit*TotalUnits/12*DP$8*DP$10,0)</f>
        <v/>
      </c>
      <c r="DQ26" s="18">
        <f>IF(118&gt;=DeliverStart,ExpUtilitiesPerUnit*TotalUnits/12*DQ$8*DQ$10,0)</f>
        <v/>
      </c>
      <c r="DR26" s="18">
        <f>IF(119&gt;=DeliverStart,ExpUtilitiesPerUnit*TotalUnits/12*DR$8*DR$10,0)</f>
        <v/>
      </c>
      <c r="DS26" s="18">
        <f>IF(120&gt;=DeliverStart,ExpUtilitiesPerUnit*TotalUnits/12*DS$8*DS$10,0)</f>
        <v/>
      </c>
      <c r="DT26" s="18">
        <f>IF(121&gt;=DeliverStart,ExpUtilitiesPerUnit*TotalUnits/12*DT$8*DT$10,0)</f>
        <v/>
      </c>
      <c r="DU26" s="18">
        <f>IF(122&gt;=DeliverStart,ExpUtilitiesPerUnit*TotalUnits/12*DU$8*DU$10,0)</f>
        <v/>
      </c>
      <c r="DV26" s="18">
        <f>IF(123&gt;=DeliverStart,ExpUtilitiesPerUnit*TotalUnits/12*DV$8*DV$10,0)</f>
        <v/>
      </c>
      <c r="DW26" s="18">
        <f>IF(124&gt;=DeliverStart,ExpUtilitiesPerUnit*TotalUnits/12*DW$8*DW$10,0)</f>
        <v/>
      </c>
      <c r="DX26" s="18">
        <f>IF(125&gt;=DeliverStart,ExpUtilitiesPerUnit*TotalUnits/12*DX$8*DX$10,0)</f>
        <v/>
      </c>
      <c r="DY26" s="18">
        <f>IF(126&gt;=DeliverStart,ExpUtilitiesPerUnit*TotalUnits/12*DY$8*DY$10,0)</f>
        <v/>
      </c>
      <c r="DZ26" s="18">
        <f>IF(127&gt;=DeliverStart,ExpUtilitiesPerUnit*TotalUnits/12*DZ$8*DZ$10,0)</f>
        <v/>
      </c>
      <c r="EA26" s="18">
        <f>IF(128&gt;=DeliverStart,ExpUtilitiesPerUnit*TotalUnits/12*EA$8*EA$10,0)</f>
        <v/>
      </c>
      <c r="EB26" s="18">
        <f>IF(129&gt;=DeliverStart,ExpUtilitiesPerUnit*TotalUnits/12*EB$8*EB$10,0)</f>
        <v/>
      </c>
      <c r="EC26" s="18">
        <f>IF(130&gt;=DeliverStart,ExpUtilitiesPerUnit*TotalUnits/12*EC$8*EC$10,0)</f>
        <v/>
      </c>
      <c r="ED26" s="18">
        <f>IF(131&gt;=DeliverStart,ExpUtilitiesPerUnit*TotalUnits/12*ED$8*ED$10,0)</f>
        <v/>
      </c>
      <c r="EE26" s="18">
        <f>IF(132&gt;=DeliverStart,ExpUtilitiesPerUnit*TotalUnits/12*EE$8*EE$10,0)</f>
        <v/>
      </c>
      <c r="EF26" s="18">
        <f>IF(133&gt;=DeliverStart,ExpUtilitiesPerUnit*TotalUnits/12*EF$8*EF$10,0)</f>
        <v/>
      </c>
      <c r="EG26" s="18">
        <f>IF(134&gt;=DeliverStart,ExpUtilitiesPerUnit*TotalUnits/12*EG$8*EG$10,0)</f>
        <v/>
      </c>
      <c r="EH26" s="18">
        <f>IF(135&gt;=DeliverStart,ExpUtilitiesPerUnit*TotalUnits/12*EH$8*EH$10,0)</f>
        <v/>
      </c>
      <c r="EI26" s="18">
        <f>IF(136&gt;=DeliverStart,ExpUtilitiesPerUnit*TotalUnits/12*EI$8*EI$10,0)</f>
        <v/>
      </c>
      <c r="EJ26" s="18">
        <f>IF(137&gt;=DeliverStart,ExpUtilitiesPerUnit*TotalUnits/12*EJ$8*EJ$10,0)</f>
        <v/>
      </c>
      <c r="EK26" s="18">
        <f>IF(138&gt;=DeliverStart,ExpUtilitiesPerUnit*TotalUnits/12*EK$8*EK$10,0)</f>
        <v/>
      </c>
      <c r="EL26" s="18">
        <f>IF(139&gt;=DeliverStart,ExpUtilitiesPerUnit*TotalUnits/12*EL$8*EL$10,0)</f>
        <v/>
      </c>
      <c r="EM26" s="18">
        <f>IF(140&gt;=DeliverStart,ExpUtilitiesPerUnit*TotalUnits/12*EM$8*EM$10,0)</f>
        <v/>
      </c>
      <c r="EN26" s="18">
        <f>IF(141&gt;=DeliverStart,ExpUtilitiesPerUnit*TotalUnits/12*EN$8*EN$10,0)</f>
        <v/>
      </c>
      <c r="EO26" s="18">
        <f>IF(142&gt;=DeliverStart,ExpUtilitiesPerUnit*TotalUnits/12*EO$8*EO$10,0)</f>
        <v/>
      </c>
      <c r="EP26" s="18">
        <f>IF(143&gt;=DeliverStart,ExpUtilitiesPerUnit*TotalUnits/12*EP$8*EP$10,0)</f>
        <v/>
      </c>
      <c r="EQ26" s="18">
        <f>IF(144&gt;=DeliverStart,ExpUtilitiesPerUnit*TotalUnits/12*EQ$8*EQ$10,0)</f>
        <v/>
      </c>
      <c r="ER26" s="18">
        <f>IF(145&gt;=DeliverStart,ExpUtilitiesPerUnit*TotalUnits/12*ER$8*ER$10,0)</f>
        <v/>
      </c>
      <c r="ES26" s="18">
        <f>IF(146&gt;=DeliverStart,ExpUtilitiesPerUnit*TotalUnits/12*ES$8*ES$10,0)</f>
        <v/>
      </c>
      <c r="ET26" s="18">
        <f>IF(147&gt;=DeliverStart,ExpUtilitiesPerUnit*TotalUnits/12*ET$8*ET$10,0)</f>
        <v/>
      </c>
      <c r="EU26" s="18">
        <f>IF(148&gt;=DeliverStart,ExpUtilitiesPerUnit*TotalUnits/12*EU$8*EU$10,0)</f>
        <v/>
      </c>
      <c r="EV26" s="18">
        <f>IF(149&gt;=DeliverStart,ExpUtilitiesPerUnit*TotalUnits/12*EV$8*EV$10,0)</f>
        <v/>
      </c>
      <c r="EW26" s="18">
        <f>IF(150&gt;=DeliverStart,ExpUtilitiesPerUnit*TotalUnits/12*EW$8*EW$10,0)</f>
        <v/>
      </c>
      <c r="EX26" s="18">
        <f>IF(151&gt;=DeliverStart,ExpUtilitiesPerUnit*TotalUnits/12*EX$8*EX$10,0)</f>
        <v/>
      </c>
      <c r="EY26" s="18">
        <f>IF(152&gt;=DeliverStart,ExpUtilitiesPerUnit*TotalUnits/12*EY$8*EY$10,0)</f>
        <v/>
      </c>
      <c r="EZ26" s="18">
        <f>IF(153&gt;=DeliverStart,ExpUtilitiesPerUnit*TotalUnits/12*EZ$8*EZ$10,0)</f>
        <v/>
      </c>
      <c r="FA26" s="18">
        <f>IF(154&gt;=DeliverStart,ExpUtilitiesPerUnit*TotalUnits/12*FA$8*FA$10,0)</f>
        <v/>
      </c>
      <c r="FB26" s="18">
        <f>IF(155&gt;=DeliverStart,ExpUtilitiesPerUnit*TotalUnits/12*FB$8*FB$10,0)</f>
        <v/>
      </c>
      <c r="FC26" s="18">
        <f>IF(156&gt;=DeliverStart,ExpUtilitiesPerUnit*TotalUnits/12*FC$8*FC$10,0)</f>
        <v/>
      </c>
      <c r="FD26" s="18">
        <f>IF(157&gt;=DeliverStart,ExpUtilitiesPerUnit*TotalUnits/12*FD$8*FD$10,0)</f>
        <v/>
      </c>
      <c r="FE26" s="18">
        <f>IF(158&gt;=DeliverStart,ExpUtilitiesPerUnit*TotalUnits/12*FE$8*FE$10,0)</f>
        <v/>
      </c>
      <c r="FF26" s="18">
        <f>IF(159&gt;=DeliverStart,ExpUtilitiesPerUnit*TotalUnits/12*FF$8*FF$10,0)</f>
        <v/>
      </c>
      <c r="FG26" s="18">
        <f>IF(160&gt;=DeliverStart,ExpUtilitiesPerUnit*TotalUnits/12*FG$8*FG$10,0)</f>
        <v/>
      </c>
      <c r="FH26" s="18">
        <f>IF(161&gt;=DeliverStart,ExpUtilitiesPerUnit*TotalUnits/12*FH$8*FH$10,0)</f>
        <v/>
      </c>
      <c r="FI26" s="18">
        <f>IF(162&gt;=DeliverStart,ExpUtilitiesPerUnit*TotalUnits/12*FI$8*FI$10,0)</f>
        <v/>
      </c>
      <c r="FJ26" s="18">
        <f>IF(163&gt;=DeliverStart,ExpUtilitiesPerUnit*TotalUnits/12*FJ$8*FJ$10,0)</f>
        <v/>
      </c>
      <c r="FK26" s="18">
        <f>IF(164&gt;=DeliverStart,ExpUtilitiesPerUnit*TotalUnits/12*FK$8*FK$10,0)</f>
        <v/>
      </c>
      <c r="FL26" s="18">
        <f>IF(165&gt;=DeliverStart,ExpUtilitiesPerUnit*TotalUnits/12*FL$8*FL$10,0)</f>
        <v/>
      </c>
      <c r="FM26" s="18">
        <f>IF(166&gt;=DeliverStart,ExpUtilitiesPerUnit*TotalUnits/12*FM$8*FM$10,0)</f>
        <v/>
      </c>
      <c r="FN26" s="18">
        <f>IF(167&gt;=DeliverStart,ExpUtilitiesPerUnit*TotalUnits/12*FN$8*FN$10,0)</f>
        <v/>
      </c>
      <c r="FO26" s="18">
        <f>IF(168&gt;=DeliverStart,ExpUtilitiesPerUnit*TotalUnits/12*FO$8*FO$10,0)</f>
        <v/>
      </c>
      <c r="FP26" s="18">
        <f>IF(169&gt;=DeliverStart,ExpUtilitiesPerUnit*TotalUnits/12*FP$8*FP$10,0)</f>
        <v/>
      </c>
      <c r="FQ26" s="18">
        <f>IF(170&gt;=DeliverStart,ExpUtilitiesPerUnit*TotalUnits/12*FQ$8*FQ$10,0)</f>
        <v/>
      </c>
      <c r="FR26" s="18">
        <f>IF(171&gt;=DeliverStart,ExpUtilitiesPerUnit*TotalUnits/12*FR$8*FR$10,0)</f>
        <v/>
      </c>
      <c r="FS26" s="18">
        <f>IF(172&gt;=DeliverStart,ExpUtilitiesPerUnit*TotalUnits/12*FS$8*FS$10,0)</f>
        <v/>
      </c>
      <c r="FT26" s="18">
        <f>IF(173&gt;=DeliverStart,ExpUtilitiesPerUnit*TotalUnits/12*FT$8*FT$10,0)</f>
        <v/>
      </c>
      <c r="FU26" s="18">
        <f>IF(174&gt;=DeliverStart,ExpUtilitiesPerUnit*TotalUnits/12*FU$8*FU$10,0)</f>
        <v/>
      </c>
      <c r="FV26" s="18">
        <f>IF(175&gt;=DeliverStart,ExpUtilitiesPerUnit*TotalUnits/12*FV$8*FV$10,0)</f>
        <v/>
      </c>
      <c r="FW26" s="18">
        <f>IF(176&gt;=DeliverStart,ExpUtilitiesPerUnit*TotalUnits/12*FW$8*FW$10,0)</f>
        <v/>
      </c>
      <c r="FX26" s="18">
        <f>IF(177&gt;=DeliverStart,ExpUtilitiesPerUnit*TotalUnits/12*FX$8*FX$10,0)</f>
        <v/>
      </c>
      <c r="FY26" s="18">
        <f>IF(178&gt;=DeliverStart,ExpUtilitiesPerUnit*TotalUnits/12*FY$8*FY$10,0)</f>
        <v/>
      </c>
      <c r="FZ26" s="18">
        <f>IF(179&gt;=DeliverStart,ExpUtilitiesPerUnit*TotalUnits/12*FZ$8*FZ$10,0)</f>
        <v/>
      </c>
      <c r="GA26" s="18">
        <f>IF(180&gt;=DeliverStart,ExpUtilitiesPerUnit*TotalUnits/12*GA$8*GA$10,0)</f>
        <v/>
      </c>
      <c r="GB26" s="18">
        <f>IF(181&gt;=DeliverStart,ExpUtilitiesPerUnit*TotalUnits/12*GB$8*GB$10,0)</f>
        <v/>
      </c>
      <c r="GC26" s="18">
        <f>IF(182&gt;=DeliverStart,ExpUtilitiesPerUnit*TotalUnits/12*GC$8*GC$10,0)</f>
        <v/>
      </c>
      <c r="GD26" s="18">
        <f>IF(183&gt;=DeliverStart,ExpUtilitiesPerUnit*TotalUnits/12*GD$8*GD$10,0)</f>
        <v/>
      </c>
      <c r="GE26" s="18">
        <f>IF(184&gt;=DeliverStart,ExpUtilitiesPerUnit*TotalUnits/12*GE$8*GE$10,0)</f>
        <v/>
      </c>
      <c r="GF26" s="18">
        <f>IF(185&gt;=DeliverStart,ExpUtilitiesPerUnit*TotalUnits/12*GF$8*GF$10,0)</f>
        <v/>
      </c>
      <c r="GG26" s="18">
        <f>IF(186&gt;=DeliverStart,ExpUtilitiesPerUnit*TotalUnits/12*GG$8*GG$10,0)</f>
        <v/>
      </c>
      <c r="GH26" s="18">
        <f>IF(187&gt;=DeliverStart,ExpUtilitiesPerUnit*TotalUnits/12*GH$8*GH$10,0)</f>
        <v/>
      </c>
      <c r="GI26" s="18">
        <f>IF(188&gt;=DeliverStart,ExpUtilitiesPerUnit*TotalUnits/12*GI$8*GI$10,0)</f>
        <v/>
      </c>
      <c r="GJ26" s="18">
        <f>IF(189&gt;=DeliverStart,ExpUtilitiesPerUnit*TotalUnits/12*GJ$8*GJ$10,0)</f>
        <v/>
      </c>
      <c r="GK26" s="18">
        <f>IF(190&gt;=DeliverStart,ExpUtilitiesPerUnit*TotalUnits/12*GK$8*GK$10,0)</f>
        <v/>
      </c>
      <c r="GL26" s="18">
        <f>IF(191&gt;=DeliverStart,ExpUtilitiesPerUnit*TotalUnits/12*GL$8*GL$10,0)</f>
        <v/>
      </c>
      <c r="GM26" s="18">
        <f>IF(192&gt;=DeliverStart,ExpUtilitiesPerUnit*TotalUnits/12*GM$8*GM$10,0)</f>
        <v/>
      </c>
      <c r="GN26" s="18">
        <f>IF(193&gt;=DeliverStart,ExpUtilitiesPerUnit*TotalUnits/12*GN$8*GN$10,0)</f>
        <v/>
      </c>
      <c r="GO26" s="18">
        <f>IF(194&gt;=DeliverStart,ExpUtilitiesPerUnit*TotalUnits/12*GO$8*GO$10,0)</f>
        <v/>
      </c>
      <c r="GP26" s="18">
        <f>IF(195&gt;=DeliverStart,ExpUtilitiesPerUnit*TotalUnits/12*GP$8*GP$10,0)</f>
        <v/>
      </c>
      <c r="GQ26" s="18">
        <f>IF(196&gt;=DeliverStart,ExpUtilitiesPerUnit*TotalUnits/12*GQ$8*GQ$10,0)</f>
        <v/>
      </c>
      <c r="GR26" s="18">
        <f>IF(197&gt;=DeliverStart,ExpUtilitiesPerUnit*TotalUnits/12*GR$8*GR$10,0)</f>
        <v/>
      </c>
      <c r="GS26" s="18">
        <f>IF(198&gt;=DeliverStart,ExpUtilitiesPerUnit*TotalUnits/12*GS$8*GS$10,0)</f>
        <v/>
      </c>
      <c r="GT26" s="18">
        <f>IF(199&gt;=DeliverStart,ExpUtilitiesPerUnit*TotalUnits/12*GT$8*GT$10,0)</f>
        <v/>
      </c>
      <c r="GU26" s="18">
        <f>IF(200&gt;=DeliverStart,ExpUtilitiesPerUnit*TotalUnits/12*GU$8*GU$10,0)</f>
        <v/>
      </c>
      <c r="GV26" s="18">
        <f>IF(201&gt;=DeliverStart,ExpUtilitiesPerUnit*TotalUnits/12*GV$8*GV$10,0)</f>
        <v/>
      </c>
      <c r="GW26" s="18">
        <f>IF(202&gt;=DeliverStart,ExpUtilitiesPerUnit*TotalUnits/12*GW$8*GW$10,0)</f>
        <v/>
      </c>
      <c r="GX26" s="18">
        <f>IF(203&gt;=DeliverStart,ExpUtilitiesPerUnit*TotalUnits/12*GX$8*GX$10,0)</f>
        <v/>
      </c>
      <c r="GY26" s="18">
        <f>IF(204&gt;=DeliverStart,ExpUtilitiesPerUnit*TotalUnits/12*GY$8*GY$10,0)</f>
        <v/>
      </c>
      <c r="GZ26" s="18">
        <f>IF(205&gt;=DeliverStart,ExpUtilitiesPerUnit*TotalUnits/12*GZ$8*GZ$10,0)</f>
        <v/>
      </c>
      <c r="HA26" s="18">
        <f>IF(206&gt;=DeliverStart,ExpUtilitiesPerUnit*TotalUnits/12*HA$8*HA$10,0)</f>
        <v/>
      </c>
      <c r="HB26" s="18">
        <f>IF(207&gt;=DeliverStart,ExpUtilitiesPerUnit*TotalUnits/12*HB$8*HB$10,0)</f>
        <v/>
      </c>
      <c r="HC26" s="18">
        <f>IF(208&gt;=DeliverStart,ExpUtilitiesPerUnit*TotalUnits/12*HC$8*HC$10,0)</f>
        <v/>
      </c>
      <c r="HD26" s="18">
        <f>IF(209&gt;=DeliverStart,ExpUtilitiesPerUnit*TotalUnits/12*HD$8*HD$10,0)</f>
        <v/>
      </c>
      <c r="HE26" s="18">
        <f>IF(210&gt;=DeliverStart,ExpUtilitiesPerUnit*TotalUnits/12*HE$8*HE$10,0)</f>
        <v/>
      </c>
      <c r="HF26" s="18">
        <f>IF(211&gt;=DeliverStart,ExpUtilitiesPerUnit*TotalUnits/12*HF$8*HF$10,0)</f>
        <v/>
      </c>
      <c r="HG26" s="18">
        <f>IF(212&gt;=DeliverStart,ExpUtilitiesPerUnit*TotalUnits/12*HG$8*HG$10,0)</f>
        <v/>
      </c>
      <c r="HH26" s="18">
        <f>IF(213&gt;=DeliverStart,ExpUtilitiesPerUnit*TotalUnits/12*HH$8*HH$10,0)</f>
        <v/>
      </c>
      <c r="HI26" s="18">
        <f>IF(214&gt;=DeliverStart,ExpUtilitiesPerUnit*TotalUnits/12*HI$8*HI$10,0)</f>
        <v/>
      </c>
      <c r="HJ26" s="18">
        <f>IF(215&gt;=DeliverStart,ExpUtilitiesPerUnit*TotalUnits/12*HJ$8*HJ$10,0)</f>
        <v/>
      </c>
      <c r="HK26" s="18">
        <f>IF(216&gt;=DeliverStart,ExpUtilitiesPerUnit*TotalUnits/12*HK$8*HK$10,0)</f>
        <v/>
      </c>
      <c r="HL26" s="18">
        <f>IF(217&gt;=DeliverStart,ExpUtilitiesPerUnit*TotalUnits/12*HL$8*HL$10,0)</f>
        <v/>
      </c>
      <c r="HM26" s="18">
        <f>IF(218&gt;=DeliverStart,ExpUtilitiesPerUnit*TotalUnits/12*HM$8*HM$10,0)</f>
        <v/>
      </c>
      <c r="HN26" s="18">
        <f>IF(219&gt;=DeliverStart,ExpUtilitiesPerUnit*TotalUnits/12*HN$8*HN$10,0)</f>
        <v/>
      </c>
      <c r="HO26" s="18">
        <f>IF(220&gt;=DeliverStart,ExpUtilitiesPerUnit*TotalUnits/12*HO$8*HO$10,0)</f>
        <v/>
      </c>
      <c r="HP26" s="18">
        <f>IF(221&gt;=DeliverStart,ExpUtilitiesPerUnit*TotalUnits/12*HP$8*HP$10,0)</f>
        <v/>
      </c>
      <c r="HQ26" s="18">
        <f>IF(222&gt;=DeliverStart,ExpUtilitiesPerUnit*TotalUnits/12*HQ$8*HQ$10,0)</f>
        <v/>
      </c>
      <c r="HR26" s="18">
        <f>IF(223&gt;=DeliverStart,ExpUtilitiesPerUnit*TotalUnits/12*HR$8*HR$10,0)</f>
        <v/>
      </c>
      <c r="HS26" s="18">
        <f>IF(224&gt;=DeliverStart,ExpUtilitiesPerUnit*TotalUnits/12*HS$8*HS$10,0)</f>
        <v/>
      </c>
      <c r="HT26" s="18">
        <f>IF(225&gt;=DeliverStart,ExpUtilitiesPerUnit*TotalUnits/12*HT$8*HT$10,0)</f>
        <v/>
      </c>
      <c r="HU26" s="18">
        <f>IF(226&gt;=DeliverStart,ExpUtilitiesPerUnit*TotalUnits/12*HU$8*HU$10,0)</f>
        <v/>
      </c>
      <c r="HV26" s="18">
        <f>IF(227&gt;=DeliverStart,ExpUtilitiesPerUnit*TotalUnits/12*HV$8*HV$10,0)</f>
        <v/>
      </c>
      <c r="HW26" s="18">
        <f>IF(228&gt;=DeliverStart,ExpUtilitiesPerUnit*TotalUnits/12*HW$8*HW$10,0)</f>
        <v/>
      </c>
      <c r="HX26" s="18">
        <f>IF(229&gt;=DeliverStart,ExpUtilitiesPerUnit*TotalUnits/12*HX$8*HX$10,0)</f>
        <v/>
      </c>
      <c r="HY26" s="18">
        <f>IF(230&gt;=DeliverStart,ExpUtilitiesPerUnit*TotalUnits/12*HY$8*HY$10,0)</f>
        <v/>
      </c>
      <c r="HZ26" s="18">
        <f>IF(231&gt;=DeliverStart,ExpUtilitiesPerUnit*TotalUnits/12*HZ$8*HZ$10,0)</f>
        <v/>
      </c>
      <c r="IA26" s="18">
        <f>IF(232&gt;=DeliverStart,ExpUtilitiesPerUnit*TotalUnits/12*IA$8*IA$10,0)</f>
        <v/>
      </c>
      <c r="IB26" s="18">
        <f>IF(233&gt;=DeliverStart,ExpUtilitiesPerUnit*TotalUnits/12*IB$8*IB$10,0)</f>
        <v/>
      </c>
      <c r="IC26" s="18">
        <f>IF(234&gt;=DeliverStart,ExpUtilitiesPerUnit*TotalUnits/12*IC$8*IC$10,0)</f>
        <v/>
      </c>
      <c r="ID26" s="18">
        <f>IF(235&gt;=DeliverStart,ExpUtilitiesPerUnit*TotalUnits/12*ID$8*ID$10,0)</f>
        <v/>
      </c>
      <c r="IE26" s="18">
        <f>IF(236&gt;=DeliverStart,ExpUtilitiesPerUnit*TotalUnits/12*IE$8*IE$10,0)</f>
        <v/>
      </c>
      <c r="IF26" s="18">
        <f>IF(237&gt;=DeliverStart,ExpUtilitiesPerUnit*TotalUnits/12*IF$8*IF$10,0)</f>
        <v/>
      </c>
      <c r="IG26" s="18">
        <f>IF(238&gt;=DeliverStart,ExpUtilitiesPerUnit*TotalUnits/12*IG$8*IG$10,0)</f>
        <v/>
      </c>
      <c r="IH26" s="18">
        <f>IF(239&gt;=DeliverStart,ExpUtilitiesPerUnit*TotalUnits/12*IH$8*IH$10,0)</f>
        <v/>
      </c>
      <c r="II26" s="18">
        <f>IF(240&gt;=DeliverStart,ExpUtilitiesPerUnit*TotalUnits/12*II$8*II$10,0)</f>
        <v/>
      </c>
      <c r="IJ26" s="18">
        <f>IF(241&gt;=DeliverStart,ExpUtilitiesPerUnit*TotalUnits/12*IJ$8*IJ$10,0)</f>
        <v/>
      </c>
      <c r="IK26" s="18">
        <f>IF(242&gt;=DeliverStart,ExpUtilitiesPerUnit*TotalUnits/12*IK$8*IK$10,0)</f>
        <v/>
      </c>
      <c r="IL26" s="18">
        <f>IF(243&gt;=DeliverStart,ExpUtilitiesPerUnit*TotalUnits/12*IL$8*IL$10,0)</f>
        <v/>
      </c>
      <c r="IM26" s="18">
        <f>IF(244&gt;=DeliverStart,ExpUtilitiesPerUnit*TotalUnits/12*IM$8*IM$10,0)</f>
        <v/>
      </c>
      <c r="IN26" s="18">
        <f>IF(245&gt;=DeliverStart,ExpUtilitiesPerUnit*TotalUnits/12*IN$8*IN$10,0)</f>
        <v/>
      </c>
      <c r="IO26" s="18">
        <f>IF(246&gt;=DeliverStart,ExpUtilitiesPerUnit*TotalUnits/12*IO$8*IO$10,0)</f>
        <v/>
      </c>
      <c r="IP26" s="18">
        <f>IF(247&gt;=DeliverStart,ExpUtilitiesPerUnit*TotalUnits/12*IP$8*IP$10,0)</f>
        <v/>
      </c>
      <c r="IQ26" s="18">
        <f>IF(248&gt;=DeliverStart,ExpUtilitiesPerUnit*TotalUnits/12*IQ$8*IQ$10,0)</f>
        <v/>
      </c>
      <c r="IR26" s="18">
        <f>IF(249&gt;=DeliverStart,ExpUtilitiesPerUnit*TotalUnits/12*IR$8*IR$10,0)</f>
        <v/>
      </c>
      <c r="IS26" s="18">
        <f>IF(250&gt;=DeliverStart,ExpUtilitiesPerUnit*TotalUnits/12*IS$8*IS$10,0)</f>
        <v/>
      </c>
      <c r="IT26" s="18">
        <f>IF(251&gt;=DeliverStart,ExpUtilitiesPerUnit*TotalUnits/12*IT$8*IT$10,0)</f>
        <v/>
      </c>
      <c r="IU26" s="18">
        <f>IF(252&gt;=DeliverStart,ExpUtilitiesPerUnit*TotalUnits/12*IU$8*IU$10,0)</f>
        <v/>
      </c>
      <c r="IV26" s="18">
        <f>IF(253&gt;=DeliverStart,ExpUtilitiesPerUnit*TotalUnits/12*IV$8*IV$10,0)</f>
        <v/>
      </c>
      <c r="IW26" s="18">
        <f>IF(254&gt;=DeliverStart,ExpUtilitiesPerUnit*TotalUnits/12*IW$8*IW$10,0)</f>
        <v/>
      </c>
      <c r="IX26" s="18">
        <f>IF(255&gt;=DeliverStart,ExpUtilitiesPerUnit*TotalUnits/12*IX$8*IX$10,0)</f>
        <v/>
      </c>
      <c r="IY26" s="18">
        <f>IF(256&gt;=DeliverStart,ExpUtilitiesPerUnit*TotalUnits/12*IY$8*IY$10,0)</f>
        <v/>
      </c>
      <c r="IZ26" s="18">
        <f>IF(257&gt;=DeliverStart,ExpUtilitiesPerUnit*TotalUnits/12*IZ$8*IZ$10,0)</f>
        <v/>
      </c>
      <c r="JA26" s="18">
        <f>IF(258&gt;=DeliverStart,ExpUtilitiesPerUnit*TotalUnits/12*JA$8*JA$10,0)</f>
        <v/>
      </c>
      <c r="JB26" s="18">
        <f>IF(259&gt;=DeliverStart,ExpUtilitiesPerUnit*TotalUnits/12*JB$8*JB$10,0)</f>
        <v/>
      </c>
      <c r="JC26" s="18">
        <f>IF(260&gt;=DeliverStart,ExpUtilitiesPerUnit*TotalUnits/12*JC$8*JC$10,0)</f>
        <v/>
      </c>
      <c r="JD26" s="18">
        <f>IF(261&gt;=DeliverStart,ExpUtilitiesPerUnit*TotalUnits/12*JD$8*JD$10,0)</f>
        <v/>
      </c>
      <c r="JE26" s="18">
        <f>IF(262&gt;=DeliverStart,ExpUtilitiesPerUnit*TotalUnits/12*JE$8*JE$10,0)</f>
        <v/>
      </c>
      <c r="JF26" s="18">
        <f>IF(263&gt;=DeliverStart,ExpUtilitiesPerUnit*TotalUnits/12*JF$8*JF$10,0)</f>
        <v/>
      </c>
      <c r="JG26" s="18">
        <f>IF(264&gt;=DeliverStart,ExpUtilitiesPerUnit*TotalUnits/12*JG$8*JG$10,0)</f>
        <v/>
      </c>
      <c r="JH26" s="18">
        <f>IF(265&gt;=DeliverStart,ExpUtilitiesPerUnit*TotalUnits/12*JH$8*JH$10,0)</f>
        <v/>
      </c>
      <c r="JI26" s="18">
        <f>IF(266&gt;=DeliverStart,ExpUtilitiesPerUnit*TotalUnits/12*JI$8*JI$10,0)</f>
        <v/>
      </c>
      <c r="JJ26" s="18">
        <f>IF(267&gt;=DeliverStart,ExpUtilitiesPerUnit*TotalUnits/12*JJ$8*JJ$10,0)</f>
        <v/>
      </c>
      <c r="JK26" s="18">
        <f>IF(268&gt;=DeliverStart,ExpUtilitiesPerUnit*TotalUnits/12*JK$8*JK$10,0)</f>
        <v/>
      </c>
      <c r="JL26" s="18">
        <f>IF(269&gt;=DeliverStart,ExpUtilitiesPerUnit*TotalUnits/12*JL$8*JL$10,0)</f>
        <v/>
      </c>
      <c r="JM26" s="18">
        <f>IF(270&gt;=DeliverStart,ExpUtilitiesPerUnit*TotalUnits/12*JM$8*JM$10,0)</f>
        <v/>
      </c>
      <c r="JN26" s="18">
        <f>IF(271&gt;=DeliverStart,ExpUtilitiesPerUnit*TotalUnits/12*JN$8*JN$10,0)</f>
        <v/>
      </c>
      <c r="JO26" s="18">
        <f>IF(272&gt;=DeliverStart,ExpUtilitiesPerUnit*TotalUnits/12*JO$8*JO$10,0)</f>
        <v/>
      </c>
      <c r="JP26" s="18">
        <f>IF(273&gt;=DeliverStart,ExpUtilitiesPerUnit*TotalUnits/12*JP$8*JP$10,0)</f>
        <v/>
      </c>
      <c r="JQ26" s="18">
        <f>IF(274&gt;=DeliverStart,ExpUtilitiesPerUnit*TotalUnits/12*JQ$8*JQ$10,0)</f>
        <v/>
      </c>
      <c r="JR26" s="18">
        <f>IF(275&gt;=DeliverStart,ExpUtilitiesPerUnit*TotalUnits/12*JR$8*JR$10,0)</f>
        <v/>
      </c>
      <c r="JS26" s="18">
        <f>IF(276&gt;=DeliverStart,ExpUtilitiesPerUnit*TotalUnits/12*JS$8*JS$10,0)</f>
        <v/>
      </c>
      <c r="JT26" s="18">
        <f>IF(277&gt;=DeliverStart,ExpUtilitiesPerUnit*TotalUnits/12*JT$8*JT$10,0)</f>
        <v/>
      </c>
      <c r="JU26" s="18">
        <f>IF(278&gt;=DeliverStart,ExpUtilitiesPerUnit*TotalUnits/12*JU$8*JU$10,0)</f>
        <v/>
      </c>
      <c r="JV26" s="18">
        <f>IF(279&gt;=DeliverStart,ExpUtilitiesPerUnit*TotalUnits/12*JV$8*JV$10,0)</f>
        <v/>
      </c>
      <c r="JW26" s="18">
        <f>IF(280&gt;=DeliverStart,ExpUtilitiesPerUnit*TotalUnits/12*JW$8*JW$10,0)</f>
        <v/>
      </c>
      <c r="JX26" s="18">
        <f>IF(281&gt;=DeliverStart,ExpUtilitiesPerUnit*TotalUnits/12*JX$8*JX$10,0)</f>
        <v/>
      </c>
      <c r="JY26" s="18">
        <f>IF(282&gt;=DeliverStart,ExpUtilitiesPerUnit*TotalUnits/12*JY$8*JY$10,0)</f>
        <v/>
      </c>
      <c r="JZ26" s="18">
        <f>IF(283&gt;=DeliverStart,ExpUtilitiesPerUnit*TotalUnits/12*JZ$8*JZ$10,0)</f>
        <v/>
      </c>
      <c r="KA26" s="18">
        <f>IF(284&gt;=DeliverStart,ExpUtilitiesPerUnit*TotalUnits/12*KA$8*KA$10,0)</f>
        <v/>
      </c>
      <c r="KB26" s="18">
        <f>IF(285&gt;=DeliverStart,ExpUtilitiesPerUnit*TotalUnits/12*KB$8*KB$10,0)</f>
        <v/>
      </c>
      <c r="KC26" s="18">
        <f>IF(286&gt;=DeliverStart,ExpUtilitiesPerUnit*TotalUnits/12*KC$8*KC$10,0)</f>
        <v/>
      </c>
      <c r="KD26" s="18">
        <f>IF(287&gt;=DeliverStart,ExpUtilitiesPerUnit*TotalUnits/12*KD$8*KD$10,0)</f>
        <v/>
      </c>
      <c r="KE26" s="18">
        <f>IF(288&gt;=DeliverStart,ExpUtilitiesPerUnit*TotalUnits/12*KE$8*KE$10,0)</f>
        <v/>
      </c>
      <c r="KF26" s="18">
        <f>IF(289&gt;=DeliverStart,ExpUtilitiesPerUnit*TotalUnits/12*KF$8*KF$10,0)</f>
        <v/>
      </c>
      <c r="KG26" s="18">
        <f>IF(290&gt;=DeliverStart,ExpUtilitiesPerUnit*TotalUnits/12*KG$8*KG$10,0)</f>
        <v/>
      </c>
      <c r="KH26" s="18">
        <f>IF(291&gt;=DeliverStart,ExpUtilitiesPerUnit*TotalUnits/12*KH$8*KH$10,0)</f>
        <v/>
      </c>
      <c r="KI26" s="18">
        <f>IF(292&gt;=DeliverStart,ExpUtilitiesPerUnit*TotalUnits/12*KI$8*KI$10,0)</f>
        <v/>
      </c>
      <c r="KJ26" s="18">
        <f>IF(293&gt;=DeliverStart,ExpUtilitiesPerUnit*TotalUnits/12*KJ$8*KJ$10,0)</f>
        <v/>
      </c>
      <c r="KK26" s="18">
        <f>IF(294&gt;=DeliverStart,ExpUtilitiesPerUnit*TotalUnits/12*KK$8*KK$10,0)</f>
        <v/>
      </c>
      <c r="KL26" s="18">
        <f>IF(295&gt;=DeliverStart,ExpUtilitiesPerUnit*TotalUnits/12*KL$8*KL$10,0)</f>
        <v/>
      </c>
      <c r="KM26" s="18">
        <f>IF(296&gt;=DeliverStart,ExpUtilitiesPerUnit*TotalUnits/12*KM$8*KM$10,0)</f>
        <v/>
      </c>
      <c r="KN26" s="18">
        <f>IF(297&gt;=DeliverStart,ExpUtilitiesPerUnit*TotalUnits/12*KN$8*KN$10,0)</f>
        <v/>
      </c>
      <c r="KO26" s="18">
        <f>IF(298&gt;=DeliverStart,ExpUtilitiesPerUnit*TotalUnits/12*KO$8*KO$10,0)</f>
        <v/>
      </c>
      <c r="KP26" s="18">
        <f>IF(299&gt;=DeliverStart,ExpUtilitiesPerUnit*TotalUnits/12*KP$8*KP$10,0)</f>
        <v/>
      </c>
      <c r="KQ26" s="18">
        <f>IF(300&gt;=DeliverStart,ExpUtilitiesPerUnit*TotalUnits/12*KQ$8*KQ$10,0)</f>
        <v/>
      </c>
      <c r="KR26" s="18">
        <f>IF(301&gt;=DeliverStart,ExpUtilitiesPerUnit*TotalUnits/12*KR$8*KR$10,0)</f>
        <v/>
      </c>
      <c r="KS26" s="18">
        <f>IF(302&gt;=DeliverStart,ExpUtilitiesPerUnit*TotalUnits/12*KS$8*KS$10,0)</f>
        <v/>
      </c>
      <c r="KT26" s="18">
        <f>IF(303&gt;=DeliverStart,ExpUtilitiesPerUnit*TotalUnits/12*KT$8*KT$10,0)</f>
        <v/>
      </c>
      <c r="KU26" s="18">
        <f>IF(304&gt;=DeliverStart,ExpUtilitiesPerUnit*TotalUnits/12*KU$8*KU$10,0)</f>
        <v/>
      </c>
      <c r="KV26" s="18">
        <f>IF(305&gt;=DeliverStart,ExpUtilitiesPerUnit*TotalUnits/12*KV$8*KV$10,0)</f>
        <v/>
      </c>
      <c r="KW26" s="18">
        <f>IF(306&gt;=DeliverStart,ExpUtilitiesPerUnit*TotalUnits/12*KW$8*KW$10,0)</f>
        <v/>
      </c>
      <c r="KX26" s="18">
        <f>IF(307&gt;=DeliverStart,ExpUtilitiesPerUnit*TotalUnits/12*KX$8*KX$10,0)</f>
        <v/>
      </c>
      <c r="KY26" s="18">
        <f>IF(308&gt;=DeliverStart,ExpUtilitiesPerUnit*TotalUnits/12*KY$8*KY$10,0)</f>
        <v/>
      </c>
      <c r="KZ26" s="18">
        <f>IF(309&gt;=DeliverStart,ExpUtilitiesPerUnit*TotalUnits/12*KZ$8*KZ$10,0)</f>
        <v/>
      </c>
      <c r="LA26" s="18">
        <f>IF(310&gt;=DeliverStart,ExpUtilitiesPerUnit*TotalUnits/12*LA$8*LA$10,0)</f>
        <v/>
      </c>
      <c r="LB26" s="18">
        <f>IF(311&gt;=DeliverStart,ExpUtilitiesPerUnit*TotalUnits/12*LB$8*LB$10,0)</f>
        <v/>
      </c>
      <c r="LC26" s="18">
        <f>IF(312&gt;=DeliverStart,ExpUtilitiesPerUnit*TotalUnits/12*LC$8*LC$10,0)</f>
        <v/>
      </c>
      <c r="LD26" s="18">
        <f>IF(313&gt;=DeliverStart,ExpUtilitiesPerUnit*TotalUnits/12*LD$8*LD$10,0)</f>
        <v/>
      </c>
      <c r="LE26" s="18">
        <f>IF(314&gt;=DeliverStart,ExpUtilitiesPerUnit*TotalUnits/12*LE$8*LE$10,0)</f>
        <v/>
      </c>
      <c r="LF26" s="18">
        <f>IF(315&gt;=DeliverStart,ExpUtilitiesPerUnit*TotalUnits/12*LF$8*LF$10,0)</f>
        <v/>
      </c>
      <c r="LG26" s="18">
        <f>IF(316&gt;=DeliverStart,ExpUtilitiesPerUnit*TotalUnits/12*LG$8*LG$10,0)</f>
        <v/>
      </c>
      <c r="LH26" s="18">
        <f>IF(317&gt;=DeliverStart,ExpUtilitiesPerUnit*TotalUnits/12*LH$8*LH$10,0)</f>
        <v/>
      </c>
      <c r="LI26" s="18">
        <f>IF(318&gt;=DeliverStart,ExpUtilitiesPerUnit*TotalUnits/12*LI$8*LI$10,0)</f>
        <v/>
      </c>
      <c r="LJ26" s="18">
        <f>IF(319&gt;=DeliverStart,ExpUtilitiesPerUnit*TotalUnits/12*LJ$8*LJ$10,0)</f>
        <v/>
      </c>
      <c r="LK26" s="18">
        <f>IF(320&gt;=DeliverStart,ExpUtilitiesPerUnit*TotalUnits/12*LK$8*LK$10,0)</f>
        <v/>
      </c>
      <c r="LL26" s="18">
        <f>IF(321&gt;=DeliverStart,ExpUtilitiesPerUnit*TotalUnits/12*LL$8*LL$10,0)</f>
        <v/>
      </c>
      <c r="LM26" s="18">
        <f>IF(322&gt;=DeliverStart,ExpUtilitiesPerUnit*TotalUnits/12*LM$8*LM$10,0)</f>
        <v/>
      </c>
      <c r="LN26" s="18">
        <f>IF(323&gt;=DeliverStart,ExpUtilitiesPerUnit*TotalUnits/12*LN$8*LN$10,0)</f>
        <v/>
      </c>
      <c r="LO26" s="18">
        <f>IF(324&gt;=DeliverStart,ExpUtilitiesPerUnit*TotalUnits/12*LO$8*LO$10,0)</f>
        <v/>
      </c>
      <c r="LP26" s="18">
        <f>IF(325&gt;=DeliverStart,ExpUtilitiesPerUnit*TotalUnits/12*LP$8*LP$10,0)</f>
        <v/>
      </c>
      <c r="LQ26" s="18">
        <f>IF(326&gt;=DeliverStart,ExpUtilitiesPerUnit*TotalUnits/12*LQ$8*LQ$10,0)</f>
        <v/>
      </c>
      <c r="LR26" s="18">
        <f>IF(327&gt;=DeliverStart,ExpUtilitiesPerUnit*TotalUnits/12*LR$8*LR$10,0)</f>
        <v/>
      </c>
      <c r="LS26" s="18">
        <f>IF(328&gt;=DeliverStart,ExpUtilitiesPerUnit*TotalUnits/12*LS$8*LS$10,0)</f>
        <v/>
      </c>
      <c r="LT26" s="18">
        <f>IF(329&gt;=DeliverStart,ExpUtilitiesPerUnit*TotalUnits/12*LT$8*LT$10,0)</f>
        <v/>
      </c>
      <c r="LU26" s="18">
        <f>IF(330&gt;=DeliverStart,ExpUtilitiesPerUnit*TotalUnits/12*LU$8*LU$10,0)</f>
        <v/>
      </c>
      <c r="LV26" s="18">
        <f>IF(331&gt;=DeliverStart,ExpUtilitiesPerUnit*TotalUnits/12*LV$8*LV$10,0)</f>
        <v/>
      </c>
      <c r="LW26" s="18">
        <f>IF(332&gt;=DeliverStart,ExpUtilitiesPerUnit*TotalUnits/12*LW$8*LW$10,0)</f>
        <v/>
      </c>
      <c r="LX26" s="18">
        <f>IF(333&gt;=DeliverStart,ExpUtilitiesPerUnit*TotalUnits/12*LX$8*LX$10,0)</f>
        <v/>
      </c>
      <c r="LY26" s="18">
        <f>IF(334&gt;=DeliverStart,ExpUtilitiesPerUnit*TotalUnits/12*LY$8*LY$10,0)</f>
        <v/>
      </c>
      <c r="LZ26" s="18">
        <f>IF(335&gt;=DeliverStart,ExpUtilitiesPerUnit*TotalUnits/12*LZ$8*LZ$10,0)</f>
        <v/>
      </c>
      <c r="MA26" s="18">
        <f>IF(336&gt;=DeliverStart,ExpUtilitiesPerUnit*TotalUnits/12*MA$8*MA$10,0)</f>
        <v/>
      </c>
      <c r="MB26" s="18">
        <f>IF(337&gt;=DeliverStart,ExpUtilitiesPerUnit*TotalUnits/12*MB$8*MB$10,0)</f>
        <v/>
      </c>
      <c r="MC26" s="18">
        <f>IF(338&gt;=DeliverStart,ExpUtilitiesPerUnit*TotalUnits/12*MC$8*MC$10,0)</f>
        <v/>
      </c>
      <c r="MD26" s="18">
        <f>IF(339&gt;=DeliverStart,ExpUtilitiesPerUnit*TotalUnits/12*MD$8*MD$10,0)</f>
        <v/>
      </c>
      <c r="ME26" s="18">
        <f>IF(340&gt;=DeliverStart,ExpUtilitiesPerUnit*TotalUnits/12*ME$8*ME$10,0)</f>
        <v/>
      </c>
      <c r="MF26" s="18">
        <f>IF(341&gt;=DeliverStart,ExpUtilitiesPerUnit*TotalUnits/12*MF$8*MF$10,0)</f>
        <v/>
      </c>
      <c r="MG26" s="18">
        <f>IF(342&gt;=DeliverStart,ExpUtilitiesPerUnit*TotalUnits/12*MG$8*MG$10,0)</f>
        <v/>
      </c>
      <c r="MH26" s="18">
        <f>IF(343&gt;=DeliverStart,ExpUtilitiesPerUnit*TotalUnits/12*MH$8*MH$10,0)</f>
        <v/>
      </c>
      <c r="MI26" s="18">
        <f>IF(344&gt;=DeliverStart,ExpUtilitiesPerUnit*TotalUnits/12*MI$8*MI$10,0)</f>
        <v/>
      </c>
      <c r="MJ26" s="18">
        <f>IF(345&gt;=DeliverStart,ExpUtilitiesPerUnit*TotalUnits/12*MJ$8*MJ$10,0)</f>
        <v/>
      </c>
      <c r="MK26" s="18">
        <f>IF(346&gt;=DeliverStart,ExpUtilitiesPerUnit*TotalUnits/12*MK$8*MK$10,0)</f>
        <v/>
      </c>
      <c r="ML26" s="18">
        <f>IF(347&gt;=DeliverStart,ExpUtilitiesPerUnit*TotalUnits/12*ML$8*ML$10,0)</f>
        <v/>
      </c>
      <c r="MM26" s="18">
        <f>IF(348&gt;=DeliverStart,ExpUtilitiesPerUnit*TotalUnits/12*MM$8*MM$10,0)</f>
        <v/>
      </c>
      <c r="MN26" s="18">
        <f>IF(349&gt;=DeliverStart,ExpUtilitiesPerUnit*TotalUnits/12*MN$8*MN$10,0)</f>
        <v/>
      </c>
      <c r="MO26" s="18">
        <f>IF(350&gt;=DeliverStart,ExpUtilitiesPerUnit*TotalUnits/12*MO$8*MO$10,0)</f>
        <v/>
      </c>
      <c r="MP26" s="18">
        <f>IF(351&gt;=DeliverStart,ExpUtilitiesPerUnit*TotalUnits/12*MP$8*MP$10,0)</f>
        <v/>
      </c>
      <c r="MQ26" s="18">
        <f>IF(352&gt;=DeliverStart,ExpUtilitiesPerUnit*TotalUnits/12*MQ$8*MQ$10,0)</f>
        <v/>
      </c>
      <c r="MR26" s="18">
        <f>IF(353&gt;=DeliverStart,ExpUtilitiesPerUnit*TotalUnits/12*MR$8*MR$10,0)</f>
        <v/>
      </c>
      <c r="MS26" s="18">
        <f>IF(354&gt;=DeliverStart,ExpUtilitiesPerUnit*TotalUnits/12*MS$8*MS$10,0)</f>
        <v/>
      </c>
      <c r="MT26" s="18">
        <f>IF(355&gt;=DeliverStart,ExpUtilitiesPerUnit*TotalUnits/12*MT$8*MT$10,0)</f>
        <v/>
      </c>
      <c r="MU26" s="18">
        <f>IF(356&gt;=DeliverStart,ExpUtilitiesPerUnit*TotalUnits/12*MU$8*MU$10,0)</f>
        <v/>
      </c>
      <c r="MV26" s="18">
        <f>IF(357&gt;=DeliverStart,ExpUtilitiesPerUnit*TotalUnits/12*MV$8*MV$10,0)</f>
        <v/>
      </c>
      <c r="MW26" s="18">
        <f>IF(358&gt;=DeliverStart,ExpUtilitiesPerUnit*TotalUnits/12*MW$8*MW$10,0)</f>
        <v/>
      </c>
      <c r="MX26" s="18">
        <f>IF(359&gt;=DeliverStart,ExpUtilitiesPerUnit*TotalUnits/12*MX$8*MX$10,0)</f>
        <v/>
      </c>
      <c r="MY26" s="18">
        <f>IF(360&gt;=DeliverStart,ExpUtilitiesPerUnit*TotalUnits/12*MY$8*MY$10,0)</f>
        <v/>
      </c>
      <c r="MZ26" s="18">
        <f>IF(361&gt;=DeliverStart,ExpUtilitiesPerUnit*TotalUnits/12*MZ$8*MZ$10,0)</f>
        <v/>
      </c>
      <c r="NA26" s="18">
        <f>IF(362&gt;=DeliverStart,ExpUtilitiesPerUnit*TotalUnits/12*NA$8*NA$10,0)</f>
        <v/>
      </c>
      <c r="NB26" s="18">
        <f>IF(363&gt;=DeliverStart,ExpUtilitiesPerUnit*TotalUnits/12*NB$8*NB$10,0)</f>
        <v/>
      </c>
      <c r="NC26" s="18">
        <f>IF(364&gt;=DeliverStart,ExpUtilitiesPerUnit*TotalUnits/12*NC$8*NC$10,0)</f>
        <v/>
      </c>
      <c r="ND26" s="18">
        <f>IF(365&gt;=DeliverStart,ExpUtilitiesPerUnit*TotalUnits/12*ND$8*ND$10,0)</f>
        <v/>
      </c>
      <c r="NE26" s="18">
        <f>IF(366&gt;=DeliverStart,ExpUtilitiesPerUnit*TotalUnits/12*NE$8*NE$10,0)</f>
        <v/>
      </c>
      <c r="NF26" s="18">
        <f>IF(367&gt;=DeliverStart,ExpUtilitiesPerUnit*TotalUnits/12*NF$8*NF$10,0)</f>
        <v/>
      </c>
      <c r="NG26" s="18">
        <f>IF(368&gt;=DeliverStart,ExpUtilitiesPerUnit*TotalUnits/12*NG$8*NG$10,0)</f>
        <v/>
      </c>
      <c r="NH26" s="18">
        <f>IF(369&gt;=DeliverStart,ExpUtilitiesPerUnit*TotalUnits/12*NH$8*NH$10,0)</f>
        <v/>
      </c>
      <c r="NI26" s="18">
        <f>IF(370&gt;=DeliverStart,ExpUtilitiesPerUnit*TotalUnits/12*NI$8*NI$10,0)</f>
        <v/>
      </c>
      <c r="NJ26" s="18">
        <f>IF(371&gt;=DeliverStart,ExpUtilitiesPerUnit*TotalUnits/12*NJ$8*NJ$10,0)</f>
        <v/>
      </c>
      <c r="NK26" s="18">
        <f>IF(372&gt;=DeliverStart,ExpUtilitiesPerUnit*TotalUnits/12*NK$8*NK$10,0)</f>
        <v/>
      </c>
    </row>
    <row r="27">
      <c r="A27" s="5" t="inlineStr">
        <is>
          <t>Repairs &amp; Maintenance (variable)</t>
        </is>
      </c>
      <c r="C27" s="41">
        <f>SUM(D27:NK27)</f>
        <v/>
      </c>
      <c r="D27" s="18">
        <f>IF(1&gt;=DeliverStart,ExpRMPerUnit*TotalUnits/12*D$7*D$10,0)</f>
        <v/>
      </c>
      <c r="E27" s="18">
        <f>IF(2&gt;=DeliverStart,ExpRMPerUnit*TotalUnits/12*E$7*E$10,0)</f>
        <v/>
      </c>
      <c r="F27" s="18">
        <f>IF(3&gt;=DeliverStart,ExpRMPerUnit*TotalUnits/12*F$7*F$10,0)</f>
        <v/>
      </c>
      <c r="G27" s="18">
        <f>IF(4&gt;=DeliverStart,ExpRMPerUnit*TotalUnits/12*G$7*G$10,0)</f>
        <v/>
      </c>
      <c r="H27" s="18">
        <f>IF(5&gt;=DeliverStart,ExpRMPerUnit*TotalUnits/12*H$7*H$10,0)</f>
        <v/>
      </c>
      <c r="I27" s="18">
        <f>IF(6&gt;=DeliverStart,ExpRMPerUnit*TotalUnits/12*I$7*I$10,0)</f>
        <v/>
      </c>
      <c r="J27" s="18">
        <f>IF(7&gt;=DeliverStart,ExpRMPerUnit*TotalUnits/12*J$7*J$10,0)</f>
        <v/>
      </c>
      <c r="K27" s="18">
        <f>IF(8&gt;=DeliverStart,ExpRMPerUnit*TotalUnits/12*K$7*K$10,0)</f>
        <v/>
      </c>
      <c r="L27" s="18">
        <f>IF(9&gt;=DeliverStart,ExpRMPerUnit*TotalUnits/12*L$7*L$10,0)</f>
        <v/>
      </c>
      <c r="M27" s="18">
        <f>IF(10&gt;=DeliverStart,ExpRMPerUnit*TotalUnits/12*M$7*M$10,0)</f>
        <v/>
      </c>
      <c r="N27" s="18">
        <f>IF(11&gt;=DeliverStart,ExpRMPerUnit*TotalUnits/12*N$7*N$10,0)</f>
        <v/>
      </c>
      <c r="O27" s="18">
        <f>IF(12&gt;=DeliverStart,ExpRMPerUnit*TotalUnits/12*O$7*O$10,0)</f>
        <v/>
      </c>
      <c r="P27" s="18">
        <f>IF(13&gt;=DeliverStart,ExpRMPerUnit*TotalUnits/12*P$7*P$10,0)</f>
        <v/>
      </c>
      <c r="Q27" s="18">
        <f>IF(14&gt;=DeliverStart,ExpRMPerUnit*TotalUnits/12*Q$7*Q$10,0)</f>
        <v/>
      </c>
      <c r="R27" s="18">
        <f>IF(15&gt;=DeliverStart,ExpRMPerUnit*TotalUnits/12*R$7*R$10,0)</f>
        <v/>
      </c>
      <c r="S27" s="18">
        <f>IF(16&gt;=DeliverStart,ExpRMPerUnit*TotalUnits/12*S$7*S$10,0)</f>
        <v/>
      </c>
      <c r="T27" s="18">
        <f>IF(17&gt;=DeliverStart,ExpRMPerUnit*TotalUnits/12*T$7*T$10,0)</f>
        <v/>
      </c>
      <c r="U27" s="18">
        <f>IF(18&gt;=DeliverStart,ExpRMPerUnit*TotalUnits/12*U$7*U$10,0)</f>
        <v/>
      </c>
      <c r="V27" s="18">
        <f>IF(19&gt;=DeliverStart,ExpRMPerUnit*TotalUnits/12*V$7*V$10,0)</f>
        <v/>
      </c>
      <c r="W27" s="18">
        <f>IF(20&gt;=DeliverStart,ExpRMPerUnit*TotalUnits/12*W$7*W$10,0)</f>
        <v/>
      </c>
      <c r="X27" s="18">
        <f>IF(21&gt;=DeliverStart,ExpRMPerUnit*TotalUnits/12*X$7*X$10,0)</f>
        <v/>
      </c>
      <c r="Y27" s="18">
        <f>IF(22&gt;=DeliverStart,ExpRMPerUnit*TotalUnits/12*Y$7*Y$10,0)</f>
        <v/>
      </c>
      <c r="Z27" s="18">
        <f>IF(23&gt;=DeliverStart,ExpRMPerUnit*TotalUnits/12*Z$7*Z$10,0)</f>
        <v/>
      </c>
      <c r="AA27" s="18">
        <f>IF(24&gt;=DeliverStart,ExpRMPerUnit*TotalUnits/12*AA$7*AA$10,0)</f>
        <v/>
      </c>
      <c r="AB27" s="18">
        <f>IF(25&gt;=DeliverStart,ExpRMPerUnit*TotalUnits/12*AB$7*AB$10,0)</f>
        <v/>
      </c>
      <c r="AC27" s="18">
        <f>IF(26&gt;=DeliverStart,ExpRMPerUnit*TotalUnits/12*AC$7*AC$10,0)</f>
        <v/>
      </c>
      <c r="AD27" s="18">
        <f>IF(27&gt;=DeliverStart,ExpRMPerUnit*TotalUnits/12*AD$7*AD$10,0)</f>
        <v/>
      </c>
      <c r="AE27" s="18">
        <f>IF(28&gt;=DeliverStart,ExpRMPerUnit*TotalUnits/12*AE$7*AE$10,0)</f>
        <v/>
      </c>
      <c r="AF27" s="18">
        <f>IF(29&gt;=DeliverStart,ExpRMPerUnit*TotalUnits/12*AF$7*AF$10,0)</f>
        <v/>
      </c>
      <c r="AG27" s="18">
        <f>IF(30&gt;=DeliverStart,ExpRMPerUnit*TotalUnits/12*AG$7*AG$10,0)</f>
        <v/>
      </c>
      <c r="AH27" s="18">
        <f>IF(31&gt;=DeliverStart,ExpRMPerUnit*TotalUnits/12*AH$7*AH$10,0)</f>
        <v/>
      </c>
      <c r="AI27" s="18">
        <f>IF(32&gt;=DeliverStart,ExpRMPerUnit*TotalUnits/12*AI$7*AI$10,0)</f>
        <v/>
      </c>
      <c r="AJ27" s="18">
        <f>IF(33&gt;=DeliverStart,ExpRMPerUnit*TotalUnits/12*AJ$7*AJ$10,0)</f>
        <v/>
      </c>
      <c r="AK27" s="18">
        <f>IF(34&gt;=DeliverStart,ExpRMPerUnit*TotalUnits/12*AK$7*AK$10,0)</f>
        <v/>
      </c>
      <c r="AL27" s="18">
        <f>IF(35&gt;=DeliverStart,ExpRMPerUnit*TotalUnits/12*AL$7*AL$10,0)</f>
        <v/>
      </c>
      <c r="AM27" s="18">
        <f>IF(36&gt;=DeliverStart,ExpRMPerUnit*TotalUnits/12*AM$7*AM$10,0)</f>
        <v/>
      </c>
      <c r="AN27" s="18">
        <f>IF(37&gt;=DeliverStart,ExpRMPerUnit*TotalUnits/12*AN$7*AN$10,0)</f>
        <v/>
      </c>
      <c r="AO27" s="18">
        <f>IF(38&gt;=DeliverStart,ExpRMPerUnit*TotalUnits/12*AO$7*AO$10,0)</f>
        <v/>
      </c>
      <c r="AP27" s="18">
        <f>IF(39&gt;=DeliverStart,ExpRMPerUnit*TotalUnits/12*AP$7*AP$10,0)</f>
        <v/>
      </c>
      <c r="AQ27" s="18">
        <f>IF(40&gt;=DeliverStart,ExpRMPerUnit*TotalUnits/12*AQ$7*AQ$10,0)</f>
        <v/>
      </c>
      <c r="AR27" s="18">
        <f>IF(41&gt;=DeliverStart,ExpRMPerUnit*TotalUnits/12*AR$7*AR$10,0)</f>
        <v/>
      </c>
      <c r="AS27" s="18">
        <f>IF(42&gt;=DeliverStart,ExpRMPerUnit*TotalUnits/12*AS$7*AS$10,0)</f>
        <v/>
      </c>
      <c r="AT27" s="18">
        <f>IF(43&gt;=DeliverStart,ExpRMPerUnit*TotalUnits/12*AT$7*AT$10,0)</f>
        <v/>
      </c>
      <c r="AU27" s="18">
        <f>IF(44&gt;=DeliverStart,ExpRMPerUnit*TotalUnits/12*AU$7*AU$10,0)</f>
        <v/>
      </c>
      <c r="AV27" s="18">
        <f>IF(45&gt;=DeliverStart,ExpRMPerUnit*TotalUnits/12*AV$7*AV$10,0)</f>
        <v/>
      </c>
      <c r="AW27" s="18">
        <f>IF(46&gt;=DeliverStart,ExpRMPerUnit*TotalUnits/12*AW$7*AW$10,0)</f>
        <v/>
      </c>
      <c r="AX27" s="18">
        <f>IF(47&gt;=DeliverStart,ExpRMPerUnit*TotalUnits/12*AX$7*AX$10,0)</f>
        <v/>
      </c>
      <c r="AY27" s="18">
        <f>IF(48&gt;=DeliverStart,ExpRMPerUnit*TotalUnits/12*AY$7*AY$10,0)</f>
        <v/>
      </c>
      <c r="AZ27" s="18">
        <f>IF(49&gt;=DeliverStart,ExpRMPerUnit*TotalUnits/12*AZ$7*AZ$10,0)</f>
        <v/>
      </c>
      <c r="BA27" s="18">
        <f>IF(50&gt;=DeliverStart,ExpRMPerUnit*TotalUnits/12*BA$7*BA$10,0)</f>
        <v/>
      </c>
      <c r="BB27" s="18">
        <f>IF(51&gt;=DeliverStart,ExpRMPerUnit*TotalUnits/12*BB$7*BB$10,0)</f>
        <v/>
      </c>
      <c r="BC27" s="18">
        <f>IF(52&gt;=DeliverStart,ExpRMPerUnit*TotalUnits/12*BC$7*BC$10,0)</f>
        <v/>
      </c>
      <c r="BD27" s="18">
        <f>IF(53&gt;=DeliverStart,ExpRMPerUnit*TotalUnits/12*BD$7*BD$10,0)</f>
        <v/>
      </c>
      <c r="BE27" s="18">
        <f>IF(54&gt;=DeliverStart,ExpRMPerUnit*TotalUnits/12*BE$7*BE$10,0)</f>
        <v/>
      </c>
      <c r="BF27" s="18">
        <f>IF(55&gt;=DeliverStart,ExpRMPerUnit*TotalUnits/12*BF$7*BF$10,0)</f>
        <v/>
      </c>
      <c r="BG27" s="18">
        <f>IF(56&gt;=DeliverStart,ExpRMPerUnit*TotalUnits/12*BG$7*BG$10,0)</f>
        <v/>
      </c>
      <c r="BH27" s="18">
        <f>IF(57&gt;=DeliverStart,ExpRMPerUnit*TotalUnits/12*BH$7*BH$10,0)</f>
        <v/>
      </c>
      <c r="BI27" s="18">
        <f>IF(58&gt;=DeliverStart,ExpRMPerUnit*TotalUnits/12*BI$7*BI$10,0)</f>
        <v/>
      </c>
      <c r="BJ27" s="18">
        <f>IF(59&gt;=DeliverStart,ExpRMPerUnit*TotalUnits/12*BJ$7*BJ$10,0)</f>
        <v/>
      </c>
      <c r="BK27" s="18">
        <f>IF(60&gt;=DeliverStart,ExpRMPerUnit*TotalUnits/12*BK$7*BK$10,0)</f>
        <v/>
      </c>
      <c r="BL27" s="18">
        <f>IF(61&gt;=DeliverStart,ExpRMPerUnit*TotalUnits/12*BL$7*BL$10,0)</f>
        <v/>
      </c>
      <c r="BM27" s="18">
        <f>IF(62&gt;=DeliverStart,ExpRMPerUnit*TotalUnits/12*BM$7*BM$10,0)</f>
        <v/>
      </c>
      <c r="BN27" s="18">
        <f>IF(63&gt;=DeliverStart,ExpRMPerUnit*TotalUnits/12*BN$7*BN$10,0)</f>
        <v/>
      </c>
      <c r="BO27" s="18">
        <f>IF(64&gt;=DeliverStart,ExpRMPerUnit*TotalUnits/12*BO$7*BO$10,0)</f>
        <v/>
      </c>
      <c r="BP27" s="18">
        <f>IF(65&gt;=DeliverStart,ExpRMPerUnit*TotalUnits/12*BP$7*BP$10,0)</f>
        <v/>
      </c>
      <c r="BQ27" s="18">
        <f>IF(66&gt;=DeliverStart,ExpRMPerUnit*TotalUnits/12*BQ$7*BQ$10,0)</f>
        <v/>
      </c>
      <c r="BR27" s="18">
        <f>IF(67&gt;=DeliverStart,ExpRMPerUnit*TotalUnits/12*BR$7*BR$10,0)</f>
        <v/>
      </c>
      <c r="BS27" s="18">
        <f>IF(68&gt;=DeliverStart,ExpRMPerUnit*TotalUnits/12*BS$7*BS$10,0)</f>
        <v/>
      </c>
      <c r="BT27" s="18">
        <f>IF(69&gt;=DeliverStart,ExpRMPerUnit*TotalUnits/12*BT$7*BT$10,0)</f>
        <v/>
      </c>
      <c r="BU27" s="18">
        <f>IF(70&gt;=DeliverStart,ExpRMPerUnit*TotalUnits/12*BU$7*BU$10,0)</f>
        <v/>
      </c>
      <c r="BV27" s="18">
        <f>IF(71&gt;=DeliverStart,ExpRMPerUnit*TotalUnits/12*BV$7*BV$10,0)</f>
        <v/>
      </c>
      <c r="BW27" s="18">
        <f>IF(72&gt;=DeliverStart,ExpRMPerUnit*TotalUnits/12*BW$7*BW$10,0)</f>
        <v/>
      </c>
      <c r="BX27" s="18">
        <f>IF(73&gt;=DeliverStart,ExpRMPerUnit*TotalUnits/12*BX$7*BX$10,0)</f>
        <v/>
      </c>
      <c r="BY27" s="18">
        <f>IF(74&gt;=DeliverStart,ExpRMPerUnit*TotalUnits/12*BY$7*BY$10,0)</f>
        <v/>
      </c>
      <c r="BZ27" s="18">
        <f>IF(75&gt;=DeliverStart,ExpRMPerUnit*TotalUnits/12*BZ$7*BZ$10,0)</f>
        <v/>
      </c>
      <c r="CA27" s="18">
        <f>IF(76&gt;=DeliverStart,ExpRMPerUnit*TotalUnits/12*CA$7*CA$10,0)</f>
        <v/>
      </c>
      <c r="CB27" s="18">
        <f>IF(77&gt;=DeliverStart,ExpRMPerUnit*TotalUnits/12*CB$7*CB$10,0)</f>
        <v/>
      </c>
      <c r="CC27" s="18">
        <f>IF(78&gt;=DeliverStart,ExpRMPerUnit*TotalUnits/12*CC$7*CC$10,0)</f>
        <v/>
      </c>
      <c r="CD27" s="18">
        <f>IF(79&gt;=DeliverStart,ExpRMPerUnit*TotalUnits/12*CD$7*CD$10,0)</f>
        <v/>
      </c>
      <c r="CE27" s="18">
        <f>IF(80&gt;=DeliverStart,ExpRMPerUnit*TotalUnits/12*CE$7*CE$10,0)</f>
        <v/>
      </c>
      <c r="CF27" s="18">
        <f>IF(81&gt;=DeliverStart,ExpRMPerUnit*TotalUnits/12*CF$7*CF$10,0)</f>
        <v/>
      </c>
      <c r="CG27" s="18">
        <f>IF(82&gt;=DeliverStart,ExpRMPerUnit*TotalUnits/12*CG$7*CG$10,0)</f>
        <v/>
      </c>
      <c r="CH27" s="18">
        <f>IF(83&gt;=DeliverStart,ExpRMPerUnit*TotalUnits/12*CH$7*CH$10,0)</f>
        <v/>
      </c>
      <c r="CI27" s="18">
        <f>IF(84&gt;=DeliverStart,ExpRMPerUnit*TotalUnits/12*CI$7*CI$10,0)</f>
        <v/>
      </c>
      <c r="CJ27" s="18">
        <f>IF(85&gt;=DeliverStart,ExpRMPerUnit*TotalUnits/12*CJ$7*CJ$10,0)</f>
        <v/>
      </c>
      <c r="CK27" s="18">
        <f>IF(86&gt;=DeliverStart,ExpRMPerUnit*TotalUnits/12*CK$7*CK$10,0)</f>
        <v/>
      </c>
      <c r="CL27" s="18">
        <f>IF(87&gt;=DeliverStart,ExpRMPerUnit*TotalUnits/12*CL$7*CL$10,0)</f>
        <v/>
      </c>
      <c r="CM27" s="18">
        <f>IF(88&gt;=DeliverStart,ExpRMPerUnit*TotalUnits/12*CM$7*CM$10,0)</f>
        <v/>
      </c>
      <c r="CN27" s="18">
        <f>IF(89&gt;=DeliverStart,ExpRMPerUnit*TotalUnits/12*CN$7*CN$10,0)</f>
        <v/>
      </c>
      <c r="CO27" s="18">
        <f>IF(90&gt;=DeliverStart,ExpRMPerUnit*TotalUnits/12*CO$7*CO$10,0)</f>
        <v/>
      </c>
      <c r="CP27" s="18">
        <f>IF(91&gt;=DeliverStart,ExpRMPerUnit*TotalUnits/12*CP$7*CP$10,0)</f>
        <v/>
      </c>
      <c r="CQ27" s="18">
        <f>IF(92&gt;=DeliverStart,ExpRMPerUnit*TotalUnits/12*CQ$7*CQ$10,0)</f>
        <v/>
      </c>
      <c r="CR27" s="18">
        <f>IF(93&gt;=DeliverStart,ExpRMPerUnit*TotalUnits/12*CR$7*CR$10,0)</f>
        <v/>
      </c>
      <c r="CS27" s="18">
        <f>IF(94&gt;=DeliverStart,ExpRMPerUnit*TotalUnits/12*CS$7*CS$10,0)</f>
        <v/>
      </c>
      <c r="CT27" s="18">
        <f>IF(95&gt;=DeliverStart,ExpRMPerUnit*TotalUnits/12*CT$7*CT$10,0)</f>
        <v/>
      </c>
      <c r="CU27" s="18">
        <f>IF(96&gt;=DeliverStart,ExpRMPerUnit*TotalUnits/12*CU$7*CU$10,0)</f>
        <v/>
      </c>
      <c r="CV27" s="18">
        <f>IF(97&gt;=DeliverStart,ExpRMPerUnit*TotalUnits/12*CV$7*CV$10,0)</f>
        <v/>
      </c>
      <c r="CW27" s="18">
        <f>IF(98&gt;=DeliverStart,ExpRMPerUnit*TotalUnits/12*CW$7*CW$10,0)</f>
        <v/>
      </c>
      <c r="CX27" s="18">
        <f>IF(99&gt;=DeliverStart,ExpRMPerUnit*TotalUnits/12*CX$7*CX$10,0)</f>
        <v/>
      </c>
      <c r="CY27" s="18">
        <f>IF(100&gt;=DeliverStart,ExpRMPerUnit*TotalUnits/12*CY$7*CY$10,0)</f>
        <v/>
      </c>
      <c r="CZ27" s="18">
        <f>IF(101&gt;=DeliverStart,ExpRMPerUnit*TotalUnits/12*CZ$7*CZ$10,0)</f>
        <v/>
      </c>
      <c r="DA27" s="18">
        <f>IF(102&gt;=DeliverStart,ExpRMPerUnit*TotalUnits/12*DA$7*DA$10,0)</f>
        <v/>
      </c>
      <c r="DB27" s="18">
        <f>IF(103&gt;=DeliverStart,ExpRMPerUnit*TotalUnits/12*DB$7*DB$10,0)</f>
        <v/>
      </c>
      <c r="DC27" s="18">
        <f>IF(104&gt;=DeliverStart,ExpRMPerUnit*TotalUnits/12*DC$7*DC$10,0)</f>
        <v/>
      </c>
      <c r="DD27" s="18">
        <f>IF(105&gt;=DeliverStart,ExpRMPerUnit*TotalUnits/12*DD$7*DD$10,0)</f>
        <v/>
      </c>
      <c r="DE27" s="18">
        <f>IF(106&gt;=DeliverStart,ExpRMPerUnit*TotalUnits/12*DE$7*DE$10,0)</f>
        <v/>
      </c>
      <c r="DF27" s="18">
        <f>IF(107&gt;=DeliverStart,ExpRMPerUnit*TotalUnits/12*DF$7*DF$10,0)</f>
        <v/>
      </c>
      <c r="DG27" s="18">
        <f>IF(108&gt;=DeliverStart,ExpRMPerUnit*TotalUnits/12*DG$7*DG$10,0)</f>
        <v/>
      </c>
      <c r="DH27" s="18">
        <f>IF(109&gt;=DeliverStart,ExpRMPerUnit*TotalUnits/12*DH$7*DH$10,0)</f>
        <v/>
      </c>
      <c r="DI27" s="18">
        <f>IF(110&gt;=DeliverStart,ExpRMPerUnit*TotalUnits/12*DI$7*DI$10,0)</f>
        <v/>
      </c>
      <c r="DJ27" s="18">
        <f>IF(111&gt;=DeliverStart,ExpRMPerUnit*TotalUnits/12*DJ$7*DJ$10,0)</f>
        <v/>
      </c>
      <c r="DK27" s="18">
        <f>IF(112&gt;=DeliverStart,ExpRMPerUnit*TotalUnits/12*DK$7*DK$10,0)</f>
        <v/>
      </c>
      <c r="DL27" s="18">
        <f>IF(113&gt;=DeliverStart,ExpRMPerUnit*TotalUnits/12*DL$7*DL$10,0)</f>
        <v/>
      </c>
      <c r="DM27" s="18">
        <f>IF(114&gt;=DeliverStart,ExpRMPerUnit*TotalUnits/12*DM$7*DM$10,0)</f>
        <v/>
      </c>
      <c r="DN27" s="18">
        <f>IF(115&gt;=DeliverStart,ExpRMPerUnit*TotalUnits/12*DN$7*DN$10,0)</f>
        <v/>
      </c>
      <c r="DO27" s="18">
        <f>IF(116&gt;=DeliverStart,ExpRMPerUnit*TotalUnits/12*DO$7*DO$10,0)</f>
        <v/>
      </c>
      <c r="DP27" s="18">
        <f>IF(117&gt;=DeliverStart,ExpRMPerUnit*TotalUnits/12*DP$7*DP$10,0)</f>
        <v/>
      </c>
      <c r="DQ27" s="18">
        <f>IF(118&gt;=DeliverStart,ExpRMPerUnit*TotalUnits/12*DQ$7*DQ$10,0)</f>
        <v/>
      </c>
      <c r="DR27" s="18">
        <f>IF(119&gt;=DeliverStart,ExpRMPerUnit*TotalUnits/12*DR$7*DR$10,0)</f>
        <v/>
      </c>
      <c r="DS27" s="18">
        <f>IF(120&gt;=DeliverStart,ExpRMPerUnit*TotalUnits/12*DS$7*DS$10,0)</f>
        <v/>
      </c>
      <c r="DT27" s="18">
        <f>IF(121&gt;=DeliverStart,ExpRMPerUnit*TotalUnits/12*DT$7*DT$10,0)</f>
        <v/>
      </c>
      <c r="DU27" s="18">
        <f>IF(122&gt;=DeliverStart,ExpRMPerUnit*TotalUnits/12*DU$7*DU$10,0)</f>
        <v/>
      </c>
      <c r="DV27" s="18">
        <f>IF(123&gt;=DeliverStart,ExpRMPerUnit*TotalUnits/12*DV$7*DV$10,0)</f>
        <v/>
      </c>
      <c r="DW27" s="18">
        <f>IF(124&gt;=DeliverStart,ExpRMPerUnit*TotalUnits/12*DW$7*DW$10,0)</f>
        <v/>
      </c>
      <c r="DX27" s="18">
        <f>IF(125&gt;=DeliverStart,ExpRMPerUnit*TotalUnits/12*DX$7*DX$10,0)</f>
        <v/>
      </c>
      <c r="DY27" s="18">
        <f>IF(126&gt;=DeliverStart,ExpRMPerUnit*TotalUnits/12*DY$7*DY$10,0)</f>
        <v/>
      </c>
      <c r="DZ27" s="18">
        <f>IF(127&gt;=DeliverStart,ExpRMPerUnit*TotalUnits/12*DZ$7*DZ$10,0)</f>
        <v/>
      </c>
      <c r="EA27" s="18">
        <f>IF(128&gt;=DeliverStart,ExpRMPerUnit*TotalUnits/12*EA$7*EA$10,0)</f>
        <v/>
      </c>
      <c r="EB27" s="18">
        <f>IF(129&gt;=DeliverStart,ExpRMPerUnit*TotalUnits/12*EB$7*EB$10,0)</f>
        <v/>
      </c>
      <c r="EC27" s="18">
        <f>IF(130&gt;=DeliverStart,ExpRMPerUnit*TotalUnits/12*EC$7*EC$10,0)</f>
        <v/>
      </c>
      <c r="ED27" s="18">
        <f>IF(131&gt;=DeliverStart,ExpRMPerUnit*TotalUnits/12*ED$7*ED$10,0)</f>
        <v/>
      </c>
      <c r="EE27" s="18">
        <f>IF(132&gt;=DeliverStart,ExpRMPerUnit*TotalUnits/12*EE$7*EE$10,0)</f>
        <v/>
      </c>
      <c r="EF27" s="18">
        <f>IF(133&gt;=DeliverStart,ExpRMPerUnit*TotalUnits/12*EF$7*EF$10,0)</f>
        <v/>
      </c>
      <c r="EG27" s="18">
        <f>IF(134&gt;=DeliverStart,ExpRMPerUnit*TotalUnits/12*EG$7*EG$10,0)</f>
        <v/>
      </c>
      <c r="EH27" s="18">
        <f>IF(135&gt;=DeliverStart,ExpRMPerUnit*TotalUnits/12*EH$7*EH$10,0)</f>
        <v/>
      </c>
      <c r="EI27" s="18">
        <f>IF(136&gt;=DeliverStart,ExpRMPerUnit*TotalUnits/12*EI$7*EI$10,0)</f>
        <v/>
      </c>
      <c r="EJ27" s="18">
        <f>IF(137&gt;=DeliverStart,ExpRMPerUnit*TotalUnits/12*EJ$7*EJ$10,0)</f>
        <v/>
      </c>
      <c r="EK27" s="18">
        <f>IF(138&gt;=DeliverStart,ExpRMPerUnit*TotalUnits/12*EK$7*EK$10,0)</f>
        <v/>
      </c>
      <c r="EL27" s="18">
        <f>IF(139&gt;=DeliverStart,ExpRMPerUnit*TotalUnits/12*EL$7*EL$10,0)</f>
        <v/>
      </c>
      <c r="EM27" s="18">
        <f>IF(140&gt;=DeliverStart,ExpRMPerUnit*TotalUnits/12*EM$7*EM$10,0)</f>
        <v/>
      </c>
      <c r="EN27" s="18">
        <f>IF(141&gt;=DeliverStart,ExpRMPerUnit*TotalUnits/12*EN$7*EN$10,0)</f>
        <v/>
      </c>
      <c r="EO27" s="18">
        <f>IF(142&gt;=DeliverStart,ExpRMPerUnit*TotalUnits/12*EO$7*EO$10,0)</f>
        <v/>
      </c>
      <c r="EP27" s="18">
        <f>IF(143&gt;=DeliverStart,ExpRMPerUnit*TotalUnits/12*EP$7*EP$10,0)</f>
        <v/>
      </c>
      <c r="EQ27" s="18">
        <f>IF(144&gt;=DeliverStart,ExpRMPerUnit*TotalUnits/12*EQ$7*EQ$10,0)</f>
        <v/>
      </c>
      <c r="ER27" s="18">
        <f>IF(145&gt;=DeliverStart,ExpRMPerUnit*TotalUnits/12*ER$7*ER$10,0)</f>
        <v/>
      </c>
      <c r="ES27" s="18">
        <f>IF(146&gt;=DeliverStart,ExpRMPerUnit*TotalUnits/12*ES$7*ES$10,0)</f>
        <v/>
      </c>
      <c r="ET27" s="18">
        <f>IF(147&gt;=DeliverStart,ExpRMPerUnit*TotalUnits/12*ET$7*ET$10,0)</f>
        <v/>
      </c>
      <c r="EU27" s="18">
        <f>IF(148&gt;=DeliverStart,ExpRMPerUnit*TotalUnits/12*EU$7*EU$10,0)</f>
        <v/>
      </c>
      <c r="EV27" s="18">
        <f>IF(149&gt;=DeliverStart,ExpRMPerUnit*TotalUnits/12*EV$7*EV$10,0)</f>
        <v/>
      </c>
      <c r="EW27" s="18">
        <f>IF(150&gt;=DeliverStart,ExpRMPerUnit*TotalUnits/12*EW$7*EW$10,0)</f>
        <v/>
      </c>
      <c r="EX27" s="18">
        <f>IF(151&gt;=DeliverStart,ExpRMPerUnit*TotalUnits/12*EX$7*EX$10,0)</f>
        <v/>
      </c>
      <c r="EY27" s="18">
        <f>IF(152&gt;=DeliverStart,ExpRMPerUnit*TotalUnits/12*EY$7*EY$10,0)</f>
        <v/>
      </c>
      <c r="EZ27" s="18">
        <f>IF(153&gt;=DeliverStart,ExpRMPerUnit*TotalUnits/12*EZ$7*EZ$10,0)</f>
        <v/>
      </c>
      <c r="FA27" s="18">
        <f>IF(154&gt;=DeliverStart,ExpRMPerUnit*TotalUnits/12*FA$7*FA$10,0)</f>
        <v/>
      </c>
      <c r="FB27" s="18">
        <f>IF(155&gt;=DeliverStart,ExpRMPerUnit*TotalUnits/12*FB$7*FB$10,0)</f>
        <v/>
      </c>
      <c r="FC27" s="18">
        <f>IF(156&gt;=DeliverStart,ExpRMPerUnit*TotalUnits/12*FC$7*FC$10,0)</f>
        <v/>
      </c>
      <c r="FD27" s="18">
        <f>IF(157&gt;=DeliverStart,ExpRMPerUnit*TotalUnits/12*FD$7*FD$10,0)</f>
        <v/>
      </c>
      <c r="FE27" s="18">
        <f>IF(158&gt;=DeliverStart,ExpRMPerUnit*TotalUnits/12*FE$7*FE$10,0)</f>
        <v/>
      </c>
      <c r="FF27" s="18">
        <f>IF(159&gt;=DeliverStart,ExpRMPerUnit*TotalUnits/12*FF$7*FF$10,0)</f>
        <v/>
      </c>
      <c r="FG27" s="18">
        <f>IF(160&gt;=DeliverStart,ExpRMPerUnit*TotalUnits/12*FG$7*FG$10,0)</f>
        <v/>
      </c>
      <c r="FH27" s="18">
        <f>IF(161&gt;=DeliverStart,ExpRMPerUnit*TotalUnits/12*FH$7*FH$10,0)</f>
        <v/>
      </c>
      <c r="FI27" s="18">
        <f>IF(162&gt;=DeliverStart,ExpRMPerUnit*TotalUnits/12*FI$7*FI$10,0)</f>
        <v/>
      </c>
      <c r="FJ27" s="18">
        <f>IF(163&gt;=DeliverStart,ExpRMPerUnit*TotalUnits/12*FJ$7*FJ$10,0)</f>
        <v/>
      </c>
      <c r="FK27" s="18">
        <f>IF(164&gt;=DeliverStart,ExpRMPerUnit*TotalUnits/12*FK$7*FK$10,0)</f>
        <v/>
      </c>
      <c r="FL27" s="18">
        <f>IF(165&gt;=DeliverStart,ExpRMPerUnit*TotalUnits/12*FL$7*FL$10,0)</f>
        <v/>
      </c>
      <c r="FM27" s="18">
        <f>IF(166&gt;=DeliverStart,ExpRMPerUnit*TotalUnits/12*FM$7*FM$10,0)</f>
        <v/>
      </c>
      <c r="FN27" s="18">
        <f>IF(167&gt;=DeliverStart,ExpRMPerUnit*TotalUnits/12*FN$7*FN$10,0)</f>
        <v/>
      </c>
      <c r="FO27" s="18">
        <f>IF(168&gt;=DeliverStart,ExpRMPerUnit*TotalUnits/12*FO$7*FO$10,0)</f>
        <v/>
      </c>
      <c r="FP27" s="18">
        <f>IF(169&gt;=DeliverStart,ExpRMPerUnit*TotalUnits/12*FP$7*FP$10,0)</f>
        <v/>
      </c>
      <c r="FQ27" s="18">
        <f>IF(170&gt;=DeliverStart,ExpRMPerUnit*TotalUnits/12*FQ$7*FQ$10,0)</f>
        <v/>
      </c>
      <c r="FR27" s="18">
        <f>IF(171&gt;=DeliverStart,ExpRMPerUnit*TotalUnits/12*FR$7*FR$10,0)</f>
        <v/>
      </c>
      <c r="FS27" s="18">
        <f>IF(172&gt;=DeliverStart,ExpRMPerUnit*TotalUnits/12*FS$7*FS$10,0)</f>
        <v/>
      </c>
      <c r="FT27" s="18">
        <f>IF(173&gt;=DeliverStart,ExpRMPerUnit*TotalUnits/12*FT$7*FT$10,0)</f>
        <v/>
      </c>
      <c r="FU27" s="18">
        <f>IF(174&gt;=DeliverStart,ExpRMPerUnit*TotalUnits/12*FU$7*FU$10,0)</f>
        <v/>
      </c>
      <c r="FV27" s="18">
        <f>IF(175&gt;=DeliverStart,ExpRMPerUnit*TotalUnits/12*FV$7*FV$10,0)</f>
        <v/>
      </c>
      <c r="FW27" s="18">
        <f>IF(176&gt;=DeliverStart,ExpRMPerUnit*TotalUnits/12*FW$7*FW$10,0)</f>
        <v/>
      </c>
      <c r="FX27" s="18">
        <f>IF(177&gt;=DeliverStart,ExpRMPerUnit*TotalUnits/12*FX$7*FX$10,0)</f>
        <v/>
      </c>
      <c r="FY27" s="18">
        <f>IF(178&gt;=DeliverStart,ExpRMPerUnit*TotalUnits/12*FY$7*FY$10,0)</f>
        <v/>
      </c>
      <c r="FZ27" s="18">
        <f>IF(179&gt;=DeliverStart,ExpRMPerUnit*TotalUnits/12*FZ$7*FZ$10,0)</f>
        <v/>
      </c>
      <c r="GA27" s="18">
        <f>IF(180&gt;=DeliverStart,ExpRMPerUnit*TotalUnits/12*GA$7*GA$10,0)</f>
        <v/>
      </c>
      <c r="GB27" s="18">
        <f>IF(181&gt;=DeliverStart,ExpRMPerUnit*TotalUnits/12*GB$7*GB$10,0)</f>
        <v/>
      </c>
      <c r="GC27" s="18">
        <f>IF(182&gt;=DeliverStart,ExpRMPerUnit*TotalUnits/12*GC$7*GC$10,0)</f>
        <v/>
      </c>
      <c r="GD27" s="18">
        <f>IF(183&gt;=DeliverStart,ExpRMPerUnit*TotalUnits/12*GD$7*GD$10,0)</f>
        <v/>
      </c>
      <c r="GE27" s="18">
        <f>IF(184&gt;=DeliverStart,ExpRMPerUnit*TotalUnits/12*GE$7*GE$10,0)</f>
        <v/>
      </c>
      <c r="GF27" s="18">
        <f>IF(185&gt;=DeliverStart,ExpRMPerUnit*TotalUnits/12*GF$7*GF$10,0)</f>
        <v/>
      </c>
      <c r="GG27" s="18">
        <f>IF(186&gt;=DeliverStart,ExpRMPerUnit*TotalUnits/12*GG$7*GG$10,0)</f>
        <v/>
      </c>
      <c r="GH27" s="18">
        <f>IF(187&gt;=DeliverStart,ExpRMPerUnit*TotalUnits/12*GH$7*GH$10,0)</f>
        <v/>
      </c>
      <c r="GI27" s="18">
        <f>IF(188&gt;=DeliverStart,ExpRMPerUnit*TotalUnits/12*GI$7*GI$10,0)</f>
        <v/>
      </c>
      <c r="GJ27" s="18">
        <f>IF(189&gt;=DeliverStart,ExpRMPerUnit*TotalUnits/12*GJ$7*GJ$10,0)</f>
        <v/>
      </c>
      <c r="GK27" s="18">
        <f>IF(190&gt;=DeliverStart,ExpRMPerUnit*TotalUnits/12*GK$7*GK$10,0)</f>
        <v/>
      </c>
      <c r="GL27" s="18">
        <f>IF(191&gt;=DeliverStart,ExpRMPerUnit*TotalUnits/12*GL$7*GL$10,0)</f>
        <v/>
      </c>
      <c r="GM27" s="18">
        <f>IF(192&gt;=DeliverStart,ExpRMPerUnit*TotalUnits/12*GM$7*GM$10,0)</f>
        <v/>
      </c>
      <c r="GN27" s="18">
        <f>IF(193&gt;=DeliverStart,ExpRMPerUnit*TotalUnits/12*GN$7*GN$10,0)</f>
        <v/>
      </c>
      <c r="GO27" s="18">
        <f>IF(194&gt;=DeliverStart,ExpRMPerUnit*TotalUnits/12*GO$7*GO$10,0)</f>
        <v/>
      </c>
      <c r="GP27" s="18">
        <f>IF(195&gt;=DeliverStart,ExpRMPerUnit*TotalUnits/12*GP$7*GP$10,0)</f>
        <v/>
      </c>
      <c r="GQ27" s="18">
        <f>IF(196&gt;=DeliverStart,ExpRMPerUnit*TotalUnits/12*GQ$7*GQ$10,0)</f>
        <v/>
      </c>
      <c r="GR27" s="18">
        <f>IF(197&gt;=DeliverStart,ExpRMPerUnit*TotalUnits/12*GR$7*GR$10,0)</f>
        <v/>
      </c>
      <c r="GS27" s="18">
        <f>IF(198&gt;=DeliverStart,ExpRMPerUnit*TotalUnits/12*GS$7*GS$10,0)</f>
        <v/>
      </c>
      <c r="GT27" s="18">
        <f>IF(199&gt;=DeliverStart,ExpRMPerUnit*TotalUnits/12*GT$7*GT$10,0)</f>
        <v/>
      </c>
      <c r="GU27" s="18">
        <f>IF(200&gt;=DeliverStart,ExpRMPerUnit*TotalUnits/12*GU$7*GU$10,0)</f>
        <v/>
      </c>
      <c r="GV27" s="18">
        <f>IF(201&gt;=DeliverStart,ExpRMPerUnit*TotalUnits/12*GV$7*GV$10,0)</f>
        <v/>
      </c>
      <c r="GW27" s="18">
        <f>IF(202&gt;=DeliverStart,ExpRMPerUnit*TotalUnits/12*GW$7*GW$10,0)</f>
        <v/>
      </c>
      <c r="GX27" s="18">
        <f>IF(203&gt;=DeliverStart,ExpRMPerUnit*TotalUnits/12*GX$7*GX$10,0)</f>
        <v/>
      </c>
      <c r="GY27" s="18">
        <f>IF(204&gt;=DeliverStart,ExpRMPerUnit*TotalUnits/12*GY$7*GY$10,0)</f>
        <v/>
      </c>
      <c r="GZ27" s="18">
        <f>IF(205&gt;=DeliverStart,ExpRMPerUnit*TotalUnits/12*GZ$7*GZ$10,0)</f>
        <v/>
      </c>
      <c r="HA27" s="18">
        <f>IF(206&gt;=DeliverStart,ExpRMPerUnit*TotalUnits/12*HA$7*HA$10,0)</f>
        <v/>
      </c>
      <c r="HB27" s="18">
        <f>IF(207&gt;=DeliverStart,ExpRMPerUnit*TotalUnits/12*HB$7*HB$10,0)</f>
        <v/>
      </c>
      <c r="HC27" s="18">
        <f>IF(208&gt;=DeliverStart,ExpRMPerUnit*TotalUnits/12*HC$7*HC$10,0)</f>
        <v/>
      </c>
      <c r="HD27" s="18">
        <f>IF(209&gt;=DeliverStart,ExpRMPerUnit*TotalUnits/12*HD$7*HD$10,0)</f>
        <v/>
      </c>
      <c r="HE27" s="18">
        <f>IF(210&gt;=DeliverStart,ExpRMPerUnit*TotalUnits/12*HE$7*HE$10,0)</f>
        <v/>
      </c>
      <c r="HF27" s="18">
        <f>IF(211&gt;=DeliverStart,ExpRMPerUnit*TotalUnits/12*HF$7*HF$10,0)</f>
        <v/>
      </c>
      <c r="HG27" s="18">
        <f>IF(212&gt;=DeliverStart,ExpRMPerUnit*TotalUnits/12*HG$7*HG$10,0)</f>
        <v/>
      </c>
      <c r="HH27" s="18">
        <f>IF(213&gt;=DeliverStart,ExpRMPerUnit*TotalUnits/12*HH$7*HH$10,0)</f>
        <v/>
      </c>
      <c r="HI27" s="18">
        <f>IF(214&gt;=DeliverStart,ExpRMPerUnit*TotalUnits/12*HI$7*HI$10,0)</f>
        <v/>
      </c>
      <c r="HJ27" s="18">
        <f>IF(215&gt;=DeliverStart,ExpRMPerUnit*TotalUnits/12*HJ$7*HJ$10,0)</f>
        <v/>
      </c>
      <c r="HK27" s="18">
        <f>IF(216&gt;=DeliverStart,ExpRMPerUnit*TotalUnits/12*HK$7*HK$10,0)</f>
        <v/>
      </c>
      <c r="HL27" s="18">
        <f>IF(217&gt;=DeliverStart,ExpRMPerUnit*TotalUnits/12*HL$7*HL$10,0)</f>
        <v/>
      </c>
      <c r="HM27" s="18">
        <f>IF(218&gt;=DeliverStart,ExpRMPerUnit*TotalUnits/12*HM$7*HM$10,0)</f>
        <v/>
      </c>
      <c r="HN27" s="18">
        <f>IF(219&gt;=DeliverStart,ExpRMPerUnit*TotalUnits/12*HN$7*HN$10,0)</f>
        <v/>
      </c>
      <c r="HO27" s="18">
        <f>IF(220&gt;=DeliverStart,ExpRMPerUnit*TotalUnits/12*HO$7*HO$10,0)</f>
        <v/>
      </c>
      <c r="HP27" s="18">
        <f>IF(221&gt;=DeliverStart,ExpRMPerUnit*TotalUnits/12*HP$7*HP$10,0)</f>
        <v/>
      </c>
      <c r="HQ27" s="18">
        <f>IF(222&gt;=DeliverStart,ExpRMPerUnit*TotalUnits/12*HQ$7*HQ$10,0)</f>
        <v/>
      </c>
      <c r="HR27" s="18">
        <f>IF(223&gt;=DeliverStart,ExpRMPerUnit*TotalUnits/12*HR$7*HR$10,0)</f>
        <v/>
      </c>
      <c r="HS27" s="18">
        <f>IF(224&gt;=DeliverStart,ExpRMPerUnit*TotalUnits/12*HS$7*HS$10,0)</f>
        <v/>
      </c>
      <c r="HT27" s="18">
        <f>IF(225&gt;=DeliverStart,ExpRMPerUnit*TotalUnits/12*HT$7*HT$10,0)</f>
        <v/>
      </c>
      <c r="HU27" s="18">
        <f>IF(226&gt;=DeliverStart,ExpRMPerUnit*TotalUnits/12*HU$7*HU$10,0)</f>
        <v/>
      </c>
      <c r="HV27" s="18">
        <f>IF(227&gt;=DeliverStart,ExpRMPerUnit*TotalUnits/12*HV$7*HV$10,0)</f>
        <v/>
      </c>
      <c r="HW27" s="18">
        <f>IF(228&gt;=DeliverStart,ExpRMPerUnit*TotalUnits/12*HW$7*HW$10,0)</f>
        <v/>
      </c>
      <c r="HX27" s="18">
        <f>IF(229&gt;=DeliverStart,ExpRMPerUnit*TotalUnits/12*HX$7*HX$10,0)</f>
        <v/>
      </c>
      <c r="HY27" s="18">
        <f>IF(230&gt;=DeliverStart,ExpRMPerUnit*TotalUnits/12*HY$7*HY$10,0)</f>
        <v/>
      </c>
      <c r="HZ27" s="18">
        <f>IF(231&gt;=DeliverStart,ExpRMPerUnit*TotalUnits/12*HZ$7*HZ$10,0)</f>
        <v/>
      </c>
      <c r="IA27" s="18">
        <f>IF(232&gt;=DeliverStart,ExpRMPerUnit*TotalUnits/12*IA$7*IA$10,0)</f>
        <v/>
      </c>
      <c r="IB27" s="18">
        <f>IF(233&gt;=DeliverStart,ExpRMPerUnit*TotalUnits/12*IB$7*IB$10,0)</f>
        <v/>
      </c>
      <c r="IC27" s="18">
        <f>IF(234&gt;=DeliverStart,ExpRMPerUnit*TotalUnits/12*IC$7*IC$10,0)</f>
        <v/>
      </c>
      <c r="ID27" s="18">
        <f>IF(235&gt;=DeliverStart,ExpRMPerUnit*TotalUnits/12*ID$7*ID$10,0)</f>
        <v/>
      </c>
      <c r="IE27" s="18">
        <f>IF(236&gt;=DeliverStart,ExpRMPerUnit*TotalUnits/12*IE$7*IE$10,0)</f>
        <v/>
      </c>
      <c r="IF27" s="18">
        <f>IF(237&gt;=DeliverStart,ExpRMPerUnit*TotalUnits/12*IF$7*IF$10,0)</f>
        <v/>
      </c>
      <c r="IG27" s="18">
        <f>IF(238&gt;=DeliverStart,ExpRMPerUnit*TotalUnits/12*IG$7*IG$10,0)</f>
        <v/>
      </c>
      <c r="IH27" s="18">
        <f>IF(239&gt;=DeliverStart,ExpRMPerUnit*TotalUnits/12*IH$7*IH$10,0)</f>
        <v/>
      </c>
      <c r="II27" s="18">
        <f>IF(240&gt;=DeliverStart,ExpRMPerUnit*TotalUnits/12*II$7*II$10,0)</f>
        <v/>
      </c>
      <c r="IJ27" s="18">
        <f>IF(241&gt;=DeliverStart,ExpRMPerUnit*TotalUnits/12*IJ$7*IJ$10,0)</f>
        <v/>
      </c>
      <c r="IK27" s="18">
        <f>IF(242&gt;=DeliverStart,ExpRMPerUnit*TotalUnits/12*IK$7*IK$10,0)</f>
        <v/>
      </c>
      <c r="IL27" s="18">
        <f>IF(243&gt;=DeliverStart,ExpRMPerUnit*TotalUnits/12*IL$7*IL$10,0)</f>
        <v/>
      </c>
      <c r="IM27" s="18">
        <f>IF(244&gt;=DeliverStart,ExpRMPerUnit*TotalUnits/12*IM$7*IM$10,0)</f>
        <v/>
      </c>
      <c r="IN27" s="18">
        <f>IF(245&gt;=DeliverStart,ExpRMPerUnit*TotalUnits/12*IN$7*IN$10,0)</f>
        <v/>
      </c>
      <c r="IO27" s="18">
        <f>IF(246&gt;=DeliverStart,ExpRMPerUnit*TotalUnits/12*IO$7*IO$10,0)</f>
        <v/>
      </c>
      <c r="IP27" s="18">
        <f>IF(247&gt;=DeliverStart,ExpRMPerUnit*TotalUnits/12*IP$7*IP$10,0)</f>
        <v/>
      </c>
      <c r="IQ27" s="18">
        <f>IF(248&gt;=DeliverStart,ExpRMPerUnit*TotalUnits/12*IQ$7*IQ$10,0)</f>
        <v/>
      </c>
      <c r="IR27" s="18">
        <f>IF(249&gt;=DeliverStart,ExpRMPerUnit*TotalUnits/12*IR$7*IR$10,0)</f>
        <v/>
      </c>
      <c r="IS27" s="18">
        <f>IF(250&gt;=DeliverStart,ExpRMPerUnit*TotalUnits/12*IS$7*IS$10,0)</f>
        <v/>
      </c>
      <c r="IT27" s="18">
        <f>IF(251&gt;=DeliverStart,ExpRMPerUnit*TotalUnits/12*IT$7*IT$10,0)</f>
        <v/>
      </c>
      <c r="IU27" s="18">
        <f>IF(252&gt;=DeliverStart,ExpRMPerUnit*TotalUnits/12*IU$7*IU$10,0)</f>
        <v/>
      </c>
      <c r="IV27" s="18">
        <f>IF(253&gt;=DeliverStart,ExpRMPerUnit*TotalUnits/12*IV$7*IV$10,0)</f>
        <v/>
      </c>
      <c r="IW27" s="18">
        <f>IF(254&gt;=DeliverStart,ExpRMPerUnit*TotalUnits/12*IW$7*IW$10,0)</f>
        <v/>
      </c>
      <c r="IX27" s="18">
        <f>IF(255&gt;=DeliverStart,ExpRMPerUnit*TotalUnits/12*IX$7*IX$10,0)</f>
        <v/>
      </c>
      <c r="IY27" s="18">
        <f>IF(256&gt;=DeliverStart,ExpRMPerUnit*TotalUnits/12*IY$7*IY$10,0)</f>
        <v/>
      </c>
      <c r="IZ27" s="18">
        <f>IF(257&gt;=DeliverStart,ExpRMPerUnit*TotalUnits/12*IZ$7*IZ$10,0)</f>
        <v/>
      </c>
      <c r="JA27" s="18">
        <f>IF(258&gt;=DeliverStart,ExpRMPerUnit*TotalUnits/12*JA$7*JA$10,0)</f>
        <v/>
      </c>
      <c r="JB27" s="18">
        <f>IF(259&gt;=DeliverStart,ExpRMPerUnit*TotalUnits/12*JB$7*JB$10,0)</f>
        <v/>
      </c>
      <c r="JC27" s="18">
        <f>IF(260&gt;=DeliverStart,ExpRMPerUnit*TotalUnits/12*JC$7*JC$10,0)</f>
        <v/>
      </c>
      <c r="JD27" s="18">
        <f>IF(261&gt;=DeliverStart,ExpRMPerUnit*TotalUnits/12*JD$7*JD$10,0)</f>
        <v/>
      </c>
      <c r="JE27" s="18">
        <f>IF(262&gt;=DeliverStart,ExpRMPerUnit*TotalUnits/12*JE$7*JE$10,0)</f>
        <v/>
      </c>
      <c r="JF27" s="18">
        <f>IF(263&gt;=DeliverStart,ExpRMPerUnit*TotalUnits/12*JF$7*JF$10,0)</f>
        <v/>
      </c>
      <c r="JG27" s="18">
        <f>IF(264&gt;=DeliverStart,ExpRMPerUnit*TotalUnits/12*JG$7*JG$10,0)</f>
        <v/>
      </c>
      <c r="JH27" s="18">
        <f>IF(265&gt;=DeliverStart,ExpRMPerUnit*TotalUnits/12*JH$7*JH$10,0)</f>
        <v/>
      </c>
      <c r="JI27" s="18">
        <f>IF(266&gt;=DeliverStart,ExpRMPerUnit*TotalUnits/12*JI$7*JI$10,0)</f>
        <v/>
      </c>
      <c r="JJ27" s="18">
        <f>IF(267&gt;=DeliverStart,ExpRMPerUnit*TotalUnits/12*JJ$7*JJ$10,0)</f>
        <v/>
      </c>
      <c r="JK27" s="18">
        <f>IF(268&gt;=DeliverStart,ExpRMPerUnit*TotalUnits/12*JK$7*JK$10,0)</f>
        <v/>
      </c>
      <c r="JL27" s="18">
        <f>IF(269&gt;=DeliverStart,ExpRMPerUnit*TotalUnits/12*JL$7*JL$10,0)</f>
        <v/>
      </c>
      <c r="JM27" s="18">
        <f>IF(270&gt;=DeliverStart,ExpRMPerUnit*TotalUnits/12*JM$7*JM$10,0)</f>
        <v/>
      </c>
      <c r="JN27" s="18">
        <f>IF(271&gt;=DeliverStart,ExpRMPerUnit*TotalUnits/12*JN$7*JN$10,0)</f>
        <v/>
      </c>
      <c r="JO27" s="18">
        <f>IF(272&gt;=DeliverStart,ExpRMPerUnit*TotalUnits/12*JO$7*JO$10,0)</f>
        <v/>
      </c>
      <c r="JP27" s="18">
        <f>IF(273&gt;=DeliverStart,ExpRMPerUnit*TotalUnits/12*JP$7*JP$10,0)</f>
        <v/>
      </c>
      <c r="JQ27" s="18">
        <f>IF(274&gt;=DeliverStart,ExpRMPerUnit*TotalUnits/12*JQ$7*JQ$10,0)</f>
        <v/>
      </c>
      <c r="JR27" s="18">
        <f>IF(275&gt;=DeliverStart,ExpRMPerUnit*TotalUnits/12*JR$7*JR$10,0)</f>
        <v/>
      </c>
      <c r="JS27" s="18">
        <f>IF(276&gt;=DeliverStart,ExpRMPerUnit*TotalUnits/12*JS$7*JS$10,0)</f>
        <v/>
      </c>
      <c r="JT27" s="18">
        <f>IF(277&gt;=DeliverStart,ExpRMPerUnit*TotalUnits/12*JT$7*JT$10,0)</f>
        <v/>
      </c>
      <c r="JU27" s="18">
        <f>IF(278&gt;=DeliverStart,ExpRMPerUnit*TotalUnits/12*JU$7*JU$10,0)</f>
        <v/>
      </c>
      <c r="JV27" s="18">
        <f>IF(279&gt;=DeliverStart,ExpRMPerUnit*TotalUnits/12*JV$7*JV$10,0)</f>
        <v/>
      </c>
      <c r="JW27" s="18">
        <f>IF(280&gt;=DeliverStart,ExpRMPerUnit*TotalUnits/12*JW$7*JW$10,0)</f>
        <v/>
      </c>
      <c r="JX27" s="18">
        <f>IF(281&gt;=DeliverStart,ExpRMPerUnit*TotalUnits/12*JX$7*JX$10,0)</f>
        <v/>
      </c>
      <c r="JY27" s="18">
        <f>IF(282&gt;=DeliverStart,ExpRMPerUnit*TotalUnits/12*JY$7*JY$10,0)</f>
        <v/>
      </c>
      <c r="JZ27" s="18">
        <f>IF(283&gt;=DeliverStart,ExpRMPerUnit*TotalUnits/12*JZ$7*JZ$10,0)</f>
        <v/>
      </c>
      <c r="KA27" s="18">
        <f>IF(284&gt;=DeliverStart,ExpRMPerUnit*TotalUnits/12*KA$7*KA$10,0)</f>
        <v/>
      </c>
      <c r="KB27" s="18">
        <f>IF(285&gt;=DeliverStart,ExpRMPerUnit*TotalUnits/12*KB$7*KB$10,0)</f>
        <v/>
      </c>
      <c r="KC27" s="18">
        <f>IF(286&gt;=DeliverStart,ExpRMPerUnit*TotalUnits/12*KC$7*KC$10,0)</f>
        <v/>
      </c>
      <c r="KD27" s="18">
        <f>IF(287&gt;=DeliverStart,ExpRMPerUnit*TotalUnits/12*KD$7*KD$10,0)</f>
        <v/>
      </c>
      <c r="KE27" s="18">
        <f>IF(288&gt;=DeliverStart,ExpRMPerUnit*TotalUnits/12*KE$7*KE$10,0)</f>
        <v/>
      </c>
      <c r="KF27" s="18">
        <f>IF(289&gt;=DeliverStart,ExpRMPerUnit*TotalUnits/12*KF$7*KF$10,0)</f>
        <v/>
      </c>
      <c r="KG27" s="18">
        <f>IF(290&gt;=DeliverStart,ExpRMPerUnit*TotalUnits/12*KG$7*KG$10,0)</f>
        <v/>
      </c>
      <c r="KH27" s="18">
        <f>IF(291&gt;=DeliverStart,ExpRMPerUnit*TotalUnits/12*KH$7*KH$10,0)</f>
        <v/>
      </c>
      <c r="KI27" s="18">
        <f>IF(292&gt;=DeliverStart,ExpRMPerUnit*TotalUnits/12*KI$7*KI$10,0)</f>
        <v/>
      </c>
      <c r="KJ27" s="18">
        <f>IF(293&gt;=DeliverStart,ExpRMPerUnit*TotalUnits/12*KJ$7*KJ$10,0)</f>
        <v/>
      </c>
      <c r="KK27" s="18">
        <f>IF(294&gt;=DeliverStart,ExpRMPerUnit*TotalUnits/12*KK$7*KK$10,0)</f>
        <v/>
      </c>
      <c r="KL27" s="18">
        <f>IF(295&gt;=DeliverStart,ExpRMPerUnit*TotalUnits/12*KL$7*KL$10,0)</f>
        <v/>
      </c>
      <c r="KM27" s="18">
        <f>IF(296&gt;=DeliverStart,ExpRMPerUnit*TotalUnits/12*KM$7*KM$10,0)</f>
        <v/>
      </c>
      <c r="KN27" s="18">
        <f>IF(297&gt;=DeliverStart,ExpRMPerUnit*TotalUnits/12*KN$7*KN$10,0)</f>
        <v/>
      </c>
      <c r="KO27" s="18">
        <f>IF(298&gt;=DeliverStart,ExpRMPerUnit*TotalUnits/12*KO$7*KO$10,0)</f>
        <v/>
      </c>
      <c r="KP27" s="18">
        <f>IF(299&gt;=DeliverStart,ExpRMPerUnit*TotalUnits/12*KP$7*KP$10,0)</f>
        <v/>
      </c>
      <c r="KQ27" s="18">
        <f>IF(300&gt;=DeliverStart,ExpRMPerUnit*TotalUnits/12*KQ$7*KQ$10,0)</f>
        <v/>
      </c>
      <c r="KR27" s="18">
        <f>IF(301&gt;=DeliverStart,ExpRMPerUnit*TotalUnits/12*KR$7*KR$10,0)</f>
        <v/>
      </c>
      <c r="KS27" s="18">
        <f>IF(302&gt;=DeliverStart,ExpRMPerUnit*TotalUnits/12*KS$7*KS$10,0)</f>
        <v/>
      </c>
      <c r="KT27" s="18">
        <f>IF(303&gt;=DeliverStart,ExpRMPerUnit*TotalUnits/12*KT$7*KT$10,0)</f>
        <v/>
      </c>
      <c r="KU27" s="18">
        <f>IF(304&gt;=DeliverStart,ExpRMPerUnit*TotalUnits/12*KU$7*KU$10,0)</f>
        <v/>
      </c>
      <c r="KV27" s="18">
        <f>IF(305&gt;=DeliverStart,ExpRMPerUnit*TotalUnits/12*KV$7*KV$10,0)</f>
        <v/>
      </c>
      <c r="KW27" s="18">
        <f>IF(306&gt;=DeliverStart,ExpRMPerUnit*TotalUnits/12*KW$7*KW$10,0)</f>
        <v/>
      </c>
      <c r="KX27" s="18">
        <f>IF(307&gt;=DeliverStart,ExpRMPerUnit*TotalUnits/12*KX$7*KX$10,0)</f>
        <v/>
      </c>
      <c r="KY27" s="18">
        <f>IF(308&gt;=DeliverStart,ExpRMPerUnit*TotalUnits/12*KY$7*KY$10,0)</f>
        <v/>
      </c>
      <c r="KZ27" s="18">
        <f>IF(309&gt;=DeliverStart,ExpRMPerUnit*TotalUnits/12*KZ$7*KZ$10,0)</f>
        <v/>
      </c>
      <c r="LA27" s="18">
        <f>IF(310&gt;=DeliverStart,ExpRMPerUnit*TotalUnits/12*LA$7*LA$10,0)</f>
        <v/>
      </c>
      <c r="LB27" s="18">
        <f>IF(311&gt;=DeliverStart,ExpRMPerUnit*TotalUnits/12*LB$7*LB$10,0)</f>
        <v/>
      </c>
      <c r="LC27" s="18">
        <f>IF(312&gt;=DeliverStart,ExpRMPerUnit*TotalUnits/12*LC$7*LC$10,0)</f>
        <v/>
      </c>
      <c r="LD27" s="18">
        <f>IF(313&gt;=DeliverStart,ExpRMPerUnit*TotalUnits/12*LD$7*LD$10,0)</f>
        <v/>
      </c>
      <c r="LE27" s="18">
        <f>IF(314&gt;=DeliverStart,ExpRMPerUnit*TotalUnits/12*LE$7*LE$10,0)</f>
        <v/>
      </c>
      <c r="LF27" s="18">
        <f>IF(315&gt;=DeliverStart,ExpRMPerUnit*TotalUnits/12*LF$7*LF$10,0)</f>
        <v/>
      </c>
      <c r="LG27" s="18">
        <f>IF(316&gt;=DeliverStart,ExpRMPerUnit*TotalUnits/12*LG$7*LG$10,0)</f>
        <v/>
      </c>
      <c r="LH27" s="18">
        <f>IF(317&gt;=DeliverStart,ExpRMPerUnit*TotalUnits/12*LH$7*LH$10,0)</f>
        <v/>
      </c>
      <c r="LI27" s="18">
        <f>IF(318&gt;=DeliverStart,ExpRMPerUnit*TotalUnits/12*LI$7*LI$10,0)</f>
        <v/>
      </c>
      <c r="LJ27" s="18">
        <f>IF(319&gt;=DeliverStart,ExpRMPerUnit*TotalUnits/12*LJ$7*LJ$10,0)</f>
        <v/>
      </c>
      <c r="LK27" s="18">
        <f>IF(320&gt;=DeliverStart,ExpRMPerUnit*TotalUnits/12*LK$7*LK$10,0)</f>
        <v/>
      </c>
      <c r="LL27" s="18">
        <f>IF(321&gt;=DeliverStart,ExpRMPerUnit*TotalUnits/12*LL$7*LL$10,0)</f>
        <v/>
      </c>
      <c r="LM27" s="18">
        <f>IF(322&gt;=DeliverStart,ExpRMPerUnit*TotalUnits/12*LM$7*LM$10,0)</f>
        <v/>
      </c>
      <c r="LN27" s="18">
        <f>IF(323&gt;=DeliverStart,ExpRMPerUnit*TotalUnits/12*LN$7*LN$10,0)</f>
        <v/>
      </c>
      <c r="LO27" s="18">
        <f>IF(324&gt;=DeliverStart,ExpRMPerUnit*TotalUnits/12*LO$7*LO$10,0)</f>
        <v/>
      </c>
      <c r="LP27" s="18">
        <f>IF(325&gt;=DeliverStart,ExpRMPerUnit*TotalUnits/12*LP$7*LP$10,0)</f>
        <v/>
      </c>
      <c r="LQ27" s="18">
        <f>IF(326&gt;=DeliverStart,ExpRMPerUnit*TotalUnits/12*LQ$7*LQ$10,0)</f>
        <v/>
      </c>
      <c r="LR27" s="18">
        <f>IF(327&gt;=DeliverStart,ExpRMPerUnit*TotalUnits/12*LR$7*LR$10,0)</f>
        <v/>
      </c>
      <c r="LS27" s="18">
        <f>IF(328&gt;=DeliverStart,ExpRMPerUnit*TotalUnits/12*LS$7*LS$10,0)</f>
        <v/>
      </c>
      <c r="LT27" s="18">
        <f>IF(329&gt;=DeliverStart,ExpRMPerUnit*TotalUnits/12*LT$7*LT$10,0)</f>
        <v/>
      </c>
      <c r="LU27" s="18">
        <f>IF(330&gt;=DeliverStart,ExpRMPerUnit*TotalUnits/12*LU$7*LU$10,0)</f>
        <v/>
      </c>
      <c r="LV27" s="18">
        <f>IF(331&gt;=DeliverStart,ExpRMPerUnit*TotalUnits/12*LV$7*LV$10,0)</f>
        <v/>
      </c>
      <c r="LW27" s="18">
        <f>IF(332&gt;=DeliverStart,ExpRMPerUnit*TotalUnits/12*LW$7*LW$10,0)</f>
        <v/>
      </c>
      <c r="LX27" s="18">
        <f>IF(333&gt;=DeliverStart,ExpRMPerUnit*TotalUnits/12*LX$7*LX$10,0)</f>
        <v/>
      </c>
      <c r="LY27" s="18">
        <f>IF(334&gt;=DeliverStart,ExpRMPerUnit*TotalUnits/12*LY$7*LY$10,0)</f>
        <v/>
      </c>
      <c r="LZ27" s="18">
        <f>IF(335&gt;=DeliverStart,ExpRMPerUnit*TotalUnits/12*LZ$7*LZ$10,0)</f>
        <v/>
      </c>
      <c r="MA27" s="18">
        <f>IF(336&gt;=DeliverStart,ExpRMPerUnit*TotalUnits/12*MA$7*MA$10,0)</f>
        <v/>
      </c>
      <c r="MB27" s="18">
        <f>IF(337&gt;=DeliverStart,ExpRMPerUnit*TotalUnits/12*MB$7*MB$10,0)</f>
        <v/>
      </c>
      <c r="MC27" s="18">
        <f>IF(338&gt;=DeliverStart,ExpRMPerUnit*TotalUnits/12*MC$7*MC$10,0)</f>
        <v/>
      </c>
      <c r="MD27" s="18">
        <f>IF(339&gt;=DeliverStart,ExpRMPerUnit*TotalUnits/12*MD$7*MD$10,0)</f>
        <v/>
      </c>
      <c r="ME27" s="18">
        <f>IF(340&gt;=DeliverStart,ExpRMPerUnit*TotalUnits/12*ME$7*ME$10,0)</f>
        <v/>
      </c>
      <c r="MF27" s="18">
        <f>IF(341&gt;=DeliverStart,ExpRMPerUnit*TotalUnits/12*MF$7*MF$10,0)</f>
        <v/>
      </c>
      <c r="MG27" s="18">
        <f>IF(342&gt;=DeliverStart,ExpRMPerUnit*TotalUnits/12*MG$7*MG$10,0)</f>
        <v/>
      </c>
      <c r="MH27" s="18">
        <f>IF(343&gt;=DeliverStart,ExpRMPerUnit*TotalUnits/12*MH$7*MH$10,0)</f>
        <v/>
      </c>
      <c r="MI27" s="18">
        <f>IF(344&gt;=DeliverStart,ExpRMPerUnit*TotalUnits/12*MI$7*MI$10,0)</f>
        <v/>
      </c>
      <c r="MJ27" s="18">
        <f>IF(345&gt;=DeliverStart,ExpRMPerUnit*TotalUnits/12*MJ$7*MJ$10,0)</f>
        <v/>
      </c>
      <c r="MK27" s="18">
        <f>IF(346&gt;=DeliverStart,ExpRMPerUnit*TotalUnits/12*MK$7*MK$10,0)</f>
        <v/>
      </c>
      <c r="ML27" s="18">
        <f>IF(347&gt;=DeliverStart,ExpRMPerUnit*TotalUnits/12*ML$7*ML$10,0)</f>
        <v/>
      </c>
      <c r="MM27" s="18">
        <f>IF(348&gt;=DeliverStart,ExpRMPerUnit*TotalUnits/12*MM$7*MM$10,0)</f>
        <v/>
      </c>
      <c r="MN27" s="18">
        <f>IF(349&gt;=DeliverStart,ExpRMPerUnit*TotalUnits/12*MN$7*MN$10,0)</f>
        <v/>
      </c>
      <c r="MO27" s="18">
        <f>IF(350&gt;=DeliverStart,ExpRMPerUnit*TotalUnits/12*MO$7*MO$10,0)</f>
        <v/>
      </c>
      <c r="MP27" s="18">
        <f>IF(351&gt;=DeliverStart,ExpRMPerUnit*TotalUnits/12*MP$7*MP$10,0)</f>
        <v/>
      </c>
      <c r="MQ27" s="18">
        <f>IF(352&gt;=DeliverStart,ExpRMPerUnit*TotalUnits/12*MQ$7*MQ$10,0)</f>
        <v/>
      </c>
      <c r="MR27" s="18">
        <f>IF(353&gt;=DeliverStart,ExpRMPerUnit*TotalUnits/12*MR$7*MR$10,0)</f>
        <v/>
      </c>
      <c r="MS27" s="18">
        <f>IF(354&gt;=DeliverStart,ExpRMPerUnit*TotalUnits/12*MS$7*MS$10,0)</f>
        <v/>
      </c>
      <c r="MT27" s="18">
        <f>IF(355&gt;=DeliverStart,ExpRMPerUnit*TotalUnits/12*MT$7*MT$10,0)</f>
        <v/>
      </c>
      <c r="MU27" s="18">
        <f>IF(356&gt;=DeliverStart,ExpRMPerUnit*TotalUnits/12*MU$7*MU$10,0)</f>
        <v/>
      </c>
      <c r="MV27" s="18">
        <f>IF(357&gt;=DeliverStart,ExpRMPerUnit*TotalUnits/12*MV$7*MV$10,0)</f>
        <v/>
      </c>
      <c r="MW27" s="18">
        <f>IF(358&gt;=DeliverStart,ExpRMPerUnit*TotalUnits/12*MW$7*MW$10,0)</f>
        <v/>
      </c>
      <c r="MX27" s="18">
        <f>IF(359&gt;=DeliverStart,ExpRMPerUnit*TotalUnits/12*MX$7*MX$10,0)</f>
        <v/>
      </c>
      <c r="MY27" s="18">
        <f>IF(360&gt;=DeliverStart,ExpRMPerUnit*TotalUnits/12*MY$7*MY$10,0)</f>
        <v/>
      </c>
      <c r="MZ27" s="18">
        <f>IF(361&gt;=DeliverStart,ExpRMPerUnit*TotalUnits/12*MZ$7*MZ$10,0)</f>
        <v/>
      </c>
      <c r="NA27" s="18">
        <f>IF(362&gt;=DeliverStart,ExpRMPerUnit*TotalUnits/12*NA$7*NA$10,0)</f>
        <v/>
      </c>
      <c r="NB27" s="18">
        <f>IF(363&gt;=DeliverStart,ExpRMPerUnit*TotalUnits/12*NB$7*NB$10,0)</f>
        <v/>
      </c>
      <c r="NC27" s="18">
        <f>IF(364&gt;=DeliverStart,ExpRMPerUnit*TotalUnits/12*NC$7*NC$10,0)</f>
        <v/>
      </c>
      <c r="ND27" s="18">
        <f>IF(365&gt;=DeliverStart,ExpRMPerUnit*TotalUnits/12*ND$7*ND$10,0)</f>
        <v/>
      </c>
      <c r="NE27" s="18">
        <f>IF(366&gt;=DeliverStart,ExpRMPerUnit*TotalUnits/12*NE$7*NE$10,0)</f>
        <v/>
      </c>
      <c r="NF27" s="18">
        <f>IF(367&gt;=DeliverStart,ExpRMPerUnit*TotalUnits/12*NF$7*NF$10,0)</f>
        <v/>
      </c>
      <c r="NG27" s="18">
        <f>IF(368&gt;=DeliverStart,ExpRMPerUnit*TotalUnits/12*NG$7*NG$10,0)</f>
        <v/>
      </c>
      <c r="NH27" s="18">
        <f>IF(369&gt;=DeliverStart,ExpRMPerUnit*TotalUnits/12*NH$7*NH$10,0)</f>
        <v/>
      </c>
      <c r="NI27" s="18">
        <f>IF(370&gt;=DeliverStart,ExpRMPerUnit*TotalUnits/12*NI$7*NI$10,0)</f>
        <v/>
      </c>
      <c r="NJ27" s="18">
        <f>IF(371&gt;=DeliverStart,ExpRMPerUnit*TotalUnits/12*NJ$7*NJ$10,0)</f>
        <v/>
      </c>
      <c r="NK27" s="18">
        <f>IF(372&gt;=DeliverStart,ExpRMPerUnit*TotalUnits/12*NK$7*NK$10,0)</f>
        <v/>
      </c>
    </row>
    <row r="28">
      <c r="A28" s="5" t="inlineStr">
        <is>
          <t>Turnover (variable)</t>
        </is>
      </c>
      <c r="C28" s="41">
        <f>SUM(D28:NK28)</f>
        <v/>
      </c>
      <c r="D28" s="18">
        <f>IF(1&gt;=DeliverStart,ExpTurnoverPerUnit*TotalUnits/12*D$7*D$10,0)</f>
        <v/>
      </c>
      <c r="E28" s="18">
        <f>IF(2&gt;=DeliverStart,ExpTurnoverPerUnit*TotalUnits/12*E$7*E$10,0)</f>
        <v/>
      </c>
      <c r="F28" s="18">
        <f>IF(3&gt;=DeliverStart,ExpTurnoverPerUnit*TotalUnits/12*F$7*F$10,0)</f>
        <v/>
      </c>
      <c r="G28" s="18">
        <f>IF(4&gt;=DeliverStart,ExpTurnoverPerUnit*TotalUnits/12*G$7*G$10,0)</f>
        <v/>
      </c>
      <c r="H28" s="18">
        <f>IF(5&gt;=DeliverStart,ExpTurnoverPerUnit*TotalUnits/12*H$7*H$10,0)</f>
        <v/>
      </c>
      <c r="I28" s="18">
        <f>IF(6&gt;=DeliverStart,ExpTurnoverPerUnit*TotalUnits/12*I$7*I$10,0)</f>
        <v/>
      </c>
      <c r="J28" s="18">
        <f>IF(7&gt;=DeliverStart,ExpTurnoverPerUnit*TotalUnits/12*J$7*J$10,0)</f>
        <v/>
      </c>
      <c r="K28" s="18">
        <f>IF(8&gt;=DeliverStart,ExpTurnoverPerUnit*TotalUnits/12*K$7*K$10,0)</f>
        <v/>
      </c>
      <c r="L28" s="18">
        <f>IF(9&gt;=DeliverStart,ExpTurnoverPerUnit*TotalUnits/12*L$7*L$10,0)</f>
        <v/>
      </c>
      <c r="M28" s="18">
        <f>IF(10&gt;=DeliverStart,ExpTurnoverPerUnit*TotalUnits/12*M$7*M$10,0)</f>
        <v/>
      </c>
      <c r="N28" s="18">
        <f>IF(11&gt;=DeliverStart,ExpTurnoverPerUnit*TotalUnits/12*N$7*N$10,0)</f>
        <v/>
      </c>
      <c r="O28" s="18">
        <f>IF(12&gt;=DeliverStart,ExpTurnoverPerUnit*TotalUnits/12*O$7*O$10,0)</f>
        <v/>
      </c>
      <c r="P28" s="18">
        <f>IF(13&gt;=DeliverStart,ExpTurnoverPerUnit*TotalUnits/12*P$7*P$10,0)</f>
        <v/>
      </c>
      <c r="Q28" s="18">
        <f>IF(14&gt;=DeliverStart,ExpTurnoverPerUnit*TotalUnits/12*Q$7*Q$10,0)</f>
        <v/>
      </c>
      <c r="R28" s="18">
        <f>IF(15&gt;=DeliverStart,ExpTurnoverPerUnit*TotalUnits/12*R$7*R$10,0)</f>
        <v/>
      </c>
      <c r="S28" s="18">
        <f>IF(16&gt;=DeliverStart,ExpTurnoverPerUnit*TotalUnits/12*S$7*S$10,0)</f>
        <v/>
      </c>
      <c r="T28" s="18">
        <f>IF(17&gt;=DeliverStart,ExpTurnoverPerUnit*TotalUnits/12*T$7*T$10,0)</f>
        <v/>
      </c>
      <c r="U28" s="18">
        <f>IF(18&gt;=DeliverStart,ExpTurnoverPerUnit*TotalUnits/12*U$7*U$10,0)</f>
        <v/>
      </c>
      <c r="V28" s="18">
        <f>IF(19&gt;=DeliverStart,ExpTurnoverPerUnit*TotalUnits/12*V$7*V$10,0)</f>
        <v/>
      </c>
      <c r="W28" s="18">
        <f>IF(20&gt;=DeliverStart,ExpTurnoverPerUnit*TotalUnits/12*W$7*W$10,0)</f>
        <v/>
      </c>
      <c r="X28" s="18">
        <f>IF(21&gt;=DeliverStart,ExpTurnoverPerUnit*TotalUnits/12*X$7*X$10,0)</f>
        <v/>
      </c>
      <c r="Y28" s="18">
        <f>IF(22&gt;=DeliverStart,ExpTurnoverPerUnit*TotalUnits/12*Y$7*Y$10,0)</f>
        <v/>
      </c>
      <c r="Z28" s="18">
        <f>IF(23&gt;=DeliverStart,ExpTurnoverPerUnit*TotalUnits/12*Z$7*Z$10,0)</f>
        <v/>
      </c>
      <c r="AA28" s="18">
        <f>IF(24&gt;=DeliverStart,ExpTurnoverPerUnit*TotalUnits/12*AA$7*AA$10,0)</f>
        <v/>
      </c>
      <c r="AB28" s="18">
        <f>IF(25&gt;=DeliverStart,ExpTurnoverPerUnit*TotalUnits/12*AB$7*AB$10,0)</f>
        <v/>
      </c>
      <c r="AC28" s="18">
        <f>IF(26&gt;=DeliverStart,ExpTurnoverPerUnit*TotalUnits/12*AC$7*AC$10,0)</f>
        <v/>
      </c>
      <c r="AD28" s="18">
        <f>IF(27&gt;=DeliverStart,ExpTurnoverPerUnit*TotalUnits/12*AD$7*AD$10,0)</f>
        <v/>
      </c>
      <c r="AE28" s="18">
        <f>IF(28&gt;=DeliverStart,ExpTurnoverPerUnit*TotalUnits/12*AE$7*AE$10,0)</f>
        <v/>
      </c>
      <c r="AF28" s="18">
        <f>IF(29&gt;=DeliverStart,ExpTurnoverPerUnit*TotalUnits/12*AF$7*AF$10,0)</f>
        <v/>
      </c>
      <c r="AG28" s="18">
        <f>IF(30&gt;=DeliverStart,ExpTurnoverPerUnit*TotalUnits/12*AG$7*AG$10,0)</f>
        <v/>
      </c>
      <c r="AH28" s="18">
        <f>IF(31&gt;=DeliverStart,ExpTurnoverPerUnit*TotalUnits/12*AH$7*AH$10,0)</f>
        <v/>
      </c>
      <c r="AI28" s="18">
        <f>IF(32&gt;=DeliverStart,ExpTurnoverPerUnit*TotalUnits/12*AI$7*AI$10,0)</f>
        <v/>
      </c>
      <c r="AJ28" s="18">
        <f>IF(33&gt;=DeliverStart,ExpTurnoverPerUnit*TotalUnits/12*AJ$7*AJ$10,0)</f>
        <v/>
      </c>
      <c r="AK28" s="18">
        <f>IF(34&gt;=DeliverStart,ExpTurnoverPerUnit*TotalUnits/12*AK$7*AK$10,0)</f>
        <v/>
      </c>
      <c r="AL28" s="18">
        <f>IF(35&gt;=DeliverStart,ExpTurnoverPerUnit*TotalUnits/12*AL$7*AL$10,0)</f>
        <v/>
      </c>
      <c r="AM28" s="18">
        <f>IF(36&gt;=DeliverStart,ExpTurnoverPerUnit*TotalUnits/12*AM$7*AM$10,0)</f>
        <v/>
      </c>
      <c r="AN28" s="18">
        <f>IF(37&gt;=DeliverStart,ExpTurnoverPerUnit*TotalUnits/12*AN$7*AN$10,0)</f>
        <v/>
      </c>
      <c r="AO28" s="18">
        <f>IF(38&gt;=DeliverStart,ExpTurnoverPerUnit*TotalUnits/12*AO$7*AO$10,0)</f>
        <v/>
      </c>
      <c r="AP28" s="18">
        <f>IF(39&gt;=DeliverStart,ExpTurnoverPerUnit*TotalUnits/12*AP$7*AP$10,0)</f>
        <v/>
      </c>
      <c r="AQ28" s="18">
        <f>IF(40&gt;=DeliverStart,ExpTurnoverPerUnit*TotalUnits/12*AQ$7*AQ$10,0)</f>
        <v/>
      </c>
      <c r="AR28" s="18">
        <f>IF(41&gt;=DeliverStart,ExpTurnoverPerUnit*TotalUnits/12*AR$7*AR$10,0)</f>
        <v/>
      </c>
      <c r="AS28" s="18">
        <f>IF(42&gt;=DeliverStart,ExpTurnoverPerUnit*TotalUnits/12*AS$7*AS$10,0)</f>
        <v/>
      </c>
      <c r="AT28" s="18">
        <f>IF(43&gt;=DeliverStart,ExpTurnoverPerUnit*TotalUnits/12*AT$7*AT$10,0)</f>
        <v/>
      </c>
      <c r="AU28" s="18">
        <f>IF(44&gt;=DeliverStart,ExpTurnoverPerUnit*TotalUnits/12*AU$7*AU$10,0)</f>
        <v/>
      </c>
      <c r="AV28" s="18">
        <f>IF(45&gt;=DeliverStart,ExpTurnoverPerUnit*TotalUnits/12*AV$7*AV$10,0)</f>
        <v/>
      </c>
      <c r="AW28" s="18">
        <f>IF(46&gt;=DeliverStart,ExpTurnoverPerUnit*TotalUnits/12*AW$7*AW$10,0)</f>
        <v/>
      </c>
      <c r="AX28" s="18">
        <f>IF(47&gt;=DeliverStart,ExpTurnoverPerUnit*TotalUnits/12*AX$7*AX$10,0)</f>
        <v/>
      </c>
      <c r="AY28" s="18">
        <f>IF(48&gt;=DeliverStart,ExpTurnoverPerUnit*TotalUnits/12*AY$7*AY$10,0)</f>
        <v/>
      </c>
      <c r="AZ28" s="18">
        <f>IF(49&gt;=DeliverStart,ExpTurnoverPerUnit*TotalUnits/12*AZ$7*AZ$10,0)</f>
        <v/>
      </c>
      <c r="BA28" s="18">
        <f>IF(50&gt;=DeliverStart,ExpTurnoverPerUnit*TotalUnits/12*BA$7*BA$10,0)</f>
        <v/>
      </c>
      <c r="BB28" s="18">
        <f>IF(51&gt;=DeliverStart,ExpTurnoverPerUnit*TotalUnits/12*BB$7*BB$10,0)</f>
        <v/>
      </c>
      <c r="BC28" s="18">
        <f>IF(52&gt;=DeliverStart,ExpTurnoverPerUnit*TotalUnits/12*BC$7*BC$10,0)</f>
        <v/>
      </c>
      <c r="BD28" s="18">
        <f>IF(53&gt;=DeliverStart,ExpTurnoverPerUnit*TotalUnits/12*BD$7*BD$10,0)</f>
        <v/>
      </c>
      <c r="BE28" s="18">
        <f>IF(54&gt;=DeliverStart,ExpTurnoverPerUnit*TotalUnits/12*BE$7*BE$10,0)</f>
        <v/>
      </c>
      <c r="BF28" s="18">
        <f>IF(55&gt;=DeliverStart,ExpTurnoverPerUnit*TotalUnits/12*BF$7*BF$10,0)</f>
        <v/>
      </c>
      <c r="BG28" s="18">
        <f>IF(56&gt;=DeliverStart,ExpTurnoverPerUnit*TotalUnits/12*BG$7*BG$10,0)</f>
        <v/>
      </c>
      <c r="BH28" s="18">
        <f>IF(57&gt;=DeliverStart,ExpTurnoverPerUnit*TotalUnits/12*BH$7*BH$10,0)</f>
        <v/>
      </c>
      <c r="BI28" s="18">
        <f>IF(58&gt;=DeliverStart,ExpTurnoverPerUnit*TotalUnits/12*BI$7*BI$10,0)</f>
        <v/>
      </c>
      <c r="BJ28" s="18">
        <f>IF(59&gt;=DeliverStart,ExpTurnoverPerUnit*TotalUnits/12*BJ$7*BJ$10,0)</f>
        <v/>
      </c>
      <c r="BK28" s="18">
        <f>IF(60&gt;=DeliverStart,ExpTurnoverPerUnit*TotalUnits/12*BK$7*BK$10,0)</f>
        <v/>
      </c>
      <c r="BL28" s="18">
        <f>IF(61&gt;=DeliverStart,ExpTurnoverPerUnit*TotalUnits/12*BL$7*BL$10,0)</f>
        <v/>
      </c>
      <c r="BM28" s="18">
        <f>IF(62&gt;=DeliverStart,ExpTurnoverPerUnit*TotalUnits/12*BM$7*BM$10,0)</f>
        <v/>
      </c>
      <c r="BN28" s="18">
        <f>IF(63&gt;=DeliverStart,ExpTurnoverPerUnit*TotalUnits/12*BN$7*BN$10,0)</f>
        <v/>
      </c>
      <c r="BO28" s="18">
        <f>IF(64&gt;=DeliverStart,ExpTurnoverPerUnit*TotalUnits/12*BO$7*BO$10,0)</f>
        <v/>
      </c>
      <c r="BP28" s="18">
        <f>IF(65&gt;=DeliverStart,ExpTurnoverPerUnit*TotalUnits/12*BP$7*BP$10,0)</f>
        <v/>
      </c>
      <c r="BQ28" s="18">
        <f>IF(66&gt;=DeliverStart,ExpTurnoverPerUnit*TotalUnits/12*BQ$7*BQ$10,0)</f>
        <v/>
      </c>
      <c r="BR28" s="18">
        <f>IF(67&gt;=DeliverStart,ExpTurnoverPerUnit*TotalUnits/12*BR$7*BR$10,0)</f>
        <v/>
      </c>
      <c r="BS28" s="18">
        <f>IF(68&gt;=DeliverStart,ExpTurnoverPerUnit*TotalUnits/12*BS$7*BS$10,0)</f>
        <v/>
      </c>
      <c r="BT28" s="18">
        <f>IF(69&gt;=DeliverStart,ExpTurnoverPerUnit*TotalUnits/12*BT$7*BT$10,0)</f>
        <v/>
      </c>
      <c r="BU28" s="18">
        <f>IF(70&gt;=DeliverStart,ExpTurnoverPerUnit*TotalUnits/12*BU$7*BU$10,0)</f>
        <v/>
      </c>
      <c r="BV28" s="18">
        <f>IF(71&gt;=DeliverStart,ExpTurnoverPerUnit*TotalUnits/12*BV$7*BV$10,0)</f>
        <v/>
      </c>
      <c r="BW28" s="18">
        <f>IF(72&gt;=DeliverStart,ExpTurnoverPerUnit*TotalUnits/12*BW$7*BW$10,0)</f>
        <v/>
      </c>
      <c r="BX28" s="18">
        <f>IF(73&gt;=DeliverStart,ExpTurnoverPerUnit*TotalUnits/12*BX$7*BX$10,0)</f>
        <v/>
      </c>
      <c r="BY28" s="18">
        <f>IF(74&gt;=DeliverStart,ExpTurnoverPerUnit*TotalUnits/12*BY$7*BY$10,0)</f>
        <v/>
      </c>
      <c r="BZ28" s="18">
        <f>IF(75&gt;=DeliverStart,ExpTurnoverPerUnit*TotalUnits/12*BZ$7*BZ$10,0)</f>
        <v/>
      </c>
      <c r="CA28" s="18">
        <f>IF(76&gt;=DeliverStart,ExpTurnoverPerUnit*TotalUnits/12*CA$7*CA$10,0)</f>
        <v/>
      </c>
      <c r="CB28" s="18">
        <f>IF(77&gt;=DeliverStart,ExpTurnoverPerUnit*TotalUnits/12*CB$7*CB$10,0)</f>
        <v/>
      </c>
      <c r="CC28" s="18">
        <f>IF(78&gt;=DeliverStart,ExpTurnoverPerUnit*TotalUnits/12*CC$7*CC$10,0)</f>
        <v/>
      </c>
      <c r="CD28" s="18">
        <f>IF(79&gt;=DeliverStart,ExpTurnoverPerUnit*TotalUnits/12*CD$7*CD$10,0)</f>
        <v/>
      </c>
      <c r="CE28" s="18">
        <f>IF(80&gt;=DeliverStart,ExpTurnoverPerUnit*TotalUnits/12*CE$7*CE$10,0)</f>
        <v/>
      </c>
      <c r="CF28" s="18">
        <f>IF(81&gt;=DeliverStart,ExpTurnoverPerUnit*TotalUnits/12*CF$7*CF$10,0)</f>
        <v/>
      </c>
      <c r="CG28" s="18">
        <f>IF(82&gt;=DeliverStart,ExpTurnoverPerUnit*TotalUnits/12*CG$7*CG$10,0)</f>
        <v/>
      </c>
      <c r="CH28" s="18">
        <f>IF(83&gt;=DeliverStart,ExpTurnoverPerUnit*TotalUnits/12*CH$7*CH$10,0)</f>
        <v/>
      </c>
      <c r="CI28" s="18">
        <f>IF(84&gt;=DeliverStart,ExpTurnoverPerUnit*TotalUnits/12*CI$7*CI$10,0)</f>
        <v/>
      </c>
      <c r="CJ28" s="18">
        <f>IF(85&gt;=DeliverStart,ExpTurnoverPerUnit*TotalUnits/12*CJ$7*CJ$10,0)</f>
        <v/>
      </c>
      <c r="CK28" s="18">
        <f>IF(86&gt;=DeliverStart,ExpTurnoverPerUnit*TotalUnits/12*CK$7*CK$10,0)</f>
        <v/>
      </c>
      <c r="CL28" s="18">
        <f>IF(87&gt;=DeliverStart,ExpTurnoverPerUnit*TotalUnits/12*CL$7*CL$10,0)</f>
        <v/>
      </c>
      <c r="CM28" s="18">
        <f>IF(88&gt;=DeliverStart,ExpTurnoverPerUnit*TotalUnits/12*CM$7*CM$10,0)</f>
        <v/>
      </c>
      <c r="CN28" s="18">
        <f>IF(89&gt;=DeliverStart,ExpTurnoverPerUnit*TotalUnits/12*CN$7*CN$10,0)</f>
        <v/>
      </c>
      <c r="CO28" s="18">
        <f>IF(90&gt;=DeliverStart,ExpTurnoverPerUnit*TotalUnits/12*CO$7*CO$10,0)</f>
        <v/>
      </c>
      <c r="CP28" s="18">
        <f>IF(91&gt;=DeliverStart,ExpTurnoverPerUnit*TotalUnits/12*CP$7*CP$10,0)</f>
        <v/>
      </c>
      <c r="CQ28" s="18">
        <f>IF(92&gt;=DeliverStart,ExpTurnoverPerUnit*TotalUnits/12*CQ$7*CQ$10,0)</f>
        <v/>
      </c>
      <c r="CR28" s="18">
        <f>IF(93&gt;=DeliverStart,ExpTurnoverPerUnit*TotalUnits/12*CR$7*CR$10,0)</f>
        <v/>
      </c>
      <c r="CS28" s="18">
        <f>IF(94&gt;=DeliverStart,ExpTurnoverPerUnit*TotalUnits/12*CS$7*CS$10,0)</f>
        <v/>
      </c>
      <c r="CT28" s="18">
        <f>IF(95&gt;=DeliverStart,ExpTurnoverPerUnit*TotalUnits/12*CT$7*CT$10,0)</f>
        <v/>
      </c>
      <c r="CU28" s="18">
        <f>IF(96&gt;=DeliverStart,ExpTurnoverPerUnit*TotalUnits/12*CU$7*CU$10,0)</f>
        <v/>
      </c>
      <c r="CV28" s="18">
        <f>IF(97&gt;=DeliverStart,ExpTurnoverPerUnit*TotalUnits/12*CV$7*CV$10,0)</f>
        <v/>
      </c>
      <c r="CW28" s="18">
        <f>IF(98&gt;=DeliverStart,ExpTurnoverPerUnit*TotalUnits/12*CW$7*CW$10,0)</f>
        <v/>
      </c>
      <c r="CX28" s="18">
        <f>IF(99&gt;=DeliverStart,ExpTurnoverPerUnit*TotalUnits/12*CX$7*CX$10,0)</f>
        <v/>
      </c>
      <c r="CY28" s="18">
        <f>IF(100&gt;=DeliverStart,ExpTurnoverPerUnit*TotalUnits/12*CY$7*CY$10,0)</f>
        <v/>
      </c>
      <c r="CZ28" s="18">
        <f>IF(101&gt;=DeliverStart,ExpTurnoverPerUnit*TotalUnits/12*CZ$7*CZ$10,0)</f>
        <v/>
      </c>
      <c r="DA28" s="18">
        <f>IF(102&gt;=DeliverStart,ExpTurnoverPerUnit*TotalUnits/12*DA$7*DA$10,0)</f>
        <v/>
      </c>
      <c r="DB28" s="18">
        <f>IF(103&gt;=DeliverStart,ExpTurnoverPerUnit*TotalUnits/12*DB$7*DB$10,0)</f>
        <v/>
      </c>
      <c r="DC28" s="18">
        <f>IF(104&gt;=DeliverStart,ExpTurnoverPerUnit*TotalUnits/12*DC$7*DC$10,0)</f>
        <v/>
      </c>
      <c r="DD28" s="18">
        <f>IF(105&gt;=DeliverStart,ExpTurnoverPerUnit*TotalUnits/12*DD$7*DD$10,0)</f>
        <v/>
      </c>
      <c r="DE28" s="18">
        <f>IF(106&gt;=DeliverStart,ExpTurnoverPerUnit*TotalUnits/12*DE$7*DE$10,0)</f>
        <v/>
      </c>
      <c r="DF28" s="18">
        <f>IF(107&gt;=DeliverStart,ExpTurnoverPerUnit*TotalUnits/12*DF$7*DF$10,0)</f>
        <v/>
      </c>
      <c r="DG28" s="18">
        <f>IF(108&gt;=DeliverStart,ExpTurnoverPerUnit*TotalUnits/12*DG$7*DG$10,0)</f>
        <v/>
      </c>
      <c r="DH28" s="18">
        <f>IF(109&gt;=DeliverStart,ExpTurnoverPerUnit*TotalUnits/12*DH$7*DH$10,0)</f>
        <v/>
      </c>
      <c r="DI28" s="18">
        <f>IF(110&gt;=DeliverStart,ExpTurnoverPerUnit*TotalUnits/12*DI$7*DI$10,0)</f>
        <v/>
      </c>
      <c r="DJ28" s="18">
        <f>IF(111&gt;=DeliverStart,ExpTurnoverPerUnit*TotalUnits/12*DJ$7*DJ$10,0)</f>
        <v/>
      </c>
      <c r="DK28" s="18">
        <f>IF(112&gt;=DeliverStart,ExpTurnoverPerUnit*TotalUnits/12*DK$7*DK$10,0)</f>
        <v/>
      </c>
      <c r="DL28" s="18">
        <f>IF(113&gt;=DeliverStart,ExpTurnoverPerUnit*TotalUnits/12*DL$7*DL$10,0)</f>
        <v/>
      </c>
      <c r="DM28" s="18">
        <f>IF(114&gt;=DeliverStart,ExpTurnoverPerUnit*TotalUnits/12*DM$7*DM$10,0)</f>
        <v/>
      </c>
      <c r="DN28" s="18">
        <f>IF(115&gt;=DeliverStart,ExpTurnoverPerUnit*TotalUnits/12*DN$7*DN$10,0)</f>
        <v/>
      </c>
      <c r="DO28" s="18">
        <f>IF(116&gt;=DeliverStart,ExpTurnoverPerUnit*TotalUnits/12*DO$7*DO$10,0)</f>
        <v/>
      </c>
      <c r="DP28" s="18">
        <f>IF(117&gt;=DeliverStart,ExpTurnoverPerUnit*TotalUnits/12*DP$7*DP$10,0)</f>
        <v/>
      </c>
      <c r="DQ28" s="18">
        <f>IF(118&gt;=DeliverStart,ExpTurnoverPerUnit*TotalUnits/12*DQ$7*DQ$10,0)</f>
        <v/>
      </c>
      <c r="DR28" s="18">
        <f>IF(119&gt;=DeliverStart,ExpTurnoverPerUnit*TotalUnits/12*DR$7*DR$10,0)</f>
        <v/>
      </c>
      <c r="DS28" s="18">
        <f>IF(120&gt;=DeliverStart,ExpTurnoverPerUnit*TotalUnits/12*DS$7*DS$10,0)</f>
        <v/>
      </c>
      <c r="DT28" s="18">
        <f>IF(121&gt;=DeliverStart,ExpTurnoverPerUnit*TotalUnits/12*DT$7*DT$10,0)</f>
        <v/>
      </c>
      <c r="DU28" s="18">
        <f>IF(122&gt;=DeliverStart,ExpTurnoverPerUnit*TotalUnits/12*DU$7*DU$10,0)</f>
        <v/>
      </c>
      <c r="DV28" s="18">
        <f>IF(123&gt;=DeliverStart,ExpTurnoverPerUnit*TotalUnits/12*DV$7*DV$10,0)</f>
        <v/>
      </c>
      <c r="DW28" s="18">
        <f>IF(124&gt;=DeliverStart,ExpTurnoverPerUnit*TotalUnits/12*DW$7*DW$10,0)</f>
        <v/>
      </c>
      <c r="DX28" s="18">
        <f>IF(125&gt;=DeliverStart,ExpTurnoverPerUnit*TotalUnits/12*DX$7*DX$10,0)</f>
        <v/>
      </c>
      <c r="DY28" s="18">
        <f>IF(126&gt;=DeliverStart,ExpTurnoverPerUnit*TotalUnits/12*DY$7*DY$10,0)</f>
        <v/>
      </c>
      <c r="DZ28" s="18">
        <f>IF(127&gt;=DeliverStart,ExpTurnoverPerUnit*TotalUnits/12*DZ$7*DZ$10,0)</f>
        <v/>
      </c>
      <c r="EA28" s="18">
        <f>IF(128&gt;=DeliverStart,ExpTurnoverPerUnit*TotalUnits/12*EA$7*EA$10,0)</f>
        <v/>
      </c>
      <c r="EB28" s="18">
        <f>IF(129&gt;=DeliverStart,ExpTurnoverPerUnit*TotalUnits/12*EB$7*EB$10,0)</f>
        <v/>
      </c>
      <c r="EC28" s="18">
        <f>IF(130&gt;=DeliverStart,ExpTurnoverPerUnit*TotalUnits/12*EC$7*EC$10,0)</f>
        <v/>
      </c>
      <c r="ED28" s="18">
        <f>IF(131&gt;=DeliverStart,ExpTurnoverPerUnit*TotalUnits/12*ED$7*ED$10,0)</f>
        <v/>
      </c>
      <c r="EE28" s="18">
        <f>IF(132&gt;=DeliverStart,ExpTurnoverPerUnit*TotalUnits/12*EE$7*EE$10,0)</f>
        <v/>
      </c>
      <c r="EF28" s="18">
        <f>IF(133&gt;=DeliverStart,ExpTurnoverPerUnit*TotalUnits/12*EF$7*EF$10,0)</f>
        <v/>
      </c>
      <c r="EG28" s="18">
        <f>IF(134&gt;=DeliverStart,ExpTurnoverPerUnit*TotalUnits/12*EG$7*EG$10,0)</f>
        <v/>
      </c>
      <c r="EH28" s="18">
        <f>IF(135&gt;=DeliverStart,ExpTurnoverPerUnit*TotalUnits/12*EH$7*EH$10,0)</f>
        <v/>
      </c>
      <c r="EI28" s="18">
        <f>IF(136&gt;=DeliverStart,ExpTurnoverPerUnit*TotalUnits/12*EI$7*EI$10,0)</f>
        <v/>
      </c>
      <c r="EJ28" s="18">
        <f>IF(137&gt;=DeliverStart,ExpTurnoverPerUnit*TotalUnits/12*EJ$7*EJ$10,0)</f>
        <v/>
      </c>
      <c r="EK28" s="18">
        <f>IF(138&gt;=DeliverStart,ExpTurnoverPerUnit*TotalUnits/12*EK$7*EK$10,0)</f>
        <v/>
      </c>
      <c r="EL28" s="18">
        <f>IF(139&gt;=DeliverStart,ExpTurnoverPerUnit*TotalUnits/12*EL$7*EL$10,0)</f>
        <v/>
      </c>
      <c r="EM28" s="18">
        <f>IF(140&gt;=DeliverStart,ExpTurnoverPerUnit*TotalUnits/12*EM$7*EM$10,0)</f>
        <v/>
      </c>
      <c r="EN28" s="18">
        <f>IF(141&gt;=DeliverStart,ExpTurnoverPerUnit*TotalUnits/12*EN$7*EN$10,0)</f>
        <v/>
      </c>
      <c r="EO28" s="18">
        <f>IF(142&gt;=DeliverStart,ExpTurnoverPerUnit*TotalUnits/12*EO$7*EO$10,0)</f>
        <v/>
      </c>
      <c r="EP28" s="18">
        <f>IF(143&gt;=DeliverStart,ExpTurnoverPerUnit*TotalUnits/12*EP$7*EP$10,0)</f>
        <v/>
      </c>
      <c r="EQ28" s="18">
        <f>IF(144&gt;=DeliverStart,ExpTurnoverPerUnit*TotalUnits/12*EQ$7*EQ$10,0)</f>
        <v/>
      </c>
      <c r="ER28" s="18">
        <f>IF(145&gt;=DeliverStart,ExpTurnoverPerUnit*TotalUnits/12*ER$7*ER$10,0)</f>
        <v/>
      </c>
      <c r="ES28" s="18">
        <f>IF(146&gt;=DeliverStart,ExpTurnoverPerUnit*TotalUnits/12*ES$7*ES$10,0)</f>
        <v/>
      </c>
      <c r="ET28" s="18">
        <f>IF(147&gt;=DeliverStart,ExpTurnoverPerUnit*TotalUnits/12*ET$7*ET$10,0)</f>
        <v/>
      </c>
      <c r="EU28" s="18">
        <f>IF(148&gt;=DeliverStart,ExpTurnoverPerUnit*TotalUnits/12*EU$7*EU$10,0)</f>
        <v/>
      </c>
      <c r="EV28" s="18">
        <f>IF(149&gt;=DeliverStart,ExpTurnoverPerUnit*TotalUnits/12*EV$7*EV$10,0)</f>
        <v/>
      </c>
      <c r="EW28" s="18">
        <f>IF(150&gt;=DeliverStart,ExpTurnoverPerUnit*TotalUnits/12*EW$7*EW$10,0)</f>
        <v/>
      </c>
      <c r="EX28" s="18">
        <f>IF(151&gt;=DeliverStart,ExpTurnoverPerUnit*TotalUnits/12*EX$7*EX$10,0)</f>
        <v/>
      </c>
      <c r="EY28" s="18">
        <f>IF(152&gt;=DeliverStart,ExpTurnoverPerUnit*TotalUnits/12*EY$7*EY$10,0)</f>
        <v/>
      </c>
      <c r="EZ28" s="18">
        <f>IF(153&gt;=DeliverStart,ExpTurnoverPerUnit*TotalUnits/12*EZ$7*EZ$10,0)</f>
        <v/>
      </c>
      <c r="FA28" s="18">
        <f>IF(154&gt;=DeliverStart,ExpTurnoverPerUnit*TotalUnits/12*FA$7*FA$10,0)</f>
        <v/>
      </c>
      <c r="FB28" s="18">
        <f>IF(155&gt;=DeliverStart,ExpTurnoverPerUnit*TotalUnits/12*FB$7*FB$10,0)</f>
        <v/>
      </c>
      <c r="FC28" s="18">
        <f>IF(156&gt;=DeliverStart,ExpTurnoverPerUnit*TotalUnits/12*FC$7*FC$10,0)</f>
        <v/>
      </c>
      <c r="FD28" s="18">
        <f>IF(157&gt;=DeliverStart,ExpTurnoverPerUnit*TotalUnits/12*FD$7*FD$10,0)</f>
        <v/>
      </c>
      <c r="FE28" s="18">
        <f>IF(158&gt;=DeliverStart,ExpTurnoverPerUnit*TotalUnits/12*FE$7*FE$10,0)</f>
        <v/>
      </c>
      <c r="FF28" s="18">
        <f>IF(159&gt;=DeliverStart,ExpTurnoverPerUnit*TotalUnits/12*FF$7*FF$10,0)</f>
        <v/>
      </c>
      <c r="FG28" s="18">
        <f>IF(160&gt;=DeliverStart,ExpTurnoverPerUnit*TotalUnits/12*FG$7*FG$10,0)</f>
        <v/>
      </c>
      <c r="FH28" s="18">
        <f>IF(161&gt;=DeliverStart,ExpTurnoverPerUnit*TotalUnits/12*FH$7*FH$10,0)</f>
        <v/>
      </c>
      <c r="FI28" s="18">
        <f>IF(162&gt;=DeliverStart,ExpTurnoverPerUnit*TotalUnits/12*FI$7*FI$10,0)</f>
        <v/>
      </c>
      <c r="FJ28" s="18">
        <f>IF(163&gt;=DeliverStart,ExpTurnoverPerUnit*TotalUnits/12*FJ$7*FJ$10,0)</f>
        <v/>
      </c>
      <c r="FK28" s="18">
        <f>IF(164&gt;=DeliverStart,ExpTurnoverPerUnit*TotalUnits/12*FK$7*FK$10,0)</f>
        <v/>
      </c>
      <c r="FL28" s="18">
        <f>IF(165&gt;=DeliverStart,ExpTurnoverPerUnit*TotalUnits/12*FL$7*FL$10,0)</f>
        <v/>
      </c>
      <c r="FM28" s="18">
        <f>IF(166&gt;=DeliverStart,ExpTurnoverPerUnit*TotalUnits/12*FM$7*FM$10,0)</f>
        <v/>
      </c>
      <c r="FN28" s="18">
        <f>IF(167&gt;=DeliverStart,ExpTurnoverPerUnit*TotalUnits/12*FN$7*FN$10,0)</f>
        <v/>
      </c>
      <c r="FO28" s="18">
        <f>IF(168&gt;=DeliverStart,ExpTurnoverPerUnit*TotalUnits/12*FO$7*FO$10,0)</f>
        <v/>
      </c>
      <c r="FP28" s="18">
        <f>IF(169&gt;=DeliverStart,ExpTurnoverPerUnit*TotalUnits/12*FP$7*FP$10,0)</f>
        <v/>
      </c>
      <c r="FQ28" s="18">
        <f>IF(170&gt;=DeliverStart,ExpTurnoverPerUnit*TotalUnits/12*FQ$7*FQ$10,0)</f>
        <v/>
      </c>
      <c r="FR28" s="18">
        <f>IF(171&gt;=DeliverStart,ExpTurnoverPerUnit*TotalUnits/12*FR$7*FR$10,0)</f>
        <v/>
      </c>
      <c r="FS28" s="18">
        <f>IF(172&gt;=DeliverStart,ExpTurnoverPerUnit*TotalUnits/12*FS$7*FS$10,0)</f>
        <v/>
      </c>
      <c r="FT28" s="18">
        <f>IF(173&gt;=DeliverStart,ExpTurnoverPerUnit*TotalUnits/12*FT$7*FT$10,0)</f>
        <v/>
      </c>
      <c r="FU28" s="18">
        <f>IF(174&gt;=DeliverStart,ExpTurnoverPerUnit*TotalUnits/12*FU$7*FU$10,0)</f>
        <v/>
      </c>
      <c r="FV28" s="18">
        <f>IF(175&gt;=DeliverStart,ExpTurnoverPerUnit*TotalUnits/12*FV$7*FV$10,0)</f>
        <v/>
      </c>
      <c r="FW28" s="18">
        <f>IF(176&gt;=DeliverStart,ExpTurnoverPerUnit*TotalUnits/12*FW$7*FW$10,0)</f>
        <v/>
      </c>
      <c r="FX28" s="18">
        <f>IF(177&gt;=DeliverStart,ExpTurnoverPerUnit*TotalUnits/12*FX$7*FX$10,0)</f>
        <v/>
      </c>
      <c r="FY28" s="18">
        <f>IF(178&gt;=DeliverStart,ExpTurnoverPerUnit*TotalUnits/12*FY$7*FY$10,0)</f>
        <v/>
      </c>
      <c r="FZ28" s="18">
        <f>IF(179&gt;=DeliverStart,ExpTurnoverPerUnit*TotalUnits/12*FZ$7*FZ$10,0)</f>
        <v/>
      </c>
      <c r="GA28" s="18">
        <f>IF(180&gt;=DeliverStart,ExpTurnoverPerUnit*TotalUnits/12*GA$7*GA$10,0)</f>
        <v/>
      </c>
      <c r="GB28" s="18">
        <f>IF(181&gt;=DeliverStart,ExpTurnoverPerUnit*TotalUnits/12*GB$7*GB$10,0)</f>
        <v/>
      </c>
      <c r="GC28" s="18">
        <f>IF(182&gt;=DeliverStart,ExpTurnoverPerUnit*TotalUnits/12*GC$7*GC$10,0)</f>
        <v/>
      </c>
      <c r="GD28" s="18">
        <f>IF(183&gt;=DeliverStart,ExpTurnoverPerUnit*TotalUnits/12*GD$7*GD$10,0)</f>
        <v/>
      </c>
      <c r="GE28" s="18">
        <f>IF(184&gt;=DeliverStart,ExpTurnoverPerUnit*TotalUnits/12*GE$7*GE$10,0)</f>
        <v/>
      </c>
      <c r="GF28" s="18">
        <f>IF(185&gt;=DeliverStart,ExpTurnoverPerUnit*TotalUnits/12*GF$7*GF$10,0)</f>
        <v/>
      </c>
      <c r="GG28" s="18">
        <f>IF(186&gt;=DeliverStart,ExpTurnoverPerUnit*TotalUnits/12*GG$7*GG$10,0)</f>
        <v/>
      </c>
      <c r="GH28" s="18">
        <f>IF(187&gt;=DeliverStart,ExpTurnoverPerUnit*TotalUnits/12*GH$7*GH$10,0)</f>
        <v/>
      </c>
      <c r="GI28" s="18">
        <f>IF(188&gt;=DeliverStart,ExpTurnoverPerUnit*TotalUnits/12*GI$7*GI$10,0)</f>
        <v/>
      </c>
      <c r="GJ28" s="18">
        <f>IF(189&gt;=DeliverStart,ExpTurnoverPerUnit*TotalUnits/12*GJ$7*GJ$10,0)</f>
        <v/>
      </c>
      <c r="GK28" s="18">
        <f>IF(190&gt;=DeliverStart,ExpTurnoverPerUnit*TotalUnits/12*GK$7*GK$10,0)</f>
        <v/>
      </c>
      <c r="GL28" s="18">
        <f>IF(191&gt;=DeliverStart,ExpTurnoverPerUnit*TotalUnits/12*GL$7*GL$10,0)</f>
        <v/>
      </c>
      <c r="GM28" s="18">
        <f>IF(192&gt;=DeliverStart,ExpTurnoverPerUnit*TotalUnits/12*GM$7*GM$10,0)</f>
        <v/>
      </c>
      <c r="GN28" s="18">
        <f>IF(193&gt;=DeliverStart,ExpTurnoverPerUnit*TotalUnits/12*GN$7*GN$10,0)</f>
        <v/>
      </c>
      <c r="GO28" s="18">
        <f>IF(194&gt;=DeliverStart,ExpTurnoverPerUnit*TotalUnits/12*GO$7*GO$10,0)</f>
        <v/>
      </c>
      <c r="GP28" s="18">
        <f>IF(195&gt;=DeliverStart,ExpTurnoverPerUnit*TotalUnits/12*GP$7*GP$10,0)</f>
        <v/>
      </c>
      <c r="GQ28" s="18">
        <f>IF(196&gt;=DeliverStart,ExpTurnoverPerUnit*TotalUnits/12*GQ$7*GQ$10,0)</f>
        <v/>
      </c>
      <c r="GR28" s="18">
        <f>IF(197&gt;=DeliverStart,ExpTurnoverPerUnit*TotalUnits/12*GR$7*GR$10,0)</f>
        <v/>
      </c>
      <c r="GS28" s="18">
        <f>IF(198&gt;=DeliverStart,ExpTurnoverPerUnit*TotalUnits/12*GS$7*GS$10,0)</f>
        <v/>
      </c>
      <c r="GT28" s="18">
        <f>IF(199&gt;=DeliverStart,ExpTurnoverPerUnit*TotalUnits/12*GT$7*GT$10,0)</f>
        <v/>
      </c>
      <c r="GU28" s="18">
        <f>IF(200&gt;=DeliverStart,ExpTurnoverPerUnit*TotalUnits/12*GU$7*GU$10,0)</f>
        <v/>
      </c>
      <c r="GV28" s="18">
        <f>IF(201&gt;=DeliverStart,ExpTurnoverPerUnit*TotalUnits/12*GV$7*GV$10,0)</f>
        <v/>
      </c>
      <c r="GW28" s="18">
        <f>IF(202&gt;=DeliverStart,ExpTurnoverPerUnit*TotalUnits/12*GW$7*GW$10,0)</f>
        <v/>
      </c>
      <c r="GX28" s="18">
        <f>IF(203&gt;=DeliverStart,ExpTurnoverPerUnit*TotalUnits/12*GX$7*GX$10,0)</f>
        <v/>
      </c>
      <c r="GY28" s="18">
        <f>IF(204&gt;=DeliverStart,ExpTurnoverPerUnit*TotalUnits/12*GY$7*GY$10,0)</f>
        <v/>
      </c>
      <c r="GZ28" s="18">
        <f>IF(205&gt;=DeliverStart,ExpTurnoverPerUnit*TotalUnits/12*GZ$7*GZ$10,0)</f>
        <v/>
      </c>
      <c r="HA28" s="18">
        <f>IF(206&gt;=DeliverStart,ExpTurnoverPerUnit*TotalUnits/12*HA$7*HA$10,0)</f>
        <v/>
      </c>
      <c r="HB28" s="18">
        <f>IF(207&gt;=DeliverStart,ExpTurnoverPerUnit*TotalUnits/12*HB$7*HB$10,0)</f>
        <v/>
      </c>
      <c r="HC28" s="18">
        <f>IF(208&gt;=DeliverStart,ExpTurnoverPerUnit*TotalUnits/12*HC$7*HC$10,0)</f>
        <v/>
      </c>
      <c r="HD28" s="18">
        <f>IF(209&gt;=DeliverStart,ExpTurnoverPerUnit*TotalUnits/12*HD$7*HD$10,0)</f>
        <v/>
      </c>
      <c r="HE28" s="18">
        <f>IF(210&gt;=DeliverStart,ExpTurnoverPerUnit*TotalUnits/12*HE$7*HE$10,0)</f>
        <v/>
      </c>
      <c r="HF28" s="18">
        <f>IF(211&gt;=DeliverStart,ExpTurnoverPerUnit*TotalUnits/12*HF$7*HF$10,0)</f>
        <v/>
      </c>
      <c r="HG28" s="18">
        <f>IF(212&gt;=DeliverStart,ExpTurnoverPerUnit*TotalUnits/12*HG$7*HG$10,0)</f>
        <v/>
      </c>
      <c r="HH28" s="18">
        <f>IF(213&gt;=DeliverStart,ExpTurnoverPerUnit*TotalUnits/12*HH$7*HH$10,0)</f>
        <v/>
      </c>
      <c r="HI28" s="18">
        <f>IF(214&gt;=DeliverStart,ExpTurnoverPerUnit*TotalUnits/12*HI$7*HI$10,0)</f>
        <v/>
      </c>
      <c r="HJ28" s="18">
        <f>IF(215&gt;=DeliverStart,ExpTurnoverPerUnit*TotalUnits/12*HJ$7*HJ$10,0)</f>
        <v/>
      </c>
      <c r="HK28" s="18">
        <f>IF(216&gt;=DeliverStart,ExpTurnoverPerUnit*TotalUnits/12*HK$7*HK$10,0)</f>
        <v/>
      </c>
      <c r="HL28" s="18">
        <f>IF(217&gt;=DeliverStart,ExpTurnoverPerUnit*TotalUnits/12*HL$7*HL$10,0)</f>
        <v/>
      </c>
      <c r="HM28" s="18">
        <f>IF(218&gt;=DeliverStart,ExpTurnoverPerUnit*TotalUnits/12*HM$7*HM$10,0)</f>
        <v/>
      </c>
      <c r="HN28" s="18">
        <f>IF(219&gt;=DeliverStart,ExpTurnoverPerUnit*TotalUnits/12*HN$7*HN$10,0)</f>
        <v/>
      </c>
      <c r="HO28" s="18">
        <f>IF(220&gt;=DeliverStart,ExpTurnoverPerUnit*TotalUnits/12*HO$7*HO$10,0)</f>
        <v/>
      </c>
      <c r="HP28" s="18">
        <f>IF(221&gt;=DeliverStart,ExpTurnoverPerUnit*TotalUnits/12*HP$7*HP$10,0)</f>
        <v/>
      </c>
      <c r="HQ28" s="18">
        <f>IF(222&gt;=DeliverStart,ExpTurnoverPerUnit*TotalUnits/12*HQ$7*HQ$10,0)</f>
        <v/>
      </c>
      <c r="HR28" s="18">
        <f>IF(223&gt;=DeliverStart,ExpTurnoverPerUnit*TotalUnits/12*HR$7*HR$10,0)</f>
        <v/>
      </c>
      <c r="HS28" s="18">
        <f>IF(224&gt;=DeliverStart,ExpTurnoverPerUnit*TotalUnits/12*HS$7*HS$10,0)</f>
        <v/>
      </c>
      <c r="HT28" s="18">
        <f>IF(225&gt;=DeliverStart,ExpTurnoverPerUnit*TotalUnits/12*HT$7*HT$10,0)</f>
        <v/>
      </c>
      <c r="HU28" s="18">
        <f>IF(226&gt;=DeliverStart,ExpTurnoverPerUnit*TotalUnits/12*HU$7*HU$10,0)</f>
        <v/>
      </c>
      <c r="HV28" s="18">
        <f>IF(227&gt;=DeliverStart,ExpTurnoverPerUnit*TotalUnits/12*HV$7*HV$10,0)</f>
        <v/>
      </c>
      <c r="HW28" s="18">
        <f>IF(228&gt;=DeliverStart,ExpTurnoverPerUnit*TotalUnits/12*HW$7*HW$10,0)</f>
        <v/>
      </c>
      <c r="HX28" s="18">
        <f>IF(229&gt;=DeliverStart,ExpTurnoverPerUnit*TotalUnits/12*HX$7*HX$10,0)</f>
        <v/>
      </c>
      <c r="HY28" s="18">
        <f>IF(230&gt;=DeliverStart,ExpTurnoverPerUnit*TotalUnits/12*HY$7*HY$10,0)</f>
        <v/>
      </c>
      <c r="HZ28" s="18">
        <f>IF(231&gt;=DeliverStart,ExpTurnoverPerUnit*TotalUnits/12*HZ$7*HZ$10,0)</f>
        <v/>
      </c>
      <c r="IA28" s="18">
        <f>IF(232&gt;=DeliverStart,ExpTurnoverPerUnit*TotalUnits/12*IA$7*IA$10,0)</f>
        <v/>
      </c>
      <c r="IB28" s="18">
        <f>IF(233&gt;=DeliverStart,ExpTurnoverPerUnit*TotalUnits/12*IB$7*IB$10,0)</f>
        <v/>
      </c>
      <c r="IC28" s="18">
        <f>IF(234&gt;=DeliverStart,ExpTurnoverPerUnit*TotalUnits/12*IC$7*IC$10,0)</f>
        <v/>
      </c>
      <c r="ID28" s="18">
        <f>IF(235&gt;=DeliverStart,ExpTurnoverPerUnit*TotalUnits/12*ID$7*ID$10,0)</f>
        <v/>
      </c>
      <c r="IE28" s="18">
        <f>IF(236&gt;=DeliverStart,ExpTurnoverPerUnit*TotalUnits/12*IE$7*IE$10,0)</f>
        <v/>
      </c>
      <c r="IF28" s="18">
        <f>IF(237&gt;=DeliverStart,ExpTurnoverPerUnit*TotalUnits/12*IF$7*IF$10,0)</f>
        <v/>
      </c>
      <c r="IG28" s="18">
        <f>IF(238&gt;=DeliverStart,ExpTurnoverPerUnit*TotalUnits/12*IG$7*IG$10,0)</f>
        <v/>
      </c>
      <c r="IH28" s="18">
        <f>IF(239&gt;=DeliverStart,ExpTurnoverPerUnit*TotalUnits/12*IH$7*IH$10,0)</f>
        <v/>
      </c>
      <c r="II28" s="18">
        <f>IF(240&gt;=DeliverStart,ExpTurnoverPerUnit*TotalUnits/12*II$7*II$10,0)</f>
        <v/>
      </c>
      <c r="IJ28" s="18">
        <f>IF(241&gt;=DeliverStart,ExpTurnoverPerUnit*TotalUnits/12*IJ$7*IJ$10,0)</f>
        <v/>
      </c>
      <c r="IK28" s="18">
        <f>IF(242&gt;=DeliverStart,ExpTurnoverPerUnit*TotalUnits/12*IK$7*IK$10,0)</f>
        <v/>
      </c>
      <c r="IL28" s="18">
        <f>IF(243&gt;=DeliverStart,ExpTurnoverPerUnit*TotalUnits/12*IL$7*IL$10,0)</f>
        <v/>
      </c>
      <c r="IM28" s="18">
        <f>IF(244&gt;=DeliverStart,ExpTurnoverPerUnit*TotalUnits/12*IM$7*IM$10,0)</f>
        <v/>
      </c>
      <c r="IN28" s="18">
        <f>IF(245&gt;=DeliverStart,ExpTurnoverPerUnit*TotalUnits/12*IN$7*IN$10,0)</f>
        <v/>
      </c>
      <c r="IO28" s="18">
        <f>IF(246&gt;=DeliverStart,ExpTurnoverPerUnit*TotalUnits/12*IO$7*IO$10,0)</f>
        <v/>
      </c>
      <c r="IP28" s="18">
        <f>IF(247&gt;=DeliverStart,ExpTurnoverPerUnit*TotalUnits/12*IP$7*IP$10,0)</f>
        <v/>
      </c>
      <c r="IQ28" s="18">
        <f>IF(248&gt;=DeliverStart,ExpTurnoverPerUnit*TotalUnits/12*IQ$7*IQ$10,0)</f>
        <v/>
      </c>
      <c r="IR28" s="18">
        <f>IF(249&gt;=DeliverStart,ExpTurnoverPerUnit*TotalUnits/12*IR$7*IR$10,0)</f>
        <v/>
      </c>
      <c r="IS28" s="18">
        <f>IF(250&gt;=DeliverStart,ExpTurnoverPerUnit*TotalUnits/12*IS$7*IS$10,0)</f>
        <v/>
      </c>
      <c r="IT28" s="18">
        <f>IF(251&gt;=DeliverStart,ExpTurnoverPerUnit*TotalUnits/12*IT$7*IT$10,0)</f>
        <v/>
      </c>
      <c r="IU28" s="18">
        <f>IF(252&gt;=DeliverStart,ExpTurnoverPerUnit*TotalUnits/12*IU$7*IU$10,0)</f>
        <v/>
      </c>
      <c r="IV28" s="18">
        <f>IF(253&gt;=DeliverStart,ExpTurnoverPerUnit*TotalUnits/12*IV$7*IV$10,0)</f>
        <v/>
      </c>
      <c r="IW28" s="18">
        <f>IF(254&gt;=DeliverStart,ExpTurnoverPerUnit*TotalUnits/12*IW$7*IW$10,0)</f>
        <v/>
      </c>
      <c r="IX28" s="18">
        <f>IF(255&gt;=DeliverStart,ExpTurnoverPerUnit*TotalUnits/12*IX$7*IX$10,0)</f>
        <v/>
      </c>
      <c r="IY28" s="18">
        <f>IF(256&gt;=DeliverStart,ExpTurnoverPerUnit*TotalUnits/12*IY$7*IY$10,0)</f>
        <v/>
      </c>
      <c r="IZ28" s="18">
        <f>IF(257&gt;=DeliverStart,ExpTurnoverPerUnit*TotalUnits/12*IZ$7*IZ$10,0)</f>
        <v/>
      </c>
      <c r="JA28" s="18">
        <f>IF(258&gt;=DeliverStart,ExpTurnoverPerUnit*TotalUnits/12*JA$7*JA$10,0)</f>
        <v/>
      </c>
      <c r="JB28" s="18">
        <f>IF(259&gt;=DeliverStart,ExpTurnoverPerUnit*TotalUnits/12*JB$7*JB$10,0)</f>
        <v/>
      </c>
      <c r="JC28" s="18">
        <f>IF(260&gt;=DeliverStart,ExpTurnoverPerUnit*TotalUnits/12*JC$7*JC$10,0)</f>
        <v/>
      </c>
      <c r="JD28" s="18">
        <f>IF(261&gt;=DeliverStart,ExpTurnoverPerUnit*TotalUnits/12*JD$7*JD$10,0)</f>
        <v/>
      </c>
      <c r="JE28" s="18">
        <f>IF(262&gt;=DeliverStart,ExpTurnoverPerUnit*TotalUnits/12*JE$7*JE$10,0)</f>
        <v/>
      </c>
      <c r="JF28" s="18">
        <f>IF(263&gt;=DeliverStart,ExpTurnoverPerUnit*TotalUnits/12*JF$7*JF$10,0)</f>
        <v/>
      </c>
      <c r="JG28" s="18">
        <f>IF(264&gt;=DeliverStart,ExpTurnoverPerUnit*TotalUnits/12*JG$7*JG$10,0)</f>
        <v/>
      </c>
      <c r="JH28" s="18">
        <f>IF(265&gt;=DeliverStart,ExpTurnoverPerUnit*TotalUnits/12*JH$7*JH$10,0)</f>
        <v/>
      </c>
      <c r="JI28" s="18">
        <f>IF(266&gt;=DeliverStart,ExpTurnoverPerUnit*TotalUnits/12*JI$7*JI$10,0)</f>
        <v/>
      </c>
      <c r="JJ28" s="18">
        <f>IF(267&gt;=DeliverStart,ExpTurnoverPerUnit*TotalUnits/12*JJ$7*JJ$10,0)</f>
        <v/>
      </c>
      <c r="JK28" s="18">
        <f>IF(268&gt;=DeliverStart,ExpTurnoverPerUnit*TotalUnits/12*JK$7*JK$10,0)</f>
        <v/>
      </c>
      <c r="JL28" s="18">
        <f>IF(269&gt;=DeliverStart,ExpTurnoverPerUnit*TotalUnits/12*JL$7*JL$10,0)</f>
        <v/>
      </c>
      <c r="JM28" s="18">
        <f>IF(270&gt;=DeliverStart,ExpTurnoverPerUnit*TotalUnits/12*JM$7*JM$10,0)</f>
        <v/>
      </c>
      <c r="JN28" s="18">
        <f>IF(271&gt;=DeliverStart,ExpTurnoverPerUnit*TotalUnits/12*JN$7*JN$10,0)</f>
        <v/>
      </c>
      <c r="JO28" s="18">
        <f>IF(272&gt;=DeliverStart,ExpTurnoverPerUnit*TotalUnits/12*JO$7*JO$10,0)</f>
        <v/>
      </c>
      <c r="JP28" s="18">
        <f>IF(273&gt;=DeliverStart,ExpTurnoverPerUnit*TotalUnits/12*JP$7*JP$10,0)</f>
        <v/>
      </c>
      <c r="JQ28" s="18">
        <f>IF(274&gt;=DeliverStart,ExpTurnoverPerUnit*TotalUnits/12*JQ$7*JQ$10,0)</f>
        <v/>
      </c>
      <c r="JR28" s="18">
        <f>IF(275&gt;=DeliverStart,ExpTurnoverPerUnit*TotalUnits/12*JR$7*JR$10,0)</f>
        <v/>
      </c>
      <c r="JS28" s="18">
        <f>IF(276&gt;=DeliverStart,ExpTurnoverPerUnit*TotalUnits/12*JS$7*JS$10,0)</f>
        <v/>
      </c>
      <c r="JT28" s="18">
        <f>IF(277&gt;=DeliverStart,ExpTurnoverPerUnit*TotalUnits/12*JT$7*JT$10,0)</f>
        <v/>
      </c>
      <c r="JU28" s="18">
        <f>IF(278&gt;=DeliverStart,ExpTurnoverPerUnit*TotalUnits/12*JU$7*JU$10,0)</f>
        <v/>
      </c>
      <c r="JV28" s="18">
        <f>IF(279&gt;=DeliverStart,ExpTurnoverPerUnit*TotalUnits/12*JV$7*JV$10,0)</f>
        <v/>
      </c>
      <c r="JW28" s="18">
        <f>IF(280&gt;=DeliverStart,ExpTurnoverPerUnit*TotalUnits/12*JW$7*JW$10,0)</f>
        <v/>
      </c>
      <c r="JX28" s="18">
        <f>IF(281&gt;=DeliverStart,ExpTurnoverPerUnit*TotalUnits/12*JX$7*JX$10,0)</f>
        <v/>
      </c>
      <c r="JY28" s="18">
        <f>IF(282&gt;=DeliverStart,ExpTurnoverPerUnit*TotalUnits/12*JY$7*JY$10,0)</f>
        <v/>
      </c>
      <c r="JZ28" s="18">
        <f>IF(283&gt;=DeliverStart,ExpTurnoverPerUnit*TotalUnits/12*JZ$7*JZ$10,0)</f>
        <v/>
      </c>
      <c r="KA28" s="18">
        <f>IF(284&gt;=DeliverStart,ExpTurnoverPerUnit*TotalUnits/12*KA$7*KA$10,0)</f>
        <v/>
      </c>
      <c r="KB28" s="18">
        <f>IF(285&gt;=DeliverStart,ExpTurnoverPerUnit*TotalUnits/12*KB$7*KB$10,0)</f>
        <v/>
      </c>
      <c r="KC28" s="18">
        <f>IF(286&gt;=DeliverStart,ExpTurnoverPerUnit*TotalUnits/12*KC$7*KC$10,0)</f>
        <v/>
      </c>
      <c r="KD28" s="18">
        <f>IF(287&gt;=DeliverStart,ExpTurnoverPerUnit*TotalUnits/12*KD$7*KD$10,0)</f>
        <v/>
      </c>
      <c r="KE28" s="18">
        <f>IF(288&gt;=DeliverStart,ExpTurnoverPerUnit*TotalUnits/12*KE$7*KE$10,0)</f>
        <v/>
      </c>
      <c r="KF28" s="18">
        <f>IF(289&gt;=DeliverStart,ExpTurnoverPerUnit*TotalUnits/12*KF$7*KF$10,0)</f>
        <v/>
      </c>
      <c r="KG28" s="18">
        <f>IF(290&gt;=DeliverStart,ExpTurnoverPerUnit*TotalUnits/12*KG$7*KG$10,0)</f>
        <v/>
      </c>
      <c r="KH28" s="18">
        <f>IF(291&gt;=DeliverStart,ExpTurnoverPerUnit*TotalUnits/12*KH$7*KH$10,0)</f>
        <v/>
      </c>
      <c r="KI28" s="18">
        <f>IF(292&gt;=DeliverStart,ExpTurnoverPerUnit*TotalUnits/12*KI$7*KI$10,0)</f>
        <v/>
      </c>
      <c r="KJ28" s="18">
        <f>IF(293&gt;=DeliverStart,ExpTurnoverPerUnit*TotalUnits/12*KJ$7*KJ$10,0)</f>
        <v/>
      </c>
      <c r="KK28" s="18">
        <f>IF(294&gt;=DeliverStart,ExpTurnoverPerUnit*TotalUnits/12*KK$7*KK$10,0)</f>
        <v/>
      </c>
      <c r="KL28" s="18">
        <f>IF(295&gt;=DeliverStart,ExpTurnoverPerUnit*TotalUnits/12*KL$7*KL$10,0)</f>
        <v/>
      </c>
      <c r="KM28" s="18">
        <f>IF(296&gt;=DeliverStart,ExpTurnoverPerUnit*TotalUnits/12*KM$7*KM$10,0)</f>
        <v/>
      </c>
      <c r="KN28" s="18">
        <f>IF(297&gt;=DeliverStart,ExpTurnoverPerUnit*TotalUnits/12*KN$7*KN$10,0)</f>
        <v/>
      </c>
      <c r="KO28" s="18">
        <f>IF(298&gt;=DeliverStart,ExpTurnoverPerUnit*TotalUnits/12*KO$7*KO$10,0)</f>
        <v/>
      </c>
      <c r="KP28" s="18">
        <f>IF(299&gt;=DeliverStart,ExpTurnoverPerUnit*TotalUnits/12*KP$7*KP$10,0)</f>
        <v/>
      </c>
      <c r="KQ28" s="18">
        <f>IF(300&gt;=DeliverStart,ExpTurnoverPerUnit*TotalUnits/12*KQ$7*KQ$10,0)</f>
        <v/>
      </c>
      <c r="KR28" s="18">
        <f>IF(301&gt;=DeliverStart,ExpTurnoverPerUnit*TotalUnits/12*KR$7*KR$10,0)</f>
        <v/>
      </c>
      <c r="KS28" s="18">
        <f>IF(302&gt;=DeliverStart,ExpTurnoverPerUnit*TotalUnits/12*KS$7*KS$10,0)</f>
        <v/>
      </c>
      <c r="KT28" s="18">
        <f>IF(303&gt;=DeliverStart,ExpTurnoverPerUnit*TotalUnits/12*KT$7*KT$10,0)</f>
        <v/>
      </c>
      <c r="KU28" s="18">
        <f>IF(304&gt;=DeliverStart,ExpTurnoverPerUnit*TotalUnits/12*KU$7*KU$10,0)</f>
        <v/>
      </c>
      <c r="KV28" s="18">
        <f>IF(305&gt;=DeliverStart,ExpTurnoverPerUnit*TotalUnits/12*KV$7*KV$10,0)</f>
        <v/>
      </c>
      <c r="KW28" s="18">
        <f>IF(306&gt;=DeliverStart,ExpTurnoverPerUnit*TotalUnits/12*KW$7*KW$10,0)</f>
        <v/>
      </c>
      <c r="KX28" s="18">
        <f>IF(307&gt;=DeliverStart,ExpTurnoverPerUnit*TotalUnits/12*KX$7*KX$10,0)</f>
        <v/>
      </c>
      <c r="KY28" s="18">
        <f>IF(308&gt;=DeliverStart,ExpTurnoverPerUnit*TotalUnits/12*KY$7*KY$10,0)</f>
        <v/>
      </c>
      <c r="KZ28" s="18">
        <f>IF(309&gt;=DeliverStart,ExpTurnoverPerUnit*TotalUnits/12*KZ$7*KZ$10,0)</f>
        <v/>
      </c>
      <c r="LA28" s="18">
        <f>IF(310&gt;=DeliverStart,ExpTurnoverPerUnit*TotalUnits/12*LA$7*LA$10,0)</f>
        <v/>
      </c>
      <c r="LB28" s="18">
        <f>IF(311&gt;=DeliverStart,ExpTurnoverPerUnit*TotalUnits/12*LB$7*LB$10,0)</f>
        <v/>
      </c>
      <c r="LC28" s="18">
        <f>IF(312&gt;=DeliverStart,ExpTurnoverPerUnit*TotalUnits/12*LC$7*LC$10,0)</f>
        <v/>
      </c>
      <c r="LD28" s="18">
        <f>IF(313&gt;=DeliverStart,ExpTurnoverPerUnit*TotalUnits/12*LD$7*LD$10,0)</f>
        <v/>
      </c>
      <c r="LE28" s="18">
        <f>IF(314&gt;=DeliverStart,ExpTurnoverPerUnit*TotalUnits/12*LE$7*LE$10,0)</f>
        <v/>
      </c>
      <c r="LF28" s="18">
        <f>IF(315&gt;=DeliverStart,ExpTurnoverPerUnit*TotalUnits/12*LF$7*LF$10,0)</f>
        <v/>
      </c>
      <c r="LG28" s="18">
        <f>IF(316&gt;=DeliverStart,ExpTurnoverPerUnit*TotalUnits/12*LG$7*LG$10,0)</f>
        <v/>
      </c>
      <c r="LH28" s="18">
        <f>IF(317&gt;=DeliverStart,ExpTurnoverPerUnit*TotalUnits/12*LH$7*LH$10,0)</f>
        <v/>
      </c>
      <c r="LI28" s="18">
        <f>IF(318&gt;=DeliverStart,ExpTurnoverPerUnit*TotalUnits/12*LI$7*LI$10,0)</f>
        <v/>
      </c>
      <c r="LJ28" s="18">
        <f>IF(319&gt;=DeliverStart,ExpTurnoverPerUnit*TotalUnits/12*LJ$7*LJ$10,0)</f>
        <v/>
      </c>
      <c r="LK28" s="18">
        <f>IF(320&gt;=DeliverStart,ExpTurnoverPerUnit*TotalUnits/12*LK$7*LK$10,0)</f>
        <v/>
      </c>
      <c r="LL28" s="18">
        <f>IF(321&gt;=DeliverStart,ExpTurnoverPerUnit*TotalUnits/12*LL$7*LL$10,0)</f>
        <v/>
      </c>
      <c r="LM28" s="18">
        <f>IF(322&gt;=DeliverStart,ExpTurnoverPerUnit*TotalUnits/12*LM$7*LM$10,0)</f>
        <v/>
      </c>
      <c r="LN28" s="18">
        <f>IF(323&gt;=DeliverStart,ExpTurnoverPerUnit*TotalUnits/12*LN$7*LN$10,0)</f>
        <v/>
      </c>
      <c r="LO28" s="18">
        <f>IF(324&gt;=DeliverStart,ExpTurnoverPerUnit*TotalUnits/12*LO$7*LO$10,0)</f>
        <v/>
      </c>
      <c r="LP28" s="18">
        <f>IF(325&gt;=DeliverStart,ExpTurnoverPerUnit*TotalUnits/12*LP$7*LP$10,0)</f>
        <v/>
      </c>
      <c r="LQ28" s="18">
        <f>IF(326&gt;=DeliverStart,ExpTurnoverPerUnit*TotalUnits/12*LQ$7*LQ$10,0)</f>
        <v/>
      </c>
      <c r="LR28" s="18">
        <f>IF(327&gt;=DeliverStart,ExpTurnoverPerUnit*TotalUnits/12*LR$7*LR$10,0)</f>
        <v/>
      </c>
      <c r="LS28" s="18">
        <f>IF(328&gt;=DeliverStart,ExpTurnoverPerUnit*TotalUnits/12*LS$7*LS$10,0)</f>
        <v/>
      </c>
      <c r="LT28" s="18">
        <f>IF(329&gt;=DeliverStart,ExpTurnoverPerUnit*TotalUnits/12*LT$7*LT$10,0)</f>
        <v/>
      </c>
      <c r="LU28" s="18">
        <f>IF(330&gt;=DeliverStart,ExpTurnoverPerUnit*TotalUnits/12*LU$7*LU$10,0)</f>
        <v/>
      </c>
      <c r="LV28" s="18">
        <f>IF(331&gt;=DeliverStart,ExpTurnoverPerUnit*TotalUnits/12*LV$7*LV$10,0)</f>
        <v/>
      </c>
      <c r="LW28" s="18">
        <f>IF(332&gt;=DeliverStart,ExpTurnoverPerUnit*TotalUnits/12*LW$7*LW$10,0)</f>
        <v/>
      </c>
      <c r="LX28" s="18">
        <f>IF(333&gt;=DeliverStart,ExpTurnoverPerUnit*TotalUnits/12*LX$7*LX$10,0)</f>
        <v/>
      </c>
      <c r="LY28" s="18">
        <f>IF(334&gt;=DeliverStart,ExpTurnoverPerUnit*TotalUnits/12*LY$7*LY$10,0)</f>
        <v/>
      </c>
      <c r="LZ28" s="18">
        <f>IF(335&gt;=DeliverStart,ExpTurnoverPerUnit*TotalUnits/12*LZ$7*LZ$10,0)</f>
        <v/>
      </c>
      <c r="MA28" s="18">
        <f>IF(336&gt;=DeliverStart,ExpTurnoverPerUnit*TotalUnits/12*MA$7*MA$10,0)</f>
        <v/>
      </c>
      <c r="MB28" s="18">
        <f>IF(337&gt;=DeliverStart,ExpTurnoverPerUnit*TotalUnits/12*MB$7*MB$10,0)</f>
        <v/>
      </c>
      <c r="MC28" s="18">
        <f>IF(338&gt;=DeliverStart,ExpTurnoverPerUnit*TotalUnits/12*MC$7*MC$10,0)</f>
        <v/>
      </c>
      <c r="MD28" s="18">
        <f>IF(339&gt;=DeliverStart,ExpTurnoverPerUnit*TotalUnits/12*MD$7*MD$10,0)</f>
        <v/>
      </c>
      <c r="ME28" s="18">
        <f>IF(340&gt;=DeliverStart,ExpTurnoverPerUnit*TotalUnits/12*ME$7*ME$10,0)</f>
        <v/>
      </c>
      <c r="MF28" s="18">
        <f>IF(341&gt;=DeliverStart,ExpTurnoverPerUnit*TotalUnits/12*MF$7*MF$10,0)</f>
        <v/>
      </c>
      <c r="MG28" s="18">
        <f>IF(342&gt;=DeliverStart,ExpTurnoverPerUnit*TotalUnits/12*MG$7*MG$10,0)</f>
        <v/>
      </c>
      <c r="MH28" s="18">
        <f>IF(343&gt;=DeliverStart,ExpTurnoverPerUnit*TotalUnits/12*MH$7*MH$10,0)</f>
        <v/>
      </c>
      <c r="MI28" s="18">
        <f>IF(344&gt;=DeliverStart,ExpTurnoverPerUnit*TotalUnits/12*MI$7*MI$10,0)</f>
        <v/>
      </c>
      <c r="MJ28" s="18">
        <f>IF(345&gt;=DeliverStart,ExpTurnoverPerUnit*TotalUnits/12*MJ$7*MJ$10,0)</f>
        <v/>
      </c>
      <c r="MK28" s="18">
        <f>IF(346&gt;=DeliverStart,ExpTurnoverPerUnit*TotalUnits/12*MK$7*MK$10,0)</f>
        <v/>
      </c>
      <c r="ML28" s="18">
        <f>IF(347&gt;=DeliverStart,ExpTurnoverPerUnit*TotalUnits/12*ML$7*ML$10,0)</f>
        <v/>
      </c>
      <c r="MM28" s="18">
        <f>IF(348&gt;=DeliverStart,ExpTurnoverPerUnit*TotalUnits/12*MM$7*MM$10,0)</f>
        <v/>
      </c>
      <c r="MN28" s="18">
        <f>IF(349&gt;=DeliverStart,ExpTurnoverPerUnit*TotalUnits/12*MN$7*MN$10,0)</f>
        <v/>
      </c>
      <c r="MO28" s="18">
        <f>IF(350&gt;=DeliverStart,ExpTurnoverPerUnit*TotalUnits/12*MO$7*MO$10,0)</f>
        <v/>
      </c>
      <c r="MP28" s="18">
        <f>IF(351&gt;=DeliverStart,ExpTurnoverPerUnit*TotalUnits/12*MP$7*MP$10,0)</f>
        <v/>
      </c>
      <c r="MQ28" s="18">
        <f>IF(352&gt;=DeliverStart,ExpTurnoverPerUnit*TotalUnits/12*MQ$7*MQ$10,0)</f>
        <v/>
      </c>
      <c r="MR28" s="18">
        <f>IF(353&gt;=DeliverStart,ExpTurnoverPerUnit*TotalUnits/12*MR$7*MR$10,0)</f>
        <v/>
      </c>
      <c r="MS28" s="18">
        <f>IF(354&gt;=DeliverStart,ExpTurnoverPerUnit*TotalUnits/12*MS$7*MS$10,0)</f>
        <v/>
      </c>
      <c r="MT28" s="18">
        <f>IF(355&gt;=DeliverStart,ExpTurnoverPerUnit*TotalUnits/12*MT$7*MT$10,0)</f>
        <v/>
      </c>
      <c r="MU28" s="18">
        <f>IF(356&gt;=DeliverStart,ExpTurnoverPerUnit*TotalUnits/12*MU$7*MU$10,0)</f>
        <v/>
      </c>
      <c r="MV28" s="18">
        <f>IF(357&gt;=DeliverStart,ExpTurnoverPerUnit*TotalUnits/12*MV$7*MV$10,0)</f>
        <v/>
      </c>
      <c r="MW28" s="18">
        <f>IF(358&gt;=DeliverStart,ExpTurnoverPerUnit*TotalUnits/12*MW$7*MW$10,0)</f>
        <v/>
      </c>
      <c r="MX28" s="18">
        <f>IF(359&gt;=DeliverStart,ExpTurnoverPerUnit*TotalUnits/12*MX$7*MX$10,0)</f>
        <v/>
      </c>
      <c r="MY28" s="18">
        <f>IF(360&gt;=DeliverStart,ExpTurnoverPerUnit*TotalUnits/12*MY$7*MY$10,0)</f>
        <v/>
      </c>
      <c r="MZ28" s="18">
        <f>IF(361&gt;=DeliverStart,ExpTurnoverPerUnit*TotalUnits/12*MZ$7*MZ$10,0)</f>
        <v/>
      </c>
      <c r="NA28" s="18">
        <f>IF(362&gt;=DeliverStart,ExpTurnoverPerUnit*TotalUnits/12*NA$7*NA$10,0)</f>
        <v/>
      </c>
      <c r="NB28" s="18">
        <f>IF(363&gt;=DeliverStart,ExpTurnoverPerUnit*TotalUnits/12*NB$7*NB$10,0)</f>
        <v/>
      </c>
      <c r="NC28" s="18">
        <f>IF(364&gt;=DeliverStart,ExpTurnoverPerUnit*TotalUnits/12*NC$7*NC$10,0)</f>
        <v/>
      </c>
      <c r="ND28" s="18">
        <f>IF(365&gt;=DeliverStart,ExpTurnoverPerUnit*TotalUnits/12*ND$7*ND$10,0)</f>
        <v/>
      </c>
      <c r="NE28" s="18">
        <f>IF(366&gt;=DeliverStart,ExpTurnoverPerUnit*TotalUnits/12*NE$7*NE$10,0)</f>
        <v/>
      </c>
      <c r="NF28" s="18">
        <f>IF(367&gt;=DeliverStart,ExpTurnoverPerUnit*TotalUnits/12*NF$7*NF$10,0)</f>
        <v/>
      </c>
      <c r="NG28" s="18">
        <f>IF(368&gt;=DeliverStart,ExpTurnoverPerUnit*TotalUnits/12*NG$7*NG$10,0)</f>
        <v/>
      </c>
      <c r="NH28" s="18">
        <f>IF(369&gt;=DeliverStart,ExpTurnoverPerUnit*TotalUnits/12*NH$7*NH$10,0)</f>
        <v/>
      </c>
      <c r="NI28" s="18">
        <f>IF(370&gt;=DeliverStart,ExpTurnoverPerUnit*TotalUnits/12*NI$7*NI$10,0)</f>
        <v/>
      </c>
      <c r="NJ28" s="18">
        <f>IF(371&gt;=DeliverStart,ExpTurnoverPerUnit*TotalUnits/12*NJ$7*NJ$10,0)</f>
        <v/>
      </c>
      <c r="NK28" s="18">
        <f>IF(372&gt;=DeliverStart,ExpTurnoverPerUnit*TotalUnits/12*NK$7*NK$10,0)</f>
        <v/>
      </c>
    </row>
    <row r="29">
      <c r="A29" s="5" t="inlineStr">
        <is>
          <t>Contract Services (variable)</t>
        </is>
      </c>
      <c r="C29" s="41">
        <f>SUM(D29:NK29)</f>
        <v/>
      </c>
      <c r="D29" s="18">
        <f>IF(1&gt;=DeliverStart,ExpContractPerUnit*TotalUnits/12*D$7*D$10,0)</f>
        <v/>
      </c>
      <c r="E29" s="18">
        <f>IF(2&gt;=DeliverStart,ExpContractPerUnit*TotalUnits/12*E$7*E$10,0)</f>
        <v/>
      </c>
      <c r="F29" s="18">
        <f>IF(3&gt;=DeliverStart,ExpContractPerUnit*TotalUnits/12*F$7*F$10,0)</f>
        <v/>
      </c>
      <c r="G29" s="18">
        <f>IF(4&gt;=DeliverStart,ExpContractPerUnit*TotalUnits/12*G$7*G$10,0)</f>
        <v/>
      </c>
      <c r="H29" s="18">
        <f>IF(5&gt;=DeliverStart,ExpContractPerUnit*TotalUnits/12*H$7*H$10,0)</f>
        <v/>
      </c>
      <c r="I29" s="18">
        <f>IF(6&gt;=DeliverStart,ExpContractPerUnit*TotalUnits/12*I$7*I$10,0)</f>
        <v/>
      </c>
      <c r="J29" s="18">
        <f>IF(7&gt;=DeliverStart,ExpContractPerUnit*TotalUnits/12*J$7*J$10,0)</f>
        <v/>
      </c>
      <c r="K29" s="18">
        <f>IF(8&gt;=DeliverStart,ExpContractPerUnit*TotalUnits/12*K$7*K$10,0)</f>
        <v/>
      </c>
      <c r="L29" s="18">
        <f>IF(9&gt;=DeliverStart,ExpContractPerUnit*TotalUnits/12*L$7*L$10,0)</f>
        <v/>
      </c>
      <c r="M29" s="18">
        <f>IF(10&gt;=DeliverStart,ExpContractPerUnit*TotalUnits/12*M$7*M$10,0)</f>
        <v/>
      </c>
      <c r="N29" s="18">
        <f>IF(11&gt;=DeliverStart,ExpContractPerUnit*TotalUnits/12*N$7*N$10,0)</f>
        <v/>
      </c>
      <c r="O29" s="18">
        <f>IF(12&gt;=DeliverStart,ExpContractPerUnit*TotalUnits/12*O$7*O$10,0)</f>
        <v/>
      </c>
      <c r="P29" s="18">
        <f>IF(13&gt;=DeliverStart,ExpContractPerUnit*TotalUnits/12*P$7*P$10,0)</f>
        <v/>
      </c>
      <c r="Q29" s="18">
        <f>IF(14&gt;=DeliverStart,ExpContractPerUnit*TotalUnits/12*Q$7*Q$10,0)</f>
        <v/>
      </c>
      <c r="R29" s="18">
        <f>IF(15&gt;=DeliverStart,ExpContractPerUnit*TotalUnits/12*R$7*R$10,0)</f>
        <v/>
      </c>
      <c r="S29" s="18">
        <f>IF(16&gt;=DeliverStart,ExpContractPerUnit*TotalUnits/12*S$7*S$10,0)</f>
        <v/>
      </c>
      <c r="T29" s="18">
        <f>IF(17&gt;=DeliverStart,ExpContractPerUnit*TotalUnits/12*T$7*T$10,0)</f>
        <v/>
      </c>
      <c r="U29" s="18">
        <f>IF(18&gt;=DeliverStart,ExpContractPerUnit*TotalUnits/12*U$7*U$10,0)</f>
        <v/>
      </c>
      <c r="V29" s="18">
        <f>IF(19&gt;=DeliverStart,ExpContractPerUnit*TotalUnits/12*V$7*V$10,0)</f>
        <v/>
      </c>
      <c r="W29" s="18">
        <f>IF(20&gt;=DeliverStart,ExpContractPerUnit*TotalUnits/12*W$7*W$10,0)</f>
        <v/>
      </c>
      <c r="X29" s="18">
        <f>IF(21&gt;=DeliverStart,ExpContractPerUnit*TotalUnits/12*X$7*X$10,0)</f>
        <v/>
      </c>
      <c r="Y29" s="18">
        <f>IF(22&gt;=DeliverStart,ExpContractPerUnit*TotalUnits/12*Y$7*Y$10,0)</f>
        <v/>
      </c>
      <c r="Z29" s="18">
        <f>IF(23&gt;=DeliverStart,ExpContractPerUnit*TotalUnits/12*Z$7*Z$10,0)</f>
        <v/>
      </c>
      <c r="AA29" s="18">
        <f>IF(24&gt;=DeliverStart,ExpContractPerUnit*TotalUnits/12*AA$7*AA$10,0)</f>
        <v/>
      </c>
      <c r="AB29" s="18">
        <f>IF(25&gt;=DeliverStart,ExpContractPerUnit*TotalUnits/12*AB$7*AB$10,0)</f>
        <v/>
      </c>
      <c r="AC29" s="18">
        <f>IF(26&gt;=DeliverStart,ExpContractPerUnit*TotalUnits/12*AC$7*AC$10,0)</f>
        <v/>
      </c>
      <c r="AD29" s="18">
        <f>IF(27&gt;=DeliverStart,ExpContractPerUnit*TotalUnits/12*AD$7*AD$10,0)</f>
        <v/>
      </c>
      <c r="AE29" s="18">
        <f>IF(28&gt;=DeliverStart,ExpContractPerUnit*TotalUnits/12*AE$7*AE$10,0)</f>
        <v/>
      </c>
      <c r="AF29" s="18">
        <f>IF(29&gt;=DeliverStart,ExpContractPerUnit*TotalUnits/12*AF$7*AF$10,0)</f>
        <v/>
      </c>
      <c r="AG29" s="18">
        <f>IF(30&gt;=DeliverStart,ExpContractPerUnit*TotalUnits/12*AG$7*AG$10,0)</f>
        <v/>
      </c>
      <c r="AH29" s="18">
        <f>IF(31&gt;=DeliverStart,ExpContractPerUnit*TotalUnits/12*AH$7*AH$10,0)</f>
        <v/>
      </c>
      <c r="AI29" s="18">
        <f>IF(32&gt;=DeliverStart,ExpContractPerUnit*TotalUnits/12*AI$7*AI$10,0)</f>
        <v/>
      </c>
      <c r="AJ29" s="18">
        <f>IF(33&gt;=DeliverStart,ExpContractPerUnit*TotalUnits/12*AJ$7*AJ$10,0)</f>
        <v/>
      </c>
      <c r="AK29" s="18">
        <f>IF(34&gt;=DeliverStart,ExpContractPerUnit*TotalUnits/12*AK$7*AK$10,0)</f>
        <v/>
      </c>
      <c r="AL29" s="18">
        <f>IF(35&gt;=DeliverStart,ExpContractPerUnit*TotalUnits/12*AL$7*AL$10,0)</f>
        <v/>
      </c>
      <c r="AM29" s="18">
        <f>IF(36&gt;=DeliverStart,ExpContractPerUnit*TotalUnits/12*AM$7*AM$10,0)</f>
        <v/>
      </c>
      <c r="AN29" s="18">
        <f>IF(37&gt;=DeliverStart,ExpContractPerUnit*TotalUnits/12*AN$7*AN$10,0)</f>
        <v/>
      </c>
      <c r="AO29" s="18">
        <f>IF(38&gt;=DeliverStart,ExpContractPerUnit*TotalUnits/12*AO$7*AO$10,0)</f>
        <v/>
      </c>
      <c r="AP29" s="18">
        <f>IF(39&gt;=DeliverStart,ExpContractPerUnit*TotalUnits/12*AP$7*AP$10,0)</f>
        <v/>
      </c>
      <c r="AQ29" s="18">
        <f>IF(40&gt;=DeliverStart,ExpContractPerUnit*TotalUnits/12*AQ$7*AQ$10,0)</f>
        <v/>
      </c>
      <c r="AR29" s="18">
        <f>IF(41&gt;=DeliverStart,ExpContractPerUnit*TotalUnits/12*AR$7*AR$10,0)</f>
        <v/>
      </c>
      <c r="AS29" s="18">
        <f>IF(42&gt;=DeliverStart,ExpContractPerUnit*TotalUnits/12*AS$7*AS$10,0)</f>
        <v/>
      </c>
      <c r="AT29" s="18">
        <f>IF(43&gt;=DeliverStart,ExpContractPerUnit*TotalUnits/12*AT$7*AT$10,0)</f>
        <v/>
      </c>
      <c r="AU29" s="18">
        <f>IF(44&gt;=DeliverStart,ExpContractPerUnit*TotalUnits/12*AU$7*AU$10,0)</f>
        <v/>
      </c>
      <c r="AV29" s="18">
        <f>IF(45&gt;=DeliverStart,ExpContractPerUnit*TotalUnits/12*AV$7*AV$10,0)</f>
        <v/>
      </c>
      <c r="AW29" s="18">
        <f>IF(46&gt;=DeliverStart,ExpContractPerUnit*TotalUnits/12*AW$7*AW$10,0)</f>
        <v/>
      </c>
      <c r="AX29" s="18">
        <f>IF(47&gt;=DeliverStart,ExpContractPerUnit*TotalUnits/12*AX$7*AX$10,0)</f>
        <v/>
      </c>
      <c r="AY29" s="18">
        <f>IF(48&gt;=DeliverStart,ExpContractPerUnit*TotalUnits/12*AY$7*AY$10,0)</f>
        <v/>
      </c>
      <c r="AZ29" s="18">
        <f>IF(49&gt;=DeliverStart,ExpContractPerUnit*TotalUnits/12*AZ$7*AZ$10,0)</f>
        <v/>
      </c>
      <c r="BA29" s="18">
        <f>IF(50&gt;=DeliverStart,ExpContractPerUnit*TotalUnits/12*BA$7*BA$10,0)</f>
        <v/>
      </c>
      <c r="BB29" s="18">
        <f>IF(51&gt;=DeliverStart,ExpContractPerUnit*TotalUnits/12*BB$7*BB$10,0)</f>
        <v/>
      </c>
      <c r="BC29" s="18">
        <f>IF(52&gt;=DeliverStart,ExpContractPerUnit*TotalUnits/12*BC$7*BC$10,0)</f>
        <v/>
      </c>
      <c r="BD29" s="18">
        <f>IF(53&gt;=DeliverStart,ExpContractPerUnit*TotalUnits/12*BD$7*BD$10,0)</f>
        <v/>
      </c>
      <c r="BE29" s="18">
        <f>IF(54&gt;=DeliverStart,ExpContractPerUnit*TotalUnits/12*BE$7*BE$10,0)</f>
        <v/>
      </c>
      <c r="BF29" s="18">
        <f>IF(55&gt;=DeliverStart,ExpContractPerUnit*TotalUnits/12*BF$7*BF$10,0)</f>
        <v/>
      </c>
      <c r="BG29" s="18">
        <f>IF(56&gt;=DeliverStart,ExpContractPerUnit*TotalUnits/12*BG$7*BG$10,0)</f>
        <v/>
      </c>
      <c r="BH29" s="18">
        <f>IF(57&gt;=DeliverStart,ExpContractPerUnit*TotalUnits/12*BH$7*BH$10,0)</f>
        <v/>
      </c>
      <c r="BI29" s="18">
        <f>IF(58&gt;=DeliverStart,ExpContractPerUnit*TotalUnits/12*BI$7*BI$10,0)</f>
        <v/>
      </c>
      <c r="BJ29" s="18">
        <f>IF(59&gt;=DeliverStart,ExpContractPerUnit*TotalUnits/12*BJ$7*BJ$10,0)</f>
        <v/>
      </c>
      <c r="BK29" s="18">
        <f>IF(60&gt;=DeliverStart,ExpContractPerUnit*TotalUnits/12*BK$7*BK$10,0)</f>
        <v/>
      </c>
      <c r="BL29" s="18">
        <f>IF(61&gt;=DeliverStart,ExpContractPerUnit*TotalUnits/12*BL$7*BL$10,0)</f>
        <v/>
      </c>
      <c r="BM29" s="18">
        <f>IF(62&gt;=DeliverStart,ExpContractPerUnit*TotalUnits/12*BM$7*BM$10,0)</f>
        <v/>
      </c>
      <c r="BN29" s="18">
        <f>IF(63&gt;=DeliverStart,ExpContractPerUnit*TotalUnits/12*BN$7*BN$10,0)</f>
        <v/>
      </c>
      <c r="BO29" s="18">
        <f>IF(64&gt;=DeliverStart,ExpContractPerUnit*TotalUnits/12*BO$7*BO$10,0)</f>
        <v/>
      </c>
      <c r="BP29" s="18">
        <f>IF(65&gt;=DeliverStart,ExpContractPerUnit*TotalUnits/12*BP$7*BP$10,0)</f>
        <v/>
      </c>
      <c r="BQ29" s="18">
        <f>IF(66&gt;=DeliverStart,ExpContractPerUnit*TotalUnits/12*BQ$7*BQ$10,0)</f>
        <v/>
      </c>
      <c r="BR29" s="18">
        <f>IF(67&gt;=DeliverStart,ExpContractPerUnit*TotalUnits/12*BR$7*BR$10,0)</f>
        <v/>
      </c>
      <c r="BS29" s="18">
        <f>IF(68&gt;=DeliverStart,ExpContractPerUnit*TotalUnits/12*BS$7*BS$10,0)</f>
        <v/>
      </c>
      <c r="BT29" s="18">
        <f>IF(69&gt;=DeliverStart,ExpContractPerUnit*TotalUnits/12*BT$7*BT$10,0)</f>
        <v/>
      </c>
      <c r="BU29" s="18">
        <f>IF(70&gt;=DeliverStart,ExpContractPerUnit*TotalUnits/12*BU$7*BU$10,0)</f>
        <v/>
      </c>
      <c r="BV29" s="18">
        <f>IF(71&gt;=DeliverStart,ExpContractPerUnit*TotalUnits/12*BV$7*BV$10,0)</f>
        <v/>
      </c>
      <c r="BW29" s="18">
        <f>IF(72&gt;=DeliverStart,ExpContractPerUnit*TotalUnits/12*BW$7*BW$10,0)</f>
        <v/>
      </c>
      <c r="BX29" s="18">
        <f>IF(73&gt;=DeliverStart,ExpContractPerUnit*TotalUnits/12*BX$7*BX$10,0)</f>
        <v/>
      </c>
      <c r="BY29" s="18">
        <f>IF(74&gt;=DeliverStart,ExpContractPerUnit*TotalUnits/12*BY$7*BY$10,0)</f>
        <v/>
      </c>
      <c r="BZ29" s="18">
        <f>IF(75&gt;=DeliverStart,ExpContractPerUnit*TotalUnits/12*BZ$7*BZ$10,0)</f>
        <v/>
      </c>
      <c r="CA29" s="18">
        <f>IF(76&gt;=DeliverStart,ExpContractPerUnit*TotalUnits/12*CA$7*CA$10,0)</f>
        <v/>
      </c>
      <c r="CB29" s="18">
        <f>IF(77&gt;=DeliverStart,ExpContractPerUnit*TotalUnits/12*CB$7*CB$10,0)</f>
        <v/>
      </c>
      <c r="CC29" s="18">
        <f>IF(78&gt;=DeliverStart,ExpContractPerUnit*TotalUnits/12*CC$7*CC$10,0)</f>
        <v/>
      </c>
      <c r="CD29" s="18">
        <f>IF(79&gt;=DeliverStart,ExpContractPerUnit*TotalUnits/12*CD$7*CD$10,0)</f>
        <v/>
      </c>
      <c r="CE29" s="18">
        <f>IF(80&gt;=DeliverStart,ExpContractPerUnit*TotalUnits/12*CE$7*CE$10,0)</f>
        <v/>
      </c>
      <c r="CF29" s="18">
        <f>IF(81&gt;=DeliverStart,ExpContractPerUnit*TotalUnits/12*CF$7*CF$10,0)</f>
        <v/>
      </c>
      <c r="CG29" s="18">
        <f>IF(82&gt;=DeliverStart,ExpContractPerUnit*TotalUnits/12*CG$7*CG$10,0)</f>
        <v/>
      </c>
      <c r="CH29" s="18">
        <f>IF(83&gt;=DeliverStart,ExpContractPerUnit*TotalUnits/12*CH$7*CH$10,0)</f>
        <v/>
      </c>
      <c r="CI29" s="18">
        <f>IF(84&gt;=DeliverStart,ExpContractPerUnit*TotalUnits/12*CI$7*CI$10,0)</f>
        <v/>
      </c>
      <c r="CJ29" s="18">
        <f>IF(85&gt;=DeliverStart,ExpContractPerUnit*TotalUnits/12*CJ$7*CJ$10,0)</f>
        <v/>
      </c>
      <c r="CK29" s="18">
        <f>IF(86&gt;=DeliverStart,ExpContractPerUnit*TotalUnits/12*CK$7*CK$10,0)</f>
        <v/>
      </c>
      <c r="CL29" s="18">
        <f>IF(87&gt;=DeliverStart,ExpContractPerUnit*TotalUnits/12*CL$7*CL$10,0)</f>
        <v/>
      </c>
      <c r="CM29" s="18">
        <f>IF(88&gt;=DeliverStart,ExpContractPerUnit*TotalUnits/12*CM$7*CM$10,0)</f>
        <v/>
      </c>
      <c r="CN29" s="18">
        <f>IF(89&gt;=DeliverStart,ExpContractPerUnit*TotalUnits/12*CN$7*CN$10,0)</f>
        <v/>
      </c>
      <c r="CO29" s="18">
        <f>IF(90&gt;=DeliverStart,ExpContractPerUnit*TotalUnits/12*CO$7*CO$10,0)</f>
        <v/>
      </c>
      <c r="CP29" s="18">
        <f>IF(91&gt;=DeliverStart,ExpContractPerUnit*TotalUnits/12*CP$7*CP$10,0)</f>
        <v/>
      </c>
      <c r="CQ29" s="18">
        <f>IF(92&gt;=DeliverStart,ExpContractPerUnit*TotalUnits/12*CQ$7*CQ$10,0)</f>
        <v/>
      </c>
      <c r="CR29" s="18">
        <f>IF(93&gt;=DeliverStart,ExpContractPerUnit*TotalUnits/12*CR$7*CR$10,0)</f>
        <v/>
      </c>
      <c r="CS29" s="18">
        <f>IF(94&gt;=DeliverStart,ExpContractPerUnit*TotalUnits/12*CS$7*CS$10,0)</f>
        <v/>
      </c>
      <c r="CT29" s="18">
        <f>IF(95&gt;=DeliverStart,ExpContractPerUnit*TotalUnits/12*CT$7*CT$10,0)</f>
        <v/>
      </c>
      <c r="CU29" s="18">
        <f>IF(96&gt;=DeliverStart,ExpContractPerUnit*TotalUnits/12*CU$7*CU$10,0)</f>
        <v/>
      </c>
      <c r="CV29" s="18">
        <f>IF(97&gt;=DeliverStart,ExpContractPerUnit*TotalUnits/12*CV$7*CV$10,0)</f>
        <v/>
      </c>
      <c r="CW29" s="18">
        <f>IF(98&gt;=DeliverStart,ExpContractPerUnit*TotalUnits/12*CW$7*CW$10,0)</f>
        <v/>
      </c>
      <c r="CX29" s="18">
        <f>IF(99&gt;=DeliverStart,ExpContractPerUnit*TotalUnits/12*CX$7*CX$10,0)</f>
        <v/>
      </c>
      <c r="CY29" s="18">
        <f>IF(100&gt;=DeliverStart,ExpContractPerUnit*TotalUnits/12*CY$7*CY$10,0)</f>
        <v/>
      </c>
      <c r="CZ29" s="18">
        <f>IF(101&gt;=DeliverStart,ExpContractPerUnit*TotalUnits/12*CZ$7*CZ$10,0)</f>
        <v/>
      </c>
      <c r="DA29" s="18">
        <f>IF(102&gt;=DeliverStart,ExpContractPerUnit*TotalUnits/12*DA$7*DA$10,0)</f>
        <v/>
      </c>
      <c r="DB29" s="18">
        <f>IF(103&gt;=DeliverStart,ExpContractPerUnit*TotalUnits/12*DB$7*DB$10,0)</f>
        <v/>
      </c>
      <c r="DC29" s="18">
        <f>IF(104&gt;=DeliverStart,ExpContractPerUnit*TotalUnits/12*DC$7*DC$10,0)</f>
        <v/>
      </c>
      <c r="DD29" s="18">
        <f>IF(105&gt;=DeliverStart,ExpContractPerUnit*TotalUnits/12*DD$7*DD$10,0)</f>
        <v/>
      </c>
      <c r="DE29" s="18">
        <f>IF(106&gt;=DeliverStart,ExpContractPerUnit*TotalUnits/12*DE$7*DE$10,0)</f>
        <v/>
      </c>
      <c r="DF29" s="18">
        <f>IF(107&gt;=DeliverStart,ExpContractPerUnit*TotalUnits/12*DF$7*DF$10,0)</f>
        <v/>
      </c>
      <c r="DG29" s="18">
        <f>IF(108&gt;=DeliverStart,ExpContractPerUnit*TotalUnits/12*DG$7*DG$10,0)</f>
        <v/>
      </c>
      <c r="DH29" s="18">
        <f>IF(109&gt;=DeliverStart,ExpContractPerUnit*TotalUnits/12*DH$7*DH$10,0)</f>
        <v/>
      </c>
      <c r="DI29" s="18">
        <f>IF(110&gt;=DeliverStart,ExpContractPerUnit*TotalUnits/12*DI$7*DI$10,0)</f>
        <v/>
      </c>
      <c r="DJ29" s="18">
        <f>IF(111&gt;=DeliverStart,ExpContractPerUnit*TotalUnits/12*DJ$7*DJ$10,0)</f>
        <v/>
      </c>
      <c r="DK29" s="18">
        <f>IF(112&gt;=DeliverStart,ExpContractPerUnit*TotalUnits/12*DK$7*DK$10,0)</f>
        <v/>
      </c>
      <c r="DL29" s="18">
        <f>IF(113&gt;=DeliverStart,ExpContractPerUnit*TotalUnits/12*DL$7*DL$10,0)</f>
        <v/>
      </c>
      <c r="DM29" s="18">
        <f>IF(114&gt;=DeliverStart,ExpContractPerUnit*TotalUnits/12*DM$7*DM$10,0)</f>
        <v/>
      </c>
      <c r="DN29" s="18">
        <f>IF(115&gt;=DeliverStart,ExpContractPerUnit*TotalUnits/12*DN$7*DN$10,0)</f>
        <v/>
      </c>
      <c r="DO29" s="18">
        <f>IF(116&gt;=DeliverStart,ExpContractPerUnit*TotalUnits/12*DO$7*DO$10,0)</f>
        <v/>
      </c>
      <c r="DP29" s="18">
        <f>IF(117&gt;=DeliverStart,ExpContractPerUnit*TotalUnits/12*DP$7*DP$10,0)</f>
        <v/>
      </c>
      <c r="DQ29" s="18">
        <f>IF(118&gt;=DeliverStart,ExpContractPerUnit*TotalUnits/12*DQ$7*DQ$10,0)</f>
        <v/>
      </c>
      <c r="DR29" s="18">
        <f>IF(119&gt;=DeliverStart,ExpContractPerUnit*TotalUnits/12*DR$7*DR$10,0)</f>
        <v/>
      </c>
      <c r="DS29" s="18">
        <f>IF(120&gt;=DeliverStart,ExpContractPerUnit*TotalUnits/12*DS$7*DS$10,0)</f>
        <v/>
      </c>
      <c r="DT29" s="18">
        <f>IF(121&gt;=DeliverStart,ExpContractPerUnit*TotalUnits/12*DT$7*DT$10,0)</f>
        <v/>
      </c>
      <c r="DU29" s="18">
        <f>IF(122&gt;=DeliverStart,ExpContractPerUnit*TotalUnits/12*DU$7*DU$10,0)</f>
        <v/>
      </c>
      <c r="DV29" s="18">
        <f>IF(123&gt;=DeliverStart,ExpContractPerUnit*TotalUnits/12*DV$7*DV$10,0)</f>
        <v/>
      </c>
      <c r="DW29" s="18">
        <f>IF(124&gt;=DeliverStart,ExpContractPerUnit*TotalUnits/12*DW$7*DW$10,0)</f>
        <v/>
      </c>
      <c r="DX29" s="18">
        <f>IF(125&gt;=DeliverStart,ExpContractPerUnit*TotalUnits/12*DX$7*DX$10,0)</f>
        <v/>
      </c>
      <c r="DY29" s="18">
        <f>IF(126&gt;=DeliverStart,ExpContractPerUnit*TotalUnits/12*DY$7*DY$10,0)</f>
        <v/>
      </c>
      <c r="DZ29" s="18">
        <f>IF(127&gt;=DeliverStart,ExpContractPerUnit*TotalUnits/12*DZ$7*DZ$10,0)</f>
        <v/>
      </c>
      <c r="EA29" s="18">
        <f>IF(128&gt;=DeliverStart,ExpContractPerUnit*TotalUnits/12*EA$7*EA$10,0)</f>
        <v/>
      </c>
      <c r="EB29" s="18">
        <f>IF(129&gt;=DeliverStart,ExpContractPerUnit*TotalUnits/12*EB$7*EB$10,0)</f>
        <v/>
      </c>
      <c r="EC29" s="18">
        <f>IF(130&gt;=DeliverStart,ExpContractPerUnit*TotalUnits/12*EC$7*EC$10,0)</f>
        <v/>
      </c>
      <c r="ED29" s="18">
        <f>IF(131&gt;=DeliverStart,ExpContractPerUnit*TotalUnits/12*ED$7*ED$10,0)</f>
        <v/>
      </c>
      <c r="EE29" s="18">
        <f>IF(132&gt;=DeliverStart,ExpContractPerUnit*TotalUnits/12*EE$7*EE$10,0)</f>
        <v/>
      </c>
      <c r="EF29" s="18">
        <f>IF(133&gt;=DeliverStart,ExpContractPerUnit*TotalUnits/12*EF$7*EF$10,0)</f>
        <v/>
      </c>
      <c r="EG29" s="18">
        <f>IF(134&gt;=DeliverStart,ExpContractPerUnit*TotalUnits/12*EG$7*EG$10,0)</f>
        <v/>
      </c>
      <c r="EH29" s="18">
        <f>IF(135&gt;=DeliverStart,ExpContractPerUnit*TotalUnits/12*EH$7*EH$10,0)</f>
        <v/>
      </c>
      <c r="EI29" s="18">
        <f>IF(136&gt;=DeliverStart,ExpContractPerUnit*TotalUnits/12*EI$7*EI$10,0)</f>
        <v/>
      </c>
      <c r="EJ29" s="18">
        <f>IF(137&gt;=DeliverStart,ExpContractPerUnit*TotalUnits/12*EJ$7*EJ$10,0)</f>
        <v/>
      </c>
      <c r="EK29" s="18">
        <f>IF(138&gt;=DeliverStart,ExpContractPerUnit*TotalUnits/12*EK$7*EK$10,0)</f>
        <v/>
      </c>
      <c r="EL29" s="18">
        <f>IF(139&gt;=DeliverStart,ExpContractPerUnit*TotalUnits/12*EL$7*EL$10,0)</f>
        <v/>
      </c>
      <c r="EM29" s="18">
        <f>IF(140&gt;=DeliverStart,ExpContractPerUnit*TotalUnits/12*EM$7*EM$10,0)</f>
        <v/>
      </c>
      <c r="EN29" s="18">
        <f>IF(141&gt;=DeliverStart,ExpContractPerUnit*TotalUnits/12*EN$7*EN$10,0)</f>
        <v/>
      </c>
      <c r="EO29" s="18">
        <f>IF(142&gt;=DeliverStart,ExpContractPerUnit*TotalUnits/12*EO$7*EO$10,0)</f>
        <v/>
      </c>
      <c r="EP29" s="18">
        <f>IF(143&gt;=DeliverStart,ExpContractPerUnit*TotalUnits/12*EP$7*EP$10,0)</f>
        <v/>
      </c>
      <c r="EQ29" s="18">
        <f>IF(144&gt;=DeliverStart,ExpContractPerUnit*TotalUnits/12*EQ$7*EQ$10,0)</f>
        <v/>
      </c>
      <c r="ER29" s="18">
        <f>IF(145&gt;=DeliverStart,ExpContractPerUnit*TotalUnits/12*ER$7*ER$10,0)</f>
        <v/>
      </c>
      <c r="ES29" s="18">
        <f>IF(146&gt;=DeliverStart,ExpContractPerUnit*TotalUnits/12*ES$7*ES$10,0)</f>
        <v/>
      </c>
      <c r="ET29" s="18">
        <f>IF(147&gt;=DeliverStart,ExpContractPerUnit*TotalUnits/12*ET$7*ET$10,0)</f>
        <v/>
      </c>
      <c r="EU29" s="18">
        <f>IF(148&gt;=DeliverStart,ExpContractPerUnit*TotalUnits/12*EU$7*EU$10,0)</f>
        <v/>
      </c>
      <c r="EV29" s="18">
        <f>IF(149&gt;=DeliverStart,ExpContractPerUnit*TotalUnits/12*EV$7*EV$10,0)</f>
        <v/>
      </c>
      <c r="EW29" s="18">
        <f>IF(150&gt;=DeliverStart,ExpContractPerUnit*TotalUnits/12*EW$7*EW$10,0)</f>
        <v/>
      </c>
      <c r="EX29" s="18">
        <f>IF(151&gt;=DeliverStart,ExpContractPerUnit*TotalUnits/12*EX$7*EX$10,0)</f>
        <v/>
      </c>
      <c r="EY29" s="18">
        <f>IF(152&gt;=DeliverStart,ExpContractPerUnit*TotalUnits/12*EY$7*EY$10,0)</f>
        <v/>
      </c>
      <c r="EZ29" s="18">
        <f>IF(153&gt;=DeliverStart,ExpContractPerUnit*TotalUnits/12*EZ$7*EZ$10,0)</f>
        <v/>
      </c>
      <c r="FA29" s="18">
        <f>IF(154&gt;=DeliverStart,ExpContractPerUnit*TotalUnits/12*FA$7*FA$10,0)</f>
        <v/>
      </c>
      <c r="FB29" s="18">
        <f>IF(155&gt;=DeliverStart,ExpContractPerUnit*TotalUnits/12*FB$7*FB$10,0)</f>
        <v/>
      </c>
      <c r="FC29" s="18">
        <f>IF(156&gt;=DeliverStart,ExpContractPerUnit*TotalUnits/12*FC$7*FC$10,0)</f>
        <v/>
      </c>
      <c r="FD29" s="18">
        <f>IF(157&gt;=DeliverStart,ExpContractPerUnit*TotalUnits/12*FD$7*FD$10,0)</f>
        <v/>
      </c>
      <c r="FE29" s="18">
        <f>IF(158&gt;=DeliverStart,ExpContractPerUnit*TotalUnits/12*FE$7*FE$10,0)</f>
        <v/>
      </c>
      <c r="FF29" s="18">
        <f>IF(159&gt;=DeliverStart,ExpContractPerUnit*TotalUnits/12*FF$7*FF$10,0)</f>
        <v/>
      </c>
      <c r="FG29" s="18">
        <f>IF(160&gt;=DeliverStart,ExpContractPerUnit*TotalUnits/12*FG$7*FG$10,0)</f>
        <v/>
      </c>
      <c r="FH29" s="18">
        <f>IF(161&gt;=DeliverStart,ExpContractPerUnit*TotalUnits/12*FH$7*FH$10,0)</f>
        <v/>
      </c>
      <c r="FI29" s="18">
        <f>IF(162&gt;=DeliverStart,ExpContractPerUnit*TotalUnits/12*FI$7*FI$10,0)</f>
        <v/>
      </c>
      <c r="FJ29" s="18">
        <f>IF(163&gt;=DeliverStart,ExpContractPerUnit*TotalUnits/12*FJ$7*FJ$10,0)</f>
        <v/>
      </c>
      <c r="FK29" s="18">
        <f>IF(164&gt;=DeliverStart,ExpContractPerUnit*TotalUnits/12*FK$7*FK$10,0)</f>
        <v/>
      </c>
      <c r="FL29" s="18">
        <f>IF(165&gt;=DeliverStart,ExpContractPerUnit*TotalUnits/12*FL$7*FL$10,0)</f>
        <v/>
      </c>
      <c r="FM29" s="18">
        <f>IF(166&gt;=DeliverStart,ExpContractPerUnit*TotalUnits/12*FM$7*FM$10,0)</f>
        <v/>
      </c>
      <c r="FN29" s="18">
        <f>IF(167&gt;=DeliverStart,ExpContractPerUnit*TotalUnits/12*FN$7*FN$10,0)</f>
        <v/>
      </c>
      <c r="FO29" s="18">
        <f>IF(168&gt;=DeliverStart,ExpContractPerUnit*TotalUnits/12*FO$7*FO$10,0)</f>
        <v/>
      </c>
      <c r="FP29" s="18">
        <f>IF(169&gt;=DeliverStart,ExpContractPerUnit*TotalUnits/12*FP$7*FP$10,0)</f>
        <v/>
      </c>
      <c r="FQ29" s="18">
        <f>IF(170&gt;=DeliverStart,ExpContractPerUnit*TotalUnits/12*FQ$7*FQ$10,0)</f>
        <v/>
      </c>
      <c r="FR29" s="18">
        <f>IF(171&gt;=DeliverStart,ExpContractPerUnit*TotalUnits/12*FR$7*FR$10,0)</f>
        <v/>
      </c>
      <c r="FS29" s="18">
        <f>IF(172&gt;=DeliverStart,ExpContractPerUnit*TotalUnits/12*FS$7*FS$10,0)</f>
        <v/>
      </c>
      <c r="FT29" s="18">
        <f>IF(173&gt;=DeliverStart,ExpContractPerUnit*TotalUnits/12*FT$7*FT$10,0)</f>
        <v/>
      </c>
      <c r="FU29" s="18">
        <f>IF(174&gt;=DeliverStart,ExpContractPerUnit*TotalUnits/12*FU$7*FU$10,0)</f>
        <v/>
      </c>
      <c r="FV29" s="18">
        <f>IF(175&gt;=DeliverStart,ExpContractPerUnit*TotalUnits/12*FV$7*FV$10,0)</f>
        <v/>
      </c>
      <c r="FW29" s="18">
        <f>IF(176&gt;=DeliverStart,ExpContractPerUnit*TotalUnits/12*FW$7*FW$10,0)</f>
        <v/>
      </c>
      <c r="FX29" s="18">
        <f>IF(177&gt;=DeliverStart,ExpContractPerUnit*TotalUnits/12*FX$7*FX$10,0)</f>
        <v/>
      </c>
      <c r="FY29" s="18">
        <f>IF(178&gt;=DeliverStart,ExpContractPerUnit*TotalUnits/12*FY$7*FY$10,0)</f>
        <v/>
      </c>
      <c r="FZ29" s="18">
        <f>IF(179&gt;=DeliverStart,ExpContractPerUnit*TotalUnits/12*FZ$7*FZ$10,0)</f>
        <v/>
      </c>
      <c r="GA29" s="18">
        <f>IF(180&gt;=DeliverStart,ExpContractPerUnit*TotalUnits/12*GA$7*GA$10,0)</f>
        <v/>
      </c>
      <c r="GB29" s="18">
        <f>IF(181&gt;=DeliverStart,ExpContractPerUnit*TotalUnits/12*GB$7*GB$10,0)</f>
        <v/>
      </c>
      <c r="GC29" s="18">
        <f>IF(182&gt;=DeliverStart,ExpContractPerUnit*TotalUnits/12*GC$7*GC$10,0)</f>
        <v/>
      </c>
      <c r="GD29" s="18">
        <f>IF(183&gt;=DeliverStart,ExpContractPerUnit*TotalUnits/12*GD$7*GD$10,0)</f>
        <v/>
      </c>
      <c r="GE29" s="18">
        <f>IF(184&gt;=DeliverStart,ExpContractPerUnit*TotalUnits/12*GE$7*GE$10,0)</f>
        <v/>
      </c>
      <c r="GF29" s="18">
        <f>IF(185&gt;=DeliverStart,ExpContractPerUnit*TotalUnits/12*GF$7*GF$10,0)</f>
        <v/>
      </c>
      <c r="GG29" s="18">
        <f>IF(186&gt;=DeliverStart,ExpContractPerUnit*TotalUnits/12*GG$7*GG$10,0)</f>
        <v/>
      </c>
      <c r="GH29" s="18">
        <f>IF(187&gt;=DeliverStart,ExpContractPerUnit*TotalUnits/12*GH$7*GH$10,0)</f>
        <v/>
      </c>
      <c r="GI29" s="18">
        <f>IF(188&gt;=DeliverStart,ExpContractPerUnit*TotalUnits/12*GI$7*GI$10,0)</f>
        <v/>
      </c>
      <c r="GJ29" s="18">
        <f>IF(189&gt;=DeliverStart,ExpContractPerUnit*TotalUnits/12*GJ$7*GJ$10,0)</f>
        <v/>
      </c>
      <c r="GK29" s="18">
        <f>IF(190&gt;=DeliverStart,ExpContractPerUnit*TotalUnits/12*GK$7*GK$10,0)</f>
        <v/>
      </c>
      <c r="GL29" s="18">
        <f>IF(191&gt;=DeliverStart,ExpContractPerUnit*TotalUnits/12*GL$7*GL$10,0)</f>
        <v/>
      </c>
      <c r="GM29" s="18">
        <f>IF(192&gt;=DeliverStart,ExpContractPerUnit*TotalUnits/12*GM$7*GM$10,0)</f>
        <v/>
      </c>
      <c r="GN29" s="18">
        <f>IF(193&gt;=DeliverStart,ExpContractPerUnit*TotalUnits/12*GN$7*GN$10,0)</f>
        <v/>
      </c>
      <c r="GO29" s="18">
        <f>IF(194&gt;=DeliverStart,ExpContractPerUnit*TotalUnits/12*GO$7*GO$10,0)</f>
        <v/>
      </c>
      <c r="GP29" s="18">
        <f>IF(195&gt;=DeliverStart,ExpContractPerUnit*TotalUnits/12*GP$7*GP$10,0)</f>
        <v/>
      </c>
      <c r="GQ29" s="18">
        <f>IF(196&gt;=DeliverStart,ExpContractPerUnit*TotalUnits/12*GQ$7*GQ$10,0)</f>
        <v/>
      </c>
      <c r="GR29" s="18">
        <f>IF(197&gt;=DeliverStart,ExpContractPerUnit*TotalUnits/12*GR$7*GR$10,0)</f>
        <v/>
      </c>
      <c r="GS29" s="18">
        <f>IF(198&gt;=DeliverStart,ExpContractPerUnit*TotalUnits/12*GS$7*GS$10,0)</f>
        <v/>
      </c>
      <c r="GT29" s="18">
        <f>IF(199&gt;=DeliverStart,ExpContractPerUnit*TotalUnits/12*GT$7*GT$10,0)</f>
        <v/>
      </c>
      <c r="GU29" s="18">
        <f>IF(200&gt;=DeliverStart,ExpContractPerUnit*TotalUnits/12*GU$7*GU$10,0)</f>
        <v/>
      </c>
      <c r="GV29" s="18">
        <f>IF(201&gt;=DeliverStart,ExpContractPerUnit*TotalUnits/12*GV$7*GV$10,0)</f>
        <v/>
      </c>
      <c r="GW29" s="18">
        <f>IF(202&gt;=DeliverStart,ExpContractPerUnit*TotalUnits/12*GW$7*GW$10,0)</f>
        <v/>
      </c>
      <c r="GX29" s="18">
        <f>IF(203&gt;=DeliverStart,ExpContractPerUnit*TotalUnits/12*GX$7*GX$10,0)</f>
        <v/>
      </c>
      <c r="GY29" s="18">
        <f>IF(204&gt;=DeliverStart,ExpContractPerUnit*TotalUnits/12*GY$7*GY$10,0)</f>
        <v/>
      </c>
      <c r="GZ29" s="18">
        <f>IF(205&gt;=DeliverStart,ExpContractPerUnit*TotalUnits/12*GZ$7*GZ$10,0)</f>
        <v/>
      </c>
      <c r="HA29" s="18">
        <f>IF(206&gt;=DeliverStart,ExpContractPerUnit*TotalUnits/12*HA$7*HA$10,0)</f>
        <v/>
      </c>
      <c r="HB29" s="18">
        <f>IF(207&gt;=DeliverStart,ExpContractPerUnit*TotalUnits/12*HB$7*HB$10,0)</f>
        <v/>
      </c>
      <c r="HC29" s="18">
        <f>IF(208&gt;=DeliverStart,ExpContractPerUnit*TotalUnits/12*HC$7*HC$10,0)</f>
        <v/>
      </c>
      <c r="HD29" s="18">
        <f>IF(209&gt;=DeliverStart,ExpContractPerUnit*TotalUnits/12*HD$7*HD$10,0)</f>
        <v/>
      </c>
      <c r="HE29" s="18">
        <f>IF(210&gt;=DeliverStart,ExpContractPerUnit*TotalUnits/12*HE$7*HE$10,0)</f>
        <v/>
      </c>
      <c r="HF29" s="18">
        <f>IF(211&gt;=DeliverStart,ExpContractPerUnit*TotalUnits/12*HF$7*HF$10,0)</f>
        <v/>
      </c>
      <c r="HG29" s="18">
        <f>IF(212&gt;=DeliverStart,ExpContractPerUnit*TotalUnits/12*HG$7*HG$10,0)</f>
        <v/>
      </c>
      <c r="HH29" s="18">
        <f>IF(213&gt;=DeliverStart,ExpContractPerUnit*TotalUnits/12*HH$7*HH$10,0)</f>
        <v/>
      </c>
      <c r="HI29" s="18">
        <f>IF(214&gt;=DeliverStart,ExpContractPerUnit*TotalUnits/12*HI$7*HI$10,0)</f>
        <v/>
      </c>
      <c r="HJ29" s="18">
        <f>IF(215&gt;=DeliverStart,ExpContractPerUnit*TotalUnits/12*HJ$7*HJ$10,0)</f>
        <v/>
      </c>
      <c r="HK29" s="18">
        <f>IF(216&gt;=DeliverStart,ExpContractPerUnit*TotalUnits/12*HK$7*HK$10,0)</f>
        <v/>
      </c>
      <c r="HL29" s="18">
        <f>IF(217&gt;=DeliverStart,ExpContractPerUnit*TotalUnits/12*HL$7*HL$10,0)</f>
        <v/>
      </c>
      <c r="HM29" s="18">
        <f>IF(218&gt;=DeliverStart,ExpContractPerUnit*TotalUnits/12*HM$7*HM$10,0)</f>
        <v/>
      </c>
      <c r="HN29" s="18">
        <f>IF(219&gt;=DeliverStart,ExpContractPerUnit*TotalUnits/12*HN$7*HN$10,0)</f>
        <v/>
      </c>
      <c r="HO29" s="18">
        <f>IF(220&gt;=DeliverStart,ExpContractPerUnit*TotalUnits/12*HO$7*HO$10,0)</f>
        <v/>
      </c>
      <c r="HP29" s="18">
        <f>IF(221&gt;=DeliverStart,ExpContractPerUnit*TotalUnits/12*HP$7*HP$10,0)</f>
        <v/>
      </c>
      <c r="HQ29" s="18">
        <f>IF(222&gt;=DeliverStart,ExpContractPerUnit*TotalUnits/12*HQ$7*HQ$10,0)</f>
        <v/>
      </c>
      <c r="HR29" s="18">
        <f>IF(223&gt;=DeliverStart,ExpContractPerUnit*TotalUnits/12*HR$7*HR$10,0)</f>
        <v/>
      </c>
      <c r="HS29" s="18">
        <f>IF(224&gt;=DeliverStart,ExpContractPerUnit*TotalUnits/12*HS$7*HS$10,0)</f>
        <v/>
      </c>
      <c r="HT29" s="18">
        <f>IF(225&gt;=DeliverStart,ExpContractPerUnit*TotalUnits/12*HT$7*HT$10,0)</f>
        <v/>
      </c>
      <c r="HU29" s="18">
        <f>IF(226&gt;=DeliverStart,ExpContractPerUnit*TotalUnits/12*HU$7*HU$10,0)</f>
        <v/>
      </c>
      <c r="HV29" s="18">
        <f>IF(227&gt;=DeliverStart,ExpContractPerUnit*TotalUnits/12*HV$7*HV$10,0)</f>
        <v/>
      </c>
      <c r="HW29" s="18">
        <f>IF(228&gt;=DeliverStart,ExpContractPerUnit*TotalUnits/12*HW$7*HW$10,0)</f>
        <v/>
      </c>
      <c r="HX29" s="18">
        <f>IF(229&gt;=DeliverStart,ExpContractPerUnit*TotalUnits/12*HX$7*HX$10,0)</f>
        <v/>
      </c>
      <c r="HY29" s="18">
        <f>IF(230&gt;=DeliverStart,ExpContractPerUnit*TotalUnits/12*HY$7*HY$10,0)</f>
        <v/>
      </c>
      <c r="HZ29" s="18">
        <f>IF(231&gt;=DeliverStart,ExpContractPerUnit*TotalUnits/12*HZ$7*HZ$10,0)</f>
        <v/>
      </c>
      <c r="IA29" s="18">
        <f>IF(232&gt;=DeliverStart,ExpContractPerUnit*TotalUnits/12*IA$7*IA$10,0)</f>
        <v/>
      </c>
      <c r="IB29" s="18">
        <f>IF(233&gt;=DeliverStart,ExpContractPerUnit*TotalUnits/12*IB$7*IB$10,0)</f>
        <v/>
      </c>
      <c r="IC29" s="18">
        <f>IF(234&gt;=DeliverStart,ExpContractPerUnit*TotalUnits/12*IC$7*IC$10,0)</f>
        <v/>
      </c>
      <c r="ID29" s="18">
        <f>IF(235&gt;=DeliverStart,ExpContractPerUnit*TotalUnits/12*ID$7*ID$10,0)</f>
        <v/>
      </c>
      <c r="IE29" s="18">
        <f>IF(236&gt;=DeliverStart,ExpContractPerUnit*TotalUnits/12*IE$7*IE$10,0)</f>
        <v/>
      </c>
      <c r="IF29" s="18">
        <f>IF(237&gt;=DeliverStart,ExpContractPerUnit*TotalUnits/12*IF$7*IF$10,0)</f>
        <v/>
      </c>
      <c r="IG29" s="18">
        <f>IF(238&gt;=DeliverStart,ExpContractPerUnit*TotalUnits/12*IG$7*IG$10,0)</f>
        <v/>
      </c>
      <c r="IH29" s="18">
        <f>IF(239&gt;=DeliverStart,ExpContractPerUnit*TotalUnits/12*IH$7*IH$10,0)</f>
        <v/>
      </c>
      <c r="II29" s="18">
        <f>IF(240&gt;=DeliverStart,ExpContractPerUnit*TotalUnits/12*II$7*II$10,0)</f>
        <v/>
      </c>
      <c r="IJ29" s="18">
        <f>IF(241&gt;=DeliverStart,ExpContractPerUnit*TotalUnits/12*IJ$7*IJ$10,0)</f>
        <v/>
      </c>
      <c r="IK29" s="18">
        <f>IF(242&gt;=DeliverStart,ExpContractPerUnit*TotalUnits/12*IK$7*IK$10,0)</f>
        <v/>
      </c>
      <c r="IL29" s="18">
        <f>IF(243&gt;=DeliverStart,ExpContractPerUnit*TotalUnits/12*IL$7*IL$10,0)</f>
        <v/>
      </c>
      <c r="IM29" s="18">
        <f>IF(244&gt;=DeliverStart,ExpContractPerUnit*TotalUnits/12*IM$7*IM$10,0)</f>
        <v/>
      </c>
      <c r="IN29" s="18">
        <f>IF(245&gt;=DeliverStart,ExpContractPerUnit*TotalUnits/12*IN$7*IN$10,0)</f>
        <v/>
      </c>
      <c r="IO29" s="18">
        <f>IF(246&gt;=DeliverStart,ExpContractPerUnit*TotalUnits/12*IO$7*IO$10,0)</f>
        <v/>
      </c>
      <c r="IP29" s="18">
        <f>IF(247&gt;=DeliverStart,ExpContractPerUnit*TotalUnits/12*IP$7*IP$10,0)</f>
        <v/>
      </c>
      <c r="IQ29" s="18">
        <f>IF(248&gt;=DeliverStart,ExpContractPerUnit*TotalUnits/12*IQ$7*IQ$10,0)</f>
        <v/>
      </c>
      <c r="IR29" s="18">
        <f>IF(249&gt;=DeliverStart,ExpContractPerUnit*TotalUnits/12*IR$7*IR$10,0)</f>
        <v/>
      </c>
      <c r="IS29" s="18">
        <f>IF(250&gt;=DeliverStart,ExpContractPerUnit*TotalUnits/12*IS$7*IS$10,0)</f>
        <v/>
      </c>
      <c r="IT29" s="18">
        <f>IF(251&gt;=DeliverStart,ExpContractPerUnit*TotalUnits/12*IT$7*IT$10,0)</f>
        <v/>
      </c>
      <c r="IU29" s="18">
        <f>IF(252&gt;=DeliverStart,ExpContractPerUnit*TotalUnits/12*IU$7*IU$10,0)</f>
        <v/>
      </c>
      <c r="IV29" s="18">
        <f>IF(253&gt;=DeliverStart,ExpContractPerUnit*TotalUnits/12*IV$7*IV$10,0)</f>
        <v/>
      </c>
      <c r="IW29" s="18">
        <f>IF(254&gt;=DeliverStart,ExpContractPerUnit*TotalUnits/12*IW$7*IW$10,0)</f>
        <v/>
      </c>
      <c r="IX29" s="18">
        <f>IF(255&gt;=DeliverStart,ExpContractPerUnit*TotalUnits/12*IX$7*IX$10,0)</f>
        <v/>
      </c>
      <c r="IY29" s="18">
        <f>IF(256&gt;=DeliverStart,ExpContractPerUnit*TotalUnits/12*IY$7*IY$10,0)</f>
        <v/>
      </c>
      <c r="IZ29" s="18">
        <f>IF(257&gt;=DeliverStart,ExpContractPerUnit*TotalUnits/12*IZ$7*IZ$10,0)</f>
        <v/>
      </c>
      <c r="JA29" s="18">
        <f>IF(258&gt;=DeliverStart,ExpContractPerUnit*TotalUnits/12*JA$7*JA$10,0)</f>
        <v/>
      </c>
      <c r="JB29" s="18">
        <f>IF(259&gt;=DeliverStart,ExpContractPerUnit*TotalUnits/12*JB$7*JB$10,0)</f>
        <v/>
      </c>
      <c r="JC29" s="18">
        <f>IF(260&gt;=DeliverStart,ExpContractPerUnit*TotalUnits/12*JC$7*JC$10,0)</f>
        <v/>
      </c>
      <c r="JD29" s="18">
        <f>IF(261&gt;=DeliverStart,ExpContractPerUnit*TotalUnits/12*JD$7*JD$10,0)</f>
        <v/>
      </c>
      <c r="JE29" s="18">
        <f>IF(262&gt;=DeliverStart,ExpContractPerUnit*TotalUnits/12*JE$7*JE$10,0)</f>
        <v/>
      </c>
      <c r="JF29" s="18">
        <f>IF(263&gt;=DeliverStart,ExpContractPerUnit*TotalUnits/12*JF$7*JF$10,0)</f>
        <v/>
      </c>
      <c r="JG29" s="18">
        <f>IF(264&gt;=DeliverStart,ExpContractPerUnit*TotalUnits/12*JG$7*JG$10,0)</f>
        <v/>
      </c>
      <c r="JH29" s="18">
        <f>IF(265&gt;=DeliverStart,ExpContractPerUnit*TotalUnits/12*JH$7*JH$10,0)</f>
        <v/>
      </c>
      <c r="JI29" s="18">
        <f>IF(266&gt;=DeliverStart,ExpContractPerUnit*TotalUnits/12*JI$7*JI$10,0)</f>
        <v/>
      </c>
      <c r="JJ29" s="18">
        <f>IF(267&gt;=DeliverStart,ExpContractPerUnit*TotalUnits/12*JJ$7*JJ$10,0)</f>
        <v/>
      </c>
      <c r="JK29" s="18">
        <f>IF(268&gt;=DeliverStart,ExpContractPerUnit*TotalUnits/12*JK$7*JK$10,0)</f>
        <v/>
      </c>
      <c r="JL29" s="18">
        <f>IF(269&gt;=DeliverStart,ExpContractPerUnit*TotalUnits/12*JL$7*JL$10,0)</f>
        <v/>
      </c>
      <c r="JM29" s="18">
        <f>IF(270&gt;=DeliverStart,ExpContractPerUnit*TotalUnits/12*JM$7*JM$10,0)</f>
        <v/>
      </c>
      <c r="JN29" s="18">
        <f>IF(271&gt;=DeliverStart,ExpContractPerUnit*TotalUnits/12*JN$7*JN$10,0)</f>
        <v/>
      </c>
      <c r="JO29" s="18">
        <f>IF(272&gt;=DeliverStart,ExpContractPerUnit*TotalUnits/12*JO$7*JO$10,0)</f>
        <v/>
      </c>
      <c r="JP29" s="18">
        <f>IF(273&gt;=DeliverStart,ExpContractPerUnit*TotalUnits/12*JP$7*JP$10,0)</f>
        <v/>
      </c>
      <c r="JQ29" s="18">
        <f>IF(274&gt;=DeliverStart,ExpContractPerUnit*TotalUnits/12*JQ$7*JQ$10,0)</f>
        <v/>
      </c>
      <c r="JR29" s="18">
        <f>IF(275&gt;=DeliverStart,ExpContractPerUnit*TotalUnits/12*JR$7*JR$10,0)</f>
        <v/>
      </c>
      <c r="JS29" s="18">
        <f>IF(276&gt;=DeliverStart,ExpContractPerUnit*TotalUnits/12*JS$7*JS$10,0)</f>
        <v/>
      </c>
      <c r="JT29" s="18">
        <f>IF(277&gt;=DeliverStart,ExpContractPerUnit*TotalUnits/12*JT$7*JT$10,0)</f>
        <v/>
      </c>
      <c r="JU29" s="18">
        <f>IF(278&gt;=DeliverStart,ExpContractPerUnit*TotalUnits/12*JU$7*JU$10,0)</f>
        <v/>
      </c>
      <c r="JV29" s="18">
        <f>IF(279&gt;=DeliverStart,ExpContractPerUnit*TotalUnits/12*JV$7*JV$10,0)</f>
        <v/>
      </c>
      <c r="JW29" s="18">
        <f>IF(280&gt;=DeliverStart,ExpContractPerUnit*TotalUnits/12*JW$7*JW$10,0)</f>
        <v/>
      </c>
      <c r="JX29" s="18">
        <f>IF(281&gt;=DeliverStart,ExpContractPerUnit*TotalUnits/12*JX$7*JX$10,0)</f>
        <v/>
      </c>
      <c r="JY29" s="18">
        <f>IF(282&gt;=DeliverStart,ExpContractPerUnit*TotalUnits/12*JY$7*JY$10,0)</f>
        <v/>
      </c>
      <c r="JZ29" s="18">
        <f>IF(283&gt;=DeliverStart,ExpContractPerUnit*TotalUnits/12*JZ$7*JZ$10,0)</f>
        <v/>
      </c>
      <c r="KA29" s="18">
        <f>IF(284&gt;=DeliverStart,ExpContractPerUnit*TotalUnits/12*KA$7*KA$10,0)</f>
        <v/>
      </c>
      <c r="KB29" s="18">
        <f>IF(285&gt;=DeliverStart,ExpContractPerUnit*TotalUnits/12*KB$7*KB$10,0)</f>
        <v/>
      </c>
      <c r="KC29" s="18">
        <f>IF(286&gt;=DeliverStart,ExpContractPerUnit*TotalUnits/12*KC$7*KC$10,0)</f>
        <v/>
      </c>
      <c r="KD29" s="18">
        <f>IF(287&gt;=DeliverStart,ExpContractPerUnit*TotalUnits/12*KD$7*KD$10,0)</f>
        <v/>
      </c>
      <c r="KE29" s="18">
        <f>IF(288&gt;=DeliverStart,ExpContractPerUnit*TotalUnits/12*KE$7*KE$10,0)</f>
        <v/>
      </c>
      <c r="KF29" s="18">
        <f>IF(289&gt;=DeliverStart,ExpContractPerUnit*TotalUnits/12*KF$7*KF$10,0)</f>
        <v/>
      </c>
      <c r="KG29" s="18">
        <f>IF(290&gt;=DeliverStart,ExpContractPerUnit*TotalUnits/12*KG$7*KG$10,0)</f>
        <v/>
      </c>
      <c r="KH29" s="18">
        <f>IF(291&gt;=DeliverStart,ExpContractPerUnit*TotalUnits/12*KH$7*KH$10,0)</f>
        <v/>
      </c>
      <c r="KI29" s="18">
        <f>IF(292&gt;=DeliverStart,ExpContractPerUnit*TotalUnits/12*KI$7*KI$10,0)</f>
        <v/>
      </c>
      <c r="KJ29" s="18">
        <f>IF(293&gt;=DeliverStart,ExpContractPerUnit*TotalUnits/12*KJ$7*KJ$10,0)</f>
        <v/>
      </c>
      <c r="KK29" s="18">
        <f>IF(294&gt;=DeliverStart,ExpContractPerUnit*TotalUnits/12*KK$7*KK$10,0)</f>
        <v/>
      </c>
      <c r="KL29" s="18">
        <f>IF(295&gt;=DeliverStart,ExpContractPerUnit*TotalUnits/12*KL$7*KL$10,0)</f>
        <v/>
      </c>
      <c r="KM29" s="18">
        <f>IF(296&gt;=DeliverStart,ExpContractPerUnit*TotalUnits/12*KM$7*KM$10,0)</f>
        <v/>
      </c>
      <c r="KN29" s="18">
        <f>IF(297&gt;=DeliverStart,ExpContractPerUnit*TotalUnits/12*KN$7*KN$10,0)</f>
        <v/>
      </c>
      <c r="KO29" s="18">
        <f>IF(298&gt;=DeliverStart,ExpContractPerUnit*TotalUnits/12*KO$7*KO$10,0)</f>
        <v/>
      </c>
      <c r="KP29" s="18">
        <f>IF(299&gt;=DeliverStart,ExpContractPerUnit*TotalUnits/12*KP$7*KP$10,0)</f>
        <v/>
      </c>
      <c r="KQ29" s="18">
        <f>IF(300&gt;=DeliverStart,ExpContractPerUnit*TotalUnits/12*KQ$7*KQ$10,0)</f>
        <v/>
      </c>
      <c r="KR29" s="18">
        <f>IF(301&gt;=DeliverStart,ExpContractPerUnit*TotalUnits/12*KR$7*KR$10,0)</f>
        <v/>
      </c>
      <c r="KS29" s="18">
        <f>IF(302&gt;=DeliverStart,ExpContractPerUnit*TotalUnits/12*KS$7*KS$10,0)</f>
        <v/>
      </c>
      <c r="KT29" s="18">
        <f>IF(303&gt;=DeliverStart,ExpContractPerUnit*TotalUnits/12*KT$7*KT$10,0)</f>
        <v/>
      </c>
      <c r="KU29" s="18">
        <f>IF(304&gt;=DeliverStart,ExpContractPerUnit*TotalUnits/12*KU$7*KU$10,0)</f>
        <v/>
      </c>
      <c r="KV29" s="18">
        <f>IF(305&gt;=DeliverStart,ExpContractPerUnit*TotalUnits/12*KV$7*KV$10,0)</f>
        <v/>
      </c>
      <c r="KW29" s="18">
        <f>IF(306&gt;=DeliverStart,ExpContractPerUnit*TotalUnits/12*KW$7*KW$10,0)</f>
        <v/>
      </c>
      <c r="KX29" s="18">
        <f>IF(307&gt;=DeliverStart,ExpContractPerUnit*TotalUnits/12*KX$7*KX$10,0)</f>
        <v/>
      </c>
      <c r="KY29" s="18">
        <f>IF(308&gt;=DeliverStart,ExpContractPerUnit*TotalUnits/12*KY$7*KY$10,0)</f>
        <v/>
      </c>
      <c r="KZ29" s="18">
        <f>IF(309&gt;=DeliverStart,ExpContractPerUnit*TotalUnits/12*KZ$7*KZ$10,0)</f>
        <v/>
      </c>
      <c r="LA29" s="18">
        <f>IF(310&gt;=DeliverStart,ExpContractPerUnit*TotalUnits/12*LA$7*LA$10,0)</f>
        <v/>
      </c>
      <c r="LB29" s="18">
        <f>IF(311&gt;=DeliverStart,ExpContractPerUnit*TotalUnits/12*LB$7*LB$10,0)</f>
        <v/>
      </c>
      <c r="LC29" s="18">
        <f>IF(312&gt;=DeliverStart,ExpContractPerUnit*TotalUnits/12*LC$7*LC$10,0)</f>
        <v/>
      </c>
      <c r="LD29" s="18">
        <f>IF(313&gt;=DeliverStart,ExpContractPerUnit*TotalUnits/12*LD$7*LD$10,0)</f>
        <v/>
      </c>
      <c r="LE29" s="18">
        <f>IF(314&gt;=DeliverStart,ExpContractPerUnit*TotalUnits/12*LE$7*LE$10,0)</f>
        <v/>
      </c>
      <c r="LF29" s="18">
        <f>IF(315&gt;=DeliverStart,ExpContractPerUnit*TotalUnits/12*LF$7*LF$10,0)</f>
        <v/>
      </c>
      <c r="LG29" s="18">
        <f>IF(316&gt;=DeliverStart,ExpContractPerUnit*TotalUnits/12*LG$7*LG$10,0)</f>
        <v/>
      </c>
      <c r="LH29" s="18">
        <f>IF(317&gt;=DeliverStart,ExpContractPerUnit*TotalUnits/12*LH$7*LH$10,0)</f>
        <v/>
      </c>
      <c r="LI29" s="18">
        <f>IF(318&gt;=DeliverStart,ExpContractPerUnit*TotalUnits/12*LI$7*LI$10,0)</f>
        <v/>
      </c>
      <c r="LJ29" s="18">
        <f>IF(319&gt;=DeliverStart,ExpContractPerUnit*TotalUnits/12*LJ$7*LJ$10,0)</f>
        <v/>
      </c>
      <c r="LK29" s="18">
        <f>IF(320&gt;=DeliverStart,ExpContractPerUnit*TotalUnits/12*LK$7*LK$10,0)</f>
        <v/>
      </c>
      <c r="LL29" s="18">
        <f>IF(321&gt;=DeliverStart,ExpContractPerUnit*TotalUnits/12*LL$7*LL$10,0)</f>
        <v/>
      </c>
      <c r="LM29" s="18">
        <f>IF(322&gt;=DeliverStart,ExpContractPerUnit*TotalUnits/12*LM$7*LM$10,0)</f>
        <v/>
      </c>
      <c r="LN29" s="18">
        <f>IF(323&gt;=DeliverStart,ExpContractPerUnit*TotalUnits/12*LN$7*LN$10,0)</f>
        <v/>
      </c>
      <c r="LO29" s="18">
        <f>IF(324&gt;=DeliverStart,ExpContractPerUnit*TotalUnits/12*LO$7*LO$10,0)</f>
        <v/>
      </c>
      <c r="LP29" s="18">
        <f>IF(325&gt;=DeliverStart,ExpContractPerUnit*TotalUnits/12*LP$7*LP$10,0)</f>
        <v/>
      </c>
      <c r="LQ29" s="18">
        <f>IF(326&gt;=DeliverStart,ExpContractPerUnit*TotalUnits/12*LQ$7*LQ$10,0)</f>
        <v/>
      </c>
      <c r="LR29" s="18">
        <f>IF(327&gt;=DeliverStart,ExpContractPerUnit*TotalUnits/12*LR$7*LR$10,0)</f>
        <v/>
      </c>
      <c r="LS29" s="18">
        <f>IF(328&gt;=DeliverStart,ExpContractPerUnit*TotalUnits/12*LS$7*LS$10,0)</f>
        <v/>
      </c>
      <c r="LT29" s="18">
        <f>IF(329&gt;=DeliverStart,ExpContractPerUnit*TotalUnits/12*LT$7*LT$10,0)</f>
        <v/>
      </c>
      <c r="LU29" s="18">
        <f>IF(330&gt;=DeliverStart,ExpContractPerUnit*TotalUnits/12*LU$7*LU$10,0)</f>
        <v/>
      </c>
      <c r="LV29" s="18">
        <f>IF(331&gt;=DeliverStart,ExpContractPerUnit*TotalUnits/12*LV$7*LV$10,0)</f>
        <v/>
      </c>
      <c r="LW29" s="18">
        <f>IF(332&gt;=DeliverStart,ExpContractPerUnit*TotalUnits/12*LW$7*LW$10,0)</f>
        <v/>
      </c>
      <c r="LX29" s="18">
        <f>IF(333&gt;=DeliverStart,ExpContractPerUnit*TotalUnits/12*LX$7*LX$10,0)</f>
        <v/>
      </c>
      <c r="LY29" s="18">
        <f>IF(334&gt;=DeliverStart,ExpContractPerUnit*TotalUnits/12*LY$7*LY$10,0)</f>
        <v/>
      </c>
      <c r="LZ29" s="18">
        <f>IF(335&gt;=DeliverStart,ExpContractPerUnit*TotalUnits/12*LZ$7*LZ$10,0)</f>
        <v/>
      </c>
      <c r="MA29" s="18">
        <f>IF(336&gt;=DeliverStart,ExpContractPerUnit*TotalUnits/12*MA$7*MA$10,0)</f>
        <v/>
      </c>
      <c r="MB29" s="18">
        <f>IF(337&gt;=DeliverStart,ExpContractPerUnit*TotalUnits/12*MB$7*MB$10,0)</f>
        <v/>
      </c>
      <c r="MC29" s="18">
        <f>IF(338&gt;=DeliverStart,ExpContractPerUnit*TotalUnits/12*MC$7*MC$10,0)</f>
        <v/>
      </c>
      <c r="MD29" s="18">
        <f>IF(339&gt;=DeliverStart,ExpContractPerUnit*TotalUnits/12*MD$7*MD$10,0)</f>
        <v/>
      </c>
      <c r="ME29" s="18">
        <f>IF(340&gt;=DeliverStart,ExpContractPerUnit*TotalUnits/12*ME$7*ME$10,0)</f>
        <v/>
      </c>
      <c r="MF29" s="18">
        <f>IF(341&gt;=DeliverStart,ExpContractPerUnit*TotalUnits/12*MF$7*MF$10,0)</f>
        <v/>
      </c>
      <c r="MG29" s="18">
        <f>IF(342&gt;=DeliverStart,ExpContractPerUnit*TotalUnits/12*MG$7*MG$10,0)</f>
        <v/>
      </c>
      <c r="MH29" s="18">
        <f>IF(343&gt;=DeliverStart,ExpContractPerUnit*TotalUnits/12*MH$7*MH$10,0)</f>
        <v/>
      </c>
      <c r="MI29" s="18">
        <f>IF(344&gt;=DeliverStart,ExpContractPerUnit*TotalUnits/12*MI$7*MI$10,0)</f>
        <v/>
      </c>
      <c r="MJ29" s="18">
        <f>IF(345&gt;=DeliverStart,ExpContractPerUnit*TotalUnits/12*MJ$7*MJ$10,0)</f>
        <v/>
      </c>
      <c r="MK29" s="18">
        <f>IF(346&gt;=DeliverStart,ExpContractPerUnit*TotalUnits/12*MK$7*MK$10,0)</f>
        <v/>
      </c>
      <c r="ML29" s="18">
        <f>IF(347&gt;=DeliverStart,ExpContractPerUnit*TotalUnits/12*ML$7*ML$10,0)</f>
        <v/>
      </c>
      <c r="MM29" s="18">
        <f>IF(348&gt;=DeliverStart,ExpContractPerUnit*TotalUnits/12*MM$7*MM$10,0)</f>
        <v/>
      </c>
      <c r="MN29" s="18">
        <f>IF(349&gt;=DeliverStart,ExpContractPerUnit*TotalUnits/12*MN$7*MN$10,0)</f>
        <v/>
      </c>
      <c r="MO29" s="18">
        <f>IF(350&gt;=DeliverStart,ExpContractPerUnit*TotalUnits/12*MO$7*MO$10,0)</f>
        <v/>
      </c>
      <c r="MP29" s="18">
        <f>IF(351&gt;=DeliverStart,ExpContractPerUnit*TotalUnits/12*MP$7*MP$10,0)</f>
        <v/>
      </c>
      <c r="MQ29" s="18">
        <f>IF(352&gt;=DeliverStart,ExpContractPerUnit*TotalUnits/12*MQ$7*MQ$10,0)</f>
        <v/>
      </c>
      <c r="MR29" s="18">
        <f>IF(353&gt;=DeliverStart,ExpContractPerUnit*TotalUnits/12*MR$7*MR$10,0)</f>
        <v/>
      </c>
      <c r="MS29" s="18">
        <f>IF(354&gt;=DeliverStart,ExpContractPerUnit*TotalUnits/12*MS$7*MS$10,0)</f>
        <v/>
      </c>
      <c r="MT29" s="18">
        <f>IF(355&gt;=DeliverStart,ExpContractPerUnit*TotalUnits/12*MT$7*MT$10,0)</f>
        <v/>
      </c>
      <c r="MU29" s="18">
        <f>IF(356&gt;=DeliverStart,ExpContractPerUnit*TotalUnits/12*MU$7*MU$10,0)</f>
        <v/>
      </c>
      <c r="MV29" s="18">
        <f>IF(357&gt;=DeliverStart,ExpContractPerUnit*TotalUnits/12*MV$7*MV$10,0)</f>
        <v/>
      </c>
      <c r="MW29" s="18">
        <f>IF(358&gt;=DeliverStart,ExpContractPerUnit*TotalUnits/12*MW$7*MW$10,0)</f>
        <v/>
      </c>
      <c r="MX29" s="18">
        <f>IF(359&gt;=DeliverStart,ExpContractPerUnit*TotalUnits/12*MX$7*MX$10,0)</f>
        <v/>
      </c>
      <c r="MY29" s="18">
        <f>IF(360&gt;=DeliverStart,ExpContractPerUnit*TotalUnits/12*MY$7*MY$10,0)</f>
        <v/>
      </c>
      <c r="MZ29" s="18">
        <f>IF(361&gt;=DeliverStart,ExpContractPerUnit*TotalUnits/12*MZ$7*MZ$10,0)</f>
        <v/>
      </c>
      <c r="NA29" s="18">
        <f>IF(362&gt;=DeliverStart,ExpContractPerUnit*TotalUnits/12*NA$7*NA$10,0)</f>
        <v/>
      </c>
      <c r="NB29" s="18">
        <f>IF(363&gt;=DeliverStart,ExpContractPerUnit*TotalUnits/12*NB$7*NB$10,0)</f>
        <v/>
      </c>
      <c r="NC29" s="18">
        <f>IF(364&gt;=DeliverStart,ExpContractPerUnit*TotalUnits/12*NC$7*NC$10,0)</f>
        <v/>
      </c>
      <c r="ND29" s="18">
        <f>IF(365&gt;=DeliverStart,ExpContractPerUnit*TotalUnits/12*ND$7*ND$10,0)</f>
        <v/>
      </c>
      <c r="NE29" s="18">
        <f>IF(366&gt;=DeliverStart,ExpContractPerUnit*TotalUnits/12*NE$7*NE$10,0)</f>
        <v/>
      </c>
      <c r="NF29" s="18">
        <f>IF(367&gt;=DeliverStart,ExpContractPerUnit*TotalUnits/12*NF$7*NF$10,0)</f>
        <v/>
      </c>
      <c r="NG29" s="18">
        <f>IF(368&gt;=DeliverStart,ExpContractPerUnit*TotalUnits/12*NG$7*NG$10,0)</f>
        <v/>
      </c>
      <c r="NH29" s="18">
        <f>IF(369&gt;=DeliverStart,ExpContractPerUnit*TotalUnits/12*NH$7*NH$10,0)</f>
        <v/>
      </c>
      <c r="NI29" s="18">
        <f>IF(370&gt;=DeliverStart,ExpContractPerUnit*TotalUnits/12*NI$7*NI$10,0)</f>
        <v/>
      </c>
      <c r="NJ29" s="18">
        <f>IF(371&gt;=DeliverStart,ExpContractPerUnit*TotalUnits/12*NJ$7*NJ$10,0)</f>
        <v/>
      </c>
      <c r="NK29" s="18">
        <f>IF(372&gt;=DeliverStart,ExpContractPerUnit*TotalUnits/12*NK$7*NK$10,0)</f>
        <v/>
      </c>
    </row>
    <row r="30">
      <c r="A30" s="5" t="inlineStr">
        <is>
          <t>Payroll (elevated)</t>
        </is>
      </c>
      <c r="C30" s="41">
        <f>SUM(D30:NK30)</f>
        <v/>
      </c>
      <c r="D30" s="18">
        <f>IF(1&gt;=DeliverStart,ExpPayrollPerUnit*TotalUnits/12*D$7*D$11,0)</f>
        <v/>
      </c>
      <c r="E30" s="18">
        <f>IF(2&gt;=DeliverStart,ExpPayrollPerUnit*TotalUnits/12*E$7*E$11,0)</f>
        <v/>
      </c>
      <c r="F30" s="18">
        <f>IF(3&gt;=DeliverStart,ExpPayrollPerUnit*TotalUnits/12*F$7*F$11,0)</f>
        <v/>
      </c>
      <c r="G30" s="18">
        <f>IF(4&gt;=DeliverStart,ExpPayrollPerUnit*TotalUnits/12*G$7*G$11,0)</f>
        <v/>
      </c>
      <c r="H30" s="18">
        <f>IF(5&gt;=DeliverStart,ExpPayrollPerUnit*TotalUnits/12*H$7*H$11,0)</f>
        <v/>
      </c>
      <c r="I30" s="18">
        <f>IF(6&gt;=DeliverStart,ExpPayrollPerUnit*TotalUnits/12*I$7*I$11,0)</f>
        <v/>
      </c>
      <c r="J30" s="18">
        <f>IF(7&gt;=DeliverStart,ExpPayrollPerUnit*TotalUnits/12*J$7*J$11,0)</f>
        <v/>
      </c>
      <c r="K30" s="18">
        <f>IF(8&gt;=DeliverStart,ExpPayrollPerUnit*TotalUnits/12*K$7*K$11,0)</f>
        <v/>
      </c>
      <c r="L30" s="18">
        <f>IF(9&gt;=DeliverStart,ExpPayrollPerUnit*TotalUnits/12*L$7*L$11,0)</f>
        <v/>
      </c>
      <c r="M30" s="18">
        <f>IF(10&gt;=DeliverStart,ExpPayrollPerUnit*TotalUnits/12*M$7*M$11,0)</f>
        <v/>
      </c>
      <c r="N30" s="18">
        <f>IF(11&gt;=DeliverStart,ExpPayrollPerUnit*TotalUnits/12*N$7*N$11,0)</f>
        <v/>
      </c>
      <c r="O30" s="18">
        <f>IF(12&gt;=DeliverStart,ExpPayrollPerUnit*TotalUnits/12*O$7*O$11,0)</f>
        <v/>
      </c>
      <c r="P30" s="18">
        <f>IF(13&gt;=DeliverStart,ExpPayrollPerUnit*TotalUnits/12*P$7*P$11,0)</f>
        <v/>
      </c>
      <c r="Q30" s="18">
        <f>IF(14&gt;=DeliverStart,ExpPayrollPerUnit*TotalUnits/12*Q$7*Q$11,0)</f>
        <v/>
      </c>
      <c r="R30" s="18">
        <f>IF(15&gt;=DeliverStart,ExpPayrollPerUnit*TotalUnits/12*R$7*R$11,0)</f>
        <v/>
      </c>
      <c r="S30" s="18">
        <f>IF(16&gt;=DeliverStart,ExpPayrollPerUnit*TotalUnits/12*S$7*S$11,0)</f>
        <v/>
      </c>
      <c r="T30" s="18">
        <f>IF(17&gt;=DeliverStart,ExpPayrollPerUnit*TotalUnits/12*T$7*T$11,0)</f>
        <v/>
      </c>
      <c r="U30" s="18">
        <f>IF(18&gt;=DeliverStart,ExpPayrollPerUnit*TotalUnits/12*U$7*U$11,0)</f>
        <v/>
      </c>
      <c r="V30" s="18">
        <f>IF(19&gt;=DeliverStart,ExpPayrollPerUnit*TotalUnits/12*V$7*V$11,0)</f>
        <v/>
      </c>
      <c r="W30" s="18">
        <f>IF(20&gt;=DeliverStart,ExpPayrollPerUnit*TotalUnits/12*W$7*W$11,0)</f>
        <v/>
      </c>
      <c r="X30" s="18">
        <f>IF(21&gt;=DeliverStart,ExpPayrollPerUnit*TotalUnits/12*X$7*X$11,0)</f>
        <v/>
      </c>
      <c r="Y30" s="18">
        <f>IF(22&gt;=DeliverStart,ExpPayrollPerUnit*TotalUnits/12*Y$7*Y$11,0)</f>
        <v/>
      </c>
      <c r="Z30" s="18">
        <f>IF(23&gt;=DeliverStart,ExpPayrollPerUnit*TotalUnits/12*Z$7*Z$11,0)</f>
        <v/>
      </c>
      <c r="AA30" s="18">
        <f>IF(24&gt;=DeliverStart,ExpPayrollPerUnit*TotalUnits/12*AA$7*AA$11,0)</f>
        <v/>
      </c>
      <c r="AB30" s="18">
        <f>IF(25&gt;=DeliverStart,ExpPayrollPerUnit*TotalUnits/12*AB$7*AB$11,0)</f>
        <v/>
      </c>
      <c r="AC30" s="18">
        <f>IF(26&gt;=DeliverStart,ExpPayrollPerUnit*TotalUnits/12*AC$7*AC$11,0)</f>
        <v/>
      </c>
      <c r="AD30" s="18">
        <f>IF(27&gt;=DeliverStart,ExpPayrollPerUnit*TotalUnits/12*AD$7*AD$11,0)</f>
        <v/>
      </c>
      <c r="AE30" s="18">
        <f>IF(28&gt;=DeliverStart,ExpPayrollPerUnit*TotalUnits/12*AE$7*AE$11,0)</f>
        <v/>
      </c>
      <c r="AF30" s="18">
        <f>IF(29&gt;=DeliverStart,ExpPayrollPerUnit*TotalUnits/12*AF$7*AF$11,0)</f>
        <v/>
      </c>
      <c r="AG30" s="18">
        <f>IF(30&gt;=DeliverStart,ExpPayrollPerUnit*TotalUnits/12*AG$7*AG$11,0)</f>
        <v/>
      </c>
      <c r="AH30" s="18">
        <f>IF(31&gt;=DeliverStart,ExpPayrollPerUnit*TotalUnits/12*AH$7*AH$11,0)</f>
        <v/>
      </c>
      <c r="AI30" s="18">
        <f>IF(32&gt;=DeliverStart,ExpPayrollPerUnit*TotalUnits/12*AI$7*AI$11,0)</f>
        <v/>
      </c>
      <c r="AJ30" s="18">
        <f>IF(33&gt;=DeliverStart,ExpPayrollPerUnit*TotalUnits/12*AJ$7*AJ$11,0)</f>
        <v/>
      </c>
      <c r="AK30" s="18">
        <f>IF(34&gt;=DeliverStart,ExpPayrollPerUnit*TotalUnits/12*AK$7*AK$11,0)</f>
        <v/>
      </c>
      <c r="AL30" s="18">
        <f>IF(35&gt;=DeliverStart,ExpPayrollPerUnit*TotalUnits/12*AL$7*AL$11,0)</f>
        <v/>
      </c>
      <c r="AM30" s="18">
        <f>IF(36&gt;=DeliverStart,ExpPayrollPerUnit*TotalUnits/12*AM$7*AM$11,0)</f>
        <v/>
      </c>
      <c r="AN30" s="18">
        <f>IF(37&gt;=DeliverStart,ExpPayrollPerUnit*TotalUnits/12*AN$7*AN$11,0)</f>
        <v/>
      </c>
      <c r="AO30" s="18">
        <f>IF(38&gt;=DeliverStart,ExpPayrollPerUnit*TotalUnits/12*AO$7*AO$11,0)</f>
        <v/>
      </c>
      <c r="AP30" s="18">
        <f>IF(39&gt;=DeliverStart,ExpPayrollPerUnit*TotalUnits/12*AP$7*AP$11,0)</f>
        <v/>
      </c>
      <c r="AQ30" s="18">
        <f>IF(40&gt;=DeliverStart,ExpPayrollPerUnit*TotalUnits/12*AQ$7*AQ$11,0)</f>
        <v/>
      </c>
      <c r="AR30" s="18">
        <f>IF(41&gt;=DeliverStart,ExpPayrollPerUnit*TotalUnits/12*AR$7*AR$11,0)</f>
        <v/>
      </c>
      <c r="AS30" s="18">
        <f>IF(42&gt;=DeliverStart,ExpPayrollPerUnit*TotalUnits/12*AS$7*AS$11,0)</f>
        <v/>
      </c>
      <c r="AT30" s="18">
        <f>IF(43&gt;=DeliverStart,ExpPayrollPerUnit*TotalUnits/12*AT$7*AT$11,0)</f>
        <v/>
      </c>
      <c r="AU30" s="18">
        <f>IF(44&gt;=DeliverStart,ExpPayrollPerUnit*TotalUnits/12*AU$7*AU$11,0)</f>
        <v/>
      </c>
      <c r="AV30" s="18">
        <f>IF(45&gt;=DeliverStart,ExpPayrollPerUnit*TotalUnits/12*AV$7*AV$11,0)</f>
        <v/>
      </c>
      <c r="AW30" s="18">
        <f>IF(46&gt;=DeliverStart,ExpPayrollPerUnit*TotalUnits/12*AW$7*AW$11,0)</f>
        <v/>
      </c>
      <c r="AX30" s="18">
        <f>IF(47&gt;=DeliverStart,ExpPayrollPerUnit*TotalUnits/12*AX$7*AX$11,0)</f>
        <v/>
      </c>
      <c r="AY30" s="18">
        <f>IF(48&gt;=DeliverStart,ExpPayrollPerUnit*TotalUnits/12*AY$7*AY$11,0)</f>
        <v/>
      </c>
      <c r="AZ30" s="18">
        <f>IF(49&gt;=DeliverStart,ExpPayrollPerUnit*TotalUnits/12*AZ$7*AZ$11,0)</f>
        <v/>
      </c>
      <c r="BA30" s="18">
        <f>IF(50&gt;=DeliverStart,ExpPayrollPerUnit*TotalUnits/12*BA$7*BA$11,0)</f>
        <v/>
      </c>
      <c r="BB30" s="18">
        <f>IF(51&gt;=DeliverStart,ExpPayrollPerUnit*TotalUnits/12*BB$7*BB$11,0)</f>
        <v/>
      </c>
      <c r="BC30" s="18">
        <f>IF(52&gt;=DeliverStart,ExpPayrollPerUnit*TotalUnits/12*BC$7*BC$11,0)</f>
        <v/>
      </c>
      <c r="BD30" s="18">
        <f>IF(53&gt;=DeliverStart,ExpPayrollPerUnit*TotalUnits/12*BD$7*BD$11,0)</f>
        <v/>
      </c>
      <c r="BE30" s="18">
        <f>IF(54&gt;=DeliverStart,ExpPayrollPerUnit*TotalUnits/12*BE$7*BE$11,0)</f>
        <v/>
      </c>
      <c r="BF30" s="18">
        <f>IF(55&gt;=DeliverStart,ExpPayrollPerUnit*TotalUnits/12*BF$7*BF$11,0)</f>
        <v/>
      </c>
      <c r="BG30" s="18">
        <f>IF(56&gt;=DeliverStart,ExpPayrollPerUnit*TotalUnits/12*BG$7*BG$11,0)</f>
        <v/>
      </c>
      <c r="BH30" s="18">
        <f>IF(57&gt;=DeliverStart,ExpPayrollPerUnit*TotalUnits/12*BH$7*BH$11,0)</f>
        <v/>
      </c>
      <c r="BI30" s="18">
        <f>IF(58&gt;=DeliverStart,ExpPayrollPerUnit*TotalUnits/12*BI$7*BI$11,0)</f>
        <v/>
      </c>
      <c r="BJ30" s="18">
        <f>IF(59&gt;=DeliverStart,ExpPayrollPerUnit*TotalUnits/12*BJ$7*BJ$11,0)</f>
        <v/>
      </c>
      <c r="BK30" s="18">
        <f>IF(60&gt;=DeliverStart,ExpPayrollPerUnit*TotalUnits/12*BK$7*BK$11,0)</f>
        <v/>
      </c>
      <c r="BL30" s="18">
        <f>IF(61&gt;=DeliverStart,ExpPayrollPerUnit*TotalUnits/12*BL$7*BL$11,0)</f>
        <v/>
      </c>
      <c r="BM30" s="18">
        <f>IF(62&gt;=DeliverStart,ExpPayrollPerUnit*TotalUnits/12*BM$7*BM$11,0)</f>
        <v/>
      </c>
      <c r="BN30" s="18">
        <f>IF(63&gt;=DeliverStart,ExpPayrollPerUnit*TotalUnits/12*BN$7*BN$11,0)</f>
        <v/>
      </c>
      <c r="BO30" s="18">
        <f>IF(64&gt;=DeliverStart,ExpPayrollPerUnit*TotalUnits/12*BO$7*BO$11,0)</f>
        <v/>
      </c>
      <c r="BP30" s="18">
        <f>IF(65&gt;=DeliverStart,ExpPayrollPerUnit*TotalUnits/12*BP$7*BP$11,0)</f>
        <v/>
      </c>
      <c r="BQ30" s="18">
        <f>IF(66&gt;=DeliverStart,ExpPayrollPerUnit*TotalUnits/12*BQ$7*BQ$11,0)</f>
        <v/>
      </c>
      <c r="BR30" s="18">
        <f>IF(67&gt;=DeliverStart,ExpPayrollPerUnit*TotalUnits/12*BR$7*BR$11,0)</f>
        <v/>
      </c>
      <c r="BS30" s="18">
        <f>IF(68&gt;=DeliverStart,ExpPayrollPerUnit*TotalUnits/12*BS$7*BS$11,0)</f>
        <v/>
      </c>
      <c r="BT30" s="18">
        <f>IF(69&gt;=DeliverStart,ExpPayrollPerUnit*TotalUnits/12*BT$7*BT$11,0)</f>
        <v/>
      </c>
      <c r="BU30" s="18">
        <f>IF(70&gt;=DeliverStart,ExpPayrollPerUnit*TotalUnits/12*BU$7*BU$11,0)</f>
        <v/>
      </c>
      <c r="BV30" s="18">
        <f>IF(71&gt;=DeliverStart,ExpPayrollPerUnit*TotalUnits/12*BV$7*BV$11,0)</f>
        <v/>
      </c>
      <c r="BW30" s="18">
        <f>IF(72&gt;=DeliverStart,ExpPayrollPerUnit*TotalUnits/12*BW$7*BW$11,0)</f>
        <v/>
      </c>
      <c r="BX30" s="18">
        <f>IF(73&gt;=DeliverStart,ExpPayrollPerUnit*TotalUnits/12*BX$7*BX$11,0)</f>
        <v/>
      </c>
      <c r="BY30" s="18">
        <f>IF(74&gt;=DeliverStart,ExpPayrollPerUnit*TotalUnits/12*BY$7*BY$11,0)</f>
        <v/>
      </c>
      <c r="BZ30" s="18">
        <f>IF(75&gt;=DeliverStart,ExpPayrollPerUnit*TotalUnits/12*BZ$7*BZ$11,0)</f>
        <v/>
      </c>
      <c r="CA30" s="18">
        <f>IF(76&gt;=DeliverStart,ExpPayrollPerUnit*TotalUnits/12*CA$7*CA$11,0)</f>
        <v/>
      </c>
      <c r="CB30" s="18">
        <f>IF(77&gt;=DeliverStart,ExpPayrollPerUnit*TotalUnits/12*CB$7*CB$11,0)</f>
        <v/>
      </c>
      <c r="CC30" s="18">
        <f>IF(78&gt;=DeliverStart,ExpPayrollPerUnit*TotalUnits/12*CC$7*CC$11,0)</f>
        <v/>
      </c>
      <c r="CD30" s="18">
        <f>IF(79&gt;=DeliverStart,ExpPayrollPerUnit*TotalUnits/12*CD$7*CD$11,0)</f>
        <v/>
      </c>
      <c r="CE30" s="18">
        <f>IF(80&gt;=DeliverStart,ExpPayrollPerUnit*TotalUnits/12*CE$7*CE$11,0)</f>
        <v/>
      </c>
      <c r="CF30" s="18">
        <f>IF(81&gt;=DeliverStart,ExpPayrollPerUnit*TotalUnits/12*CF$7*CF$11,0)</f>
        <v/>
      </c>
      <c r="CG30" s="18">
        <f>IF(82&gt;=DeliverStart,ExpPayrollPerUnit*TotalUnits/12*CG$7*CG$11,0)</f>
        <v/>
      </c>
      <c r="CH30" s="18">
        <f>IF(83&gt;=DeliverStart,ExpPayrollPerUnit*TotalUnits/12*CH$7*CH$11,0)</f>
        <v/>
      </c>
      <c r="CI30" s="18">
        <f>IF(84&gt;=DeliverStart,ExpPayrollPerUnit*TotalUnits/12*CI$7*CI$11,0)</f>
        <v/>
      </c>
      <c r="CJ30" s="18">
        <f>IF(85&gt;=DeliverStart,ExpPayrollPerUnit*TotalUnits/12*CJ$7*CJ$11,0)</f>
        <v/>
      </c>
      <c r="CK30" s="18">
        <f>IF(86&gt;=DeliverStart,ExpPayrollPerUnit*TotalUnits/12*CK$7*CK$11,0)</f>
        <v/>
      </c>
      <c r="CL30" s="18">
        <f>IF(87&gt;=DeliverStart,ExpPayrollPerUnit*TotalUnits/12*CL$7*CL$11,0)</f>
        <v/>
      </c>
      <c r="CM30" s="18">
        <f>IF(88&gt;=DeliverStart,ExpPayrollPerUnit*TotalUnits/12*CM$7*CM$11,0)</f>
        <v/>
      </c>
      <c r="CN30" s="18">
        <f>IF(89&gt;=DeliverStart,ExpPayrollPerUnit*TotalUnits/12*CN$7*CN$11,0)</f>
        <v/>
      </c>
      <c r="CO30" s="18">
        <f>IF(90&gt;=DeliverStart,ExpPayrollPerUnit*TotalUnits/12*CO$7*CO$11,0)</f>
        <v/>
      </c>
      <c r="CP30" s="18">
        <f>IF(91&gt;=DeliverStart,ExpPayrollPerUnit*TotalUnits/12*CP$7*CP$11,0)</f>
        <v/>
      </c>
      <c r="CQ30" s="18">
        <f>IF(92&gt;=DeliverStart,ExpPayrollPerUnit*TotalUnits/12*CQ$7*CQ$11,0)</f>
        <v/>
      </c>
      <c r="CR30" s="18">
        <f>IF(93&gt;=DeliverStart,ExpPayrollPerUnit*TotalUnits/12*CR$7*CR$11,0)</f>
        <v/>
      </c>
      <c r="CS30" s="18">
        <f>IF(94&gt;=DeliverStart,ExpPayrollPerUnit*TotalUnits/12*CS$7*CS$11,0)</f>
        <v/>
      </c>
      <c r="CT30" s="18">
        <f>IF(95&gt;=DeliverStart,ExpPayrollPerUnit*TotalUnits/12*CT$7*CT$11,0)</f>
        <v/>
      </c>
      <c r="CU30" s="18">
        <f>IF(96&gt;=DeliverStart,ExpPayrollPerUnit*TotalUnits/12*CU$7*CU$11,0)</f>
        <v/>
      </c>
      <c r="CV30" s="18">
        <f>IF(97&gt;=DeliverStart,ExpPayrollPerUnit*TotalUnits/12*CV$7*CV$11,0)</f>
        <v/>
      </c>
      <c r="CW30" s="18">
        <f>IF(98&gt;=DeliverStart,ExpPayrollPerUnit*TotalUnits/12*CW$7*CW$11,0)</f>
        <v/>
      </c>
      <c r="CX30" s="18">
        <f>IF(99&gt;=DeliverStart,ExpPayrollPerUnit*TotalUnits/12*CX$7*CX$11,0)</f>
        <v/>
      </c>
      <c r="CY30" s="18">
        <f>IF(100&gt;=DeliverStart,ExpPayrollPerUnit*TotalUnits/12*CY$7*CY$11,0)</f>
        <v/>
      </c>
      <c r="CZ30" s="18">
        <f>IF(101&gt;=DeliverStart,ExpPayrollPerUnit*TotalUnits/12*CZ$7*CZ$11,0)</f>
        <v/>
      </c>
      <c r="DA30" s="18">
        <f>IF(102&gt;=DeliverStart,ExpPayrollPerUnit*TotalUnits/12*DA$7*DA$11,0)</f>
        <v/>
      </c>
      <c r="DB30" s="18">
        <f>IF(103&gt;=DeliverStart,ExpPayrollPerUnit*TotalUnits/12*DB$7*DB$11,0)</f>
        <v/>
      </c>
      <c r="DC30" s="18">
        <f>IF(104&gt;=DeliverStart,ExpPayrollPerUnit*TotalUnits/12*DC$7*DC$11,0)</f>
        <v/>
      </c>
      <c r="DD30" s="18">
        <f>IF(105&gt;=DeliverStart,ExpPayrollPerUnit*TotalUnits/12*DD$7*DD$11,0)</f>
        <v/>
      </c>
      <c r="DE30" s="18">
        <f>IF(106&gt;=DeliverStart,ExpPayrollPerUnit*TotalUnits/12*DE$7*DE$11,0)</f>
        <v/>
      </c>
      <c r="DF30" s="18">
        <f>IF(107&gt;=DeliverStart,ExpPayrollPerUnit*TotalUnits/12*DF$7*DF$11,0)</f>
        <v/>
      </c>
      <c r="DG30" s="18">
        <f>IF(108&gt;=DeliverStart,ExpPayrollPerUnit*TotalUnits/12*DG$7*DG$11,0)</f>
        <v/>
      </c>
      <c r="DH30" s="18">
        <f>IF(109&gt;=DeliverStart,ExpPayrollPerUnit*TotalUnits/12*DH$7*DH$11,0)</f>
        <v/>
      </c>
      <c r="DI30" s="18">
        <f>IF(110&gt;=DeliverStart,ExpPayrollPerUnit*TotalUnits/12*DI$7*DI$11,0)</f>
        <v/>
      </c>
      <c r="DJ30" s="18">
        <f>IF(111&gt;=DeliverStart,ExpPayrollPerUnit*TotalUnits/12*DJ$7*DJ$11,0)</f>
        <v/>
      </c>
      <c r="DK30" s="18">
        <f>IF(112&gt;=DeliverStart,ExpPayrollPerUnit*TotalUnits/12*DK$7*DK$11,0)</f>
        <v/>
      </c>
      <c r="DL30" s="18">
        <f>IF(113&gt;=DeliverStart,ExpPayrollPerUnit*TotalUnits/12*DL$7*DL$11,0)</f>
        <v/>
      </c>
      <c r="DM30" s="18">
        <f>IF(114&gt;=DeliverStart,ExpPayrollPerUnit*TotalUnits/12*DM$7*DM$11,0)</f>
        <v/>
      </c>
      <c r="DN30" s="18">
        <f>IF(115&gt;=DeliverStart,ExpPayrollPerUnit*TotalUnits/12*DN$7*DN$11,0)</f>
        <v/>
      </c>
      <c r="DO30" s="18">
        <f>IF(116&gt;=DeliverStart,ExpPayrollPerUnit*TotalUnits/12*DO$7*DO$11,0)</f>
        <v/>
      </c>
      <c r="DP30" s="18">
        <f>IF(117&gt;=DeliverStart,ExpPayrollPerUnit*TotalUnits/12*DP$7*DP$11,0)</f>
        <v/>
      </c>
      <c r="DQ30" s="18">
        <f>IF(118&gt;=DeliverStart,ExpPayrollPerUnit*TotalUnits/12*DQ$7*DQ$11,0)</f>
        <v/>
      </c>
      <c r="DR30" s="18">
        <f>IF(119&gt;=DeliverStart,ExpPayrollPerUnit*TotalUnits/12*DR$7*DR$11,0)</f>
        <v/>
      </c>
      <c r="DS30" s="18">
        <f>IF(120&gt;=DeliverStart,ExpPayrollPerUnit*TotalUnits/12*DS$7*DS$11,0)</f>
        <v/>
      </c>
      <c r="DT30" s="18">
        <f>IF(121&gt;=DeliverStart,ExpPayrollPerUnit*TotalUnits/12*DT$7*DT$11,0)</f>
        <v/>
      </c>
      <c r="DU30" s="18">
        <f>IF(122&gt;=DeliverStart,ExpPayrollPerUnit*TotalUnits/12*DU$7*DU$11,0)</f>
        <v/>
      </c>
      <c r="DV30" s="18">
        <f>IF(123&gt;=DeliverStart,ExpPayrollPerUnit*TotalUnits/12*DV$7*DV$11,0)</f>
        <v/>
      </c>
      <c r="DW30" s="18">
        <f>IF(124&gt;=DeliverStart,ExpPayrollPerUnit*TotalUnits/12*DW$7*DW$11,0)</f>
        <v/>
      </c>
      <c r="DX30" s="18">
        <f>IF(125&gt;=DeliverStart,ExpPayrollPerUnit*TotalUnits/12*DX$7*DX$11,0)</f>
        <v/>
      </c>
      <c r="DY30" s="18">
        <f>IF(126&gt;=DeliverStart,ExpPayrollPerUnit*TotalUnits/12*DY$7*DY$11,0)</f>
        <v/>
      </c>
      <c r="DZ30" s="18">
        <f>IF(127&gt;=DeliverStart,ExpPayrollPerUnit*TotalUnits/12*DZ$7*DZ$11,0)</f>
        <v/>
      </c>
      <c r="EA30" s="18">
        <f>IF(128&gt;=DeliverStart,ExpPayrollPerUnit*TotalUnits/12*EA$7*EA$11,0)</f>
        <v/>
      </c>
      <c r="EB30" s="18">
        <f>IF(129&gt;=DeliverStart,ExpPayrollPerUnit*TotalUnits/12*EB$7*EB$11,0)</f>
        <v/>
      </c>
      <c r="EC30" s="18">
        <f>IF(130&gt;=DeliverStart,ExpPayrollPerUnit*TotalUnits/12*EC$7*EC$11,0)</f>
        <v/>
      </c>
      <c r="ED30" s="18">
        <f>IF(131&gt;=DeliverStart,ExpPayrollPerUnit*TotalUnits/12*ED$7*ED$11,0)</f>
        <v/>
      </c>
      <c r="EE30" s="18">
        <f>IF(132&gt;=DeliverStart,ExpPayrollPerUnit*TotalUnits/12*EE$7*EE$11,0)</f>
        <v/>
      </c>
      <c r="EF30" s="18">
        <f>IF(133&gt;=DeliverStart,ExpPayrollPerUnit*TotalUnits/12*EF$7*EF$11,0)</f>
        <v/>
      </c>
      <c r="EG30" s="18">
        <f>IF(134&gt;=DeliverStart,ExpPayrollPerUnit*TotalUnits/12*EG$7*EG$11,0)</f>
        <v/>
      </c>
      <c r="EH30" s="18">
        <f>IF(135&gt;=DeliverStart,ExpPayrollPerUnit*TotalUnits/12*EH$7*EH$11,0)</f>
        <v/>
      </c>
      <c r="EI30" s="18">
        <f>IF(136&gt;=DeliverStart,ExpPayrollPerUnit*TotalUnits/12*EI$7*EI$11,0)</f>
        <v/>
      </c>
      <c r="EJ30" s="18">
        <f>IF(137&gt;=DeliverStart,ExpPayrollPerUnit*TotalUnits/12*EJ$7*EJ$11,0)</f>
        <v/>
      </c>
      <c r="EK30" s="18">
        <f>IF(138&gt;=DeliverStart,ExpPayrollPerUnit*TotalUnits/12*EK$7*EK$11,0)</f>
        <v/>
      </c>
      <c r="EL30" s="18">
        <f>IF(139&gt;=DeliverStart,ExpPayrollPerUnit*TotalUnits/12*EL$7*EL$11,0)</f>
        <v/>
      </c>
      <c r="EM30" s="18">
        <f>IF(140&gt;=DeliverStart,ExpPayrollPerUnit*TotalUnits/12*EM$7*EM$11,0)</f>
        <v/>
      </c>
      <c r="EN30" s="18">
        <f>IF(141&gt;=DeliverStart,ExpPayrollPerUnit*TotalUnits/12*EN$7*EN$11,0)</f>
        <v/>
      </c>
      <c r="EO30" s="18">
        <f>IF(142&gt;=DeliverStart,ExpPayrollPerUnit*TotalUnits/12*EO$7*EO$11,0)</f>
        <v/>
      </c>
      <c r="EP30" s="18">
        <f>IF(143&gt;=DeliverStart,ExpPayrollPerUnit*TotalUnits/12*EP$7*EP$11,0)</f>
        <v/>
      </c>
      <c r="EQ30" s="18">
        <f>IF(144&gt;=DeliverStart,ExpPayrollPerUnit*TotalUnits/12*EQ$7*EQ$11,0)</f>
        <v/>
      </c>
      <c r="ER30" s="18">
        <f>IF(145&gt;=DeliverStart,ExpPayrollPerUnit*TotalUnits/12*ER$7*ER$11,0)</f>
        <v/>
      </c>
      <c r="ES30" s="18">
        <f>IF(146&gt;=DeliverStart,ExpPayrollPerUnit*TotalUnits/12*ES$7*ES$11,0)</f>
        <v/>
      </c>
      <c r="ET30" s="18">
        <f>IF(147&gt;=DeliverStart,ExpPayrollPerUnit*TotalUnits/12*ET$7*ET$11,0)</f>
        <v/>
      </c>
      <c r="EU30" s="18">
        <f>IF(148&gt;=DeliverStart,ExpPayrollPerUnit*TotalUnits/12*EU$7*EU$11,0)</f>
        <v/>
      </c>
      <c r="EV30" s="18">
        <f>IF(149&gt;=DeliverStart,ExpPayrollPerUnit*TotalUnits/12*EV$7*EV$11,0)</f>
        <v/>
      </c>
      <c r="EW30" s="18">
        <f>IF(150&gt;=DeliverStart,ExpPayrollPerUnit*TotalUnits/12*EW$7*EW$11,0)</f>
        <v/>
      </c>
      <c r="EX30" s="18">
        <f>IF(151&gt;=DeliverStart,ExpPayrollPerUnit*TotalUnits/12*EX$7*EX$11,0)</f>
        <v/>
      </c>
      <c r="EY30" s="18">
        <f>IF(152&gt;=DeliverStart,ExpPayrollPerUnit*TotalUnits/12*EY$7*EY$11,0)</f>
        <v/>
      </c>
      <c r="EZ30" s="18">
        <f>IF(153&gt;=DeliverStart,ExpPayrollPerUnit*TotalUnits/12*EZ$7*EZ$11,0)</f>
        <v/>
      </c>
      <c r="FA30" s="18">
        <f>IF(154&gt;=DeliverStart,ExpPayrollPerUnit*TotalUnits/12*FA$7*FA$11,0)</f>
        <v/>
      </c>
      <c r="FB30" s="18">
        <f>IF(155&gt;=DeliverStart,ExpPayrollPerUnit*TotalUnits/12*FB$7*FB$11,0)</f>
        <v/>
      </c>
      <c r="FC30" s="18">
        <f>IF(156&gt;=DeliverStart,ExpPayrollPerUnit*TotalUnits/12*FC$7*FC$11,0)</f>
        <v/>
      </c>
      <c r="FD30" s="18">
        <f>IF(157&gt;=DeliverStart,ExpPayrollPerUnit*TotalUnits/12*FD$7*FD$11,0)</f>
        <v/>
      </c>
      <c r="FE30" s="18">
        <f>IF(158&gt;=DeliverStart,ExpPayrollPerUnit*TotalUnits/12*FE$7*FE$11,0)</f>
        <v/>
      </c>
      <c r="FF30" s="18">
        <f>IF(159&gt;=DeliverStart,ExpPayrollPerUnit*TotalUnits/12*FF$7*FF$11,0)</f>
        <v/>
      </c>
      <c r="FG30" s="18">
        <f>IF(160&gt;=DeliverStart,ExpPayrollPerUnit*TotalUnits/12*FG$7*FG$11,0)</f>
        <v/>
      </c>
      <c r="FH30" s="18">
        <f>IF(161&gt;=DeliverStart,ExpPayrollPerUnit*TotalUnits/12*FH$7*FH$11,0)</f>
        <v/>
      </c>
      <c r="FI30" s="18">
        <f>IF(162&gt;=DeliverStart,ExpPayrollPerUnit*TotalUnits/12*FI$7*FI$11,0)</f>
        <v/>
      </c>
      <c r="FJ30" s="18">
        <f>IF(163&gt;=DeliverStart,ExpPayrollPerUnit*TotalUnits/12*FJ$7*FJ$11,0)</f>
        <v/>
      </c>
      <c r="FK30" s="18">
        <f>IF(164&gt;=DeliverStart,ExpPayrollPerUnit*TotalUnits/12*FK$7*FK$11,0)</f>
        <v/>
      </c>
      <c r="FL30" s="18">
        <f>IF(165&gt;=DeliverStart,ExpPayrollPerUnit*TotalUnits/12*FL$7*FL$11,0)</f>
        <v/>
      </c>
      <c r="FM30" s="18">
        <f>IF(166&gt;=DeliverStart,ExpPayrollPerUnit*TotalUnits/12*FM$7*FM$11,0)</f>
        <v/>
      </c>
      <c r="FN30" s="18">
        <f>IF(167&gt;=DeliverStart,ExpPayrollPerUnit*TotalUnits/12*FN$7*FN$11,0)</f>
        <v/>
      </c>
      <c r="FO30" s="18">
        <f>IF(168&gt;=DeliverStart,ExpPayrollPerUnit*TotalUnits/12*FO$7*FO$11,0)</f>
        <v/>
      </c>
      <c r="FP30" s="18">
        <f>IF(169&gt;=DeliverStart,ExpPayrollPerUnit*TotalUnits/12*FP$7*FP$11,0)</f>
        <v/>
      </c>
      <c r="FQ30" s="18">
        <f>IF(170&gt;=DeliverStart,ExpPayrollPerUnit*TotalUnits/12*FQ$7*FQ$11,0)</f>
        <v/>
      </c>
      <c r="FR30" s="18">
        <f>IF(171&gt;=DeliverStart,ExpPayrollPerUnit*TotalUnits/12*FR$7*FR$11,0)</f>
        <v/>
      </c>
      <c r="FS30" s="18">
        <f>IF(172&gt;=DeliverStart,ExpPayrollPerUnit*TotalUnits/12*FS$7*FS$11,0)</f>
        <v/>
      </c>
      <c r="FT30" s="18">
        <f>IF(173&gt;=DeliverStart,ExpPayrollPerUnit*TotalUnits/12*FT$7*FT$11,0)</f>
        <v/>
      </c>
      <c r="FU30" s="18">
        <f>IF(174&gt;=DeliverStart,ExpPayrollPerUnit*TotalUnits/12*FU$7*FU$11,0)</f>
        <v/>
      </c>
      <c r="FV30" s="18">
        <f>IF(175&gt;=DeliverStart,ExpPayrollPerUnit*TotalUnits/12*FV$7*FV$11,0)</f>
        <v/>
      </c>
      <c r="FW30" s="18">
        <f>IF(176&gt;=DeliverStart,ExpPayrollPerUnit*TotalUnits/12*FW$7*FW$11,0)</f>
        <v/>
      </c>
      <c r="FX30" s="18">
        <f>IF(177&gt;=DeliverStart,ExpPayrollPerUnit*TotalUnits/12*FX$7*FX$11,0)</f>
        <v/>
      </c>
      <c r="FY30" s="18">
        <f>IF(178&gt;=DeliverStart,ExpPayrollPerUnit*TotalUnits/12*FY$7*FY$11,0)</f>
        <v/>
      </c>
      <c r="FZ30" s="18">
        <f>IF(179&gt;=DeliverStart,ExpPayrollPerUnit*TotalUnits/12*FZ$7*FZ$11,0)</f>
        <v/>
      </c>
      <c r="GA30" s="18">
        <f>IF(180&gt;=DeliverStart,ExpPayrollPerUnit*TotalUnits/12*GA$7*GA$11,0)</f>
        <v/>
      </c>
      <c r="GB30" s="18">
        <f>IF(181&gt;=DeliverStart,ExpPayrollPerUnit*TotalUnits/12*GB$7*GB$11,0)</f>
        <v/>
      </c>
      <c r="GC30" s="18">
        <f>IF(182&gt;=DeliverStart,ExpPayrollPerUnit*TotalUnits/12*GC$7*GC$11,0)</f>
        <v/>
      </c>
      <c r="GD30" s="18">
        <f>IF(183&gt;=DeliverStart,ExpPayrollPerUnit*TotalUnits/12*GD$7*GD$11,0)</f>
        <v/>
      </c>
      <c r="GE30" s="18">
        <f>IF(184&gt;=DeliverStart,ExpPayrollPerUnit*TotalUnits/12*GE$7*GE$11,0)</f>
        <v/>
      </c>
      <c r="GF30" s="18">
        <f>IF(185&gt;=DeliverStart,ExpPayrollPerUnit*TotalUnits/12*GF$7*GF$11,0)</f>
        <v/>
      </c>
      <c r="GG30" s="18">
        <f>IF(186&gt;=DeliverStart,ExpPayrollPerUnit*TotalUnits/12*GG$7*GG$11,0)</f>
        <v/>
      </c>
      <c r="GH30" s="18">
        <f>IF(187&gt;=DeliverStart,ExpPayrollPerUnit*TotalUnits/12*GH$7*GH$11,0)</f>
        <v/>
      </c>
      <c r="GI30" s="18">
        <f>IF(188&gt;=DeliverStart,ExpPayrollPerUnit*TotalUnits/12*GI$7*GI$11,0)</f>
        <v/>
      </c>
      <c r="GJ30" s="18">
        <f>IF(189&gt;=DeliverStart,ExpPayrollPerUnit*TotalUnits/12*GJ$7*GJ$11,0)</f>
        <v/>
      </c>
      <c r="GK30" s="18">
        <f>IF(190&gt;=DeliverStart,ExpPayrollPerUnit*TotalUnits/12*GK$7*GK$11,0)</f>
        <v/>
      </c>
      <c r="GL30" s="18">
        <f>IF(191&gt;=DeliverStart,ExpPayrollPerUnit*TotalUnits/12*GL$7*GL$11,0)</f>
        <v/>
      </c>
      <c r="GM30" s="18">
        <f>IF(192&gt;=DeliverStart,ExpPayrollPerUnit*TotalUnits/12*GM$7*GM$11,0)</f>
        <v/>
      </c>
      <c r="GN30" s="18">
        <f>IF(193&gt;=DeliverStart,ExpPayrollPerUnit*TotalUnits/12*GN$7*GN$11,0)</f>
        <v/>
      </c>
      <c r="GO30" s="18">
        <f>IF(194&gt;=DeliverStart,ExpPayrollPerUnit*TotalUnits/12*GO$7*GO$11,0)</f>
        <v/>
      </c>
      <c r="GP30" s="18">
        <f>IF(195&gt;=DeliverStart,ExpPayrollPerUnit*TotalUnits/12*GP$7*GP$11,0)</f>
        <v/>
      </c>
      <c r="GQ30" s="18">
        <f>IF(196&gt;=DeliverStart,ExpPayrollPerUnit*TotalUnits/12*GQ$7*GQ$11,0)</f>
        <v/>
      </c>
      <c r="GR30" s="18">
        <f>IF(197&gt;=DeliverStart,ExpPayrollPerUnit*TotalUnits/12*GR$7*GR$11,0)</f>
        <v/>
      </c>
      <c r="GS30" s="18">
        <f>IF(198&gt;=DeliverStart,ExpPayrollPerUnit*TotalUnits/12*GS$7*GS$11,0)</f>
        <v/>
      </c>
      <c r="GT30" s="18">
        <f>IF(199&gt;=DeliverStart,ExpPayrollPerUnit*TotalUnits/12*GT$7*GT$11,0)</f>
        <v/>
      </c>
      <c r="GU30" s="18">
        <f>IF(200&gt;=DeliverStart,ExpPayrollPerUnit*TotalUnits/12*GU$7*GU$11,0)</f>
        <v/>
      </c>
      <c r="GV30" s="18">
        <f>IF(201&gt;=DeliverStart,ExpPayrollPerUnit*TotalUnits/12*GV$7*GV$11,0)</f>
        <v/>
      </c>
      <c r="GW30" s="18">
        <f>IF(202&gt;=DeliverStart,ExpPayrollPerUnit*TotalUnits/12*GW$7*GW$11,0)</f>
        <v/>
      </c>
      <c r="GX30" s="18">
        <f>IF(203&gt;=DeliverStart,ExpPayrollPerUnit*TotalUnits/12*GX$7*GX$11,0)</f>
        <v/>
      </c>
      <c r="GY30" s="18">
        <f>IF(204&gt;=DeliverStart,ExpPayrollPerUnit*TotalUnits/12*GY$7*GY$11,0)</f>
        <v/>
      </c>
      <c r="GZ30" s="18">
        <f>IF(205&gt;=DeliverStart,ExpPayrollPerUnit*TotalUnits/12*GZ$7*GZ$11,0)</f>
        <v/>
      </c>
      <c r="HA30" s="18">
        <f>IF(206&gt;=DeliverStart,ExpPayrollPerUnit*TotalUnits/12*HA$7*HA$11,0)</f>
        <v/>
      </c>
      <c r="HB30" s="18">
        <f>IF(207&gt;=DeliverStart,ExpPayrollPerUnit*TotalUnits/12*HB$7*HB$11,0)</f>
        <v/>
      </c>
      <c r="HC30" s="18">
        <f>IF(208&gt;=DeliverStart,ExpPayrollPerUnit*TotalUnits/12*HC$7*HC$11,0)</f>
        <v/>
      </c>
      <c r="HD30" s="18">
        <f>IF(209&gt;=DeliverStart,ExpPayrollPerUnit*TotalUnits/12*HD$7*HD$11,0)</f>
        <v/>
      </c>
      <c r="HE30" s="18">
        <f>IF(210&gt;=DeliverStart,ExpPayrollPerUnit*TotalUnits/12*HE$7*HE$11,0)</f>
        <v/>
      </c>
      <c r="HF30" s="18">
        <f>IF(211&gt;=DeliverStart,ExpPayrollPerUnit*TotalUnits/12*HF$7*HF$11,0)</f>
        <v/>
      </c>
      <c r="HG30" s="18">
        <f>IF(212&gt;=DeliverStart,ExpPayrollPerUnit*TotalUnits/12*HG$7*HG$11,0)</f>
        <v/>
      </c>
      <c r="HH30" s="18">
        <f>IF(213&gt;=DeliverStart,ExpPayrollPerUnit*TotalUnits/12*HH$7*HH$11,0)</f>
        <v/>
      </c>
      <c r="HI30" s="18">
        <f>IF(214&gt;=DeliverStart,ExpPayrollPerUnit*TotalUnits/12*HI$7*HI$11,0)</f>
        <v/>
      </c>
      <c r="HJ30" s="18">
        <f>IF(215&gt;=DeliverStart,ExpPayrollPerUnit*TotalUnits/12*HJ$7*HJ$11,0)</f>
        <v/>
      </c>
      <c r="HK30" s="18">
        <f>IF(216&gt;=DeliverStart,ExpPayrollPerUnit*TotalUnits/12*HK$7*HK$11,0)</f>
        <v/>
      </c>
      <c r="HL30" s="18">
        <f>IF(217&gt;=DeliverStart,ExpPayrollPerUnit*TotalUnits/12*HL$7*HL$11,0)</f>
        <v/>
      </c>
      <c r="HM30" s="18">
        <f>IF(218&gt;=DeliverStart,ExpPayrollPerUnit*TotalUnits/12*HM$7*HM$11,0)</f>
        <v/>
      </c>
      <c r="HN30" s="18">
        <f>IF(219&gt;=DeliverStart,ExpPayrollPerUnit*TotalUnits/12*HN$7*HN$11,0)</f>
        <v/>
      </c>
      <c r="HO30" s="18">
        <f>IF(220&gt;=DeliverStart,ExpPayrollPerUnit*TotalUnits/12*HO$7*HO$11,0)</f>
        <v/>
      </c>
      <c r="HP30" s="18">
        <f>IF(221&gt;=DeliverStart,ExpPayrollPerUnit*TotalUnits/12*HP$7*HP$11,0)</f>
        <v/>
      </c>
      <c r="HQ30" s="18">
        <f>IF(222&gt;=DeliverStart,ExpPayrollPerUnit*TotalUnits/12*HQ$7*HQ$11,0)</f>
        <v/>
      </c>
      <c r="HR30" s="18">
        <f>IF(223&gt;=DeliverStart,ExpPayrollPerUnit*TotalUnits/12*HR$7*HR$11,0)</f>
        <v/>
      </c>
      <c r="HS30" s="18">
        <f>IF(224&gt;=DeliverStart,ExpPayrollPerUnit*TotalUnits/12*HS$7*HS$11,0)</f>
        <v/>
      </c>
      <c r="HT30" s="18">
        <f>IF(225&gt;=DeliverStart,ExpPayrollPerUnit*TotalUnits/12*HT$7*HT$11,0)</f>
        <v/>
      </c>
      <c r="HU30" s="18">
        <f>IF(226&gt;=DeliverStart,ExpPayrollPerUnit*TotalUnits/12*HU$7*HU$11,0)</f>
        <v/>
      </c>
      <c r="HV30" s="18">
        <f>IF(227&gt;=DeliverStart,ExpPayrollPerUnit*TotalUnits/12*HV$7*HV$11,0)</f>
        <v/>
      </c>
      <c r="HW30" s="18">
        <f>IF(228&gt;=DeliverStart,ExpPayrollPerUnit*TotalUnits/12*HW$7*HW$11,0)</f>
        <v/>
      </c>
      <c r="HX30" s="18">
        <f>IF(229&gt;=DeliverStart,ExpPayrollPerUnit*TotalUnits/12*HX$7*HX$11,0)</f>
        <v/>
      </c>
      <c r="HY30" s="18">
        <f>IF(230&gt;=DeliverStart,ExpPayrollPerUnit*TotalUnits/12*HY$7*HY$11,0)</f>
        <v/>
      </c>
      <c r="HZ30" s="18">
        <f>IF(231&gt;=DeliverStart,ExpPayrollPerUnit*TotalUnits/12*HZ$7*HZ$11,0)</f>
        <v/>
      </c>
      <c r="IA30" s="18">
        <f>IF(232&gt;=DeliverStart,ExpPayrollPerUnit*TotalUnits/12*IA$7*IA$11,0)</f>
        <v/>
      </c>
      <c r="IB30" s="18">
        <f>IF(233&gt;=DeliverStart,ExpPayrollPerUnit*TotalUnits/12*IB$7*IB$11,0)</f>
        <v/>
      </c>
      <c r="IC30" s="18">
        <f>IF(234&gt;=DeliverStart,ExpPayrollPerUnit*TotalUnits/12*IC$7*IC$11,0)</f>
        <v/>
      </c>
      <c r="ID30" s="18">
        <f>IF(235&gt;=DeliverStart,ExpPayrollPerUnit*TotalUnits/12*ID$7*ID$11,0)</f>
        <v/>
      </c>
      <c r="IE30" s="18">
        <f>IF(236&gt;=DeliverStart,ExpPayrollPerUnit*TotalUnits/12*IE$7*IE$11,0)</f>
        <v/>
      </c>
      <c r="IF30" s="18">
        <f>IF(237&gt;=DeliverStart,ExpPayrollPerUnit*TotalUnits/12*IF$7*IF$11,0)</f>
        <v/>
      </c>
      <c r="IG30" s="18">
        <f>IF(238&gt;=DeliverStart,ExpPayrollPerUnit*TotalUnits/12*IG$7*IG$11,0)</f>
        <v/>
      </c>
      <c r="IH30" s="18">
        <f>IF(239&gt;=DeliverStart,ExpPayrollPerUnit*TotalUnits/12*IH$7*IH$11,0)</f>
        <v/>
      </c>
      <c r="II30" s="18">
        <f>IF(240&gt;=DeliverStart,ExpPayrollPerUnit*TotalUnits/12*II$7*II$11,0)</f>
        <v/>
      </c>
      <c r="IJ30" s="18">
        <f>IF(241&gt;=DeliverStart,ExpPayrollPerUnit*TotalUnits/12*IJ$7*IJ$11,0)</f>
        <v/>
      </c>
      <c r="IK30" s="18">
        <f>IF(242&gt;=DeliverStart,ExpPayrollPerUnit*TotalUnits/12*IK$7*IK$11,0)</f>
        <v/>
      </c>
      <c r="IL30" s="18">
        <f>IF(243&gt;=DeliverStart,ExpPayrollPerUnit*TotalUnits/12*IL$7*IL$11,0)</f>
        <v/>
      </c>
      <c r="IM30" s="18">
        <f>IF(244&gt;=DeliverStart,ExpPayrollPerUnit*TotalUnits/12*IM$7*IM$11,0)</f>
        <v/>
      </c>
      <c r="IN30" s="18">
        <f>IF(245&gt;=DeliverStart,ExpPayrollPerUnit*TotalUnits/12*IN$7*IN$11,0)</f>
        <v/>
      </c>
      <c r="IO30" s="18">
        <f>IF(246&gt;=DeliverStart,ExpPayrollPerUnit*TotalUnits/12*IO$7*IO$11,0)</f>
        <v/>
      </c>
      <c r="IP30" s="18">
        <f>IF(247&gt;=DeliverStart,ExpPayrollPerUnit*TotalUnits/12*IP$7*IP$11,0)</f>
        <v/>
      </c>
      <c r="IQ30" s="18">
        <f>IF(248&gt;=DeliverStart,ExpPayrollPerUnit*TotalUnits/12*IQ$7*IQ$11,0)</f>
        <v/>
      </c>
      <c r="IR30" s="18">
        <f>IF(249&gt;=DeliverStart,ExpPayrollPerUnit*TotalUnits/12*IR$7*IR$11,0)</f>
        <v/>
      </c>
      <c r="IS30" s="18">
        <f>IF(250&gt;=DeliverStart,ExpPayrollPerUnit*TotalUnits/12*IS$7*IS$11,0)</f>
        <v/>
      </c>
      <c r="IT30" s="18">
        <f>IF(251&gt;=DeliverStart,ExpPayrollPerUnit*TotalUnits/12*IT$7*IT$11,0)</f>
        <v/>
      </c>
      <c r="IU30" s="18">
        <f>IF(252&gt;=DeliverStart,ExpPayrollPerUnit*TotalUnits/12*IU$7*IU$11,0)</f>
        <v/>
      </c>
      <c r="IV30" s="18">
        <f>IF(253&gt;=DeliverStart,ExpPayrollPerUnit*TotalUnits/12*IV$7*IV$11,0)</f>
        <v/>
      </c>
      <c r="IW30" s="18">
        <f>IF(254&gt;=DeliverStart,ExpPayrollPerUnit*TotalUnits/12*IW$7*IW$11,0)</f>
        <v/>
      </c>
      <c r="IX30" s="18">
        <f>IF(255&gt;=DeliverStart,ExpPayrollPerUnit*TotalUnits/12*IX$7*IX$11,0)</f>
        <v/>
      </c>
      <c r="IY30" s="18">
        <f>IF(256&gt;=DeliverStart,ExpPayrollPerUnit*TotalUnits/12*IY$7*IY$11,0)</f>
        <v/>
      </c>
      <c r="IZ30" s="18">
        <f>IF(257&gt;=DeliverStart,ExpPayrollPerUnit*TotalUnits/12*IZ$7*IZ$11,0)</f>
        <v/>
      </c>
      <c r="JA30" s="18">
        <f>IF(258&gt;=DeliverStart,ExpPayrollPerUnit*TotalUnits/12*JA$7*JA$11,0)</f>
        <v/>
      </c>
      <c r="JB30" s="18">
        <f>IF(259&gt;=DeliverStart,ExpPayrollPerUnit*TotalUnits/12*JB$7*JB$11,0)</f>
        <v/>
      </c>
      <c r="JC30" s="18">
        <f>IF(260&gt;=DeliverStart,ExpPayrollPerUnit*TotalUnits/12*JC$7*JC$11,0)</f>
        <v/>
      </c>
      <c r="JD30" s="18">
        <f>IF(261&gt;=DeliverStart,ExpPayrollPerUnit*TotalUnits/12*JD$7*JD$11,0)</f>
        <v/>
      </c>
      <c r="JE30" s="18">
        <f>IF(262&gt;=DeliverStart,ExpPayrollPerUnit*TotalUnits/12*JE$7*JE$11,0)</f>
        <v/>
      </c>
      <c r="JF30" s="18">
        <f>IF(263&gt;=DeliverStart,ExpPayrollPerUnit*TotalUnits/12*JF$7*JF$11,0)</f>
        <v/>
      </c>
      <c r="JG30" s="18">
        <f>IF(264&gt;=DeliverStart,ExpPayrollPerUnit*TotalUnits/12*JG$7*JG$11,0)</f>
        <v/>
      </c>
      <c r="JH30" s="18">
        <f>IF(265&gt;=DeliverStart,ExpPayrollPerUnit*TotalUnits/12*JH$7*JH$11,0)</f>
        <v/>
      </c>
      <c r="JI30" s="18">
        <f>IF(266&gt;=DeliverStart,ExpPayrollPerUnit*TotalUnits/12*JI$7*JI$11,0)</f>
        <v/>
      </c>
      <c r="JJ30" s="18">
        <f>IF(267&gt;=DeliverStart,ExpPayrollPerUnit*TotalUnits/12*JJ$7*JJ$11,0)</f>
        <v/>
      </c>
      <c r="JK30" s="18">
        <f>IF(268&gt;=DeliverStart,ExpPayrollPerUnit*TotalUnits/12*JK$7*JK$11,0)</f>
        <v/>
      </c>
      <c r="JL30" s="18">
        <f>IF(269&gt;=DeliverStart,ExpPayrollPerUnit*TotalUnits/12*JL$7*JL$11,0)</f>
        <v/>
      </c>
      <c r="JM30" s="18">
        <f>IF(270&gt;=DeliverStart,ExpPayrollPerUnit*TotalUnits/12*JM$7*JM$11,0)</f>
        <v/>
      </c>
      <c r="JN30" s="18">
        <f>IF(271&gt;=DeliverStart,ExpPayrollPerUnit*TotalUnits/12*JN$7*JN$11,0)</f>
        <v/>
      </c>
      <c r="JO30" s="18">
        <f>IF(272&gt;=DeliverStart,ExpPayrollPerUnit*TotalUnits/12*JO$7*JO$11,0)</f>
        <v/>
      </c>
      <c r="JP30" s="18">
        <f>IF(273&gt;=DeliverStart,ExpPayrollPerUnit*TotalUnits/12*JP$7*JP$11,0)</f>
        <v/>
      </c>
      <c r="JQ30" s="18">
        <f>IF(274&gt;=DeliverStart,ExpPayrollPerUnit*TotalUnits/12*JQ$7*JQ$11,0)</f>
        <v/>
      </c>
      <c r="JR30" s="18">
        <f>IF(275&gt;=DeliverStart,ExpPayrollPerUnit*TotalUnits/12*JR$7*JR$11,0)</f>
        <v/>
      </c>
      <c r="JS30" s="18">
        <f>IF(276&gt;=DeliverStart,ExpPayrollPerUnit*TotalUnits/12*JS$7*JS$11,0)</f>
        <v/>
      </c>
      <c r="JT30" s="18">
        <f>IF(277&gt;=DeliverStart,ExpPayrollPerUnit*TotalUnits/12*JT$7*JT$11,0)</f>
        <v/>
      </c>
      <c r="JU30" s="18">
        <f>IF(278&gt;=DeliverStart,ExpPayrollPerUnit*TotalUnits/12*JU$7*JU$11,0)</f>
        <v/>
      </c>
      <c r="JV30" s="18">
        <f>IF(279&gt;=DeliverStart,ExpPayrollPerUnit*TotalUnits/12*JV$7*JV$11,0)</f>
        <v/>
      </c>
      <c r="JW30" s="18">
        <f>IF(280&gt;=DeliverStart,ExpPayrollPerUnit*TotalUnits/12*JW$7*JW$11,0)</f>
        <v/>
      </c>
      <c r="JX30" s="18">
        <f>IF(281&gt;=DeliverStart,ExpPayrollPerUnit*TotalUnits/12*JX$7*JX$11,0)</f>
        <v/>
      </c>
      <c r="JY30" s="18">
        <f>IF(282&gt;=DeliverStart,ExpPayrollPerUnit*TotalUnits/12*JY$7*JY$11,0)</f>
        <v/>
      </c>
      <c r="JZ30" s="18">
        <f>IF(283&gt;=DeliverStart,ExpPayrollPerUnit*TotalUnits/12*JZ$7*JZ$11,0)</f>
        <v/>
      </c>
      <c r="KA30" s="18">
        <f>IF(284&gt;=DeliverStart,ExpPayrollPerUnit*TotalUnits/12*KA$7*KA$11,0)</f>
        <v/>
      </c>
      <c r="KB30" s="18">
        <f>IF(285&gt;=DeliverStart,ExpPayrollPerUnit*TotalUnits/12*KB$7*KB$11,0)</f>
        <v/>
      </c>
      <c r="KC30" s="18">
        <f>IF(286&gt;=DeliverStart,ExpPayrollPerUnit*TotalUnits/12*KC$7*KC$11,0)</f>
        <v/>
      </c>
      <c r="KD30" s="18">
        <f>IF(287&gt;=DeliverStart,ExpPayrollPerUnit*TotalUnits/12*KD$7*KD$11,0)</f>
        <v/>
      </c>
      <c r="KE30" s="18">
        <f>IF(288&gt;=DeliverStart,ExpPayrollPerUnit*TotalUnits/12*KE$7*KE$11,0)</f>
        <v/>
      </c>
      <c r="KF30" s="18">
        <f>IF(289&gt;=DeliverStart,ExpPayrollPerUnit*TotalUnits/12*KF$7*KF$11,0)</f>
        <v/>
      </c>
      <c r="KG30" s="18">
        <f>IF(290&gt;=DeliverStart,ExpPayrollPerUnit*TotalUnits/12*KG$7*KG$11,0)</f>
        <v/>
      </c>
      <c r="KH30" s="18">
        <f>IF(291&gt;=DeliverStart,ExpPayrollPerUnit*TotalUnits/12*KH$7*KH$11,0)</f>
        <v/>
      </c>
      <c r="KI30" s="18">
        <f>IF(292&gt;=DeliverStart,ExpPayrollPerUnit*TotalUnits/12*KI$7*KI$11,0)</f>
        <v/>
      </c>
      <c r="KJ30" s="18">
        <f>IF(293&gt;=DeliverStart,ExpPayrollPerUnit*TotalUnits/12*KJ$7*KJ$11,0)</f>
        <v/>
      </c>
      <c r="KK30" s="18">
        <f>IF(294&gt;=DeliverStart,ExpPayrollPerUnit*TotalUnits/12*KK$7*KK$11,0)</f>
        <v/>
      </c>
      <c r="KL30" s="18">
        <f>IF(295&gt;=DeliverStart,ExpPayrollPerUnit*TotalUnits/12*KL$7*KL$11,0)</f>
        <v/>
      </c>
      <c r="KM30" s="18">
        <f>IF(296&gt;=DeliverStart,ExpPayrollPerUnit*TotalUnits/12*KM$7*KM$11,0)</f>
        <v/>
      </c>
      <c r="KN30" s="18">
        <f>IF(297&gt;=DeliverStart,ExpPayrollPerUnit*TotalUnits/12*KN$7*KN$11,0)</f>
        <v/>
      </c>
      <c r="KO30" s="18">
        <f>IF(298&gt;=DeliverStart,ExpPayrollPerUnit*TotalUnits/12*KO$7*KO$11,0)</f>
        <v/>
      </c>
      <c r="KP30" s="18">
        <f>IF(299&gt;=DeliverStart,ExpPayrollPerUnit*TotalUnits/12*KP$7*KP$11,0)</f>
        <v/>
      </c>
      <c r="KQ30" s="18">
        <f>IF(300&gt;=DeliverStart,ExpPayrollPerUnit*TotalUnits/12*KQ$7*KQ$11,0)</f>
        <v/>
      </c>
      <c r="KR30" s="18">
        <f>IF(301&gt;=DeliverStart,ExpPayrollPerUnit*TotalUnits/12*KR$7*KR$11,0)</f>
        <v/>
      </c>
      <c r="KS30" s="18">
        <f>IF(302&gt;=DeliverStart,ExpPayrollPerUnit*TotalUnits/12*KS$7*KS$11,0)</f>
        <v/>
      </c>
      <c r="KT30" s="18">
        <f>IF(303&gt;=DeliverStart,ExpPayrollPerUnit*TotalUnits/12*KT$7*KT$11,0)</f>
        <v/>
      </c>
      <c r="KU30" s="18">
        <f>IF(304&gt;=DeliverStart,ExpPayrollPerUnit*TotalUnits/12*KU$7*KU$11,0)</f>
        <v/>
      </c>
      <c r="KV30" s="18">
        <f>IF(305&gt;=DeliverStart,ExpPayrollPerUnit*TotalUnits/12*KV$7*KV$11,0)</f>
        <v/>
      </c>
      <c r="KW30" s="18">
        <f>IF(306&gt;=DeliverStart,ExpPayrollPerUnit*TotalUnits/12*KW$7*KW$11,0)</f>
        <v/>
      </c>
      <c r="KX30" s="18">
        <f>IF(307&gt;=DeliverStart,ExpPayrollPerUnit*TotalUnits/12*KX$7*KX$11,0)</f>
        <v/>
      </c>
      <c r="KY30" s="18">
        <f>IF(308&gt;=DeliverStart,ExpPayrollPerUnit*TotalUnits/12*KY$7*KY$11,0)</f>
        <v/>
      </c>
      <c r="KZ30" s="18">
        <f>IF(309&gt;=DeliverStart,ExpPayrollPerUnit*TotalUnits/12*KZ$7*KZ$11,0)</f>
        <v/>
      </c>
      <c r="LA30" s="18">
        <f>IF(310&gt;=DeliverStart,ExpPayrollPerUnit*TotalUnits/12*LA$7*LA$11,0)</f>
        <v/>
      </c>
      <c r="LB30" s="18">
        <f>IF(311&gt;=DeliverStart,ExpPayrollPerUnit*TotalUnits/12*LB$7*LB$11,0)</f>
        <v/>
      </c>
      <c r="LC30" s="18">
        <f>IF(312&gt;=DeliverStart,ExpPayrollPerUnit*TotalUnits/12*LC$7*LC$11,0)</f>
        <v/>
      </c>
      <c r="LD30" s="18">
        <f>IF(313&gt;=DeliverStart,ExpPayrollPerUnit*TotalUnits/12*LD$7*LD$11,0)</f>
        <v/>
      </c>
      <c r="LE30" s="18">
        <f>IF(314&gt;=DeliverStart,ExpPayrollPerUnit*TotalUnits/12*LE$7*LE$11,0)</f>
        <v/>
      </c>
      <c r="LF30" s="18">
        <f>IF(315&gt;=DeliverStart,ExpPayrollPerUnit*TotalUnits/12*LF$7*LF$11,0)</f>
        <v/>
      </c>
      <c r="LG30" s="18">
        <f>IF(316&gt;=DeliverStart,ExpPayrollPerUnit*TotalUnits/12*LG$7*LG$11,0)</f>
        <v/>
      </c>
      <c r="LH30" s="18">
        <f>IF(317&gt;=DeliverStart,ExpPayrollPerUnit*TotalUnits/12*LH$7*LH$11,0)</f>
        <v/>
      </c>
      <c r="LI30" s="18">
        <f>IF(318&gt;=DeliverStart,ExpPayrollPerUnit*TotalUnits/12*LI$7*LI$11,0)</f>
        <v/>
      </c>
      <c r="LJ30" s="18">
        <f>IF(319&gt;=DeliverStart,ExpPayrollPerUnit*TotalUnits/12*LJ$7*LJ$11,0)</f>
        <v/>
      </c>
      <c r="LK30" s="18">
        <f>IF(320&gt;=DeliverStart,ExpPayrollPerUnit*TotalUnits/12*LK$7*LK$11,0)</f>
        <v/>
      </c>
      <c r="LL30" s="18">
        <f>IF(321&gt;=DeliverStart,ExpPayrollPerUnit*TotalUnits/12*LL$7*LL$11,0)</f>
        <v/>
      </c>
      <c r="LM30" s="18">
        <f>IF(322&gt;=DeliverStart,ExpPayrollPerUnit*TotalUnits/12*LM$7*LM$11,0)</f>
        <v/>
      </c>
      <c r="LN30" s="18">
        <f>IF(323&gt;=DeliverStart,ExpPayrollPerUnit*TotalUnits/12*LN$7*LN$11,0)</f>
        <v/>
      </c>
      <c r="LO30" s="18">
        <f>IF(324&gt;=DeliverStart,ExpPayrollPerUnit*TotalUnits/12*LO$7*LO$11,0)</f>
        <v/>
      </c>
      <c r="LP30" s="18">
        <f>IF(325&gt;=DeliverStart,ExpPayrollPerUnit*TotalUnits/12*LP$7*LP$11,0)</f>
        <v/>
      </c>
      <c r="LQ30" s="18">
        <f>IF(326&gt;=DeliverStart,ExpPayrollPerUnit*TotalUnits/12*LQ$7*LQ$11,0)</f>
        <v/>
      </c>
      <c r="LR30" s="18">
        <f>IF(327&gt;=DeliverStart,ExpPayrollPerUnit*TotalUnits/12*LR$7*LR$11,0)</f>
        <v/>
      </c>
      <c r="LS30" s="18">
        <f>IF(328&gt;=DeliverStart,ExpPayrollPerUnit*TotalUnits/12*LS$7*LS$11,0)</f>
        <v/>
      </c>
      <c r="LT30" s="18">
        <f>IF(329&gt;=DeliverStart,ExpPayrollPerUnit*TotalUnits/12*LT$7*LT$11,0)</f>
        <v/>
      </c>
      <c r="LU30" s="18">
        <f>IF(330&gt;=DeliverStart,ExpPayrollPerUnit*TotalUnits/12*LU$7*LU$11,0)</f>
        <v/>
      </c>
      <c r="LV30" s="18">
        <f>IF(331&gt;=DeliverStart,ExpPayrollPerUnit*TotalUnits/12*LV$7*LV$11,0)</f>
        <v/>
      </c>
      <c r="LW30" s="18">
        <f>IF(332&gt;=DeliverStart,ExpPayrollPerUnit*TotalUnits/12*LW$7*LW$11,0)</f>
        <v/>
      </c>
      <c r="LX30" s="18">
        <f>IF(333&gt;=DeliverStart,ExpPayrollPerUnit*TotalUnits/12*LX$7*LX$11,0)</f>
        <v/>
      </c>
      <c r="LY30" s="18">
        <f>IF(334&gt;=DeliverStart,ExpPayrollPerUnit*TotalUnits/12*LY$7*LY$11,0)</f>
        <v/>
      </c>
      <c r="LZ30" s="18">
        <f>IF(335&gt;=DeliverStart,ExpPayrollPerUnit*TotalUnits/12*LZ$7*LZ$11,0)</f>
        <v/>
      </c>
      <c r="MA30" s="18">
        <f>IF(336&gt;=DeliverStart,ExpPayrollPerUnit*TotalUnits/12*MA$7*MA$11,0)</f>
        <v/>
      </c>
      <c r="MB30" s="18">
        <f>IF(337&gt;=DeliverStart,ExpPayrollPerUnit*TotalUnits/12*MB$7*MB$11,0)</f>
        <v/>
      </c>
      <c r="MC30" s="18">
        <f>IF(338&gt;=DeliverStart,ExpPayrollPerUnit*TotalUnits/12*MC$7*MC$11,0)</f>
        <v/>
      </c>
      <c r="MD30" s="18">
        <f>IF(339&gt;=DeliverStart,ExpPayrollPerUnit*TotalUnits/12*MD$7*MD$11,0)</f>
        <v/>
      </c>
      <c r="ME30" s="18">
        <f>IF(340&gt;=DeliverStart,ExpPayrollPerUnit*TotalUnits/12*ME$7*ME$11,0)</f>
        <v/>
      </c>
      <c r="MF30" s="18">
        <f>IF(341&gt;=DeliverStart,ExpPayrollPerUnit*TotalUnits/12*MF$7*MF$11,0)</f>
        <v/>
      </c>
      <c r="MG30" s="18">
        <f>IF(342&gt;=DeliverStart,ExpPayrollPerUnit*TotalUnits/12*MG$7*MG$11,0)</f>
        <v/>
      </c>
      <c r="MH30" s="18">
        <f>IF(343&gt;=DeliverStart,ExpPayrollPerUnit*TotalUnits/12*MH$7*MH$11,0)</f>
        <v/>
      </c>
      <c r="MI30" s="18">
        <f>IF(344&gt;=DeliverStart,ExpPayrollPerUnit*TotalUnits/12*MI$7*MI$11,0)</f>
        <v/>
      </c>
      <c r="MJ30" s="18">
        <f>IF(345&gt;=DeliverStart,ExpPayrollPerUnit*TotalUnits/12*MJ$7*MJ$11,0)</f>
        <v/>
      </c>
      <c r="MK30" s="18">
        <f>IF(346&gt;=DeliverStart,ExpPayrollPerUnit*TotalUnits/12*MK$7*MK$11,0)</f>
        <v/>
      </c>
      <c r="ML30" s="18">
        <f>IF(347&gt;=DeliverStart,ExpPayrollPerUnit*TotalUnits/12*ML$7*ML$11,0)</f>
        <v/>
      </c>
      <c r="MM30" s="18">
        <f>IF(348&gt;=DeliverStart,ExpPayrollPerUnit*TotalUnits/12*MM$7*MM$11,0)</f>
        <v/>
      </c>
      <c r="MN30" s="18">
        <f>IF(349&gt;=DeliverStart,ExpPayrollPerUnit*TotalUnits/12*MN$7*MN$11,0)</f>
        <v/>
      </c>
      <c r="MO30" s="18">
        <f>IF(350&gt;=DeliverStart,ExpPayrollPerUnit*TotalUnits/12*MO$7*MO$11,0)</f>
        <v/>
      </c>
      <c r="MP30" s="18">
        <f>IF(351&gt;=DeliverStart,ExpPayrollPerUnit*TotalUnits/12*MP$7*MP$11,0)</f>
        <v/>
      </c>
      <c r="MQ30" s="18">
        <f>IF(352&gt;=DeliverStart,ExpPayrollPerUnit*TotalUnits/12*MQ$7*MQ$11,0)</f>
        <v/>
      </c>
      <c r="MR30" s="18">
        <f>IF(353&gt;=DeliverStart,ExpPayrollPerUnit*TotalUnits/12*MR$7*MR$11,0)</f>
        <v/>
      </c>
      <c r="MS30" s="18">
        <f>IF(354&gt;=DeliverStart,ExpPayrollPerUnit*TotalUnits/12*MS$7*MS$11,0)</f>
        <v/>
      </c>
      <c r="MT30" s="18">
        <f>IF(355&gt;=DeliverStart,ExpPayrollPerUnit*TotalUnits/12*MT$7*MT$11,0)</f>
        <v/>
      </c>
      <c r="MU30" s="18">
        <f>IF(356&gt;=DeliverStart,ExpPayrollPerUnit*TotalUnits/12*MU$7*MU$11,0)</f>
        <v/>
      </c>
      <c r="MV30" s="18">
        <f>IF(357&gt;=DeliverStart,ExpPayrollPerUnit*TotalUnits/12*MV$7*MV$11,0)</f>
        <v/>
      </c>
      <c r="MW30" s="18">
        <f>IF(358&gt;=DeliverStart,ExpPayrollPerUnit*TotalUnits/12*MW$7*MW$11,0)</f>
        <v/>
      </c>
      <c r="MX30" s="18">
        <f>IF(359&gt;=DeliverStart,ExpPayrollPerUnit*TotalUnits/12*MX$7*MX$11,0)</f>
        <v/>
      </c>
      <c r="MY30" s="18">
        <f>IF(360&gt;=DeliverStart,ExpPayrollPerUnit*TotalUnits/12*MY$7*MY$11,0)</f>
        <v/>
      </c>
      <c r="MZ30" s="18">
        <f>IF(361&gt;=DeliverStart,ExpPayrollPerUnit*TotalUnits/12*MZ$7*MZ$11,0)</f>
        <v/>
      </c>
      <c r="NA30" s="18">
        <f>IF(362&gt;=DeliverStart,ExpPayrollPerUnit*TotalUnits/12*NA$7*NA$11,0)</f>
        <v/>
      </c>
      <c r="NB30" s="18">
        <f>IF(363&gt;=DeliverStart,ExpPayrollPerUnit*TotalUnits/12*NB$7*NB$11,0)</f>
        <v/>
      </c>
      <c r="NC30" s="18">
        <f>IF(364&gt;=DeliverStart,ExpPayrollPerUnit*TotalUnits/12*NC$7*NC$11,0)</f>
        <v/>
      </c>
      <c r="ND30" s="18">
        <f>IF(365&gt;=DeliverStart,ExpPayrollPerUnit*TotalUnits/12*ND$7*ND$11,0)</f>
        <v/>
      </c>
      <c r="NE30" s="18">
        <f>IF(366&gt;=DeliverStart,ExpPayrollPerUnit*TotalUnits/12*NE$7*NE$11,0)</f>
        <v/>
      </c>
      <c r="NF30" s="18">
        <f>IF(367&gt;=DeliverStart,ExpPayrollPerUnit*TotalUnits/12*NF$7*NF$11,0)</f>
        <v/>
      </c>
      <c r="NG30" s="18">
        <f>IF(368&gt;=DeliverStart,ExpPayrollPerUnit*TotalUnits/12*NG$7*NG$11,0)</f>
        <v/>
      </c>
      <c r="NH30" s="18">
        <f>IF(369&gt;=DeliverStart,ExpPayrollPerUnit*TotalUnits/12*NH$7*NH$11,0)</f>
        <v/>
      </c>
      <c r="NI30" s="18">
        <f>IF(370&gt;=DeliverStart,ExpPayrollPerUnit*TotalUnits/12*NI$7*NI$11,0)</f>
        <v/>
      </c>
      <c r="NJ30" s="18">
        <f>IF(371&gt;=DeliverStart,ExpPayrollPerUnit*TotalUnits/12*NJ$7*NJ$11,0)</f>
        <v/>
      </c>
      <c r="NK30" s="18">
        <f>IF(372&gt;=DeliverStart,ExpPayrollPerUnit*TotalUnits/12*NK$7*NK$11,0)</f>
        <v/>
      </c>
    </row>
    <row r="31">
      <c r="A31" s="5" t="inlineStr">
        <is>
          <t>Advertising (elevated)</t>
        </is>
      </c>
      <c r="C31" s="41">
        <f>SUM(D31:NK31)</f>
        <v/>
      </c>
      <c r="D31" s="18">
        <f>IF(1&gt;=DeliverStart,ExpAdvertisingPerUnit*TotalUnits/12*D$7*D$11,0)</f>
        <v/>
      </c>
      <c r="E31" s="18">
        <f>IF(2&gt;=DeliverStart,ExpAdvertisingPerUnit*TotalUnits/12*E$7*E$11,0)</f>
        <v/>
      </c>
      <c r="F31" s="18">
        <f>IF(3&gt;=DeliverStart,ExpAdvertisingPerUnit*TotalUnits/12*F$7*F$11,0)</f>
        <v/>
      </c>
      <c r="G31" s="18">
        <f>IF(4&gt;=DeliverStart,ExpAdvertisingPerUnit*TotalUnits/12*G$7*G$11,0)</f>
        <v/>
      </c>
      <c r="H31" s="18">
        <f>IF(5&gt;=DeliverStart,ExpAdvertisingPerUnit*TotalUnits/12*H$7*H$11,0)</f>
        <v/>
      </c>
      <c r="I31" s="18">
        <f>IF(6&gt;=DeliverStart,ExpAdvertisingPerUnit*TotalUnits/12*I$7*I$11,0)</f>
        <v/>
      </c>
      <c r="J31" s="18">
        <f>IF(7&gt;=DeliverStart,ExpAdvertisingPerUnit*TotalUnits/12*J$7*J$11,0)</f>
        <v/>
      </c>
      <c r="K31" s="18">
        <f>IF(8&gt;=DeliverStart,ExpAdvertisingPerUnit*TotalUnits/12*K$7*K$11,0)</f>
        <v/>
      </c>
      <c r="L31" s="18">
        <f>IF(9&gt;=DeliverStart,ExpAdvertisingPerUnit*TotalUnits/12*L$7*L$11,0)</f>
        <v/>
      </c>
      <c r="M31" s="18">
        <f>IF(10&gt;=DeliverStart,ExpAdvertisingPerUnit*TotalUnits/12*M$7*M$11,0)</f>
        <v/>
      </c>
      <c r="N31" s="18">
        <f>IF(11&gt;=DeliverStart,ExpAdvertisingPerUnit*TotalUnits/12*N$7*N$11,0)</f>
        <v/>
      </c>
      <c r="O31" s="18">
        <f>IF(12&gt;=DeliverStart,ExpAdvertisingPerUnit*TotalUnits/12*O$7*O$11,0)</f>
        <v/>
      </c>
      <c r="P31" s="18">
        <f>IF(13&gt;=DeliverStart,ExpAdvertisingPerUnit*TotalUnits/12*P$7*P$11,0)</f>
        <v/>
      </c>
      <c r="Q31" s="18">
        <f>IF(14&gt;=DeliverStart,ExpAdvertisingPerUnit*TotalUnits/12*Q$7*Q$11,0)</f>
        <v/>
      </c>
      <c r="R31" s="18">
        <f>IF(15&gt;=DeliverStart,ExpAdvertisingPerUnit*TotalUnits/12*R$7*R$11,0)</f>
        <v/>
      </c>
      <c r="S31" s="18">
        <f>IF(16&gt;=DeliverStart,ExpAdvertisingPerUnit*TotalUnits/12*S$7*S$11,0)</f>
        <v/>
      </c>
      <c r="T31" s="18">
        <f>IF(17&gt;=DeliverStart,ExpAdvertisingPerUnit*TotalUnits/12*T$7*T$11,0)</f>
        <v/>
      </c>
      <c r="U31" s="18">
        <f>IF(18&gt;=DeliverStart,ExpAdvertisingPerUnit*TotalUnits/12*U$7*U$11,0)</f>
        <v/>
      </c>
      <c r="V31" s="18">
        <f>IF(19&gt;=DeliverStart,ExpAdvertisingPerUnit*TotalUnits/12*V$7*V$11,0)</f>
        <v/>
      </c>
      <c r="W31" s="18">
        <f>IF(20&gt;=DeliverStart,ExpAdvertisingPerUnit*TotalUnits/12*W$7*W$11,0)</f>
        <v/>
      </c>
      <c r="X31" s="18">
        <f>IF(21&gt;=DeliverStart,ExpAdvertisingPerUnit*TotalUnits/12*X$7*X$11,0)</f>
        <v/>
      </c>
      <c r="Y31" s="18">
        <f>IF(22&gt;=DeliverStart,ExpAdvertisingPerUnit*TotalUnits/12*Y$7*Y$11,0)</f>
        <v/>
      </c>
      <c r="Z31" s="18">
        <f>IF(23&gt;=DeliverStart,ExpAdvertisingPerUnit*TotalUnits/12*Z$7*Z$11,0)</f>
        <v/>
      </c>
      <c r="AA31" s="18">
        <f>IF(24&gt;=DeliverStart,ExpAdvertisingPerUnit*TotalUnits/12*AA$7*AA$11,0)</f>
        <v/>
      </c>
      <c r="AB31" s="18">
        <f>IF(25&gt;=DeliverStart,ExpAdvertisingPerUnit*TotalUnits/12*AB$7*AB$11,0)</f>
        <v/>
      </c>
      <c r="AC31" s="18">
        <f>IF(26&gt;=DeliverStart,ExpAdvertisingPerUnit*TotalUnits/12*AC$7*AC$11,0)</f>
        <v/>
      </c>
      <c r="AD31" s="18">
        <f>IF(27&gt;=DeliverStart,ExpAdvertisingPerUnit*TotalUnits/12*AD$7*AD$11,0)</f>
        <v/>
      </c>
      <c r="AE31" s="18">
        <f>IF(28&gt;=DeliverStart,ExpAdvertisingPerUnit*TotalUnits/12*AE$7*AE$11,0)</f>
        <v/>
      </c>
      <c r="AF31" s="18">
        <f>IF(29&gt;=DeliverStart,ExpAdvertisingPerUnit*TotalUnits/12*AF$7*AF$11,0)</f>
        <v/>
      </c>
      <c r="AG31" s="18">
        <f>IF(30&gt;=DeliverStart,ExpAdvertisingPerUnit*TotalUnits/12*AG$7*AG$11,0)</f>
        <v/>
      </c>
      <c r="AH31" s="18">
        <f>IF(31&gt;=DeliverStart,ExpAdvertisingPerUnit*TotalUnits/12*AH$7*AH$11,0)</f>
        <v/>
      </c>
      <c r="AI31" s="18">
        <f>IF(32&gt;=DeliverStart,ExpAdvertisingPerUnit*TotalUnits/12*AI$7*AI$11,0)</f>
        <v/>
      </c>
      <c r="AJ31" s="18">
        <f>IF(33&gt;=DeliverStart,ExpAdvertisingPerUnit*TotalUnits/12*AJ$7*AJ$11,0)</f>
        <v/>
      </c>
      <c r="AK31" s="18">
        <f>IF(34&gt;=DeliverStart,ExpAdvertisingPerUnit*TotalUnits/12*AK$7*AK$11,0)</f>
        <v/>
      </c>
      <c r="AL31" s="18">
        <f>IF(35&gt;=DeliverStart,ExpAdvertisingPerUnit*TotalUnits/12*AL$7*AL$11,0)</f>
        <v/>
      </c>
      <c r="AM31" s="18">
        <f>IF(36&gt;=DeliverStart,ExpAdvertisingPerUnit*TotalUnits/12*AM$7*AM$11,0)</f>
        <v/>
      </c>
      <c r="AN31" s="18">
        <f>IF(37&gt;=DeliverStart,ExpAdvertisingPerUnit*TotalUnits/12*AN$7*AN$11,0)</f>
        <v/>
      </c>
      <c r="AO31" s="18">
        <f>IF(38&gt;=DeliverStart,ExpAdvertisingPerUnit*TotalUnits/12*AO$7*AO$11,0)</f>
        <v/>
      </c>
      <c r="AP31" s="18">
        <f>IF(39&gt;=DeliverStart,ExpAdvertisingPerUnit*TotalUnits/12*AP$7*AP$11,0)</f>
        <v/>
      </c>
      <c r="AQ31" s="18">
        <f>IF(40&gt;=DeliverStart,ExpAdvertisingPerUnit*TotalUnits/12*AQ$7*AQ$11,0)</f>
        <v/>
      </c>
      <c r="AR31" s="18">
        <f>IF(41&gt;=DeliverStart,ExpAdvertisingPerUnit*TotalUnits/12*AR$7*AR$11,0)</f>
        <v/>
      </c>
      <c r="AS31" s="18">
        <f>IF(42&gt;=DeliverStart,ExpAdvertisingPerUnit*TotalUnits/12*AS$7*AS$11,0)</f>
        <v/>
      </c>
      <c r="AT31" s="18">
        <f>IF(43&gt;=DeliverStart,ExpAdvertisingPerUnit*TotalUnits/12*AT$7*AT$11,0)</f>
        <v/>
      </c>
      <c r="AU31" s="18">
        <f>IF(44&gt;=DeliverStart,ExpAdvertisingPerUnit*TotalUnits/12*AU$7*AU$11,0)</f>
        <v/>
      </c>
      <c r="AV31" s="18">
        <f>IF(45&gt;=DeliverStart,ExpAdvertisingPerUnit*TotalUnits/12*AV$7*AV$11,0)</f>
        <v/>
      </c>
      <c r="AW31" s="18">
        <f>IF(46&gt;=DeliverStart,ExpAdvertisingPerUnit*TotalUnits/12*AW$7*AW$11,0)</f>
        <v/>
      </c>
      <c r="AX31" s="18">
        <f>IF(47&gt;=DeliverStart,ExpAdvertisingPerUnit*TotalUnits/12*AX$7*AX$11,0)</f>
        <v/>
      </c>
      <c r="AY31" s="18">
        <f>IF(48&gt;=DeliverStart,ExpAdvertisingPerUnit*TotalUnits/12*AY$7*AY$11,0)</f>
        <v/>
      </c>
      <c r="AZ31" s="18">
        <f>IF(49&gt;=DeliverStart,ExpAdvertisingPerUnit*TotalUnits/12*AZ$7*AZ$11,0)</f>
        <v/>
      </c>
      <c r="BA31" s="18">
        <f>IF(50&gt;=DeliverStart,ExpAdvertisingPerUnit*TotalUnits/12*BA$7*BA$11,0)</f>
        <v/>
      </c>
      <c r="BB31" s="18">
        <f>IF(51&gt;=DeliverStart,ExpAdvertisingPerUnit*TotalUnits/12*BB$7*BB$11,0)</f>
        <v/>
      </c>
      <c r="BC31" s="18">
        <f>IF(52&gt;=DeliverStart,ExpAdvertisingPerUnit*TotalUnits/12*BC$7*BC$11,0)</f>
        <v/>
      </c>
      <c r="BD31" s="18">
        <f>IF(53&gt;=DeliverStart,ExpAdvertisingPerUnit*TotalUnits/12*BD$7*BD$11,0)</f>
        <v/>
      </c>
      <c r="BE31" s="18">
        <f>IF(54&gt;=DeliverStart,ExpAdvertisingPerUnit*TotalUnits/12*BE$7*BE$11,0)</f>
        <v/>
      </c>
      <c r="BF31" s="18">
        <f>IF(55&gt;=DeliverStart,ExpAdvertisingPerUnit*TotalUnits/12*BF$7*BF$11,0)</f>
        <v/>
      </c>
      <c r="BG31" s="18">
        <f>IF(56&gt;=DeliverStart,ExpAdvertisingPerUnit*TotalUnits/12*BG$7*BG$11,0)</f>
        <v/>
      </c>
      <c r="BH31" s="18">
        <f>IF(57&gt;=DeliverStart,ExpAdvertisingPerUnit*TotalUnits/12*BH$7*BH$11,0)</f>
        <v/>
      </c>
      <c r="BI31" s="18">
        <f>IF(58&gt;=DeliverStart,ExpAdvertisingPerUnit*TotalUnits/12*BI$7*BI$11,0)</f>
        <v/>
      </c>
      <c r="BJ31" s="18">
        <f>IF(59&gt;=DeliverStart,ExpAdvertisingPerUnit*TotalUnits/12*BJ$7*BJ$11,0)</f>
        <v/>
      </c>
      <c r="BK31" s="18">
        <f>IF(60&gt;=DeliverStart,ExpAdvertisingPerUnit*TotalUnits/12*BK$7*BK$11,0)</f>
        <v/>
      </c>
      <c r="BL31" s="18">
        <f>IF(61&gt;=DeliverStart,ExpAdvertisingPerUnit*TotalUnits/12*BL$7*BL$11,0)</f>
        <v/>
      </c>
      <c r="BM31" s="18">
        <f>IF(62&gt;=DeliverStart,ExpAdvertisingPerUnit*TotalUnits/12*BM$7*BM$11,0)</f>
        <v/>
      </c>
      <c r="BN31" s="18">
        <f>IF(63&gt;=DeliverStart,ExpAdvertisingPerUnit*TotalUnits/12*BN$7*BN$11,0)</f>
        <v/>
      </c>
      <c r="BO31" s="18">
        <f>IF(64&gt;=DeliverStart,ExpAdvertisingPerUnit*TotalUnits/12*BO$7*BO$11,0)</f>
        <v/>
      </c>
      <c r="BP31" s="18">
        <f>IF(65&gt;=DeliverStart,ExpAdvertisingPerUnit*TotalUnits/12*BP$7*BP$11,0)</f>
        <v/>
      </c>
      <c r="BQ31" s="18">
        <f>IF(66&gt;=DeliverStart,ExpAdvertisingPerUnit*TotalUnits/12*BQ$7*BQ$11,0)</f>
        <v/>
      </c>
      <c r="BR31" s="18">
        <f>IF(67&gt;=DeliverStart,ExpAdvertisingPerUnit*TotalUnits/12*BR$7*BR$11,0)</f>
        <v/>
      </c>
      <c r="BS31" s="18">
        <f>IF(68&gt;=DeliverStart,ExpAdvertisingPerUnit*TotalUnits/12*BS$7*BS$11,0)</f>
        <v/>
      </c>
      <c r="BT31" s="18">
        <f>IF(69&gt;=DeliverStart,ExpAdvertisingPerUnit*TotalUnits/12*BT$7*BT$11,0)</f>
        <v/>
      </c>
      <c r="BU31" s="18">
        <f>IF(70&gt;=DeliverStart,ExpAdvertisingPerUnit*TotalUnits/12*BU$7*BU$11,0)</f>
        <v/>
      </c>
      <c r="BV31" s="18">
        <f>IF(71&gt;=DeliverStart,ExpAdvertisingPerUnit*TotalUnits/12*BV$7*BV$11,0)</f>
        <v/>
      </c>
      <c r="BW31" s="18">
        <f>IF(72&gt;=DeliverStart,ExpAdvertisingPerUnit*TotalUnits/12*BW$7*BW$11,0)</f>
        <v/>
      </c>
      <c r="BX31" s="18">
        <f>IF(73&gt;=DeliverStart,ExpAdvertisingPerUnit*TotalUnits/12*BX$7*BX$11,0)</f>
        <v/>
      </c>
      <c r="BY31" s="18">
        <f>IF(74&gt;=DeliverStart,ExpAdvertisingPerUnit*TotalUnits/12*BY$7*BY$11,0)</f>
        <v/>
      </c>
      <c r="BZ31" s="18">
        <f>IF(75&gt;=DeliverStart,ExpAdvertisingPerUnit*TotalUnits/12*BZ$7*BZ$11,0)</f>
        <v/>
      </c>
      <c r="CA31" s="18">
        <f>IF(76&gt;=DeliverStart,ExpAdvertisingPerUnit*TotalUnits/12*CA$7*CA$11,0)</f>
        <v/>
      </c>
      <c r="CB31" s="18">
        <f>IF(77&gt;=DeliverStart,ExpAdvertisingPerUnit*TotalUnits/12*CB$7*CB$11,0)</f>
        <v/>
      </c>
      <c r="CC31" s="18">
        <f>IF(78&gt;=DeliverStart,ExpAdvertisingPerUnit*TotalUnits/12*CC$7*CC$11,0)</f>
        <v/>
      </c>
      <c r="CD31" s="18">
        <f>IF(79&gt;=DeliverStart,ExpAdvertisingPerUnit*TotalUnits/12*CD$7*CD$11,0)</f>
        <v/>
      </c>
      <c r="CE31" s="18">
        <f>IF(80&gt;=DeliverStart,ExpAdvertisingPerUnit*TotalUnits/12*CE$7*CE$11,0)</f>
        <v/>
      </c>
      <c r="CF31" s="18">
        <f>IF(81&gt;=DeliverStart,ExpAdvertisingPerUnit*TotalUnits/12*CF$7*CF$11,0)</f>
        <v/>
      </c>
      <c r="CG31" s="18">
        <f>IF(82&gt;=DeliverStart,ExpAdvertisingPerUnit*TotalUnits/12*CG$7*CG$11,0)</f>
        <v/>
      </c>
      <c r="CH31" s="18">
        <f>IF(83&gt;=DeliverStart,ExpAdvertisingPerUnit*TotalUnits/12*CH$7*CH$11,0)</f>
        <v/>
      </c>
      <c r="CI31" s="18">
        <f>IF(84&gt;=DeliverStart,ExpAdvertisingPerUnit*TotalUnits/12*CI$7*CI$11,0)</f>
        <v/>
      </c>
      <c r="CJ31" s="18">
        <f>IF(85&gt;=DeliverStart,ExpAdvertisingPerUnit*TotalUnits/12*CJ$7*CJ$11,0)</f>
        <v/>
      </c>
      <c r="CK31" s="18">
        <f>IF(86&gt;=DeliverStart,ExpAdvertisingPerUnit*TotalUnits/12*CK$7*CK$11,0)</f>
        <v/>
      </c>
      <c r="CL31" s="18">
        <f>IF(87&gt;=DeliverStart,ExpAdvertisingPerUnit*TotalUnits/12*CL$7*CL$11,0)</f>
        <v/>
      </c>
      <c r="CM31" s="18">
        <f>IF(88&gt;=DeliverStart,ExpAdvertisingPerUnit*TotalUnits/12*CM$7*CM$11,0)</f>
        <v/>
      </c>
      <c r="CN31" s="18">
        <f>IF(89&gt;=DeliverStart,ExpAdvertisingPerUnit*TotalUnits/12*CN$7*CN$11,0)</f>
        <v/>
      </c>
      <c r="CO31" s="18">
        <f>IF(90&gt;=DeliverStart,ExpAdvertisingPerUnit*TotalUnits/12*CO$7*CO$11,0)</f>
        <v/>
      </c>
      <c r="CP31" s="18">
        <f>IF(91&gt;=DeliverStart,ExpAdvertisingPerUnit*TotalUnits/12*CP$7*CP$11,0)</f>
        <v/>
      </c>
      <c r="CQ31" s="18">
        <f>IF(92&gt;=DeliverStart,ExpAdvertisingPerUnit*TotalUnits/12*CQ$7*CQ$11,0)</f>
        <v/>
      </c>
      <c r="CR31" s="18">
        <f>IF(93&gt;=DeliverStart,ExpAdvertisingPerUnit*TotalUnits/12*CR$7*CR$11,0)</f>
        <v/>
      </c>
      <c r="CS31" s="18">
        <f>IF(94&gt;=DeliverStart,ExpAdvertisingPerUnit*TotalUnits/12*CS$7*CS$11,0)</f>
        <v/>
      </c>
      <c r="CT31" s="18">
        <f>IF(95&gt;=DeliverStart,ExpAdvertisingPerUnit*TotalUnits/12*CT$7*CT$11,0)</f>
        <v/>
      </c>
      <c r="CU31" s="18">
        <f>IF(96&gt;=DeliverStart,ExpAdvertisingPerUnit*TotalUnits/12*CU$7*CU$11,0)</f>
        <v/>
      </c>
      <c r="CV31" s="18">
        <f>IF(97&gt;=DeliverStart,ExpAdvertisingPerUnit*TotalUnits/12*CV$7*CV$11,0)</f>
        <v/>
      </c>
      <c r="CW31" s="18">
        <f>IF(98&gt;=DeliverStart,ExpAdvertisingPerUnit*TotalUnits/12*CW$7*CW$11,0)</f>
        <v/>
      </c>
      <c r="CX31" s="18">
        <f>IF(99&gt;=DeliverStart,ExpAdvertisingPerUnit*TotalUnits/12*CX$7*CX$11,0)</f>
        <v/>
      </c>
      <c r="CY31" s="18">
        <f>IF(100&gt;=DeliverStart,ExpAdvertisingPerUnit*TotalUnits/12*CY$7*CY$11,0)</f>
        <v/>
      </c>
      <c r="CZ31" s="18">
        <f>IF(101&gt;=DeliverStart,ExpAdvertisingPerUnit*TotalUnits/12*CZ$7*CZ$11,0)</f>
        <v/>
      </c>
      <c r="DA31" s="18">
        <f>IF(102&gt;=DeliverStart,ExpAdvertisingPerUnit*TotalUnits/12*DA$7*DA$11,0)</f>
        <v/>
      </c>
      <c r="DB31" s="18">
        <f>IF(103&gt;=DeliverStart,ExpAdvertisingPerUnit*TotalUnits/12*DB$7*DB$11,0)</f>
        <v/>
      </c>
      <c r="DC31" s="18">
        <f>IF(104&gt;=DeliverStart,ExpAdvertisingPerUnit*TotalUnits/12*DC$7*DC$11,0)</f>
        <v/>
      </c>
      <c r="DD31" s="18">
        <f>IF(105&gt;=DeliverStart,ExpAdvertisingPerUnit*TotalUnits/12*DD$7*DD$11,0)</f>
        <v/>
      </c>
      <c r="DE31" s="18">
        <f>IF(106&gt;=DeliverStart,ExpAdvertisingPerUnit*TotalUnits/12*DE$7*DE$11,0)</f>
        <v/>
      </c>
      <c r="DF31" s="18">
        <f>IF(107&gt;=DeliverStart,ExpAdvertisingPerUnit*TotalUnits/12*DF$7*DF$11,0)</f>
        <v/>
      </c>
      <c r="DG31" s="18">
        <f>IF(108&gt;=DeliverStart,ExpAdvertisingPerUnit*TotalUnits/12*DG$7*DG$11,0)</f>
        <v/>
      </c>
      <c r="DH31" s="18">
        <f>IF(109&gt;=DeliverStart,ExpAdvertisingPerUnit*TotalUnits/12*DH$7*DH$11,0)</f>
        <v/>
      </c>
      <c r="DI31" s="18">
        <f>IF(110&gt;=DeliverStart,ExpAdvertisingPerUnit*TotalUnits/12*DI$7*DI$11,0)</f>
        <v/>
      </c>
      <c r="DJ31" s="18">
        <f>IF(111&gt;=DeliverStart,ExpAdvertisingPerUnit*TotalUnits/12*DJ$7*DJ$11,0)</f>
        <v/>
      </c>
      <c r="DK31" s="18">
        <f>IF(112&gt;=DeliverStart,ExpAdvertisingPerUnit*TotalUnits/12*DK$7*DK$11,0)</f>
        <v/>
      </c>
      <c r="DL31" s="18">
        <f>IF(113&gt;=DeliverStart,ExpAdvertisingPerUnit*TotalUnits/12*DL$7*DL$11,0)</f>
        <v/>
      </c>
      <c r="DM31" s="18">
        <f>IF(114&gt;=DeliverStart,ExpAdvertisingPerUnit*TotalUnits/12*DM$7*DM$11,0)</f>
        <v/>
      </c>
      <c r="DN31" s="18">
        <f>IF(115&gt;=DeliverStart,ExpAdvertisingPerUnit*TotalUnits/12*DN$7*DN$11,0)</f>
        <v/>
      </c>
      <c r="DO31" s="18">
        <f>IF(116&gt;=DeliverStart,ExpAdvertisingPerUnit*TotalUnits/12*DO$7*DO$11,0)</f>
        <v/>
      </c>
      <c r="DP31" s="18">
        <f>IF(117&gt;=DeliverStart,ExpAdvertisingPerUnit*TotalUnits/12*DP$7*DP$11,0)</f>
        <v/>
      </c>
      <c r="DQ31" s="18">
        <f>IF(118&gt;=DeliverStart,ExpAdvertisingPerUnit*TotalUnits/12*DQ$7*DQ$11,0)</f>
        <v/>
      </c>
      <c r="DR31" s="18">
        <f>IF(119&gt;=DeliverStart,ExpAdvertisingPerUnit*TotalUnits/12*DR$7*DR$11,0)</f>
        <v/>
      </c>
      <c r="DS31" s="18">
        <f>IF(120&gt;=DeliverStart,ExpAdvertisingPerUnit*TotalUnits/12*DS$7*DS$11,0)</f>
        <v/>
      </c>
      <c r="DT31" s="18">
        <f>IF(121&gt;=DeliverStart,ExpAdvertisingPerUnit*TotalUnits/12*DT$7*DT$11,0)</f>
        <v/>
      </c>
      <c r="DU31" s="18">
        <f>IF(122&gt;=DeliverStart,ExpAdvertisingPerUnit*TotalUnits/12*DU$7*DU$11,0)</f>
        <v/>
      </c>
      <c r="DV31" s="18">
        <f>IF(123&gt;=DeliverStart,ExpAdvertisingPerUnit*TotalUnits/12*DV$7*DV$11,0)</f>
        <v/>
      </c>
      <c r="DW31" s="18">
        <f>IF(124&gt;=DeliverStart,ExpAdvertisingPerUnit*TotalUnits/12*DW$7*DW$11,0)</f>
        <v/>
      </c>
      <c r="DX31" s="18">
        <f>IF(125&gt;=DeliverStart,ExpAdvertisingPerUnit*TotalUnits/12*DX$7*DX$11,0)</f>
        <v/>
      </c>
      <c r="DY31" s="18">
        <f>IF(126&gt;=DeliverStart,ExpAdvertisingPerUnit*TotalUnits/12*DY$7*DY$11,0)</f>
        <v/>
      </c>
      <c r="DZ31" s="18">
        <f>IF(127&gt;=DeliverStart,ExpAdvertisingPerUnit*TotalUnits/12*DZ$7*DZ$11,0)</f>
        <v/>
      </c>
      <c r="EA31" s="18">
        <f>IF(128&gt;=DeliverStart,ExpAdvertisingPerUnit*TotalUnits/12*EA$7*EA$11,0)</f>
        <v/>
      </c>
      <c r="EB31" s="18">
        <f>IF(129&gt;=DeliverStart,ExpAdvertisingPerUnit*TotalUnits/12*EB$7*EB$11,0)</f>
        <v/>
      </c>
      <c r="EC31" s="18">
        <f>IF(130&gt;=DeliverStart,ExpAdvertisingPerUnit*TotalUnits/12*EC$7*EC$11,0)</f>
        <v/>
      </c>
      <c r="ED31" s="18">
        <f>IF(131&gt;=DeliverStart,ExpAdvertisingPerUnit*TotalUnits/12*ED$7*ED$11,0)</f>
        <v/>
      </c>
      <c r="EE31" s="18">
        <f>IF(132&gt;=DeliverStart,ExpAdvertisingPerUnit*TotalUnits/12*EE$7*EE$11,0)</f>
        <v/>
      </c>
      <c r="EF31" s="18">
        <f>IF(133&gt;=DeliverStart,ExpAdvertisingPerUnit*TotalUnits/12*EF$7*EF$11,0)</f>
        <v/>
      </c>
      <c r="EG31" s="18">
        <f>IF(134&gt;=DeliverStart,ExpAdvertisingPerUnit*TotalUnits/12*EG$7*EG$11,0)</f>
        <v/>
      </c>
      <c r="EH31" s="18">
        <f>IF(135&gt;=DeliverStart,ExpAdvertisingPerUnit*TotalUnits/12*EH$7*EH$11,0)</f>
        <v/>
      </c>
      <c r="EI31" s="18">
        <f>IF(136&gt;=DeliverStart,ExpAdvertisingPerUnit*TotalUnits/12*EI$7*EI$11,0)</f>
        <v/>
      </c>
      <c r="EJ31" s="18">
        <f>IF(137&gt;=DeliverStart,ExpAdvertisingPerUnit*TotalUnits/12*EJ$7*EJ$11,0)</f>
        <v/>
      </c>
      <c r="EK31" s="18">
        <f>IF(138&gt;=DeliverStart,ExpAdvertisingPerUnit*TotalUnits/12*EK$7*EK$11,0)</f>
        <v/>
      </c>
      <c r="EL31" s="18">
        <f>IF(139&gt;=DeliverStart,ExpAdvertisingPerUnit*TotalUnits/12*EL$7*EL$11,0)</f>
        <v/>
      </c>
      <c r="EM31" s="18">
        <f>IF(140&gt;=DeliverStart,ExpAdvertisingPerUnit*TotalUnits/12*EM$7*EM$11,0)</f>
        <v/>
      </c>
      <c r="EN31" s="18">
        <f>IF(141&gt;=DeliverStart,ExpAdvertisingPerUnit*TotalUnits/12*EN$7*EN$11,0)</f>
        <v/>
      </c>
      <c r="EO31" s="18">
        <f>IF(142&gt;=DeliverStart,ExpAdvertisingPerUnit*TotalUnits/12*EO$7*EO$11,0)</f>
        <v/>
      </c>
      <c r="EP31" s="18">
        <f>IF(143&gt;=DeliverStart,ExpAdvertisingPerUnit*TotalUnits/12*EP$7*EP$11,0)</f>
        <v/>
      </c>
      <c r="EQ31" s="18">
        <f>IF(144&gt;=DeliverStart,ExpAdvertisingPerUnit*TotalUnits/12*EQ$7*EQ$11,0)</f>
        <v/>
      </c>
      <c r="ER31" s="18">
        <f>IF(145&gt;=DeliverStart,ExpAdvertisingPerUnit*TotalUnits/12*ER$7*ER$11,0)</f>
        <v/>
      </c>
      <c r="ES31" s="18">
        <f>IF(146&gt;=DeliverStart,ExpAdvertisingPerUnit*TotalUnits/12*ES$7*ES$11,0)</f>
        <v/>
      </c>
      <c r="ET31" s="18">
        <f>IF(147&gt;=DeliverStart,ExpAdvertisingPerUnit*TotalUnits/12*ET$7*ET$11,0)</f>
        <v/>
      </c>
      <c r="EU31" s="18">
        <f>IF(148&gt;=DeliverStart,ExpAdvertisingPerUnit*TotalUnits/12*EU$7*EU$11,0)</f>
        <v/>
      </c>
      <c r="EV31" s="18">
        <f>IF(149&gt;=DeliverStart,ExpAdvertisingPerUnit*TotalUnits/12*EV$7*EV$11,0)</f>
        <v/>
      </c>
      <c r="EW31" s="18">
        <f>IF(150&gt;=DeliverStart,ExpAdvertisingPerUnit*TotalUnits/12*EW$7*EW$11,0)</f>
        <v/>
      </c>
      <c r="EX31" s="18">
        <f>IF(151&gt;=DeliverStart,ExpAdvertisingPerUnit*TotalUnits/12*EX$7*EX$11,0)</f>
        <v/>
      </c>
      <c r="EY31" s="18">
        <f>IF(152&gt;=DeliverStart,ExpAdvertisingPerUnit*TotalUnits/12*EY$7*EY$11,0)</f>
        <v/>
      </c>
      <c r="EZ31" s="18">
        <f>IF(153&gt;=DeliverStart,ExpAdvertisingPerUnit*TotalUnits/12*EZ$7*EZ$11,0)</f>
        <v/>
      </c>
      <c r="FA31" s="18">
        <f>IF(154&gt;=DeliverStart,ExpAdvertisingPerUnit*TotalUnits/12*FA$7*FA$11,0)</f>
        <v/>
      </c>
      <c r="FB31" s="18">
        <f>IF(155&gt;=DeliverStart,ExpAdvertisingPerUnit*TotalUnits/12*FB$7*FB$11,0)</f>
        <v/>
      </c>
      <c r="FC31" s="18">
        <f>IF(156&gt;=DeliverStart,ExpAdvertisingPerUnit*TotalUnits/12*FC$7*FC$11,0)</f>
        <v/>
      </c>
      <c r="FD31" s="18">
        <f>IF(157&gt;=DeliverStart,ExpAdvertisingPerUnit*TotalUnits/12*FD$7*FD$11,0)</f>
        <v/>
      </c>
      <c r="FE31" s="18">
        <f>IF(158&gt;=DeliverStart,ExpAdvertisingPerUnit*TotalUnits/12*FE$7*FE$11,0)</f>
        <v/>
      </c>
      <c r="FF31" s="18">
        <f>IF(159&gt;=DeliverStart,ExpAdvertisingPerUnit*TotalUnits/12*FF$7*FF$11,0)</f>
        <v/>
      </c>
      <c r="FG31" s="18">
        <f>IF(160&gt;=DeliverStart,ExpAdvertisingPerUnit*TotalUnits/12*FG$7*FG$11,0)</f>
        <v/>
      </c>
      <c r="FH31" s="18">
        <f>IF(161&gt;=DeliverStart,ExpAdvertisingPerUnit*TotalUnits/12*FH$7*FH$11,0)</f>
        <v/>
      </c>
      <c r="FI31" s="18">
        <f>IF(162&gt;=DeliverStart,ExpAdvertisingPerUnit*TotalUnits/12*FI$7*FI$11,0)</f>
        <v/>
      </c>
      <c r="FJ31" s="18">
        <f>IF(163&gt;=DeliverStart,ExpAdvertisingPerUnit*TotalUnits/12*FJ$7*FJ$11,0)</f>
        <v/>
      </c>
      <c r="FK31" s="18">
        <f>IF(164&gt;=DeliverStart,ExpAdvertisingPerUnit*TotalUnits/12*FK$7*FK$11,0)</f>
        <v/>
      </c>
      <c r="FL31" s="18">
        <f>IF(165&gt;=DeliverStart,ExpAdvertisingPerUnit*TotalUnits/12*FL$7*FL$11,0)</f>
        <v/>
      </c>
      <c r="FM31" s="18">
        <f>IF(166&gt;=DeliverStart,ExpAdvertisingPerUnit*TotalUnits/12*FM$7*FM$11,0)</f>
        <v/>
      </c>
      <c r="FN31" s="18">
        <f>IF(167&gt;=DeliverStart,ExpAdvertisingPerUnit*TotalUnits/12*FN$7*FN$11,0)</f>
        <v/>
      </c>
      <c r="FO31" s="18">
        <f>IF(168&gt;=DeliverStart,ExpAdvertisingPerUnit*TotalUnits/12*FO$7*FO$11,0)</f>
        <v/>
      </c>
      <c r="FP31" s="18">
        <f>IF(169&gt;=DeliverStart,ExpAdvertisingPerUnit*TotalUnits/12*FP$7*FP$11,0)</f>
        <v/>
      </c>
      <c r="FQ31" s="18">
        <f>IF(170&gt;=DeliverStart,ExpAdvertisingPerUnit*TotalUnits/12*FQ$7*FQ$11,0)</f>
        <v/>
      </c>
      <c r="FR31" s="18">
        <f>IF(171&gt;=DeliverStart,ExpAdvertisingPerUnit*TotalUnits/12*FR$7*FR$11,0)</f>
        <v/>
      </c>
      <c r="FS31" s="18">
        <f>IF(172&gt;=DeliverStart,ExpAdvertisingPerUnit*TotalUnits/12*FS$7*FS$11,0)</f>
        <v/>
      </c>
      <c r="FT31" s="18">
        <f>IF(173&gt;=DeliverStart,ExpAdvertisingPerUnit*TotalUnits/12*FT$7*FT$11,0)</f>
        <v/>
      </c>
      <c r="FU31" s="18">
        <f>IF(174&gt;=DeliverStart,ExpAdvertisingPerUnit*TotalUnits/12*FU$7*FU$11,0)</f>
        <v/>
      </c>
      <c r="FV31" s="18">
        <f>IF(175&gt;=DeliverStart,ExpAdvertisingPerUnit*TotalUnits/12*FV$7*FV$11,0)</f>
        <v/>
      </c>
      <c r="FW31" s="18">
        <f>IF(176&gt;=DeliverStart,ExpAdvertisingPerUnit*TotalUnits/12*FW$7*FW$11,0)</f>
        <v/>
      </c>
      <c r="FX31" s="18">
        <f>IF(177&gt;=DeliverStart,ExpAdvertisingPerUnit*TotalUnits/12*FX$7*FX$11,0)</f>
        <v/>
      </c>
      <c r="FY31" s="18">
        <f>IF(178&gt;=DeliverStart,ExpAdvertisingPerUnit*TotalUnits/12*FY$7*FY$11,0)</f>
        <v/>
      </c>
      <c r="FZ31" s="18">
        <f>IF(179&gt;=DeliverStart,ExpAdvertisingPerUnit*TotalUnits/12*FZ$7*FZ$11,0)</f>
        <v/>
      </c>
      <c r="GA31" s="18">
        <f>IF(180&gt;=DeliverStart,ExpAdvertisingPerUnit*TotalUnits/12*GA$7*GA$11,0)</f>
        <v/>
      </c>
      <c r="GB31" s="18">
        <f>IF(181&gt;=DeliverStart,ExpAdvertisingPerUnit*TotalUnits/12*GB$7*GB$11,0)</f>
        <v/>
      </c>
      <c r="GC31" s="18">
        <f>IF(182&gt;=DeliverStart,ExpAdvertisingPerUnit*TotalUnits/12*GC$7*GC$11,0)</f>
        <v/>
      </c>
      <c r="GD31" s="18">
        <f>IF(183&gt;=DeliverStart,ExpAdvertisingPerUnit*TotalUnits/12*GD$7*GD$11,0)</f>
        <v/>
      </c>
      <c r="GE31" s="18">
        <f>IF(184&gt;=DeliverStart,ExpAdvertisingPerUnit*TotalUnits/12*GE$7*GE$11,0)</f>
        <v/>
      </c>
      <c r="GF31" s="18">
        <f>IF(185&gt;=DeliverStart,ExpAdvertisingPerUnit*TotalUnits/12*GF$7*GF$11,0)</f>
        <v/>
      </c>
      <c r="GG31" s="18">
        <f>IF(186&gt;=DeliverStart,ExpAdvertisingPerUnit*TotalUnits/12*GG$7*GG$11,0)</f>
        <v/>
      </c>
      <c r="GH31" s="18">
        <f>IF(187&gt;=DeliverStart,ExpAdvertisingPerUnit*TotalUnits/12*GH$7*GH$11,0)</f>
        <v/>
      </c>
      <c r="GI31" s="18">
        <f>IF(188&gt;=DeliverStart,ExpAdvertisingPerUnit*TotalUnits/12*GI$7*GI$11,0)</f>
        <v/>
      </c>
      <c r="GJ31" s="18">
        <f>IF(189&gt;=DeliverStart,ExpAdvertisingPerUnit*TotalUnits/12*GJ$7*GJ$11,0)</f>
        <v/>
      </c>
      <c r="GK31" s="18">
        <f>IF(190&gt;=DeliverStart,ExpAdvertisingPerUnit*TotalUnits/12*GK$7*GK$11,0)</f>
        <v/>
      </c>
      <c r="GL31" s="18">
        <f>IF(191&gt;=DeliverStart,ExpAdvertisingPerUnit*TotalUnits/12*GL$7*GL$11,0)</f>
        <v/>
      </c>
      <c r="GM31" s="18">
        <f>IF(192&gt;=DeliverStart,ExpAdvertisingPerUnit*TotalUnits/12*GM$7*GM$11,0)</f>
        <v/>
      </c>
      <c r="GN31" s="18">
        <f>IF(193&gt;=DeliverStart,ExpAdvertisingPerUnit*TotalUnits/12*GN$7*GN$11,0)</f>
        <v/>
      </c>
      <c r="GO31" s="18">
        <f>IF(194&gt;=DeliverStart,ExpAdvertisingPerUnit*TotalUnits/12*GO$7*GO$11,0)</f>
        <v/>
      </c>
      <c r="GP31" s="18">
        <f>IF(195&gt;=DeliverStart,ExpAdvertisingPerUnit*TotalUnits/12*GP$7*GP$11,0)</f>
        <v/>
      </c>
      <c r="GQ31" s="18">
        <f>IF(196&gt;=DeliverStart,ExpAdvertisingPerUnit*TotalUnits/12*GQ$7*GQ$11,0)</f>
        <v/>
      </c>
      <c r="GR31" s="18">
        <f>IF(197&gt;=DeliverStart,ExpAdvertisingPerUnit*TotalUnits/12*GR$7*GR$11,0)</f>
        <v/>
      </c>
      <c r="GS31" s="18">
        <f>IF(198&gt;=DeliverStart,ExpAdvertisingPerUnit*TotalUnits/12*GS$7*GS$11,0)</f>
        <v/>
      </c>
      <c r="GT31" s="18">
        <f>IF(199&gt;=DeliverStart,ExpAdvertisingPerUnit*TotalUnits/12*GT$7*GT$11,0)</f>
        <v/>
      </c>
      <c r="GU31" s="18">
        <f>IF(200&gt;=DeliverStart,ExpAdvertisingPerUnit*TotalUnits/12*GU$7*GU$11,0)</f>
        <v/>
      </c>
      <c r="GV31" s="18">
        <f>IF(201&gt;=DeliverStart,ExpAdvertisingPerUnit*TotalUnits/12*GV$7*GV$11,0)</f>
        <v/>
      </c>
      <c r="GW31" s="18">
        <f>IF(202&gt;=DeliverStart,ExpAdvertisingPerUnit*TotalUnits/12*GW$7*GW$11,0)</f>
        <v/>
      </c>
      <c r="GX31" s="18">
        <f>IF(203&gt;=DeliverStart,ExpAdvertisingPerUnit*TotalUnits/12*GX$7*GX$11,0)</f>
        <v/>
      </c>
      <c r="GY31" s="18">
        <f>IF(204&gt;=DeliverStart,ExpAdvertisingPerUnit*TotalUnits/12*GY$7*GY$11,0)</f>
        <v/>
      </c>
      <c r="GZ31" s="18">
        <f>IF(205&gt;=DeliverStart,ExpAdvertisingPerUnit*TotalUnits/12*GZ$7*GZ$11,0)</f>
        <v/>
      </c>
      <c r="HA31" s="18">
        <f>IF(206&gt;=DeliverStart,ExpAdvertisingPerUnit*TotalUnits/12*HA$7*HA$11,0)</f>
        <v/>
      </c>
      <c r="HB31" s="18">
        <f>IF(207&gt;=DeliverStart,ExpAdvertisingPerUnit*TotalUnits/12*HB$7*HB$11,0)</f>
        <v/>
      </c>
      <c r="HC31" s="18">
        <f>IF(208&gt;=DeliverStart,ExpAdvertisingPerUnit*TotalUnits/12*HC$7*HC$11,0)</f>
        <v/>
      </c>
      <c r="HD31" s="18">
        <f>IF(209&gt;=DeliverStart,ExpAdvertisingPerUnit*TotalUnits/12*HD$7*HD$11,0)</f>
        <v/>
      </c>
      <c r="HE31" s="18">
        <f>IF(210&gt;=DeliverStart,ExpAdvertisingPerUnit*TotalUnits/12*HE$7*HE$11,0)</f>
        <v/>
      </c>
      <c r="HF31" s="18">
        <f>IF(211&gt;=DeliverStart,ExpAdvertisingPerUnit*TotalUnits/12*HF$7*HF$11,0)</f>
        <v/>
      </c>
      <c r="HG31" s="18">
        <f>IF(212&gt;=DeliverStart,ExpAdvertisingPerUnit*TotalUnits/12*HG$7*HG$11,0)</f>
        <v/>
      </c>
      <c r="HH31" s="18">
        <f>IF(213&gt;=DeliverStart,ExpAdvertisingPerUnit*TotalUnits/12*HH$7*HH$11,0)</f>
        <v/>
      </c>
      <c r="HI31" s="18">
        <f>IF(214&gt;=DeliverStart,ExpAdvertisingPerUnit*TotalUnits/12*HI$7*HI$11,0)</f>
        <v/>
      </c>
      <c r="HJ31" s="18">
        <f>IF(215&gt;=DeliverStart,ExpAdvertisingPerUnit*TotalUnits/12*HJ$7*HJ$11,0)</f>
        <v/>
      </c>
      <c r="HK31" s="18">
        <f>IF(216&gt;=DeliverStart,ExpAdvertisingPerUnit*TotalUnits/12*HK$7*HK$11,0)</f>
        <v/>
      </c>
      <c r="HL31" s="18">
        <f>IF(217&gt;=DeliverStart,ExpAdvertisingPerUnit*TotalUnits/12*HL$7*HL$11,0)</f>
        <v/>
      </c>
      <c r="HM31" s="18">
        <f>IF(218&gt;=DeliverStart,ExpAdvertisingPerUnit*TotalUnits/12*HM$7*HM$11,0)</f>
        <v/>
      </c>
      <c r="HN31" s="18">
        <f>IF(219&gt;=DeliverStart,ExpAdvertisingPerUnit*TotalUnits/12*HN$7*HN$11,0)</f>
        <v/>
      </c>
      <c r="HO31" s="18">
        <f>IF(220&gt;=DeliverStart,ExpAdvertisingPerUnit*TotalUnits/12*HO$7*HO$11,0)</f>
        <v/>
      </c>
      <c r="HP31" s="18">
        <f>IF(221&gt;=DeliverStart,ExpAdvertisingPerUnit*TotalUnits/12*HP$7*HP$11,0)</f>
        <v/>
      </c>
      <c r="HQ31" s="18">
        <f>IF(222&gt;=DeliverStart,ExpAdvertisingPerUnit*TotalUnits/12*HQ$7*HQ$11,0)</f>
        <v/>
      </c>
      <c r="HR31" s="18">
        <f>IF(223&gt;=DeliverStart,ExpAdvertisingPerUnit*TotalUnits/12*HR$7*HR$11,0)</f>
        <v/>
      </c>
      <c r="HS31" s="18">
        <f>IF(224&gt;=DeliverStart,ExpAdvertisingPerUnit*TotalUnits/12*HS$7*HS$11,0)</f>
        <v/>
      </c>
      <c r="HT31" s="18">
        <f>IF(225&gt;=DeliverStart,ExpAdvertisingPerUnit*TotalUnits/12*HT$7*HT$11,0)</f>
        <v/>
      </c>
      <c r="HU31" s="18">
        <f>IF(226&gt;=DeliverStart,ExpAdvertisingPerUnit*TotalUnits/12*HU$7*HU$11,0)</f>
        <v/>
      </c>
      <c r="HV31" s="18">
        <f>IF(227&gt;=DeliverStart,ExpAdvertisingPerUnit*TotalUnits/12*HV$7*HV$11,0)</f>
        <v/>
      </c>
      <c r="HW31" s="18">
        <f>IF(228&gt;=DeliverStart,ExpAdvertisingPerUnit*TotalUnits/12*HW$7*HW$11,0)</f>
        <v/>
      </c>
      <c r="HX31" s="18">
        <f>IF(229&gt;=DeliverStart,ExpAdvertisingPerUnit*TotalUnits/12*HX$7*HX$11,0)</f>
        <v/>
      </c>
      <c r="HY31" s="18">
        <f>IF(230&gt;=DeliverStart,ExpAdvertisingPerUnit*TotalUnits/12*HY$7*HY$11,0)</f>
        <v/>
      </c>
      <c r="HZ31" s="18">
        <f>IF(231&gt;=DeliverStart,ExpAdvertisingPerUnit*TotalUnits/12*HZ$7*HZ$11,0)</f>
        <v/>
      </c>
      <c r="IA31" s="18">
        <f>IF(232&gt;=DeliverStart,ExpAdvertisingPerUnit*TotalUnits/12*IA$7*IA$11,0)</f>
        <v/>
      </c>
      <c r="IB31" s="18">
        <f>IF(233&gt;=DeliverStart,ExpAdvertisingPerUnit*TotalUnits/12*IB$7*IB$11,0)</f>
        <v/>
      </c>
      <c r="IC31" s="18">
        <f>IF(234&gt;=DeliverStart,ExpAdvertisingPerUnit*TotalUnits/12*IC$7*IC$11,0)</f>
        <v/>
      </c>
      <c r="ID31" s="18">
        <f>IF(235&gt;=DeliverStart,ExpAdvertisingPerUnit*TotalUnits/12*ID$7*ID$11,0)</f>
        <v/>
      </c>
      <c r="IE31" s="18">
        <f>IF(236&gt;=DeliverStart,ExpAdvertisingPerUnit*TotalUnits/12*IE$7*IE$11,0)</f>
        <v/>
      </c>
      <c r="IF31" s="18">
        <f>IF(237&gt;=DeliverStart,ExpAdvertisingPerUnit*TotalUnits/12*IF$7*IF$11,0)</f>
        <v/>
      </c>
      <c r="IG31" s="18">
        <f>IF(238&gt;=DeliverStart,ExpAdvertisingPerUnit*TotalUnits/12*IG$7*IG$11,0)</f>
        <v/>
      </c>
      <c r="IH31" s="18">
        <f>IF(239&gt;=DeliverStart,ExpAdvertisingPerUnit*TotalUnits/12*IH$7*IH$11,0)</f>
        <v/>
      </c>
      <c r="II31" s="18">
        <f>IF(240&gt;=DeliverStart,ExpAdvertisingPerUnit*TotalUnits/12*II$7*II$11,0)</f>
        <v/>
      </c>
      <c r="IJ31" s="18">
        <f>IF(241&gt;=DeliverStart,ExpAdvertisingPerUnit*TotalUnits/12*IJ$7*IJ$11,0)</f>
        <v/>
      </c>
      <c r="IK31" s="18">
        <f>IF(242&gt;=DeliverStart,ExpAdvertisingPerUnit*TotalUnits/12*IK$7*IK$11,0)</f>
        <v/>
      </c>
      <c r="IL31" s="18">
        <f>IF(243&gt;=DeliverStart,ExpAdvertisingPerUnit*TotalUnits/12*IL$7*IL$11,0)</f>
        <v/>
      </c>
      <c r="IM31" s="18">
        <f>IF(244&gt;=DeliverStart,ExpAdvertisingPerUnit*TotalUnits/12*IM$7*IM$11,0)</f>
        <v/>
      </c>
      <c r="IN31" s="18">
        <f>IF(245&gt;=DeliverStart,ExpAdvertisingPerUnit*TotalUnits/12*IN$7*IN$11,0)</f>
        <v/>
      </c>
      <c r="IO31" s="18">
        <f>IF(246&gt;=DeliverStart,ExpAdvertisingPerUnit*TotalUnits/12*IO$7*IO$11,0)</f>
        <v/>
      </c>
      <c r="IP31" s="18">
        <f>IF(247&gt;=DeliverStart,ExpAdvertisingPerUnit*TotalUnits/12*IP$7*IP$11,0)</f>
        <v/>
      </c>
      <c r="IQ31" s="18">
        <f>IF(248&gt;=DeliverStart,ExpAdvertisingPerUnit*TotalUnits/12*IQ$7*IQ$11,0)</f>
        <v/>
      </c>
      <c r="IR31" s="18">
        <f>IF(249&gt;=DeliverStart,ExpAdvertisingPerUnit*TotalUnits/12*IR$7*IR$11,0)</f>
        <v/>
      </c>
      <c r="IS31" s="18">
        <f>IF(250&gt;=DeliverStart,ExpAdvertisingPerUnit*TotalUnits/12*IS$7*IS$11,0)</f>
        <v/>
      </c>
      <c r="IT31" s="18">
        <f>IF(251&gt;=DeliverStart,ExpAdvertisingPerUnit*TotalUnits/12*IT$7*IT$11,0)</f>
        <v/>
      </c>
      <c r="IU31" s="18">
        <f>IF(252&gt;=DeliverStart,ExpAdvertisingPerUnit*TotalUnits/12*IU$7*IU$11,0)</f>
        <v/>
      </c>
      <c r="IV31" s="18">
        <f>IF(253&gt;=DeliverStart,ExpAdvertisingPerUnit*TotalUnits/12*IV$7*IV$11,0)</f>
        <v/>
      </c>
      <c r="IW31" s="18">
        <f>IF(254&gt;=DeliverStart,ExpAdvertisingPerUnit*TotalUnits/12*IW$7*IW$11,0)</f>
        <v/>
      </c>
      <c r="IX31" s="18">
        <f>IF(255&gt;=DeliverStart,ExpAdvertisingPerUnit*TotalUnits/12*IX$7*IX$11,0)</f>
        <v/>
      </c>
      <c r="IY31" s="18">
        <f>IF(256&gt;=DeliverStart,ExpAdvertisingPerUnit*TotalUnits/12*IY$7*IY$11,0)</f>
        <v/>
      </c>
      <c r="IZ31" s="18">
        <f>IF(257&gt;=DeliverStart,ExpAdvertisingPerUnit*TotalUnits/12*IZ$7*IZ$11,0)</f>
        <v/>
      </c>
      <c r="JA31" s="18">
        <f>IF(258&gt;=DeliverStart,ExpAdvertisingPerUnit*TotalUnits/12*JA$7*JA$11,0)</f>
        <v/>
      </c>
      <c r="JB31" s="18">
        <f>IF(259&gt;=DeliverStart,ExpAdvertisingPerUnit*TotalUnits/12*JB$7*JB$11,0)</f>
        <v/>
      </c>
      <c r="JC31" s="18">
        <f>IF(260&gt;=DeliverStart,ExpAdvertisingPerUnit*TotalUnits/12*JC$7*JC$11,0)</f>
        <v/>
      </c>
      <c r="JD31" s="18">
        <f>IF(261&gt;=DeliverStart,ExpAdvertisingPerUnit*TotalUnits/12*JD$7*JD$11,0)</f>
        <v/>
      </c>
      <c r="JE31" s="18">
        <f>IF(262&gt;=DeliverStart,ExpAdvertisingPerUnit*TotalUnits/12*JE$7*JE$11,0)</f>
        <v/>
      </c>
      <c r="JF31" s="18">
        <f>IF(263&gt;=DeliverStart,ExpAdvertisingPerUnit*TotalUnits/12*JF$7*JF$11,0)</f>
        <v/>
      </c>
      <c r="JG31" s="18">
        <f>IF(264&gt;=DeliverStart,ExpAdvertisingPerUnit*TotalUnits/12*JG$7*JG$11,0)</f>
        <v/>
      </c>
      <c r="JH31" s="18">
        <f>IF(265&gt;=DeliverStart,ExpAdvertisingPerUnit*TotalUnits/12*JH$7*JH$11,0)</f>
        <v/>
      </c>
      <c r="JI31" s="18">
        <f>IF(266&gt;=DeliverStart,ExpAdvertisingPerUnit*TotalUnits/12*JI$7*JI$11,0)</f>
        <v/>
      </c>
      <c r="JJ31" s="18">
        <f>IF(267&gt;=DeliverStart,ExpAdvertisingPerUnit*TotalUnits/12*JJ$7*JJ$11,0)</f>
        <v/>
      </c>
      <c r="JK31" s="18">
        <f>IF(268&gt;=DeliverStart,ExpAdvertisingPerUnit*TotalUnits/12*JK$7*JK$11,0)</f>
        <v/>
      </c>
      <c r="JL31" s="18">
        <f>IF(269&gt;=DeliverStart,ExpAdvertisingPerUnit*TotalUnits/12*JL$7*JL$11,0)</f>
        <v/>
      </c>
      <c r="JM31" s="18">
        <f>IF(270&gt;=DeliverStart,ExpAdvertisingPerUnit*TotalUnits/12*JM$7*JM$11,0)</f>
        <v/>
      </c>
      <c r="JN31" s="18">
        <f>IF(271&gt;=DeliverStart,ExpAdvertisingPerUnit*TotalUnits/12*JN$7*JN$11,0)</f>
        <v/>
      </c>
      <c r="JO31" s="18">
        <f>IF(272&gt;=DeliverStart,ExpAdvertisingPerUnit*TotalUnits/12*JO$7*JO$11,0)</f>
        <v/>
      </c>
      <c r="JP31" s="18">
        <f>IF(273&gt;=DeliverStart,ExpAdvertisingPerUnit*TotalUnits/12*JP$7*JP$11,0)</f>
        <v/>
      </c>
      <c r="JQ31" s="18">
        <f>IF(274&gt;=DeliverStart,ExpAdvertisingPerUnit*TotalUnits/12*JQ$7*JQ$11,0)</f>
        <v/>
      </c>
      <c r="JR31" s="18">
        <f>IF(275&gt;=DeliverStart,ExpAdvertisingPerUnit*TotalUnits/12*JR$7*JR$11,0)</f>
        <v/>
      </c>
      <c r="JS31" s="18">
        <f>IF(276&gt;=DeliverStart,ExpAdvertisingPerUnit*TotalUnits/12*JS$7*JS$11,0)</f>
        <v/>
      </c>
      <c r="JT31" s="18">
        <f>IF(277&gt;=DeliverStart,ExpAdvertisingPerUnit*TotalUnits/12*JT$7*JT$11,0)</f>
        <v/>
      </c>
      <c r="JU31" s="18">
        <f>IF(278&gt;=DeliverStart,ExpAdvertisingPerUnit*TotalUnits/12*JU$7*JU$11,0)</f>
        <v/>
      </c>
      <c r="JV31" s="18">
        <f>IF(279&gt;=DeliverStart,ExpAdvertisingPerUnit*TotalUnits/12*JV$7*JV$11,0)</f>
        <v/>
      </c>
      <c r="JW31" s="18">
        <f>IF(280&gt;=DeliverStart,ExpAdvertisingPerUnit*TotalUnits/12*JW$7*JW$11,0)</f>
        <v/>
      </c>
      <c r="JX31" s="18">
        <f>IF(281&gt;=DeliverStart,ExpAdvertisingPerUnit*TotalUnits/12*JX$7*JX$11,0)</f>
        <v/>
      </c>
      <c r="JY31" s="18">
        <f>IF(282&gt;=DeliverStart,ExpAdvertisingPerUnit*TotalUnits/12*JY$7*JY$11,0)</f>
        <v/>
      </c>
      <c r="JZ31" s="18">
        <f>IF(283&gt;=DeliverStart,ExpAdvertisingPerUnit*TotalUnits/12*JZ$7*JZ$11,0)</f>
        <v/>
      </c>
      <c r="KA31" s="18">
        <f>IF(284&gt;=DeliverStart,ExpAdvertisingPerUnit*TotalUnits/12*KA$7*KA$11,0)</f>
        <v/>
      </c>
      <c r="KB31" s="18">
        <f>IF(285&gt;=DeliverStart,ExpAdvertisingPerUnit*TotalUnits/12*KB$7*KB$11,0)</f>
        <v/>
      </c>
      <c r="KC31" s="18">
        <f>IF(286&gt;=DeliverStart,ExpAdvertisingPerUnit*TotalUnits/12*KC$7*KC$11,0)</f>
        <v/>
      </c>
      <c r="KD31" s="18">
        <f>IF(287&gt;=DeliverStart,ExpAdvertisingPerUnit*TotalUnits/12*KD$7*KD$11,0)</f>
        <v/>
      </c>
      <c r="KE31" s="18">
        <f>IF(288&gt;=DeliverStart,ExpAdvertisingPerUnit*TotalUnits/12*KE$7*KE$11,0)</f>
        <v/>
      </c>
      <c r="KF31" s="18">
        <f>IF(289&gt;=DeliverStart,ExpAdvertisingPerUnit*TotalUnits/12*KF$7*KF$11,0)</f>
        <v/>
      </c>
      <c r="KG31" s="18">
        <f>IF(290&gt;=DeliverStart,ExpAdvertisingPerUnit*TotalUnits/12*KG$7*KG$11,0)</f>
        <v/>
      </c>
      <c r="KH31" s="18">
        <f>IF(291&gt;=DeliverStart,ExpAdvertisingPerUnit*TotalUnits/12*KH$7*KH$11,0)</f>
        <v/>
      </c>
      <c r="KI31" s="18">
        <f>IF(292&gt;=DeliverStart,ExpAdvertisingPerUnit*TotalUnits/12*KI$7*KI$11,0)</f>
        <v/>
      </c>
      <c r="KJ31" s="18">
        <f>IF(293&gt;=DeliverStart,ExpAdvertisingPerUnit*TotalUnits/12*KJ$7*KJ$11,0)</f>
        <v/>
      </c>
      <c r="KK31" s="18">
        <f>IF(294&gt;=DeliverStart,ExpAdvertisingPerUnit*TotalUnits/12*KK$7*KK$11,0)</f>
        <v/>
      </c>
      <c r="KL31" s="18">
        <f>IF(295&gt;=DeliverStart,ExpAdvertisingPerUnit*TotalUnits/12*KL$7*KL$11,0)</f>
        <v/>
      </c>
      <c r="KM31" s="18">
        <f>IF(296&gt;=DeliverStart,ExpAdvertisingPerUnit*TotalUnits/12*KM$7*KM$11,0)</f>
        <v/>
      </c>
      <c r="KN31" s="18">
        <f>IF(297&gt;=DeliverStart,ExpAdvertisingPerUnit*TotalUnits/12*KN$7*KN$11,0)</f>
        <v/>
      </c>
      <c r="KO31" s="18">
        <f>IF(298&gt;=DeliverStart,ExpAdvertisingPerUnit*TotalUnits/12*KO$7*KO$11,0)</f>
        <v/>
      </c>
      <c r="KP31" s="18">
        <f>IF(299&gt;=DeliverStart,ExpAdvertisingPerUnit*TotalUnits/12*KP$7*KP$11,0)</f>
        <v/>
      </c>
      <c r="KQ31" s="18">
        <f>IF(300&gt;=DeliverStart,ExpAdvertisingPerUnit*TotalUnits/12*KQ$7*KQ$11,0)</f>
        <v/>
      </c>
      <c r="KR31" s="18">
        <f>IF(301&gt;=DeliverStart,ExpAdvertisingPerUnit*TotalUnits/12*KR$7*KR$11,0)</f>
        <v/>
      </c>
      <c r="KS31" s="18">
        <f>IF(302&gt;=DeliverStart,ExpAdvertisingPerUnit*TotalUnits/12*KS$7*KS$11,0)</f>
        <v/>
      </c>
      <c r="KT31" s="18">
        <f>IF(303&gt;=DeliverStart,ExpAdvertisingPerUnit*TotalUnits/12*KT$7*KT$11,0)</f>
        <v/>
      </c>
      <c r="KU31" s="18">
        <f>IF(304&gt;=DeliverStart,ExpAdvertisingPerUnit*TotalUnits/12*KU$7*KU$11,0)</f>
        <v/>
      </c>
      <c r="KV31" s="18">
        <f>IF(305&gt;=DeliverStart,ExpAdvertisingPerUnit*TotalUnits/12*KV$7*KV$11,0)</f>
        <v/>
      </c>
      <c r="KW31" s="18">
        <f>IF(306&gt;=DeliverStart,ExpAdvertisingPerUnit*TotalUnits/12*KW$7*KW$11,0)</f>
        <v/>
      </c>
      <c r="KX31" s="18">
        <f>IF(307&gt;=DeliverStart,ExpAdvertisingPerUnit*TotalUnits/12*KX$7*KX$11,0)</f>
        <v/>
      </c>
      <c r="KY31" s="18">
        <f>IF(308&gt;=DeliverStart,ExpAdvertisingPerUnit*TotalUnits/12*KY$7*KY$11,0)</f>
        <v/>
      </c>
      <c r="KZ31" s="18">
        <f>IF(309&gt;=DeliverStart,ExpAdvertisingPerUnit*TotalUnits/12*KZ$7*KZ$11,0)</f>
        <v/>
      </c>
      <c r="LA31" s="18">
        <f>IF(310&gt;=DeliverStart,ExpAdvertisingPerUnit*TotalUnits/12*LA$7*LA$11,0)</f>
        <v/>
      </c>
      <c r="LB31" s="18">
        <f>IF(311&gt;=DeliverStart,ExpAdvertisingPerUnit*TotalUnits/12*LB$7*LB$11,0)</f>
        <v/>
      </c>
      <c r="LC31" s="18">
        <f>IF(312&gt;=DeliverStart,ExpAdvertisingPerUnit*TotalUnits/12*LC$7*LC$11,0)</f>
        <v/>
      </c>
      <c r="LD31" s="18">
        <f>IF(313&gt;=DeliverStart,ExpAdvertisingPerUnit*TotalUnits/12*LD$7*LD$11,0)</f>
        <v/>
      </c>
      <c r="LE31" s="18">
        <f>IF(314&gt;=DeliverStart,ExpAdvertisingPerUnit*TotalUnits/12*LE$7*LE$11,0)</f>
        <v/>
      </c>
      <c r="LF31" s="18">
        <f>IF(315&gt;=DeliverStart,ExpAdvertisingPerUnit*TotalUnits/12*LF$7*LF$11,0)</f>
        <v/>
      </c>
      <c r="LG31" s="18">
        <f>IF(316&gt;=DeliverStart,ExpAdvertisingPerUnit*TotalUnits/12*LG$7*LG$11,0)</f>
        <v/>
      </c>
      <c r="LH31" s="18">
        <f>IF(317&gt;=DeliverStart,ExpAdvertisingPerUnit*TotalUnits/12*LH$7*LH$11,0)</f>
        <v/>
      </c>
      <c r="LI31" s="18">
        <f>IF(318&gt;=DeliverStart,ExpAdvertisingPerUnit*TotalUnits/12*LI$7*LI$11,0)</f>
        <v/>
      </c>
      <c r="LJ31" s="18">
        <f>IF(319&gt;=DeliverStart,ExpAdvertisingPerUnit*TotalUnits/12*LJ$7*LJ$11,0)</f>
        <v/>
      </c>
      <c r="LK31" s="18">
        <f>IF(320&gt;=DeliverStart,ExpAdvertisingPerUnit*TotalUnits/12*LK$7*LK$11,0)</f>
        <v/>
      </c>
      <c r="LL31" s="18">
        <f>IF(321&gt;=DeliverStart,ExpAdvertisingPerUnit*TotalUnits/12*LL$7*LL$11,0)</f>
        <v/>
      </c>
      <c r="LM31" s="18">
        <f>IF(322&gt;=DeliverStart,ExpAdvertisingPerUnit*TotalUnits/12*LM$7*LM$11,0)</f>
        <v/>
      </c>
      <c r="LN31" s="18">
        <f>IF(323&gt;=DeliverStart,ExpAdvertisingPerUnit*TotalUnits/12*LN$7*LN$11,0)</f>
        <v/>
      </c>
      <c r="LO31" s="18">
        <f>IF(324&gt;=DeliverStart,ExpAdvertisingPerUnit*TotalUnits/12*LO$7*LO$11,0)</f>
        <v/>
      </c>
      <c r="LP31" s="18">
        <f>IF(325&gt;=DeliverStart,ExpAdvertisingPerUnit*TotalUnits/12*LP$7*LP$11,0)</f>
        <v/>
      </c>
      <c r="LQ31" s="18">
        <f>IF(326&gt;=DeliverStart,ExpAdvertisingPerUnit*TotalUnits/12*LQ$7*LQ$11,0)</f>
        <v/>
      </c>
      <c r="LR31" s="18">
        <f>IF(327&gt;=DeliverStart,ExpAdvertisingPerUnit*TotalUnits/12*LR$7*LR$11,0)</f>
        <v/>
      </c>
      <c r="LS31" s="18">
        <f>IF(328&gt;=DeliverStart,ExpAdvertisingPerUnit*TotalUnits/12*LS$7*LS$11,0)</f>
        <v/>
      </c>
      <c r="LT31" s="18">
        <f>IF(329&gt;=DeliverStart,ExpAdvertisingPerUnit*TotalUnits/12*LT$7*LT$11,0)</f>
        <v/>
      </c>
      <c r="LU31" s="18">
        <f>IF(330&gt;=DeliverStart,ExpAdvertisingPerUnit*TotalUnits/12*LU$7*LU$11,0)</f>
        <v/>
      </c>
      <c r="LV31" s="18">
        <f>IF(331&gt;=DeliverStart,ExpAdvertisingPerUnit*TotalUnits/12*LV$7*LV$11,0)</f>
        <v/>
      </c>
      <c r="LW31" s="18">
        <f>IF(332&gt;=DeliverStart,ExpAdvertisingPerUnit*TotalUnits/12*LW$7*LW$11,0)</f>
        <v/>
      </c>
      <c r="LX31" s="18">
        <f>IF(333&gt;=DeliverStart,ExpAdvertisingPerUnit*TotalUnits/12*LX$7*LX$11,0)</f>
        <v/>
      </c>
      <c r="LY31" s="18">
        <f>IF(334&gt;=DeliverStart,ExpAdvertisingPerUnit*TotalUnits/12*LY$7*LY$11,0)</f>
        <v/>
      </c>
      <c r="LZ31" s="18">
        <f>IF(335&gt;=DeliverStart,ExpAdvertisingPerUnit*TotalUnits/12*LZ$7*LZ$11,0)</f>
        <v/>
      </c>
      <c r="MA31" s="18">
        <f>IF(336&gt;=DeliverStart,ExpAdvertisingPerUnit*TotalUnits/12*MA$7*MA$11,0)</f>
        <v/>
      </c>
      <c r="MB31" s="18">
        <f>IF(337&gt;=DeliverStart,ExpAdvertisingPerUnit*TotalUnits/12*MB$7*MB$11,0)</f>
        <v/>
      </c>
      <c r="MC31" s="18">
        <f>IF(338&gt;=DeliverStart,ExpAdvertisingPerUnit*TotalUnits/12*MC$7*MC$11,0)</f>
        <v/>
      </c>
      <c r="MD31" s="18">
        <f>IF(339&gt;=DeliverStart,ExpAdvertisingPerUnit*TotalUnits/12*MD$7*MD$11,0)</f>
        <v/>
      </c>
      <c r="ME31" s="18">
        <f>IF(340&gt;=DeliverStart,ExpAdvertisingPerUnit*TotalUnits/12*ME$7*ME$11,0)</f>
        <v/>
      </c>
      <c r="MF31" s="18">
        <f>IF(341&gt;=DeliverStart,ExpAdvertisingPerUnit*TotalUnits/12*MF$7*MF$11,0)</f>
        <v/>
      </c>
      <c r="MG31" s="18">
        <f>IF(342&gt;=DeliverStart,ExpAdvertisingPerUnit*TotalUnits/12*MG$7*MG$11,0)</f>
        <v/>
      </c>
      <c r="MH31" s="18">
        <f>IF(343&gt;=DeliverStart,ExpAdvertisingPerUnit*TotalUnits/12*MH$7*MH$11,0)</f>
        <v/>
      </c>
      <c r="MI31" s="18">
        <f>IF(344&gt;=DeliverStart,ExpAdvertisingPerUnit*TotalUnits/12*MI$7*MI$11,0)</f>
        <v/>
      </c>
      <c r="MJ31" s="18">
        <f>IF(345&gt;=DeliverStart,ExpAdvertisingPerUnit*TotalUnits/12*MJ$7*MJ$11,0)</f>
        <v/>
      </c>
      <c r="MK31" s="18">
        <f>IF(346&gt;=DeliverStart,ExpAdvertisingPerUnit*TotalUnits/12*MK$7*MK$11,0)</f>
        <v/>
      </c>
      <c r="ML31" s="18">
        <f>IF(347&gt;=DeliverStart,ExpAdvertisingPerUnit*TotalUnits/12*ML$7*ML$11,0)</f>
        <v/>
      </c>
      <c r="MM31" s="18">
        <f>IF(348&gt;=DeliverStart,ExpAdvertisingPerUnit*TotalUnits/12*MM$7*MM$11,0)</f>
        <v/>
      </c>
      <c r="MN31" s="18">
        <f>IF(349&gt;=DeliverStart,ExpAdvertisingPerUnit*TotalUnits/12*MN$7*MN$11,0)</f>
        <v/>
      </c>
      <c r="MO31" s="18">
        <f>IF(350&gt;=DeliverStart,ExpAdvertisingPerUnit*TotalUnits/12*MO$7*MO$11,0)</f>
        <v/>
      </c>
      <c r="MP31" s="18">
        <f>IF(351&gt;=DeliverStart,ExpAdvertisingPerUnit*TotalUnits/12*MP$7*MP$11,0)</f>
        <v/>
      </c>
      <c r="MQ31" s="18">
        <f>IF(352&gt;=DeliverStart,ExpAdvertisingPerUnit*TotalUnits/12*MQ$7*MQ$11,0)</f>
        <v/>
      </c>
      <c r="MR31" s="18">
        <f>IF(353&gt;=DeliverStart,ExpAdvertisingPerUnit*TotalUnits/12*MR$7*MR$11,0)</f>
        <v/>
      </c>
      <c r="MS31" s="18">
        <f>IF(354&gt;=DeliverStart,ExpAdvertisingPerUnit*TotalUnits/12*MS$7*MS$11,0)</f>
        <v/>
      </c>
      <c r="MT31" s="18">
        <f>IF(355&gt;=DeliverStart,ExpAdvertisingPerUnit*TotalUnits/12*MT$7*MT$11,0)</f>
        <v/>
      </c>
      <c r="MU31" s="18">
        <f>IF(356&gt;=DeliverStart,ExpAdvertisingPerUnit*TotalUnits/12*MU$7*MU$11,0)</f>
        <v/>
      </c>
      <c r="MV31" s="18">
        <f>IF(357&gt;=DeliverStart,ExpAdvertisingPerUnit*TotalUnits/12*MV$7*MV$11,0)</f>
        <v/>
      </c>
      <c r="MW31" s="18">
        <f>IF(358&gt;=DeliverStart,ExpAdvertisingPerUnit*TotalUnits/12*MW$7*MW$11,0)</f>
        <v/>
      </c>
      <c r="MX31" s="18">
        <f>IF(359&gt;=DeliverStart,ExpAdvertisingPerUnit*TotalUnits/12*MX$7*MX$11,0)</f>
        <v/>
      </c>
      <c r="MY31" s="18">
        <f>IF(360&gt;=DeliverStart,ExpAdvertisingPerUnit*TotalUnits/12*MY$7*MY$11,0)</f>
        <v/>
      </c>
      <c r="MZ31" s="18">
        <f>IF(361&gt;=DeliverStart,ExpAdvertisingPerUnit*TotalUnits/12*MZ$7*MZ$11,0)</f>
        <v/>
      </c>
      <c r="NA31" s="18">
        <f>IF(362&gt;=DeliverStart,ExpAdvertisingPerUnit*TotalUnits/12*NA$7*NA$11,0)</f>
        <v/>
      </c>
      <c r="NB31" s="18">
        <f>IF(363&gt;=DeliverStart,ExpAdvertisingPerUnit*TotalUnits/12*NB$7*NB$11,0)</f>
        <v/>
      </c>
      <c r="NC31" s="18">
        <f>IF(364&gt;=DeliverStart,ExpAdvertisingPerUnit*TotalUnits/12*NC$7*NC$11,0)</f>
        <v/>
      </c>
      <c r="ND31" s="18">
        <f>IF(365&gt;=DeliverStart,ExpAdvertisingPerUnit*TotalUnits/12*ND$7*ND$11,0)</f>
        <v/>
      </c>
      <c r="NE31" s="18">
        <f>IF(366&gt;=DeliverStart,ExpAdvertisingPerUnit*TotalUnits/12*NE$7*NE$11,0)</f>
        <v/>
      </c>
      <c r="NF31" s="18">
        <f>IF(367&gt;=DeliverStart,ExpAdvertisingPerUnit*TotalUnits/12*NF$7*NF$11,0)</f>
        <v/>
      </c>
      <c r="NG31" s="18">
        <f>IF(368&gt;=DeliverStart,ExpAdvertisingPerUnit*TotalUnits/12*NG$7*NG$11,0)</f>
        <v/>
      </c>
      <c r="NH31" s="18">
        <f>IF(369&gt;=DeliverStart,ExpAdvertisingPerUnit*TotalUnits/12*NH$7*NH$11,0)</f>
        <v/>
      </c>
      <c r="NI31" s="18">
        <f>IF(370&gt;=DeliverStart,ExpAdvertisingPerUnit*TotalUnits/12*NI$7*NI$11,0)</f>
        <v/>
      </c>
      <c r="NJ31" s="18">
        <f>IF(371&gt;=DeliverStart,ExpAdvertisingPerUnit*TotalUnits/12*NJ$7*NJ$11,0)</f>
        <v/>
      </c>
      <c r="NK31" s="18">
        <f>IF(372&gt;=DeliverStart,ExpAdvertisingPerUnit*TotalUnits/12*NK$7*NK$11,0)</f>
        <v/>
      </c>
    </row>
    <row r="32">
      <c r="A32" s="5" t="inlineStr">
        <is>
          <t>Management Fee</t>
        </is>
      </c>
      <c r="C32" s="41">
        <f>SUM(D32:NK32)</f>
        <v/>
      </c>
      <c r="D32" s="18">
        <f>IF(1&gt;=DeliverStart,MgmtFeePct*D$22,0)</f>
        <v/>
      </c>
      <c r="E32" s="18">
        <f>IF(2&gt;=DeliverStart,MgmtFeePct*E$22,0)</f>
        <v/>
      </c>
      <c r="F32" s="18">
        <f>IF(3&gt;=DeliverStart,MgmtFeePct*F$22,0)</f>
        <v/>
      </c>
      <c r="G32" s="18">
        <f>IF(4&gt;=DeliverStart,MgmtFeePct*G$22,0)</f>
        <v/>
      </c>
      <c r="H32" s="18">
        <f>IF(5&gt;=DeliverStart,MgmtFeePct*H$22,0)</f>
        <v/>
      </c>
      <c r="I32" s="18">
        <f>IF(6&gt;=DeliverStart,MgmtFeePct*I$22,0)</f>
        <v/>
      </c>
      <c r="J32" s="18">
        <f>IF(7&gt;=DeliverStart,MgmtFeePct*J$22,0)</f>
        <v/>
      </c>
      <c r="K32" s="18">
        <f>IF(8&gt;=DeliverStart,MgmtFeePct*K$22,0)</f>
        <v/>
      </c>
      <c r="L32" s="18">
        <f>IF(9&gt;=DeliverStart,MgmtFeePct*L$22,0)</f>
        <v/>
      </c>
      <c r="M32" s="18">
        <f>IF(10&gt;=DeliverStart,MgmtFeePct*M$22,0)</f>
        <v/>
      </c>
      <c r="N32" s="18">
        <f>IF(11&gt;=DeliverStart,MgmtFeePct*N$22,0)</f>
        <v/>
      </c>
      <c r="O32" s="18">
        <f>IF(12&gt;=DeliverStart,MgmtFeePct*O$22,0)</f>
        <v/>
      </c>
      <c r="P32" s="18">
        <f>IF(13&gt;=DeliverStart,MgmtFeePct*P$22,0)</f>
        <v/>
      </c>
      <c r="Q32" s="18">
        <f>IF(14&gt;=DeliverStart,MgmtFeePct*Q$22,0)</f>
        <v/>
      </c>
      <c r="R32" s="18">
        <f>IF(15&gt;=DeliverStart,MgmtFeePct*R$22,0)</f>
        <v/>
      </c>
      <c r="S32" s="18">
        <f>IF(16&gt;=DeliverStart,MgmtFeePct*S$22,0)</f>
        <v/>
      </c>
      <c r="T32" s="18">
        <f>IF(17&gt;=DeliverStart,MgmtFeePct*T$22,0)</f>
        <v/>
      </c>
      <c r="U32" s="18">
        <f>IF(18&gt;=DeliverStart,MgmtFeePct*U$22,0)</f>
        <v/>
      </c>
      <c r="V32" s="18">
        <f>IF(19&gt;=DeliverStart,MgmtFeePct*V$22,0)</f>
        <v/>
      </c>
      <c r="W32" s="18">
        <f>IF(20&gt;=DeliverStart,MgmtFeePct*W$22,0)</f>
        <v/>
      </c>
      <c r="X32" s="18">
        <f>IF(21&gt;=DeliverStart,MgmtFeePct*X$22,0)</f>
        <v/>
      </c>
      <c r="Y32" s="18">
        <f>IF(22&gt;=DeliverStart,MgmtFeePct*Y$22,0)</f>
        <v/>
      </c>
      <c r="Z32" s="18">
        <f>IF(23&gt;=DeliverStart,MgmtFeePct*Z$22,0)</f>
        <v/>
      </c>
      <c r="AA32" s="18">
        <f>IF(24&gt;=DeliverStart,MgmtFeePct*AA$22,0)</f>
        <v/>
      </c>
      <c r="AB32" s="18">
        <f>IF(25&gt;=DeliverStart,MgmtFeePct*AB$22,0)</f>
        <v/>
      </c>
      <c r="AC32" s="18">
        <f>IF(26&gt;=DeliverStart,MgmtFeePct*AC$22,0)</f>
        <v/>
      </c>
      <c r="AD32" s="18">
        <f>IF(27&gt;=DeliverStart,MgmtFeePct*AD$22,0)</f>
        <v/>
      </c>
      <c r="AE32" s="18">
        <f>IF(28&gt;=DeliverStart,MgmtFeePct*AE$22,0)</f>
        <v/>
      </c>
      <c r="AF32" s="18">
        <f>IF(29&gt;=DeliverStart,MgmtFeePct*AF$22,0)</f>
        <v/>
      </c>
      <c r="AG32" s="18">
        <f>IF(30&gt;=DeliverStart,MgmtFeePct*AG$22,0)</f>
        <v/>
      </c>
      <c r="AH32" s="18">
        <f>IF(31&gt;=DeliverStart,MgmtFeePct*AH$22,0)</f>
        <v/>
      </c>
      <c r="AI32" s="18">
        <f>IF(32&gt;=DeliverStart,MgmtFeePct*AI$22,0)</f>
        <v/>
      </c>
      <c r="AJ32" s="18">
        <f>IF(33&gt;=DeliverStart,MgmtFeePct*AJ$22,0)</f>
        <v/>
      </c>
      <c r="AK32" s="18">
        <f>IF(34&gt;=DeliverStart,MgmtFeePct*AK$22,0)</f>
        <v/>
      </c>
      <c r="AL32" s="18">
        <f>IF(35&gt;=DeliverStart,MgmtFeePct*AL$22,0)</f>
        <v/>
      </c>
      <c r="AM32" s="18">
        <f>IF(36&gt;=DeliverStart,MgmtFeePct*AM$22,0)</f>
        <v/>
      </c>
      <c r="AN32" s="18">
        <f>IF(37&gt;=DeliverStart,MgmtFeePct*AN$22,0)</f>
        <v/>
      </c>
      <c r="AO32" s="18">
        <f>IF(38&gt;=DeliverStart,MgmtFeePct*AO$22,0)</f>
        <v/>
      </c>
      <c r="AP32" s="18">
        <f>IF(39&gt;=DeliverStart,MgmtFeePct*AP$22,0)</f>
        <v/>
      </c>
      <c r="AQ32" s="18">
        <f>IF(40&gt;=DeliverStart,MgmtFeePct*AQ$22,0)</f>
        <v/>
      </c>
      <c r="AR32" s="18">
        <f>IF(41&gt;=DeliverStart,MgmtFeePct*AR$22,0)</f>
        <v/>
      </c>
      <c r="AS32" s="18">
        <f>IF(42&gt;=DeliverStart,MgmtFeePct*AS$22,0)</f>
        <v/>
      </c>
      <c r="AT32" s="18">
        <f>IF(43&gt;=DeliverStart,MgmtFeePct*AT$22,0)</f>
        <v/>
      </c>
      <c r="AU32" s="18">
        <f>IF(44&gt;=DeliverStart,MgmtFeePct*AU$22,0)</f>
        <v/>
      </c>
      <c r="AV32" s="18">
        <f>IF(45&gt;=DeliverStart,MgmtFeePct*AV$22,0)</f>
        <v/>
      </c>
      <c r="AW32" s="18">
        <f>IF(46&gt;=DeliverStart,MgmtFeePct*AW$22,0)</f>
        <v/>
      </c>
      <c r="AX32" s="18">
        <f>IF(47&gt;=DeliverStart,MgmtFeePct*AX$22,0)</f>
        <v/>
      </c>
      <c r="AY32" s="18">
        <f>IF(48&gt;=DeliverStart,MgmtFeePct*AY$22,0)</f>
        <v/>
      </c>
      <c r="AZ32" s="18">
        <f>IF(49&gt;=DeliverStart,MgmtFeePct*AZ$22,0)</f>
        <v/>
      </c>
      <c r="BA32" s="18">
        <f>IF(50&gt;=DeliverStart,MgmtFeePct*BA$22,0)</f>
        <v/>
      </c>
      <c r="BB32" s="18">
        <f>IF(51&gt;=DeliverStart,MgmtFeePct*BB$22,0)</f>
        <v/>
      </c>
      <c r="BC32" s="18">
        <f>IF(52&gt;=DeliverStart,MgmtFeePct*BC$22,0)</f>
        <v/>
      </c>
      <c r="BD32" s="18">
        <f>IF(53&gt;=DeliverStart,MgmtFeePct*BD$22,0)</f>
        <v/>
      </c>
      <c r="BE32" s="18">
        <f>IF(54&gt;=DeliverStart,MgmtFeePct*BE$22,0)</f>
        <v/>
      </c>
      <c r="BF32" s="18">
        <f>IF(55&gt;=DeliverStart,MgmtFeePct*BF$22,0)</f>
        <v/>
      </c>
      <c r="BG32" s="18">
        <f>IF(56&gt;=DeliverStart,MgmtFeePct*BG$22,0)</f>
        <v/>
      </c>
      <c r="BH32" s="18">
        <f>IF(57&gt;=DeliverStart,MgmtFeePct*BH$22,0)</f>
        <v/>
      </c>
      <c r="BI32" s="18">
        <f>IF(58&gt;=DeliverStart,MgmtFeePct*BI$22,0)</f>
        <v/>
      </c>
      <c r="BJ32" s="18">
        <f>IF(59&gt;=DeliverStart,MgmtFeePct*BJ$22,0)</f>
        <v/>
      </c>
      <c r="BK32" s="18">
        <f>IF(60&gt;=DeliverStart,MgmtFeePct*BK$22,0)</f>
        <v/>
      </c>
      <c r="BL32" s="18">
        <f>IF(61&gt;=DeliverStart,MgmtFeePct*BL$22,0)</f>
        <v/>
      </c>
      <c r="BM32" s="18">
        <f>IF(62&gt;=DeliverStart,MgmtFeePct*BM$22,0)</f>
        <v/>
      </c>
      <c r="BN32" s="18">
        <f>IF(63&gt;=DeliverStart,MgmtFeePct*BN$22,0)</f>
        <v/>
      </c>
      <c r="BO32" s="18">
        <f>IF(64&gt;=DeliverStart,MgmtFeePct*BO$22,0)</f>
        <v/>
      </c>
      <c r="BP32" s="18">
        <f>IF(65&gt;=DeliverStart,MgmtFeePct*BP$22,0)</f>
        <v/>
      </c>
      <c r="BQ32" s="18">
        <f>IF(66&gt;=DeliverStart,MgmtFeePct*BQ$22,0)</f>
        <v/>
      </c>
      <c r="BR32" s="18">
        <f>IF(67&gt;=DeliverStart,MgmtFeePct*BR$22,0)</f>
        <v/>
      </c>
      <c r="BS32" s="18">
        <f>IF(68&gt;=DeliverStart,MgmtFeePct*BS$22,0)</f>
        <v/>
      </c>
      <c r="BT32" s="18">
        <f>IF(69&gt;=DeliverStart,MgmtFeePct*BT$22,0)</f>
        <v/>
      </c>
      <c r="BU32" s="18">
        <f>IF(70&gt;=DeliverStart,MgmtFeePct*BU$22,0)</f>
        <v/>
      </c>
      <c r="BV32" s="18">
        <f>IF(71&gt;=DeliverStart,MgmtFeePct*BV$22,0)</f>
        <v/>
      </c>
      <c r="BW32" s="18">
        <f>IF(72&gt;=DeliverStart,MgmtFeePct*BW$22,0)</f>
        <v/>
      </c>
      <c r="BX32" s="18">
        <f>IF(73&gt;=DeliverStart,MgmtFeePct*BX$22,0)</f>
        <v/>
      </c>
      <c r="BY32" s="18">
        <f>IF(74&gt;=DeliverStart,MgmtFeePct*BY$22,0)</f>
        <v/>
      </c>
      <c r="BZ32" s="18">
        <f>IF(75&gt;=DeliverStart,MgmtFeePct*BZ$22,0)</f>
        <v/>
      </c>
      <c r="CA32" s="18">
        <f>IF(76&gt;=DeliverStart,MgmtFeePct*CA$22,0)</f>
        <v/>
      </c>
      <c r="CB32" s="18">
        <f>IF(77&gt;=DeliverStart,MgmtFeePct*CB$22,0)</f>
        <v/>
      </c>
      <c r="CC32" s="18">
        <f>IF(78&gt;=DeliverStart,MgmtFeePct*CC$22,0)</f>
        <v/>
      </c>
      <c r="CD32" s="18">
        <f>IF(79&gt;=DeliverStart,MgmtFeePct*CD$22,0)</f>
        <v/>
      </c>
      <c r="CE32" s="18">
        <f>IF(80&gt;=DeliverStart,MgmtFeePct*CE$22,0)</f>
        <v/>
      </c>
      <c r="CF32" s="18">
        <f>IF(81&gt;=DeliverStart,MgmtFeePct*CF$22,0)</f>
        <v/>
      </c>
      <c r="CG32" s="18">
        <f>IF(82&gt;=DeliverStart,MgmtFeePct*CG$22,0)</f>
        <v/>
      </c>
      <c r="CH32" s="18">
        <f>IF(83&gt;=DeliverStart,MgmtFeePct*CH$22,0)</f>
        <v/>
      </c>
      <c r="CI32" s="18">
        <f>IF(84&gt;=DeliverStart,MgmtFeePct*CI$22,0)</f>
        <v/>
      </c>
      <c r="CJ32" s="18">
        <f>IF(85&gt;=DeliverStart,MgmtFeePct*CJ$22,0)</f>
        <v/>
      </c>
      <c r="CK32" s="18">
        <f>IF(86&gt;=DeliverStart,MgmtFeePct*CK$22,0)</f>
        <v/>
      </c>
      <c r="CL32" s="18">
        <f>IF(87&gt;=DeliverStart,MgmtFeePct*CL$22,0)</f>
        <v/>
      </c>
      <c r="CM32" s="18">
        <f>IF(88&gt;=DeliverStart,MgmtFeePct*CM$22,0)</f>
        <v/>
      </c>
      <c r="CN32" s="18">
        <f>IF(89&gt;=DeliverStart,MgmtFeePct*CN$22,0)</f>
        <v/>
      </c>
      <c r="CO32" s="18">
        <f>IF(90&gt;=DeliverStart,MgmtFeePct*CO$22,0)</f>
        <v/>
      </c>
      <c r="CP32" s="18">
        <f>IF(91&gt;=DeliverStart,MgmtFeePct*CP$22,0)</f>
        <v/>
      </c>
      <c r="CQ32" s="18">
        <f>IF(92&gt;=DeliverStart,MgmtFeePct*CQ$22,0)</f>
        <v/>
      </c>
      <c r="CR32" s="18">
        <f>IF(93&gt;=DeliverStart,MgmtFeePct*CR$22,0)</f>
        <v/>
      </c>
      <c r="CS32" s="18">
        <f>IF(94&gt;=DeliverStart,MgmtFeePct*CS$22,0)</f>
        <v/>
      </c>
      <c r="CT32" s="18">
        <f>IF(95&gt;=DeliverStart,MgmtFeePct*CT$22,0)</f>
        <v/>
      </c>
      <c r="CU32" s="18">
        <f>IF(96&gt;=DeliverStart,MgmtFeePct*CU$22,0)</f>
        <v/>
      </c>
      <c r="CV32" s="18">
        <f>IF(97&gt;=DeliverStart,MgmtFeePct*CV$22,0)</f>
        <v/>
      </c>
      <c r="CW32" s="18">
        <f>IF(98&gt;=DeliverStart,MgmtFeePct*CW$22,0)</f>
        <v/>
      </c>
      <c r="CX32" s="18">
        <f>IF(99&gt;=DeliverStart,MgmtFeePct*CX$22,0)</f>
        <v/>
      </c>
      <c r="CY32" s="18">
        <f>IF(100&gt;=DeliverStart,MgmtFeePct*CY$22,0)</f>
        <v/>
      </c>
      <c r="CZ32" s="18">
        <f>IF(101&gt;=DeliverStart,MgmtFeePct*CZ$22,0)</f>
        <v/>
      </c>
      <c r="DA32" s="18">
        <f>IF(102&gt;=DeliverStart,MgmtFeePct*DA$22,0)</f>
        <v/>
      </c>
      <c r="DB32" s="18">
        <f>IF(103&gt;=DeliverStart,MgmtFeePct*DB$22,0)</f>
        <v/>
      </c>
      <c r="DC32" s="18">
        <f>IF(104&gt;=DeliverStart,MgmtFeePct*DC$22,0)</f>
        <v/>
      </c>
      <c r="DD32" s="18">
        <f>IF(105&gt;=DeliverStart,MgmtFeePct*DD$22,0)</f>
        <v/>
      </c>
      <c r="DE32" s="18">
        <f>IF(106&gt;=DeliverStart,MgmtFeePct*DE$22,0)</f>
        <v/>
      </c>
      <c r="DF32" s="18">
        <f>IF(107&gt;=DeliverStart,MgmtFeePct*DF$22,0)</f>
        <v/>
      </c>
      <c r="DG32" s="18">
        <f>IF(108&gt;=DeliverStart,MgmtFeePct*DG$22,0)</f>
        <v/>
      </c>
      <c r="DH32" s="18">
        <f>IF(109&gt;=DeliverStart,MgmtFeePct*DH$22,0)</f>
        <v/>
      </c>
      <c r="DI32" s="18">
        <f>IF(110&gt;=DeliverStart,MgmtFeePct*DI$22,0)</f>
        <v/>
      </c>
      <c r="DJ32" s="18">
        <f>IF(111&gt;=DeliverStart,MgmtFeePct*DJ$22,0)</f>
        <v/>
      </c>
      <c r="DK32" s="18">
        <f>IF(112&gt;=DeliverStart,MgmtFeePct*DK$22,0)</f>
        <v/>
      </c>
      <c r="DL32" s="18">
        <f>IF(113&gt;=DeliverStart,MgmtFeePct*DL$22,0)</f>
        <v/>
      </c>
      <c r="DM32" s="18">
        <f>IF(114&gt;=DeliverStart,MgmtFeePct*DM$22,0)</f>
        <v/>
      </c>
      <c r="DN32" s="18">
        <f>IF(115&gt;=DeliverStart,MgmtFeePct*DN$22,0)</f>
        <v/>
      </c>
      <c r="DO32" s="18">
        <f>IF(116&gt;=DeliverStart,MgmtFeePct*DO$22,0)</f>
        <v/>
      </c>
      <c r="DP32" s="18">
        <f>IF(117&gt;=DeliverStart,MgmtFeePct*DP$22,0)</f>
        <v/>
      </c>
      <c r="DQ32" s="18">
        <f>IF(118&gt;=DeliverStart,MgmtFeePct*DQ$22,0)</f>
        <v/>
      </c>
      <c r="DR32" s="18">
        <f>IF(119&gt;=DeliverStart,MgmtFeePct*DR$22,0)</f>
        <v/>
      </c>
      <c r="DS32" s="18">
        <f>IF(120&gt;=DeliverStart,MgmtFeePct*DS$22,0)</f>
        <v/>
      </c>
      <c r="DT32" s="18">
        <f>IF(121&gt;=DeliverStart,MgmtFeePct*DT$22,0)</f>
        <v/>
      </c>
      <c r="DU32" s="18">
        <f>IF(122&gt;=DeliverStart,MgmtFeePct*DU$22,0)</f>
        <v/>
      </c>
      <c r="DV32" s="18">
        <f>IF(123&gt;=DeliverStart,MgmtFeePct*DV$22,0)</f>
        <v/>
      </c>
      <c r="DW32" s="18">
        <f>IF(124&gt;=DeliverStart,MgmtFeePct*DW$22,0)</f>
        <v/>
      </c>
      <c r="DX32" s="18">
        <f>IF(125&gt;=DeliverStart,MgmtFeePct*DX$22,0)</f>
        <v/>
      </c>
      <c r="DY32" s="18">
        <f>IF(126&gt;=DeliverStart,MgmtFeePct*DY$22,0)</f>
        <v/>
      </c>
      <c r="DZ32" s="18">
        <f>IF(127&gt;=DeliverStart,MgmtFeePct*DZ$22,0)</f>
        <v/>
      </c>
      <c r="EA32" s="18">
        <f>IF(128&gt;=DeliverStart,MgmtFeePct*EA$22,0)</f>
        <v/>
      </c>
      <c r="EB32" s="18">
        <f>IF(129&gt;=DeliverStart,MgmtFeePct*EB$22,0)</f>
        <v/>
      </c>
      <c r="EC32" s="18">
        <f>IF(130&gt;=DeliverStart,MgmtFeePct*EC$22,0)</f>
        <v/>
      </c>
      <c r="ED32" s="18">
        <f>IF(131&gt;=DeliverStart,MgmtFeePct*ED$22,0)</f>
        <v/>
      </c>
      <c r="EE32" s="18">
        <f>IF(132&gt;=DeliverStart,MgmtFeePct*EE$22,0)</f>
        <v/>
      </c>
      <c r="EF32" s="18">
        <f>IF(133&gt;=DeliverStart,MgmtFeePct*EF$22,0)</f>
        <v/>
      </c>
      <c r="EG32" s="18">
        <f>IF(134&gt;=DeliverStart,MgmtFeePct*EG$22,0)</f>
        <v/>
      </c>
      <c r="EH32" s="18">
        <f>IF(135&gt;=DeliverStart,MgmtFeePct*EH$22,0)</f>
        <v/>
      </c>
      <c r="EI32" s="18">
        <f>IF(136&gt;=DeliverStart,MgmtFeePct*EI$22,0)</f>
        <v/>
      </c>
      <c r="EJ32" s="18">
        <f>IF(137&gt;=DeliverStart,MgmtFeePct*EJ$22,0)</f>
        <v/>
      </c>
      <c r="EK32" s="18">
        <f>IF(138&gt;=DeliverStart,MgmtFeePct*EK$22,0)</f>
        <v/>
      </c>
      <c r="EL32" s="18">
        <f>IF(139&gt;=DeliverStart,MgmtFeePct*EL$22,0)</f>
        <v/>
      </c>
      <c r="EM32" s="18">
        <f>IF(140&gt;=DeliverStart,MgmtFeePct*EM$22,0)</f>
        <v/>
      </c>
      <c r="EN32" s="18">
        <f>IF(141&gt;=DeliverStart,MgmtFeePct*EN$22,0)</f>
        <v/>
      </c>
      <c r="EO32" s="18">
        <f>IF(142&gt;=DeliverStart,MgmtFeePct*EO$22,0)</f>
        <v/>
      </c>
      <c r="EP32" s="18">
        <f>IF(143&gt;=DeliverStart,MgmtFeePct*EP$22,0)</f>
        <v/>
      </c>
      <c r="EQ32" s="18">
        <f>IF(144&gt;=DeliverStart,MgmtFeePct*EQ$22,0)</f>
        <v/>
      </c>
      <c r="ER32" s="18">
        <f>IF(145&gt;=DeliverStart,MgmtFeePct*ER$22,0)</f>
        <v/>
      </c>
      <c r="ES32" s="18">
        <f>IF(146&gt;=DeliverStart,MgmtFeePct*ES$22,0)</f>
        <v/>
      </c>
      <c r="ET32" s="18">
        <f>IF(147&gt;=DeliverStart,MgmtFeePct*ET$22,0)</f>
        <v/>
      </c>
      <c r="EU32" s="18">
        <f>IF(148&gt;=DeliverStart,MgmtFeePct*EU$22,0)</f>
        <v/>
      </c>
      <c r="EV32" s="18">
        <f>IF(149&gt;=DeliverStart,MgmtFeePct*EV$22,0)</f>
        <v/>
      </c>
      <c r="EW32" s="18">
        <f>IF(150&gt;=DeliverStart,MgmtFeePct*EW$22,0)</f>
        <v/>
      </c>
      <c r="EX32" s="18">
        <f>IF(151&gt;=DeliverStart,MgmtFeePct*EX$22,0)</f>
        <v/>
      </c>
      <c r="EY32" s="18">
        <f>IF(152&gt;=DeliverStart,MgmtFeePct*EY$22,0)</f>
        <v/>
      </c>
      <c r="EZ32" s="18">
        <f>IF(153&gt;=DeliverStart,MgmtFeePct*EZ$22,0)</f>
        <v/>
      </c>
      <c r="FA32" s="18">
        <f>IF(154&gt;=DeliverStart,MgmtFeePct*FA$22,0)</f>
        <v/>
      </c>
      <c r="FB32" s="18">
        <f>IF(155&gt;=DeliverStart,MgmtFeePct*FB$22,0)</f>
        <v/>
      </c>
      <c r="FC32" s="18">
        <f>IF(156&gt;=DeliverStart,MgmtFeePct*FC$22,0)</f>
        <v/>
      </c>
      <c r="FD32" s="18">
        <f>IF(157&gt;=DeliverStart,MgmtFeePct*FD$22,0)</f>
        <v/>
      </c>
      <c r="FE32" s="18">
        <f>IF(158&gt;=DeliverStart,MgmtFeePct*FE$22,0)</f>
        <v/>
      </c>
      <c r="FF32" s="18">
        <f>IF(159&gt;=DeliverStart,MgmtFeePct*FF$22,0)</f>
        <v/>
      </c>
      <c r="FG32" s="18">
        <f>IF(160&gt;=DeliverStart,MgmtFeePct*FG$22,0)</f>
        <v/>
      </c>
      <c r="FH32" s="18">
        <f>IF(161&gt;=DeliverStart,MgmtFeePct*FH$22,0)</f>
        <v/>
      </c>
      <c r="FI32" s="18">
        <f>IF(162&gt;=DeliverStart,MgmtFeePct*FI$22,0)</f>
        <v/>
      </c>
      <c r="FJ32" s="18">
        <f>IF(163&gt;=DeliverStart,MgmtFeePct*FJ$22,0)</f>
        <v/>
      </c>
      <c r="FK32" s="18">
        <f>IF(164&gt;=DeliverStart,MgmtFeePct*FK$22,0)</f>
        <v/>
      </c>
      <c r="FL32" s="18">
        <f>IF(165&gt;=DeliverStart,MgmtFeePct*FL$22,0)</f>
        <v/>
      </c>
      <c r="FM32" s="18">
        <f>IF(166&gt;=DeliverStart,MgmtFeePct*FM$22,0)</f>
        <v/>
      </c>
      <c r="FN32" s="18">
        <f>IF(167&gt;=DeliverStart,MgmtFeePct*FN$22,0)</f>
        <v/>
      </c>
      <c r="FO32" s="18">
        <f>IF(168&gt;=DeliverStart,MgmtFeePct*FO$22,0)</f>
        <v/>
      </c>
      <c r="FP32" s="18">
        <f>IF(169&gt;=DeliverStart,MgmtFeePct*FP$22,0)</f>
        <v/>
      </c>
      <c r="FQ32" s="18">
        <f>IF(170&gt;=DeliverStart,MgmtFeePct*FQ$22,0)</f>
        <v/>
      </c>
      <c r="FR32" s="18">
        <f>IF(171&gt;=DeliverStart,MgmtFeePct*FR$22,0)</f>
        <v/>
      </c>
      <c r="FS32" s="18">
        <f>IF(172&gt;=DeliverStart,MgmtFeePct*FS$22,0)</f>
        <v/>
      </c>
      <c r="FT32" s="18">
        <f>IF(173&gt;=DeliverStart,MgmtFeePct*FT$22,0)</f>
        <v/>
      </c>
      <c r="FU32" s="18">
        <f>IF(174&gt;=DeliverStart,MgmtFeePct*FU$22,0)</f>
        <v/>
      </c>
      <c r="FV32" s="18">
        <f>IF(175&gt;=DeliverStart,MgmtFeePct*FV$22,0)</f>
        <v/>
      </c>
      <c r="FW32" s="18">
        <f>IF(176&gt;=DeliverStart,MgmtFeePct*FW$22,0)</f>
        <v/>
      </c>
      <c r="FX32" s="18">
        <f>IF(177&gt;=DeliverStart,MgmtFeePct*FX$22,0)</f>
        <v/>
      </c>
      <c r="FY32" s="18">
        <f>IF(178&gt;=DeliverStart,MgmtFeePct*FY$22,0)</f>
        <v/>
      </c>
      <c r="FZ32" s="18">
        <f>IF(179&gt;=DeliverStart,MgmtFeePct*FZ$22,0)</f>
        <v/>
      </c>
      <c r="GA32" s="18">
        <f>IF(180&gt;=DeliverStart,MgmtFeePct*GA$22,0)</f>
        <v/>
      </c>
      <c r="GB32" s="18">
        <f>IF(181&gt;=DeliverStart,MgmtFeePct*GB$22,0)</f>
        <v/>
      </c>
      <c r="GC32" s="18">
        <f>IF(182&gt;=DeliverStart,MgmtFeePct*GC$22,0)</f>
        <v/>
      </c>
      <c r="GD32" s="18">
        <f>IF(183&gt;=DeliverStart,MgmtFeePct*GD$22,0)</f>
        <v/>
      </c>
      <c r="GE32" s="18">
        <f>IF(184&gt;=DeliverStart,MgmtFeePct*GE$22,0)</f>
        <v/>
      </c>
      <c r="GF32" s="18">
        <f>IF(185&gt;=DeliverStart,MgmtFeePct*GF$22,0)</f>
        <v/>
      </c>
      <c r="GG32" s="18">
        <f>IF(186&gt;=DeliverStart,MgmtFeePct*GG$22,0)</f>
        <v/>
      </c>
      <c r="GH32" s="18">
        <f>IF(187&gt;=DeliverStart,MgmtFeePct*GH$22,0)</f>
        <v/>
      </c>
      <c r="GI32" s="18">
        <f>IF(188&gt;=DeliverStart,MgmtFeePct*GI$22,0)</f>
        <v/>
      </c>
      <c r="GJ32" s="18">
        <f>IF(189&gt;=DeliverStart,MgmtFeePct*GJ$22,0)</f>
        <v/>
      </c>
      <c r="GK32" s="18">
        <f>IF(190&gt;=DeliverStart,MgmtFeePct*GK$22,0)</f>
        <v/>
      </c>
      <c r="GL32" s="18">
        <f>IF(191&gt;=DeliverStart,MgmtFeePct*GL$22,0)</f>
        <v/>
      </c>
      <c r="GM32" s="18">
        <f>IF(192&gt;=DeliverStart,MgmtFeePct*GM$22,0)</f>
        <v/>
      </c>
      <c r="GN32" s="18">
        <f>IF(193&gt;=DeliverStart,MgmtFeePct*GN$22,0)</f>
        <v/>
      </c>
      <c r="GO32" s="18">
        <f>IF(194&gt;=DeliverStart,MgmtFeePct*GO$22,0)</f>
        <v/>
      </c>
      <c r="GP32" s="18">
        <f>IF(195&gt;=DeliverStart,MgmtFeePct*GP$22,0)</f>
        <v/>
      </c>
      <c r="GQ32" s="18">
        <f>IF(196&gt;=DeliverStart,MgmtFeePct*GQ$22,0)</f>
        <v/>
      </c>
      <c r="GR32" s="18">
        <f>IF(197&gt;=DeliverStart,MgmtFeePct*GR$22,0)</f>
        <v/>
      </c>
      <c r="GS32" s="18">
        <f>IF(198&gt;=DeliverStart,MgmtFeePct*GS$22,0)</f>
        <v/>
      </c>
      <c r="GT32" s="18">
        <f>IF(199&gt;=DeliverStart,MgmtFeePct*GT$22,0)</f>
        <v/>
      </c>
      <c r="GU32" s="18">
        <f>IF(200&gt;=DeliverStart,MgmtFeePct*GU$22,0)</f>
        <v/>
      </c>
      <c r="GV32" s="18">
        <f>IF(201&gt;=DeliverStart,MgmtFeePct*GV$22,0)</f>
        <v/>
      </c>
      <c r="GW32" s="18">
        <f>IF(202&gt;=DeliverStart,MgmtFeePct*GW$22,0)</f>
        <v/>
      </c>
      <c r="GX32" s="18">
        <f>IF(203&gt;=DeliverStart,MgmtFeePct*GX$22,0)</f>
        <v/>
      </c>
      <c r="GY32" s="18">
        <f>IF(204&gt;=DeliverStart,MgmtFeePct*GY$22,0)</f>
        <v/>
      </c>
      <c r="GZ32" s="18">
        <f>IF(205&gt;=DeliverStart,MgmtFeePct*GZ$22,0)</f>
        <v/>
      </c>
      <c r="HA32" s="18">
        <f>IF(206&gt;=DeliverStart,MgmtFeePct*HA$22,0)</f>
        <v/>
      </c>
      <c r="HB32" s="18">
        <f>IF(207&gt;=DeliverStart,MgmtFeePct*HB$22,0)</f>
        <v/>
      </c>
      <c r="HC32" s="18">
        <f>IF(208&gt;=DeliverStart,MgmtFeePct*HC$22,0)</f>
        <v/>
      </c>
      <c r="HD32" s="18">
        <f>IF(209&gt;=DeliverStart,MgmtFeePct*HD$22,0)</f>
        <v/>
      </c>
      <c r="HE32" s="18">
        <f>IF(210&gt;=DeliverStart,MgmtFeePct*HE$22,0)</f>
        <v/>
      </c>
      <c r="HF32" s="18">
        <f>IF(211&gt;=DeliverStart,MgmtFeePct*HF$22,0)</f>
        <v/>
      </c>
      <c r="HG32" s="18">
        <f>IF(212&gt;=DeliverStart,MgmtFeePct*HG$22,0)</f>
        <v/>
      </c>
      <c r="HH32" s="18">
        <f>IF(213&gt;=DeliverStart,MgmtFeePct*HH$22,0)</f>
        <v/>
      </c>
      <c r="HI32" s="18">
        <f>IF(214&gt;=DeliverStart,MgmtFeePct*HI$22,0)</f>
        <v/>
      </c>
      <c r="HJ32" s="18">
        <f>IF(215&gt;=DeliverStart,MgmtFeePct*HJ$22,0)</f>
        <v/>
      </c>
      <c r="HK32" s="18">
        <f>IF(216&gt;=DeliverStart,MgmtFeePct*HK$22,0)</f>
        <v/>
      </c>
      <c r="HL32" s="18">
        <f>IF(217&gt;=DeliverStart,MgmtFeePct*HL$22,0)</f>
        <v/>
      </c>
      <c r="HM32" s="18">
        <f>IF(218&gt;=DeliverStart,MgmtFeePct*HM$22,0)</f>
        <v/>
      </c>
      <c r="HN32" s="18">
        <f>IF(219&gt;=DeliverStart,MgmtFeePct*HN$22,0)</f>
        <v/>
      </c>
      <c r="HO32" s="18">
        <f>IF(220&gt;=DeliverStart,MgmtFeePct*HO$22,0)</f>
        <v/>
      </c>
      <c r="HP32" s="18">
        <f>IF(221&gt;=DeliverStart,MgmtFeePct*HP$22,0)</f>
        <v/>
      </c>
      <c r="HQ32" s="18">
        <f>IF(222&gt;=DeliverStart,MgmtFeePct*HQ$22,0)</f>
        <v/>
      </c>
      <c r="HR32" s="18">
        <f>IF(223&gt;=DeliverStart,MgmtFeePct*HR$22,0)</f>
        <v/>
      </c>
      <c r="HS32" s="18">
        <f>IF(224&gt;=DeliverStart,MgmtFeePct*HS$22,0)</f>
        <v/>
      </c>
      <c r="HT32" s="18">
        <f>IF(225&gt;=DeliverStart,MgmtFeePct*HT$22,0)</f>
        <v/>
      </c>
      <c r="HU32" s="18">
        <f>IF(226&gt;=DeliverStart,MgmtFeePct*HU$22,0)</f>
        <v/>
      </c>
      <c r="HV32" s="18">
        <f>IF(227&gt;=DeliverStart,MgmtFeePct*HV$22,0)</f>
        <v/>
      </c>
      <c r="HW32" s="18">
        <f>IF(228&gt;=DeliverStart,MgmtFeePct*HW$22,0)</f>
        <v/>
      </c>
      <c r="HX32" s="18">
        <f>IF(229&gt;=DeliverStart,MgmtFeePct*HX$22,0)</f>
        <v/>
      </c>
      <c r="HY32" s="18">
        <f>IF(230&gt;=DeliverStart,MgmtFeePct*HY$22,0)</f>
        <v/>
      </c>
      <c r="HZ32" s="18">
        <f>IF(231&gt;=DeliverStart,MgmtFeePct*HZ$22,0)</f>
        <v/>
      </c>
      <c r="IA32" s="18">
        <f>IF(232&gt;=DeliverStart,MgmtFeePct*IA$22,0)</f>
        <v/>
      </c>
      <c r="IB32" s="18">
        <f>IF(233&gt;=DeliverStart,MgmtFeePct*IB$22,0)</f>
        <v/>
      </c>
      <c r="IC32" s="18">
        <f>IF(234&gt;=DeliverStart,MgmtFeePct*IC$22,0)</f>
        <v/>
      </c>
      <c r="ID32" s="18">
        <f>IF(235&gt;=DeliverStart,MgmtFeePct*ID$22,0)</f>
        <v/>
      </c>
      <c r="IE32" s="18">
        <f>IF(236&gt;=DeliverStart,MgmtFeePct*IE$22,0)</f>
        <v/>
      </c>
      <c r="IF32" s="18">
        <f>IF(237&gt;=DeliverStart,MgmtFeePct*IF$22,0)</f>
        <v/>
      </c>
      <c r="IG32" s="18">
        <f>IF(238&gt;=DeliverStart,MgmtFeePct*IG$22,0)</f>
        <v/>
      </c>
      <c r="IH32" s="18">
        <f>IF(239&gt;=DeliverStart,MgmtFeePct*IH$22,0)</f>
        <v/>
      </c>
      <c r="II32" s="18">
        <f>IF(240&gt;=DeliverStart,MgmtFeePct*II$22,0)</f>
        <v/>
      </c>
      <c r="IJ32" s="18">
        <f>IF(241&gt;=DeliverStart,MgmtFeePct*IJ$22,0)</f>
        <v/>
      </c>
      <c r="IK32" s="18">
        <f>IF(242&gt;=DeliverStart,MgmtFeePct*IK$22,0)</f>
        <v/>
      </c>
      <c r="IL32" s="18">
        <f>IF(243&gt;=DeliverStart,MgmtFeePct*IL$22,0)</f>
        <v/>
      </c>
      <c r="IM32" s="18">
        <f>IF(244&gt;=DeliverStart,MgmtFeePct*IM$22,0)</f>
        <v/>
      </c>
      <c r="IN32" s="18">
        <f>IF(245&gt;=DeliverStart,MgmtFeePct*IN$22,0)</f>
        <v/>
      </c>
      <c r="IO32" s="18">
        <f>IF(246&gt;=DeliverStart,MgmtFeePct*IO$22,0)</f>
        <v/>
      </c>
      <c r="IP32" s="18">
        <f>IF(247&gt;=DeliverStart,MgmtFeePct*IP$22,0)</f>
        <v/>
      </c>
      <c r="IQ32" s="18">
        <f>IF(248&gt;=DeliverStart,MgmtFeePct*IQ$22,0)</f>
        <v/>
      </c>
      <c r="IR32" s="18">
        <f>IF(249&gt;=DeliverStart,MgmtFeePct*IR$22,0)</f>
        <v/>
      </c>
      <c r="IS32" s="18">
        <f>IF(250&gt;=DeliverStart,MgmtFeePct*IS$22,0)</f>
        <v/>
      </c>
      <c r="IT32" s="18">
        <f>IF(251&gt;=DeliverStart,MgmtFeePct*IT$22,0)</f>
        <v/>
      </c>
      <c r="IU32" s="18">
        <f>IF(252&gt;=DeliverStart,MgmtFeePct*IU$22,0)</f>
        <v/>
      </c>
      <c r="IV32" s="18">
        <f>IF(253&gt;=DeliverStart,MgmtFeePct*IV$22,0)</f>
        <v/>
      </c>
      <c r="IW32" s="18">
        <f>IF(254&gt;=DeliverStart,MgmtFeePct*IW$22,0)</f>
        <v/>
      </c>
      <c r="IX32" s="18">
        <f>IF(255&gt;=DeliverStart,MgmtFeePct*IX$22,0)</f>
        <v/>
      </c>
      <c r="IY32" s="18">
        <f>IF(256&gt;=DeliverStart,MgmtFeePct*IY$22,0)</f>
        <v/>
      </c>
      <c r="IZ32" s="18">
        <f>IF(257&gt;=DeliverStart,MgmtFeePct*IZ$22,0)</f>
        <v/>
      </c>
      <c r="JA32" s="18">
        <f>IF(258&gt;=DeliverStart,MgmtFeePct*JA$22,0)</f>
        <v/>
      </c>
      <c r="JB32" s="18">
        <f>IF(259&gt;=DeliverStart,MgmtFeePct*JB$22,0)</f>
        <v/>
      </c>
      <c r="JC32" s="18">
        <f>IF(260&gt;=DeliverStart,MgmtFeePct*JC$22,0)</f>
        <v/>
      </c>
      <c r="JD32" s="18">
        <f>IF(261&gt;=DeliverStart,MgmtFeePct*JD$22,0)</f>
        <v/>
      </c>
      <c r="JE32" s="18">
        <f>IF(262&gt;=DeliverStart,MgmtFeePct*JE$22,0)</f>
        <v/>
      </c>
      <c r="JF32" s="18">
        <f>IF(263&gt;=DeliverStart,MgmtFeePct*JF$22,0)</f>
        <v/>
      </c>
      <c r="JG32" s="18">
        <f>IF(264&gt;=DeliverStart,MgmtFeePct*JG$22,0)</f>
        <v/>
      </c>
      <c r="JH32" s="18">
        <f>IF(265&gt;=DeliverStart,MgmtFeePct*JH$22,0)</f>
        <v/>
      </c>
      <c r="JI32" s="18">
        <f>IF(266&gt;=DeliverStart,MgmtFeePct*JI$22,0)</f>
        <v/>
      </c>
      <c r="JJ32" s="18">
        <f>IF(267&gt;=DeliverStart,MgmtFeePct*JJ$22,0)</f>
        <v/>
      </c>
      <c r="JK32" s="18">
        <f>IF(268&gt;=DeliverStart,MgmtFeePct*JK$22,0)</f>
        <v/>
      </c>
      <c r="JL32" s="18">
        <f>IF(269&gt;=DeliverStart,MgmtFeePct*JL$22,0)</f>
        <v/>
      </c>
      <c r="JM32" s="18">
        <f>IF(270&gt;=DeliverStart,MgmtFeePct*JM$22,0)</f>
        <v/>
      </c>
      <c r="JN32" s="18">
        <f>IF(271&gt;=DeliverStart,MgmtFeePct*JN$22,0)</f>
        <v/>
      </c>
      <c r="JO32" s="18">
        <f>IF(272&gt;=DeliverStart,MgmtFeePct*JO$22,0)</f>
        <v/>
      </c>
      <c r="JP32" s="18">
        <f>IF(273&gt;=DeliverStart,MgmtFeePct*JP$22,0)</f>
        <v/>
      </c>
      <c r="JQ32" s="18">
        <f>IF(274&gt;=DeliverStart,MgmtFeePct*JQ$22,0)</f>
        <v/>
      </c>
      <c r="JR32" s="18">
        <f>IF(275&gt;=DeliverStart,MgmtFeePct*JR$22,0)</f>
        <v/>
      </c>
      <c r="JS32" s="18">
        <f>IF(276&gt;=DeliverStart,MgmtFeePct*JS$22,0)</f>
        <v/>
      </c>
      <c r="JT32" s="18">
        <f>IF(277&gt;=DeliverStart,MgmtFeePct*JT$22,0)</f>
        <v/>
      </c>
      <c r="JU32" s="18">
        <f>IF(278&gt;=DeliverStart,MgmtFeePct*JU$22,0)</f>
        <v/>
      </c>
      <c r="JV32" s="18">
        <f>IF(279&gt;=DeliverStart,MgmtFeePct*JV$22,0)</f>
        <v/>
      </c>
      <c r="JW32" s="18">
        <f>IF(280&gt;=DeliverStart,MgmtFeePct*JW$22,0)</f>
        <v/>
      </c>
      <c r="JX32" s="18">
        <f>IF(281&gt;=DeliverStart,MgmtFeePct*JX$22,0)</f>
        <v/>
      </c>
      <c r="JY32" s="18">
        <f>IF(282&gt;=DeliverStart,MgmtFeePct*JY$22,0)</f>
        <v/>
      </c>
      <c r="JZ32" s="18">
        <f>IF(283&gt;=DeliverStart,MgmtFeePct*JZ$22,0)</f>
        <v/>
      </c>
      <c r="KA32" s="18">
        <f>IF(284&gt;=DeliverStart,MgmtFeePct*KA$22,0)</f>
        <v/>
      </c>
      <c r="KB32" s="18">
        <f>IF(285&gt;=DeliverStart,MgmtFeePct*KB$22,0)</f>
        <v/>
      </c>
      <c r="KC32" s="18">
        <f>IF(286&gt;=DeliverStart,MgmtFeePct*KC$22,0)</f>
        <v/>
      </c>
      <c r="KD32" s="18">
        <f>IF(287&gt;=DeliverStart,MgmtFeePct*KD$22,0)</f>
        <v/>
      </c>
      <c r="KE32" s="18">
        <f>IF(288&gt;=DeliverStart,MgmtFeePct*KE$22,0)</f>
        <v/>
      </c>
      <c r="KF32" s="18">
        <f>IF(289&gt;=DeliverStart,MgmtFeePct*KF$22,0)</f>
        <v/>
      </c>
      <c r="KG32" s="18">
        <f>IF(290&gt;=DeliverStart,MgmtFeePct*KG$22,0)</f>
        <v/>
      </c>
      <c r="KH32" s="18">
        <f>IF(291&gt;=DeliverStart,MgmtFeePct*KH$22,0)</f>
        <v/>
      </c>
      <c r="KI32" s="18">
        <f>IF(292&gt;=DeliverStart,MgmtFeePct*KI$22,0)</f>
        <v/>
      </c>
      <c r="KJ32" s="18">
        <f>IF(293&gt;=DeliverStart,MgmtFeePct*KJ$22,0)</f>
        <v/>
      </c>
      <c r="KK32" s="18">
        <f>IF(294&gt;=DeliverStart,MgmtFeePct*KK$22,0)</f>
        <v/>
      </c>
      <c r="KL32" s="18">
        <f>IF(295&gt;=DeliverStart,MgmtFeePct*KL$22,0)</f>
        <v/>
      </c>
      <c r="KM32" s="18">
        <f>IF(296&gt;=DeliverStart,MgmtFeePct*KM$22,0)</f>
        <v/>
      </c>
      <c r="KN32" s="18">
        <f>IF(297&gt;=DeliverStart,MgmtFeePct*KN$22,0)</f>
        <v/>
      </c>
      <c r="KO32" s="18">
        <f>IF(298&gt;=DeliverStart,MgmtFeePct*KO$22,0)</f>
        <v/>
      </c>
      <c r="KP32" s="18">
        <f>IF(299&gt;=DeliverStart,MgmtFeePct*KP$22,0)</f>
        <v/>
      </c>
      <c r="KQ32" s="18">
        <f>IF(300&gt;=DeliverStart,MgmtFeePct*KQ$22,0)</f>
        <v/>
      </c>
      <c r="KR32" s="18">
        <f>IF(301&gt;=DeliverStart,MgmtFeePct*KR$22,0)</f>
        <v/>
      </c>
      <c r="KS32" s="18">
        <f>IF(302&gt;=DeliverStart,MgmtFeePct*KS$22,0)</f>
        <v/>
      </c>
      <c r="KT32" s="18">
        <f>IF(303&gt;=DeliverStart,MgmtFeePct*KT$22,0)</f>
        <v/>
      </c>
      <c r="KU32" s="18">
        <f>IF(304&gt;=DeliverStart,MgmtFeePct*KU$22,0)</f>
        <v/>
      </c>
      <c r="KV32" s="18">
        <f>IF(305&gt;=DeliverStart,MgmtFeePct*KV$22,0)</f>
        <v/>
      </c>
      <c r="KW32" s="18">
        <f>IF(306&gt;=DeliverStart,MgmtFeePct*KW$22,0)</f>
        <v/>
      </c>
      <c r="KX32" s="18">
        <f>IF(307&gt;=DeliverStart,MgmtFeePct*KX$22,0)</f>
        <v/>
      </c>
      <c r="KY32" s="18">
        <f>IF(308&gt;=DeliverStart,MgmtFeePct*KY$22,0)</f>
        <v/>
      </c>
      <c r="KZ32" s="18">
        <f>IF(309&gt;=DeliverStart,MgmtFeePct*KZ$22,0)</f>
        <v/>
      </c>
      <c r="LA32" s="18">
        <f>IF(310&gt;=DeliverStart,MgmtFeePct*LA$22,0)</f>
        <v/>
      </c>
      <c r="LB32" s="18">
        <f>IF(311&gt;=DeliverStart,MgmtFeePct*LB$22,0)</f>
        <v/>
      </c>
      <c r="LC32" s="18">
        <f>IF(312&gt;=DeliverStart,MgmtFeePct*LC$22,0)</f>
        <v/>
      </c>
      <c r="LD32" s="18">
        <f>IF(313&gt;=DeliverStart,MgmtFeePct*LD$22,0)</f>
        <v/>
      </c>
      <c r="LE32" s="18">
        <f>IF(314&gt;=DeliverStart,MgmtFeePct*LE$22,0)</f>
        <v/>
      </c>
      <c r="LF32" s="18">
        <f>IF(315&gt;=DeliverStart,MgmtFeePct*LF$22,0)</f>
        <v/>
      </c>
      <c r="LG32" s="18">
        <f>IF(316&gt;=DeliverStart,MgmtFeePct*LG$22,0)</f>
        <v/>
      </c>
      <c r="LH32" s="18">
        <f>IF(317&gt;=DeliverStart,MgmtFeePct*LH$22,0)</f>
        <v/>
      </c>
      <c r="LI32" s="18">
        <f>IF(318&gt;=DeliverStart,MgmtFeePct*LI$22,0)</f>
        <v/>
      </c>
      <c r="LJ32" s="18">
        <f>IF(319&gt;=DeliverStart,MgmtFeePct*LJ$22,0)</f>
        <v/>
      </c>
      <c r="LK32" s="18">
        <f>IF(320&gt;=DeliverStart,MgmtFeePct*LK$22,0)</f>
        <v/>
      </c>
      <c r="LL32" s="18">
        <f>IF(321&gt;=DeliverStart,MgmtFeePct*LL$22,0)</f>
        <v/>
      </c>
      <c r="LM32" s="18">
        <f>IF(322&gt;=DeliverStart,MgmtFeePct*LM$22,0)</f>
        <v/>
      </c>
      <c r="LN32" s="18">
        <f>IF(323&gt;=DeliverStart,MgmtFeePct*LN$22,0)</f>
        <v/>
      </c>
      <c r="LO32" s="18">
        <f>IF(324&gt;=DeliverStart,MgmtFeePct*LO$22,0)</f>
        <v/>
      </c>
      <c r="LP32" s="18">
        <f>IF(325&gt;=DeliverStart,MgmtFeePct*LP$22,0)</f>
        <v/>
      </c>
      <c r="LQ32" s="18">
        <f>IF(326&gt;=DeliverStart,MgmtFeePct*LQ$22,0)</f>
        <v/>
      </c>
      <c r="LR32" s="18">
        <f>IF(327&gt;=DeliverStart,MgmtFeePct*LR$22,0)</f>
        <v/>
      </c>
      <c r="LS32" s="18">
        <f>IF(328&gt;=DeliverStart,MgmtFeePct*LS$22,0)</f>
        <v/>
      </c>
      <c r="LT32" s="18">
        <f>IF(329&gt;=DeliverStart,MgmtFeePct*LT$22,0)</f>
        <v/>
      </c>
      <c r="LU32" s="18">
        <f>IF(330&gt;=DeliverStart,MgmtFeePct*LU$22,0)</f>
        <v/>
      </c>
      <c r="LV32" s="18">
        <f>IF(331&gt;=DeliverStart,MgmtFeePct*LV$22,0)</f>
        <v/>
      </c>
      <c r="LW32" s="18">
        <f>IF(332&gt;=DeliverStart,MgmtFeePct*LW$22,0)</f>
        <v/>
      </c>
      <c r="LX32" s="18">
        <f>IF(333&gt;=DeliverStart,MgmtFeePct*LX$22,0)</f>
        <v/>
      </c>
      <c r="LY32" s="18">
        <f>IF(334&gt;=DeliverStart,MgmtFeePct*LY$22,0)</f>
        <v/>
      </c>
      <c r="LZ32" s="18">
        <f>IF(335&gt;=DeliverStart,MgmtFeePct*LZ$22,0)</f>
        <v/>
      </c>
      <c r="MA32" s="18">
        <f>IF(336&gt;=DeliverStart,MgmtFeePct*MA$22,0)</f>
        <v/>
      </c>
      <c r="MB32" s="18">
        <f>IF(337&gt;=DeliverStart,MgmtFeePct*MB$22,0)</f>
        <v/>
      </c>
      <c r="MC32" s="18">
        <f>IF(338&gt;=DeliverStart,MgmtFeePct*MC$22,0)</f>
        <v/>
      </c>
      <c r="MD32" s="18">
        <f>IF(339&gt;=DeliverStart,MgmtFeePct*MD$22,0)</f>
        <v/>
      </c>
      <c r="ME32" s="18">
        <f>IF(340&gt;=DeliverStart,MgmtFeePct*ME$22,0)</f>
        <v/>
      </c>
      <c r="MF32" s="18">
        <f>IF(341&gt;=DeliverStart,MgmtFeePct*MF$22,0)</f>
        <v/>
      </c>
      <c r="MG32" s="18">
        <f>IF(342&gt;=DeliverStart,MgmtFeePct*MG$22,0)</f>
        <v/>
      </c>
      <c r="MH32" s="18">
        <f>IF(343&gt;=DeliverStart,MgmtFeePct*MH$22,0)</f>
        <v/>
      </c>
      <c r="MI32" s="18">
        <f>IF(344&gt;=DeliverStart,MgmtFeePct*MI$22,0)</f>
        <v/>
      </c>
      <c r="MJ32" s="18">
        <f>IF(345&gt;=DeliverStart,MgmtFeePct*MJ$22,0)</f>
        <v/>
      </c>
      <c r="MK32" s="18">
        <f>IF(346&gt;=DeliverStart,MgmtFeePct*MK$22,0)</f>
        <v/>
      </c>
      <c r="ML32" s="18">
        <f>IF(347&gt;=DeliverStart,MgmtFeePct*ML$22,0)</f>
        <v/>
      </c>
      <c r="MM32" s="18">
        <f>IF(348&gt;=DeliverStart,MgmtFeePct*MM$22,0)</f>
        <v/>
      </c>
      <c r="MN32" s="18">
        <f>IF(349&gt;=DeliverStart,MgmtFeePct*MN$22,0)</f>
        <v/>
      </c>
      <c r="MO32" s="18">
        <f>IF(350&gt;=DeliverStart,MgmtFeePct*MO$22,0)</f>
        <v/>
      </c>
      <c r="MP32" s="18">
        <f>IF(351&gt;=DeliverStart,MgmtFeePct*MP$22,0)</f>
        <v/>
      </c>
      <c r="MQ32" s="18">
        <f>IF(352&gt;=DeliverStart,MgmtFeePct*MQ$22,0)</f>
        <v/>
      </c>
      <c r="MR32" s="18">
        <f>IF(353&gt;=DeliverStart,MgmtFeePct*MR$22,0)</f>
        <v/>
      </c>
      <c r="MS32" s="18">
        <f>IF(354&gt;=DeliverStart,MgmtFeePct*MS$22,0)</f>
        <v/>
      </c>
      <c r="MT32" s="18">
        <f>IF(355&gt;=DeliverStart,MgmtFeePct*MT$22,0)</f>
        <v/>
      </c>
      <c r="MU32" s="18">
        <f>IF(356&gt;=DeliverStart,MgmtFeePct*MU$22,0)</f>
        <v/>
      </c>
      <c r="MV32" s="18">
        <f>IF(357&gt;=DeliverStart,MgmtFeePct*MV$22,0)</f>
        <v/>
      </c>
      <c r="MW32" s="18">
        <f>IF(358&gt;=DeliverStart,MgmtFeePct*MW$22,0)</f>
        <v/>
      </c>
      <c r="MX32" s="18">
        <f>IF(359&gt;=DeliverStart,MgmtFeePct*MX$22,0)</f>
        <v/>
      </c>
      <c r="MY32" s="18">
        <f>IF(360&gt;=DeliverStart,MgmtFeePct*MY$22,0)</f>
        <v/>
      </c>
      <c r="MZ32" s="18">
        <f>IF(361&gt;=DeliverStart,MgmtFeePct*MZ$22,0)</f>
        <v/>
      </c>
      <c r="NA32" s="18">
        <f>IF(362&gt;=DeliverStart,MgmtFeePct*NA$22,0)</f>
        <v/>
      </c>
      <c r="NB32" s="18">
        <f>IF(363&gt;=DeliverStart,MgmtFeePct*NB$22,0)</f>
        <v/>
      </c>
      <c r="NC32" s="18">
        <f>IF(364&gt;=DeliverStart,MgmtFeePct*NC$22,0)</f>
        <v/>
      </c>
      <c r="ND32" s="18">
        <f>IF(365&gt;=DeliverStart,MgmtFeePct*ND$22,0)</f>
        <v/>
      </c>
      <c r="NE32" s="18">
        <f>IF(366&gt;=DeliverStart,MgmtFeePct*NE$22,0)</f>
        <v/>
      </c>
      <c r="NF32" s="18">
        <f>IF(367&gt;=DeliverStart,MgmtFeePct*NF$22,0)</f>
        <v/>
      </c>
      <c r="NG32" s="18">
        <f>IF(368&gt;=DeliverStart,MgmtFeePct*NG$22,0)</f>
        <v/>
      </c>
      <c r="NH32" s="18">
        <f>IF(369&gt;=DeliverStart,MgmtFeePct*NH$22,0)</f>
        <v/>
      </c>
      <c r="NI32" s="18">
        <f>IF(370&gt;=DeliverStart,MgmtFeePct*NI$22,0)</f>
        <v/>
      </c>
      <c r="NJ32" s="18">
        <f>IF(371&gt;=DeliverStart,MgmtFeePct*NJ$22,0)</f>
        <v/>
      </c>
      <c r="NK32" s="18">
        <f>IF(372&gt;=DeliverStart,MgmtFeePct*NK$22,0)</f>
        <v/>
      </c>
    </row>
    <row r="33">
      <c r="A33" s="21" t="inlineStr">
        <is>
          <t>OpEx before Property Tax</t>
        </is>
      </c>
      <c r="C33" s="41">
        <f>SUM(D33:NK33)</f>
        <v/>
      </c>
      <c r="D33" s="43">
        <f>D$24+D$25+D$26+D$27+D$28+D$29+D$30+D$31+D$32</f>
        <v/>
      </c>
      <c r="E33" s="43">
        <f>E$24+E$25+E$26+E$27+E$28+E$29+E$30+E$31+E$32</f>
        <v/>
      </c>
      <c r="F33" s="43">
        <f>F$24+F$25+F$26+F$27+F$28+F$29+F$30+F$31+F$32</f>
        <v/>
      </c>
      <c r="G33" s="43">
        <f>G$24+G$25+G$26+G$27+G$28+G$29+G$30+G$31+G$32</f>
        <v/>
      </c>
      <c r="H33" s="43">
        <f>H$24+H$25+H$26+H$27+H$28+H$29+H$30+H$31+H$32</f>
        <v/>
      </c>
      <c r="I33" s="43">
        <f>I$24+I$25+I$26+I$27+I$28+I$29+I$30+I$31+I$32</f>
        <v/>
      </c>
      <c r="J33" s="43">
        <f>J$24+J$25+J$26+J$27+J$28+J$29+J$30+J$31+J$32</f>
        <v/>
      </c>
      <c r="K33" s="43">
        <f>K$24+K$25+K$26+K$27+K$28+K$29+K$30+K$31+K$32</f>
        <v/>
      </c>
      <c r="L33" s="43">
        <f>L$24+L$25+L$26+L$27+L$28+L$29+L$30+L$31+L$32</f>
        <v/>
      </c>
      <c r="M33" s="43">
        <f>M$24+M$25+M$26+M$27+M$28+M$29+M$30+M$31+M$32</f>
        <v/>
      </c>
      <c r="N33" s="43">
        <f>N$24+N$25+N$26+N$27+N$28+N$29+N$30+N$31+N$32</f>
        <v/>
      </c>
      <c r="O33" s="43">
        <f>O$24+O$25+O$26+O$27+O$28+O$29+O$30+O$31+O$32</f>
        <v/>
      </c>
      <c r="P33" s="43">
        <f>P$24+P$25+P$26+P$27+P$28+P$29+P$30+P$31+P$32</f>
        <v/>
      </c>
      <c r="Q33" s="43">
        <f>Q$24+Q$25+Q$26+Q$27+Q$28+Q$29+Q$30+Q$31+Q$32</f>
        <v/>
      </c>
      <c r="R33" s="43">
        <f>R$24+R$25+R$26+R$27+R$28+R$29+R$30+R$31+R$32</f>
        <v/>
      </c>
      <c r="S33" s="43">
        <f>S$24+S$25+S$26+S$27+S$28+S$29+S$30+S$31+S$32</f>
        <v/>
      </c>
      <c r="T33" s="43">
        <f>T$24+T$25+T$26+T$27+T$28+T$29+T$30+T$31+T$32</f>
        <v/>
      </c>
      <c r="U33" s="43">
        <f>U$24+U$25+U$26+U$27+U$28+U$29+U$30+U$31+U$32</f>
        <v/>
      </c>
      <c r="V33" s="43">
        <f>V$24+V$25+V$26+V$27+V$28+V$29+V$30+V$31+V$32</f>
        <v/>
      </c>
      <c r="W33" s="43">
        <f>W$24+W$25+W$26+W$27+W$28+W$29+W$30+W$31+W$32</f>
        <v/>
      </c>
      <c r="X33" s="43">
        <f>X$24+X$25+X$26+X$27+X$28+X$29+X$30+X$31+X$32</f>
        <v/>
      </c>
      <c r="Y33" s="43">
        <f>Y$24+Y$25+Y$26+Y$27+Y$28+Y$29+Y$30+Y$31+Y$32</f>
        <v/>
      </c>
      <c r="Z33" s="43">
        <f>Z$24+Z$25+Z$26+Z$27+Z$28+Z$29+Z$30+Z$31+Z$32</f>
        <v/>
      </c>
      <c r="AA33" s="43">
        <f>AA$24+AA$25+AA$26+AA$27+AA$28+AA$29+AA$30+AA$31+AA$32</f>
        <v/>
      </c>
      <c r="AB33" s="43">
        <f>AB$24+AB$25+AB$26+AB$27+AB$28+AB$29+AB$30+AB$31+AB$32</f>
        <v/>
      </c>
      <c r="AC33" s="43">
        <f>AC$24+AC$25+AC$26+AC$27+AC$28+AC$29+AC$30+AC$31+AC$32</f>
        <v/>
      </c>
      <c r="AD33" s="43">
        <f>AD$24+AD$25+AD$26+AD$27+AD$28+AD$29+AD$30+AD$31+AD$32</f>
        <v/>
      </c>
      <c r="AE33" s="43">
        <f>AE$24+AE$25+AE$26+AE$27+AE$28+AE$29+AE$30+AE$31+AE$32</f>
        <v/>
      </c>
      <c r="AF33" s="43">
        <f>AF$24+AF$25+AF$26+AF$27+AF$28+AF$29+AF$30+AF$31+AF$32</f>
        <v/>
      </c>
      <c r="AG33" s="43">
        <f>AG$24+AG$25+AG$26+AG$27+AG$28+AG$29+AG$30+AG$31+AG$32</f>
        <v/>
      </c>
      <c r="AH33" s="43">
        <f>AH$24+AH$25+AH$26+AH$27+AH$28+AH$29+AH$30+AH$31+AH$32</f>
        <v/>
      </c>
      <c r="AI33" s="43">
        <f>AI$24+AI$25+AI$26+AI$27+AI$28+AI$29+AI$30+AI$31+AI$32</f>
        <v/>
      </c>
      <c r="AJ33" s="43">
        <f>AJ$24+AJ$25+AJ$26+AJ$27+AJ$28+AJ$29+AJ$30+AJ$31+AJ$32</f>
        <v/>
      </c>
      <c r="AK33" s="43">
        <f>AK$24+AK$25+AK$26+AK$27+AK$28+AK$29+AK$30+AK$31+AK$32</f>
        <v/>
      </c>
      <c r="AL33" s="43">
        <f>AL$24+AL$25+AL$26+AL$27+AL$28+AL$29+AL$30+AL$31+AL$32</f>
        <v/>
      </c>
      <c r="AM33" s="43">
        <f>AM$24+AM$25+AM$26+AM$27+AM$28+AM$29+AM$30+AM$31+AM$32</f>
        <v/>
      </c>
      <c r="AN33" s="43">
        <f>AN$24+AN$25+AN$26+AN$27+AN$28+AN$29+AN$30+AN$31+AN$32</f>
        <v/>
      </c>
      <c r="AO33" s="43">
        <f>AO$24+AO$25+AO$26+AO$27+AO$28+AO$29+AO$30+AO$31+AO$32</f>
        <v/>
      </c>
      <c r="AP33" s="43">
        <f>AP$24+AP$25+AP$26+AP$27+AP$28+AP$29+AP$30+AP$31+AP$32</f>
        <v/>
      </c>
      <c r="AQ33" s="43">
        <f>AQ$24+AQ$25+AQ$26+AQ$27+AQ$28+AQ$29+AQ$30+AQ$31+AQ$32</f>
        <v/>
      </c>
      <c r="AR33" s="43">
        <f>AR$24+AR$25+AR$26+AR$27+AR$28+AR$29+AR$30+AR$31+AR$32</f>
        <v/>
      </c>
      <c r="AS33" s="43">
        <f>AS$24+AS$25+AS$26+AS$27+AS$28+AS$29+AS$30+AS$31+AS$32</f>
        <v/>
      </c>
      <c r="AT33" s="43">
        <f>AT$24+AT$25+AT$26+AT$27+AT$28+AT$29+AT$30+AT$31+AT$32</f>
        <v/>
      </c>
      <c r="AU33" s="43">
        <f>AU$24+AU$25+AU$26+AU$27+AU$28+AU$29+AU$30+AU$31+AU$32</f>
        <v/>
      </c>
      <c r="AV33" s="43">
        <f>AV$24+AV$25+AV$26+AV$27+AV$28+AV$29+AV$30+AV$31+AV$32</f>
        <v/>
      </c>
      <c r="AW33" s="43">
        <f>AW$24+AW$25+AW$26+AW$27+AW$28+AW$29+AW$30+AW$31+AW$32</f>
        <v/>
      </c>
      <c r="AX33" s="43">
        <f>AX$24+AX$25+AX$26+AX$27+AX$28+AX$29+AX$30+AX$31+AX$32</f>
        <v/>
      </c>
      <c r="AY33" s="43">
        <f>AY$24+AY$25+AY$26+AY$27+AY$28+AY$29+AY$30+AY$31+AY$32</f>
        <v/>
      </c>
      <c r="AZ33" s="43">
        <f>AZ$24+AZ$25+AZ$26+AZ$27+AZ$28+AZ$29+AZ$30+AZ$31+AZ$32</f>
        <v/>
      </c>
      <c r="BA33" s="43">
        <f>BA$24+BA$25+BA$26+BA$27+BA$28+BA$29+BA$30+BA$31+BA$32</f>
        <v/>
      </c>
      <c r="BB33" s="43">
        <f>BB$24+BB$25+BB$26+BB$27+BB$28+BB$29+BB$30+BB$31+BB$32</f>
        <v/>
      </c>
      <c r="BC33" s="43">
        <f>BC$24+BC$25+BC$26+BC$27+BC$28+BC$29+BC$30+BC$31+BC$32</f>
        <v/>
      </c>
      <c r="BD33" s="43">
        <f>BD$24+BD$25+BD$26+BD$27+BD$28+BD$29+BD$30+BD$31+BD$32</f>
        <v/>
      </c>
      <c r="BE33" s="43">
        <f>BE$24+BE$25+BE$26+BE$27+BE$28+BE$29+BE$30+BE$31+BE$32</f>
        <v/>
      </c>
      <c r="BF33" s="43">
        <f>BF$24+BF$25+BF$26+BF$27+BF$28+BF$29+BF$30+BF$31+BF$32</f>
        <v/>
      </c>
      <c r="BG33" s="43">
        <f>BG$24+BG$25+BG$26+BG$27+BG$28+BG$29+BG$30+BG$31+BG$32</f>
        <v/>
      </c>
      <c r="BH33" s="43">
        <f>BH$24+BH$25+BH$26+BH$27+BH$28+BH$29+BH$30+BH$31+BH$32</f>
        <v/>
      </c>
      <c r="BI33" s="43">
        <f>BI$24+BI$25+BI$26+BI$27+BI$28+BI$29+BI$30+BI$31+BI$32</f>
        <v/>
      </c>
      <c r="BJ33" s="43">
        <f>BJ$24+BJ$25+BJ$26+BJ$27+BJ$28+BJ$29+BJ$30+BJ$31+BJ$32</f>
        <v/>
      </c>
      <c r="BK33" s="43">
        <f>BK$24+BK$25+BK$26+BK$27+BK$28+BK$29+BK$30+BK$31+BK$32</f>
        <v/>
      </c>
      <c r="BL33" s="43">
        <f>BL$24+BL$25+BL$26+BL$27+BL$28+BL$29+BL$30+BL$31+BL$32</f>
        <v/>
      </c>
      <c r="BM33" s="43">
        <f>BM$24+BM$25+BM$26+BM$27+BM$28+BM$29+BM$30+BM$31+BM$32</f>
        <v/>
      </c>
      <c r="BN33" s="43">
        <f>BN$24+BN$25+BN$26+BN$27+BN$28+BN$29+BN$30+BN$31+BN$32</f>
        <v/>
      </c>
      <c r="BO33" s="43">
        <f>BO$24+BO$25+BO$26+BO$27+BO$28+BO$29+BO$30+BO$31+BO$32</f>
        <v/>
      </c>
      <c r="BP33" s="43">
        <f>BP$24+BP$25+BP$26+BP$27+BP$28+BP$29+BP$30+BP$31+BP$32</f>
        <v/>
      </c>
      <c r="BQ33" s="43">
        <f>BQ$24+BQ$25+BQ$26+BQ$27+BQ$28+BQ$29+BQ$30+BQ$31+BQ$32</f>
        <v/>
      </c>
      <c r="BR33" s="43">
        <f>BR$24+BR$25+BR$26+BR$27+BR$28+BR$29+BR$30+BR$31+BR$32</f>
        <v/>
      </c>
      <c r="BS33" s="43">
        <f>BS$24+BS$25+BS$26+BS$27+BS$28+BS$29+BS$30+BS$31+BS$32</f>
        <v/>
      </c>
      <c r="BT33" s="43">
        <f>BT$24+BT$25+BT$26+BT$27+BT$28+BT$29+BT$30+BT$31+BT$32</f>
        <v/>
      </c>
      <c r="BU33" s="43">
        <f>BU$24+BU$25+BU$26+BU$27+BU$28+BU$29+BU$30+BU$31+BU$32</f>
        <v/>
      </c>
      <c r="BV33" s="43">
        <f>BV$24+BV$25+BV$26+BV$27+BV$28+BV$29+BV$30+BV$31+BV$32</f>
        <v/>
      </c>
      <c r="BW33" s="43">
        <f>BW$24+BW$25+BW$26+BW$27+BW$28+BW$29+BW$30+BW$31+BW$32</f>
        <v/>
      </c>
      <c r="BX33" s="43">
        <f>BX$24+BX$25+BX$26+BX$27+BX$28+BX$29+BX$30+BX$31+BX$32</f>
        <v/>
      </c>
      <c r="BY33" s="43">
        <f>BY$24+BY$25+BY$26+BY$27+BY$28+BY$29+BY$30+BY$31+BY$32</f>
        <v/>
      </c>
      <c r="BZ33" s="43">
        <f>BZ$24+BZ$25+BZ$26+BZ$27+BZ$28+BZ$29+BZ$30+BZ$31+BZ$32</f>
        <v/>
      </c>
      <c r="CA33" s="43">
        <f>CA$24+CA$25+CA$26+CA$27+CA$28+CA$29+CA$30+CA$31+CA$32</f>
        <v/>
      </c>
      <c r="CB33" s="43">
        <f>CB$24+CB$25+CB$26+CB$27+CB$28+CB$29+CB$30+CB$31+CB$32</f>
        <v/>
      </c>
      <c r="CC33" s="43">
        <f>CC$24+CC$25+CC$26+CC$27+CC$28+CC$29+CC$30+CC$31+CC$32</f>
        <v/>
      </c>
      <c r="CD33" s="43">
        <f>CD$24+CD$25+CD$26+CD$27+CD$28+CD$29+CD$30+CD$31+CD$32</f>
        <v/>
      </c>
      <c r="CE33" s="43">
        <f>CE$24+CE$25+CE$26+CE$27+CE$28+CE$29+CE$30+CE$31+CE$32</f>
        <v/>
      </c>
      <c r="CF33" s="43">
        <f>CF$24+CF$25+CF$26+CF$27+CF$28+CF$29+CF$30+CF$31+CF$32</f>
        <v/>
      </c>
      <c r="CG33" s="43">
        <f>CG$24+CG$25+CG$26+CG$27+CG$28+CG$29+CG$30+CG$31+CG$32</f>
        <v/>
      </c>
      <c r="CH33" s="43">
        <f>CH$24+CH$25+CH$26+CH$27+CH$28+CH$29+CH$30+CH$31+CH$32</f>
        <v/>
      </c>
      <c r="CI33" s="43">
        <f>CI$24+CI$25+CI$26+CI$27+CI$28+CI$29+CI$30+CI$31+CI$32</f>
        <v/>
      </c>
      <c r="CJ33" s="43">
        <f>CJ$24+CJ$25+CJ$26+CJ$27+CJ$28+CJ$29+CJ$30+CJ$31+CJ$32</f>
        <v/>
      </c>
      <c r="CK33" s="43">
        <f>CK$24+CK$25+CK$26+CK$27+CK$28+CK$29+CK$30+CK$31+CK$32</f>
        <v/>
      </c>
      <c r="CL33" s="43">
        <f>CL$24+CL$25+CL$26+CL$27+CL$28+CL$29+CL$30+CL$31+CL$32</f>
        <v/>
      </c>
      <c r="CM33" s="43">
        <f>CM$24+CM$25+CM$26+CM$27+CM$28+CM$29+CM$30+CM$31+CM$32</f>
        <v/>
      </c>
      <c r="CN33" s="43">
        <f>CN$24+CN$25+CN$26+CN$27+CN$28+CN$29+CN$30+CN$31+CN$32</f>
        <v/>
      </c>
      <c r="CO33" s="43">
        <f>CO$24+CO$25+CO$26+CO$27+CO$28+CO$29+CO$30+CO$31+CO$32</f>
        <v/>
      </c>
      <c r="CP33" s="43">
        <f>CP$24+CP$25+CP$26+CP$27+CP$28+CP$29+CP$30+CP$31+CP$32</f>
        <v/>
      </c>
      <c r="CQ33" s="43">
        <f>CQ$24+CQ$25+CQ$26+CQ$27+CQ$28+CQ$29+CQ$30+CQ$31+CQ$32</f>
        <v/>
      </c>
      <c r="CR33" s="43">
        <f>CR$24+CR$25+CR$26+CR$27+CR$28+CR$29+CR$30+CR$31+CR$32</f>
        <v/>
      </c>
      <c r="CS33" s="43">
        <f>CS$24+CS$25+CS$26+CS$27+CS$28+CS$29+CS$30+CS$31+CS$32</f>
        <v/>
      </c>
      <c r="CT33" s="43">
        <f>CT$24+CT$25+CT$26+CT$27+CT$28+CT$29+CT$30+CT$31+CT$32</f>
        <v/>
      </c>
      <c r="CU33" s="43">
        <f>CU$24+CU$25+CU$26+CU$27+CU$28+CU$29+CU$30+CU$31+CU$32</f>
        <v/>
      </c>
      <c r="CV33" s="43">
        <f>CV$24+CV$25+CV$26+CV$27+CV$28+CV$29+CV$30+CV$31+CV$32</f>
        <v/>
      </c>
      <c r="CW33" s="43">
        <f>CW$24+CW$25+CW$26+CW$27+CW$28+CW$29+CW$30+CW$31+CW$32</f>
        <v/>
      </c>
      <c r="CX33" s="43">
        <f>CX$24+CX$25+CX$26+CX$27+CX$28+CX$29+CX$30+CX$31+CX$32</f>
        <v/>
      </c>
      <c r="CY33" s="43">
        <f>CY$24+CY$25+CY$26+CY$27+CY$28+CY$29+CY$30+CY$31+CY$32</f>
        <v/>
      </c>
      <c r="CZ33" s="43">
        <f>CZ$24+CZ$25+CZ$26+CZ$27+CZ$28+CZ$29+CZ$30+CZ$31+CZ$32</f>
        <v/>
      </c>
      <c r="DA33" s="43">
        <f>DA$24+DA$25+DA$26+DA$27+DA$28+DA$29+DA$30+DA$31+DA$32</f>
        <v/>
      </c>
      <c r="DB33" s="43">
        <f>DB$24+DB$25+DB$26+DB$27+DB$28+DB$29+DB$30+DB$31+DB$32</f>
        <v/>
      </c>
      <c r="DC33" s="43">
        <f>DC$24+DC$25+DC$26+DC$27+DC$28+DC$29+DC$30+DC$31+DC$32</f>
        <v/>
      </c>
      <c r="DD33" s="43">
        <f>DD$24+DD$25+DD$26+DD$27+DD$28+DD$29+DD$30+DD$31+DD$32</f>
        <v/>
      </c>
      <c r="DE33" s="43">
        <f>DE$24+DE$25+DE$26+DE$27+DE$28+DE$29+DE$30+DE$31+DE$32</f>
        <v/>
      </c>
      <c r="DF33" s="43">
        <f>DF$24+DF$25+DF$26+DF$27+DF$28+DF$29+DF$30+DF$31+DF$32</f>
        <v/>
      </c>
      <c r="DG33" s="43">
        <f>DG$24+DG$25+DG$26+DG$27+DG$28+DG$29+DG$30+DG$31+DG$32</f>
        <v/>
      </c>
      <c r="DH33" s="43">
        <f>DH$24+DH$25+DH$26+DH$27+DH$28+DH$29+DH$30+DH$31+DH$32</f>
        <v/>
      </c>
      <c r="DI33" s="43">
        <f>DI$24+DI$25+DI$26+DI$27+DI$28+DI$29+DI$30+DI$31+DI$32</f>
        <v/>
      </c>
      <c r="DJ33" s="43">
        <f>DJ$24+DJ$25+DJ$26+DJ$27+DJ$28+DJ$29+DJ$30+DJ$31+DJ$32</f>
        <v/>
      </c>
      <c r="DK33" s="43">
        <f>DK$24+DK$25+DK$26+DK$27+DK$28+DK$29+DK$30+DK$31+DK$32</f>
        <v/>
      </c>
      <c r="DL33" s="43">
        <f>DL$24+DL$25+DL$26+DL$27+DL$28+DL$29+DL$30+DL$31+DL$32</f>
        <v/>
      </c>
      <c r="DM33" s="43">
        <f>DM$24+DM$25+DM$26+DM$27+DM$28+DM$29+DM$30+DM$31+DM$32</f>
        <v/>
      </c>
      <c r="DN33" s="43">
        <f>DN$24+DN$25+DN$26+DN$27+DN$28+DN$29+DN$30+DN$31+DN$32</f>
        <v/>
      </c>
      <c r="DO33" s="43">
        <f>DO$24+DO$25+DO$26+DO$27+DO$28+DO$29+DO$30+DO$31+DO$32</f>
        <v/>
      </c>
      <c r="DP33" s="43">
        <f>DP$24+DP$25+DP$26+DP$27+DP$28+DP$29+DP$30+DP$31+DP$32</f>
        <v/>
      </c>
      <c r="DQ33" s="43">
        <f>DQ$24+DQ$25+DQ$26+DQ$27+DQ$28+DQ$29+DQ$30+DQ$31+DQ$32</f>
        <v/>
      </c>
      <c r="DR33" s="43">
        <f>DR$24+DR$25+DR$26+DR$27+DR$28+DR$29+DR$30+DR$31+DR$32</f>
        <v/>
      </c>
      <c r="DS33" s="43">
        <f>DS$24+DS$25+DS$26+DS$27+DS$28+DS$29+DS$30+DS$31+DS$32</f>
        <v/>
      </c>
      <c r="DT33" s="43">
        <f>DT$24+DT$25+DT$26+DT$27+DT$28+DT$29+DT$30+DT$31+DT$32</f>
        <v/>
      </c>
      <c r="DU33" s="43">
        <f>DU$24+DU$25+DU$26+DU$27+DU$28+DU$29+DU$30+DU$31+DU$32</f>
        <v/>
      </c>
      <c r="DV33" s="43">
        <f>DV$24+DV$25+DV$26+DV$27+DV$28+DV$29+DV$30+DV$31+DV$32</f>
        <v/>
      </c>
      <c r="DW33" s="43">
        <f>DW$24+DW$25+DW$26+DW$27+DW$28+DW$29+DW$30+DW$31+DW$32</f>
        <v/>
      </c>
      <c r="DX33" s="43">
        <f>DX$24+DX$25+DX$26+DX$27+DX$28+DX$29+DX$30+DX$31+DX$32</f>
        <v/>
      </c>
      <c r="DY33" s="43">
        <f>DY$24+DY$25+DY$26+DY$27+DY$28+DY$29+DY$30+DY$31+DY$32</f>
        <v/>
      </c>
      <c r="DZ33" s="43">
        <f>DZ$24+DZ$25+DZ$26+DZ$27+DZ$28+DZ$29+DZ$30+DZ$31+DZ$32</f>
        <v/>
      </c>
      <c r="EA33" s="43">
        <f>EA$24+EA$25+EA$26+EA$27+EA$28+EA$29+EA$30+EA$31+EA$32</f>
        <v/>
      </c>
      <c r="EB33" s="43">
        <f>EB$24+EB$25+EB$26+EB$27+EB$28+EB$29+EB$30+EB$31+EB$32</f>
        <v/>
      </c>
      <c r="EC33" s="43">
        <f>EC$24+EC$25+EC$26+EC$27+EC$28+EC$29+EC$30+EC$31+EC$32</f>
        <v/>
      </c>
      <c r="ED33" s="43">
        <f>ED$24+ED$25+ED$26+ED$27+ED$28+ED$29+ED$30+ED$31+ED$32</f>
        <v/>
      </c>
      <c r="EE33" s="43">
        <f>EE$24+EE$25+EE$26+EE$27+EE$28+EE$29+EE$30+EE$31+EE$32</f>
        <v/>
      </c>
      <c r="EF33" s="43">
        <f>EF$24+EF$25+EF$26+EF$27+EF$28+EF$29+EF$30+EF$31+EF$32</f>
        <v/>
      </c>
      <c r="EG33" s="43">
        <f>EG$24+EG$25+EG$26+EG$27+EG$28+EG$29+EG$30+EG$31+EG$32</f>
        <v/>
      </c>
      <c r="EH33" s="43">
        <f>EH$24+EH$25+EH$26+EH$27+EH$28+EH$29+EH$30+EH$31+EH$32</f>
        <v/>
      </c>
      <c r="EI33" s="43">
        <f>EI$24+EI$25+EI$26+EI$27+EI$28+EI$29+EI$30+EI$31+EI$32</f>
        <v/>
      </c>
      <c r="EJ33" s="43">
        <f>EJ$24+EJ$25+EJ$26+EJ$27+EJ$28+EJ$29+EJ$30+EJ$31+EJ$32</f>
        <v/>
      </c>
      <c r="EK33" s="43">
        <f>EK$24+EK$25+EK$26+EK$27+EK$28+EK$29+EK$30+EK$31+EK$32</f>
        <v/>
      </c>
      <c r="EL33" s="43">
        <f>EL$24+EL$25+EL$26+EL$27+EL$28+EL$29+EL$30+EL$31+EL$32</f>
        <v/>
      </c>
      <c r="EM33" s="43">
        <f>EM$24+EM$25+EM$26+EM$27+EM$28+EM$29+EM$30+EM$31+EM$32</f>
        <v/>
      </c>
      <c r="EN33" s="43">
        <f>EN$24+EN$25+EN$26+EN$27+EN$28+EN$29+EN$30+EN$31+EN$32</f>
        <v/>
      </c>
      <c r="EO33" s="43">
        <f>EO$24+EO$25+EO$26+EO$27+EO$28+EO$29+EO$30+EO$31+EO$32</f>
        <v/>
      </c>
      <c r="EP33" s="43">
        <f>EP$24+EP$25+EP$26+EP$27+EP$28+EP$29+EP$30+EP$31+EP$32</f>
        <v/>
      </c>
      <c r="EQ33" s="43">
        <f>EQ$24+EQ$25+EQ$26+EQ$27+EQ$28+EQ$29+EQ$30+EQ$31+EQ$32</f>
        <v/>
      </c>
      <c r="ER33" s="43">
        <f>ER$24+ER$25+ER$26+ER$27+ER$28+ER$29+ER$30+ER$31+ER$32</f>
        <v/>
      </c>
      <c r="ES33" s="43">
        <f>ES$24+ES$25+ES$26+ES$27+ES$28+ES$29+ES$30+ES$31+ES$32</f>
        <v/>
      </c>
      <c r="ET33" s="43">
        <f>ET$24+ET$25+ET$26+ET$27+ET$28+ET$29+ET$30+ET$31+ET$32</f>
        <v/>
      </c>
      <c r="EU33" s="43">
        <f>EU$24+EU$25+EU$26+EU$27+EU$28+EU$29+EU$30+EU$31+EU$32</f>
        <v/>
      </c>
      <c r="EV33" s="43">
        <f>EV$24+EV$25+EV$26+EV$27+EV$28+EV$29+EV$30+EV$31+EV$32</f>
        <v/>
      </c>
      <c r="EW33" s="43">
        <f>EW$24+EW$25+EW$26+EW$27+EW$28+EW$29+EW$30+EW$31+EW$32</f>
        <v/>
      </c>
      <c r="EX33" s="43">
        <f>EX$24+EX$25+EX$26+EX$27+EX$28+EX$29+EX$30+EX$31+EX$32</f>
        <v/>
      </c>
      <c r="EY33" s="43">
        <f>EY$24+EY$25+EY$26+EY$27+EY$28+EY$29+EY$30+EY$31+EY$32</f>
        <v/>
      </c>
      <c r="EZ33" s="43">
        <f>EZ$24+EZ$25+EZ$26+EZ$27+EZ$28+EZ$29+EZ$30+EZ$31+EZ$32</f>
        <v/>
      </c>
      <c r="FA33" s="43">
        <f>FA$24+FA$25+FA$26+FA$27+FA$28+FA$29+FA$30+FA$31+FA$32</f>
        <v/>
      </c>
      <c r="FB33" s="43">
        <f>FB$24+FB$25+FB$26+FB$27+FB$28+FB$29+FB$30+FB$31+FB$32</f>
        <v/>
      </c>
      <c r="FC33" s="43">
        <f>FC$24+FC$25+FC$26+FC$27+FC$28+FC$29+FC$30+FC$31+FC$32</f>
        <v/>
      </c>
      <c r="FD33" s="43">
        <f>FD$24+FD$25+FD$26+FD$27+FD$28+FD$29+FD$30+FD$31+FD$32</f>
        <v/>
      </c>
      <c r="FE33" s="43">
        <f>FE$24+FE$25+FE$26+FE$27+FE$28+FE$29+FE$30+FE$31+FE$32</f>
        <v/>
      </c>
      <c r="FF33" s="43">
        <f>FF$24+FF$25+FF$26+FF$27+FF$28+FF$29+FF$30+FF$31+FF$32</f>
        <v/>
      </c>
      <c r="FG33" s="43">
        <f>FG$24+FG$25+FG$26+FG$27+FG$28+FG$29+FG$30+FG$31+FG$32</f>
        <v/>
      </c>
      <c r="FH33" s="43">
        <f>FH$24+FH$25+FH$26+FH$27+FH$28+FH$29+FH$30+FH$31+FH$32</f>
        <v/>
      </c>
      <c r="FI33" s="43">
        <f>FI$24+FI$25+FI$26+FI$27+FI$28+FI$29+FI$30+FI$31+FI$32</f>
        <v/>
      </c>
      <c r="FJ33" s="43">
        <f>FJ$24+FJ$25+FJ$26+FJ$27+FJ$28+FJ$29+FJ$30+FJ$31+FJ$32</f>
        <v/>
      </c>
      <c r="FK33" s="43">
        <f>FK$24+FK$25+FK$26+FK$27+FK$28+FK$29+FK$30+FK$31+FK$32</f>
        <v/>
      </c>
      <c r="FL33" s="43">
        <f>FL$24+FL$25+FL$26+FL$27+FL$28+FL$29+FL$30+FL$31+FL$32</f>
        <v/>
      </c>
      <c r="FM33" s="43">
        <f>FM$24+FM$25+FM$26+FM$27+FM$28+FM$29+FM$30+FM$31+FM$32</f>
        <v/>
      </c>
      <c r="FN33" s="43">
        <f>FN$24+FN$25+FN$26+FN$27+FN$28+FN$29+FN$30+FN$31+FN$32</f>
        <v/>
      </c>
      <c r="FO33" s="43">
        <f>FO$24+FO$25+FO$26+FO$27+FO$28+FO$29+FO$30+FO$31+FO$32</f>
        <v/>
      </c>
      <c r="FP33" s="43">
        <f>FP$24+FP$25+FP$26+FP$27+FP$28+FP$29+FP$30+FP$31+FP$32</f>
        <v/>
      </c>
      <c r="FQ33" s="43">
        <f>FQ$24+FQ$25+FQ$26+FQ$27+FQ$28+FQ$29+FQ$30+FQ$31+FQ$32</f>
        <v/>
      </c>
      <c r="FR33" s="43">
        <f>FR$24+FR$25+FR$26+FR$27+FR$28+FR$29+FR$30+FR$31+FR$32</f>
        <v/>
      </c>
      <c r="FS33" s="43">
        <f>FS$24+FS$25+FS$26+FS$27+FS$28+FS$29+FS$30+FS$31+FS$32</f>
        <v/>
      </c>
      <c r="FT33" s="43">
        <f>FT$24+FT$25+FT$26+FT$27+FT$28+FT$29+FT$30+FT$31+FT$32</f>
        <v/>
      </c>
      <c r="FU33" s="43">
        <f>FU$24+FU$25+FU$26+FU$27+FU$28+FU$29+FU$30+FU$31+FU$32</f>
        <v/>
      </c>
      <c r="FV33" s="43">
        <f>FV$24+FV$25+FV$26+FV$27+FV$28+FV$29+FV$30+FV$31+FV$32</f>
        <v/>
      </c>
      <c r="FW33" s="43">
        <f>FW$24+FW$25+FW$26+FW$27+FW$28+FW$29+FW$30+FW$31+FW$32</f>
        <v/>
      </c>
      <c r="FX33" s="43">
        <f>FX$24+FX$25+FX$26+FX$27+FX$28+FX$29+FX$30+FX$31+FX$32</f>
        <v/>
      </c>
      <c r="FY33" s="43">
        <f>FY$24+FY$25+FY$26+FY$27+FY$28+FY$29+FY$30+FY$31+FY$32</f>
        <v/>
      </c>
      <c r="FZ33" s="43">
        <f>FZ$24+FZ$25+FZ$26+FZ$27+FZ$28+FZ$29+FZ$30+FZ$31+FZ$32</f>
        <v/>
      </c>
      <c r="GA33" s="43">
        <f>GA$24+GA$25+GA$26+GA$27+GA$28+GA$29+GA$30+GA$31+GA$32</f>
        <v/>
      </c>
      <c r="GB33" s="43">
        <f>GB$24+GB$25+GB$26+GB$27+GB$28+GB$29+GB$30+GB$31+GB$32</f>
        <v/>
      </c>
      <c r="GC33" s="43">
        <f>GC$24+GC$25+GC$26+GC$27+GC$28+GC$29+GC$30+GC$31+GC$32</f>
        <v/>
      </c>
      <c r="GD33" s="43">
        <f>GD$24+GD$25+GD$26+GD$27+GD$28+GD$29+GD$30+GD$31+GD$32</f>
        <v/>
      </c>
      <c r="GE33" s="43">
        <f>GE$24+GE$25+GE$26+GE$27+GE$28+GE$29+GE$30+GE$31+GE$32</f>
        <v/>
      </c>
      <c r="GF33" s="43">
        <f>GF$24+GF$25+GF$26+GF$27+GF$28+GF$29+GF$30+GF$31+GF$32</f>
        <v/>
      </c>
      <c r="GG33" s="43">
        <f>GG$24+GG$25+GG$26+GG$27+GG$28+GG$29+GG$30+GG$31+GG$32</f>
        <v/>
      </c>
      <c r="GH33" s="43">
        <f>GH$24+GH$25+GH$26+GH$27+GH$28+GH$29+GH$30+GH$31+GH$32</f>
        <v/>
      </c>
      <c r="GI33" s="43">
        <f>GI$24+GI$25+GI$26+GI$27+GI$28+GI$29+GI$30+GI$31+GI$32</f>
        <v/>
      </c>
      <c r="GJ33" s="43">
        <f>GJ$24+GJ$25+GJ$26+GJ$27+GJ$28+GJ$29+GJ$30+GJ$31+GJ$32</f>
        <v/>
      </c>
      <c r="GK33" s="43">
        <f>GK$24+GK$25+GK$26+GK$27+GK$28+GK$29+GK$30+GK$31+GK$32</f>
        <v/>
      </c>
      <c r="GL33" s="43">
        <f>GL$24+GL$25+GL$26+GL$27+GL$28+GL$29+GL$30+GL$31+GL$32</f>
        <v/>
      </c>
      <c r="GM33" s="43">
        <f>GM$24+GM$25+GM$26+GM$27+GM$28+GM$29+GM$30+GM$31+GM$32</f>
        <v/>
      </c>
      <c r="GN33" s="43">
        <f>GN$24+GN$25+GN$26+GN$27+GN$28+GN$29+GN$30+GN$31+GN$32</f>
        <v/>
      </c>
      <c r="GO33" s="43">
        <f>GO$24+GO$25+GO$26+GO$27+GO$28+GO$29+GO$30+GO$31+GO$32</f>
        <v/>
      </c>
      <c r="GP33" s="43">
        <f>GP$24+GP$25+GP$26+GP$27+GP$28+GP$29+GP$30+GP$31+GP$32</f>
        <v/>
      </c>
      <c r="GQ33" s="43">
        <f>GQ$24+GQ$25+GQ$26+GQ$27+GQ$28+GQ$29+GQ$30+GQ$31+GQ$32</f>
        <v/>
      </c>
      <c r="GR33" s="43">
        <f>GR$24+GR$25+GR$26+GR$27+GR$28+GR$29+GR$30+GR$31+GR$32</f>
        <v/>
      </c>
      <c r="GS33" s="43">
        <f>GS$24+GS$25+GS$26+GS$27+GS$28+GS$29+GS$30+GS$31+GS$32</f>
        <v/>
      </c>
      <c r="GT33" s="43">
        <f>GT$24+GT$25+GT$26+GT$27+GT$28+GT$29+GT$30+GT$31+GT$32</f>
        <v/>
      </c>
      <c r="GU33" s="43">
        <f>GU$24+GU$25+GU$26+GU$27+GU$28+GU$29+GU$30+GU$31+GU$32</f>
        <v/>
      </c>
      <c r="GV33" s="43">
        <f>GV$24+GV$25+GV$26+GV$27+GV$28+GV$29+GV$30+GV$31+GV$32</f>
        <v/>
      </c>
      <c r="GW33" s="43">
        <f>GW$24+GW$25+GW$26+GW$27+GW$28+GW$29+GW$30+GW$31+GW$32</f>
        <v/>
      </c>
      <c r="GX33" s="43">
        <f>GX$24+GX$25+GX$26+GX$27+GX$28+GX$29+GX$30+GX$31+GX$32</f>
        <v/>
      </c>
      <c r="GY33" s="43">
        <f>GY$24+GY$25+GY$26+GY$27+GY$28+GY$29+GY$30+GY$31+GY$32</f>
        <v/>
      </c>
      <c r="GZ33" s="43">
        <f>GZ$24+GZ$25+GZ$26+GZ$27+GZ$28+GZ$29+GZ$30+GZ$31+GZ$32</f>
        <v/>
      </c>
      <c r="HA33" s="43">
        <f>HA$24+HA$25+HA$26+HA$27+HA$28+HA$29+HA$30+HA$31+HA$32</f>
        <v/>
      </c>
      <c r="HB33" s="43">
        <f>HB$24+HB$25+HB$26+HB$27+HB$28+HB$29+HB$30+HB$31+HB$32</f>
        <v/>
      </c>
      <c r="HC33" s="43">
        <f>HC$24+HC$25+HC$26+HC$27+HC$28+HC$29+HC$30+HC$31+HC$32</f>
        <v/>
      </c>
      <c r="HD33" s="43">
        <f>HD$24+HD$25+HD$26+HD$27+HD$28+HD$29+HD$30+HD$31+HD$32</f>
        <v/>
      </c>
      <c r="HE33" s="43">
        <f>HE$24+HE$25+HE$26+HE$27+HE$28+HE$29+HE$30+HE$31+HE$32</f>
        <v/>
      </c>
      <c r="HF33" s="43">
        <f>HF$24+HF$25+HF$26+HF$27+HF$28+HF$29+HF$30+HF$31+HF$32</f>
        <v/>
      </c>
      <c r="HG33" s="43">
        <f>HG$24+HG$25+HG$26+HG$27+HG$28+HG$29+HG$30+HG$31+HG$32</f>
        <v/>
      </c>
      <c r="HH33" s="43">
        <f>HH$24+HH$25+HH$26+HH$27+HH$28+HH$29+HH$30+HH$31+HH$32</f>
        <v/>
      </c>
      <c r="HI33" s="43">
        <f>HI$24+HI$25+HI$26+HI$27+HI$28+HI$29+HI$30+HI$31+HI$32</f>
        <v/>
      </c>
      <c r="HJ33" s="43">
        <f>HJ$24+HJ$25+HJ$26+HJ$27+HJ$28+HJ$29+HJ$30+HJ$31+HJ$32</f>
        <v/>
      </c>
      <c r="HK33" s="43">
        <f>HK$24+HK$25+HK$26+HK$27+HK$28+HK$29+HK$30+HK$31+HK$32</f>
        <v/>
      </c>
      <c r="HL33" s="43">
        <f>HL$24+HL$25+HL$26+HL$27+HL$28+HL$29+HL$30+HL$31+HL$32</f>
        <v/>
      </c>
      <c r="HM33" s="43">
        <f>HM$24+HM$25+HM$26+HM$27+HM$28+HM$29+HM$30+HM$31+HM$32</f>
        <v/>
      </c>
      <c r="HN33" s="43">
        <f>HN$24+HN$25+HN$26+HN$27+HN$28+HN$29+HN$30+HN$31+HN$32</f>
        <v/>
      </c>
      <c r="HO33" s="43">
        <f>HO$24+HO$25+HO$26+HO$27+HO$28+HO$29+HO$30+HO$31+HO$32</f>
        <v/>
      </c>
      <c r="HP33" s="43">
        <f>HP$24+HP$25+HP$26+HP$27+HP$28+HP$29+HP$30+HP$31+HP$32</f>
        <v/>
      </c>
      <c r="HQ33" s="43">
        <f>HQ$24+HQ$25+HQ$26+HQ$27+HQ$28+HQ$29+HQ$30+HQ$31+HQ$32</f>
        <v/>
      </c>
      <c r="HR33" s="43">
        <f>HR$24+HR$25+HR$26+HR$27+HR$28+HR$29+HR$30+HR$31+HR$32</f>
        <v/>
      </c>
      <c r="HS33" s="43">
        <f>HS$24+HS$25+HS$26+HS$27+HS$28+HS$29+HS$30+HS$31+HS$32</f>
        <v/>
      </c>
      <c r="HT33" s="43">
        <f>HT$24+HT$25+HT$26+HT$27+HT$28+HT$29+HT$30+HT$31+HT$32</f>
        <v/>
      </c>
      <c r="HU33" s="43">
        <f>HU$24+HU$25+HU$26+HU$27+HU$28+HU$29+HU$30+HU$31+HU$32</f>
        <v/>
      </c>
      <c r="HV33" s="43">
        <f>HV$24+HV$25+HV$26+HV$27+HV$28+HV$29+HV$30+HV$31+HV$32</f>
        <v/>
      </c>
      <c r="HW33" s="43">
        <f>HW$24+HW$25+HW$26+HW$27+HW$28+HW$29+HW$30+HW$31+HW$32</f>
        <v/>
      </c>
      <c r="HX33" s="43">
        <f>HX$24+HX$25+HX$26+HX$27+HX$28+HX$29+HX$30+HX$31+HX$32</f>
        <v/>
      </c>
      <c r="HY33" s="43">
        <f>HY$24+HY$25+HY$26+HY$27+HY$28+HY$29+HY$30+HY$31+HY$32</f>
        <v/>
      </c>
      <c r="HZ33" s="43">
        <f>HZ$24+HZ$25+HZ$26+HZ$27+HZ$28+HZ$29+HZ$30+HZ$31+HZ$32</f>
        <v/>
      </c>
      <c r="IA33" s="43">
        <f>IA$24+IA$25+IA$26+IA$27+IA$28+IA$29+IA$30+IA$31+IA$32</f>
        <v/>
      </c>
      <c r="IB33" s="43">
        <f>IB$24+IB$25+IB$26+IB$27+IB$28+IB$29+IB$30+IB$31+IB$32</f>
        <v/>
      </c>
      <c r="IC33" s="43">
        <f>IC$24+IC$25+IC$26+IC$27+IC$28+IC$29+IC$30+IC$31+IC$32</f>
        <v/>
      </c>
      <c r="ID33" s="43">
        <f>ID$24+ID$25+ID$26+ID$27+ID$28+ID$29+ID$30+ID$31+ID$32</f>
        <v/>
      </c>
      <c r="IE33" s="43">
        <f>IE$24+IE$25+IE$26+IE$27+IE$28+IE$29+IE$30+IE$31+IE$32</f>
        <v/>
      </c>
      <c r="IF33" s="43">
        <f>IF$24+IF$25+IF$26+IF$27+IF$28+IF$29+IF$30+IF$31+IF$32</f>
        <v/>
      </c>
      <c r="IG33" s="43">
        <f>IG$24+IG$25+IG$26+IG$27+IG$28+IG$29+IG$30+IG$31+IG$32</f>
        <v/>
      </c>
      <c r="IH33" s="43">
        <f>IH$24+IH$25+IH$26+IH$27+IH$28+IH$29+IH$30+IH$31+IH$32</f>
        <v/>
      </c>
      <c r="II33" s="43">
        <f>II$24+II$25+II$26+II$27+II$28+II$29+II$30+II$31+II$32</f>
        <v/>
      </c>
      <c r="IJ33" s="43">
        <f>IJ$24+IJ$25+IJ$26+IJ$27+IJ$28+IJ$29+IJ$30+IJ$31+IJ$32</f>
        <v/>
      </c>
      <c r="IK33" s="43">
        <f>IK$24+IK$25+IK$26+IK$27+IK$28+IK$29+IK$30+IK$31+IK$32</f>
        <v/>
      </c>
      <c r="IL33" s="43">
        <f>IL$24+IL$25+IL$26+IL$27+IL$28+IL$29+IL$30+IL$31+IL$32</f>
        <v/>
      </c>
      <c r="IM33" s="43">
        <f>IM$24+IM$25+IM$26+IM$27+IM$28+IM$29+IM$30+IM$31+IM$32</f>
        <v/>
      </c>
      <c r="IN33" s="43">
        <f>IN$24+IN$25+IN$26+IN$27+IN$28+IN$29+IN$30+IN$31+IN$32</f>
        <v/>
      </c>
      <c r="IO33" s="43">
        <f>IO$24+IO$25+IO$26+IO$27+IO$28+IO$29+IO$30+IO$31+IO$32</f>
        <v/>
      </c>
      <c r="IP33" s="43">
        <f>IP$24+IP$25+IP$26+IP$27+IP$28+IP$29+IP$30+IP$31+IP$32</f>
        <v/>
      </c>
      <c r="IQ33" s="43">
        <f>IQ$24+IQ$25+IQ$26+IQ$27+IQ$28+IQ$29+IQ$30+IQ$31+IQ$32</f>
        <v/>
      </c>
      <c r="IR33" s="43">
        <f>IR$24+IR$25+IR$26+IR$27+IR$28+IR$29+IR$30+IR$31+IR$32</f>
        <v/>
      </c>
      <c r="IS33" s="43">
        <f>IS$24+IS$25+IS$26+IS$27+IS$28+IS$29+IS$30+IS$31+IS$32</f>
        <v/>
      </c>
      <c r="IT33" s="43">
        <f>IT$24+IT$25+IT$26+IT$27+IT$28+IT$29+IT$30+IT$31+IT$32</f>
        <v/>
      </c>
      <c r="IU33" s="43">
        <f>IU$24+IU$25+IU$26+IU$27+IU$28+IU$29+IU$30+IU$31+IU$32</f>
        <v/>
      </c>
      <c r="IV33" s="43">
        <f>IV$24+IV$25+IV$26+IV$27+IV$28+IV$29+IV$30+IV$31+IV$32</f>
        <v/>
      </c>
      <c r="IW33" s="43">
        <f>IW$24+IW$25+IW$26+IW$27+IW$28+IW$29+IW$30+IW$31+IW$32</f>
        <v/>
      </c>
      <c r="IX33" s="43">
        <f>IX$24+IX$25+IX$26+IX$27+IX$28+IX$29+IX$30+IX$31+IX$32</f>
        <v/>
      </c>
      <c r="IY33" s="43">
        <f>IY$24+IY$25+IY$26+IY$27+IY$28+IY$29+IY$30+IY$31+IY$32</f>
        <v/>
      </c>
      <c r="IZ33" s="43">
        <f>IZ$24+IZ$25+IZ$26+IZ$27+IZ$28+IZ$29+IZ$30+IZ$31+IZ$32</f>
        <v/>
      </c>
      <c r="JA33" s="43">
        <f>JA$24+JA$25+JA$26+JA$27+JA$28+JA$29+JA$30+JA$31+JA$32</f>
        <v/>
      </c>
      <c r="JB33" s="43">
        <f>JB$24+JB$25+JB$26+JB$27+JB$28+JB$29+JB$30+JB$31+JB$32</f>
        <v/>
      </c>
      <c r="JC33" s="43">
        <f>JC$24+JC$25+JC$26+JC$27+JC$28+JC$29+JC$30+JC$31+JC$32</f>
        <v/>
      </c>
      <c r="JD33" s="43">
        <f>JD$24+JD$25+JD$26+JD$27+JD$28+JD$29+JD$30+JD$31+JD$32</f>
        <v/>
      </c>
      <c r="JE33" s="43">
        <f>JE$24+JE$25+JE$26+JE$27+JE$28+JE$29+JE$30+JE$31+JE$32</f>
        <v/>
      </c>
      <c r="JF33" s="43">
        <f>JF$24+JF$25+JF$26+JF$27+JF$28+JF$29+JF$30+JF$31+JF$32</f>
        <v/>
      </c>
      <c r="JG33" s="43">
        <f>JG$24+JG$25+JG$26+JG$27+JG$28+JG$29+JG$30+JG$31+JG$32</f>
        <v/>
      </c>
      <c r="JH33" s="43">
        <f>JH$24+JH$25+JH$26+JH$27+JH$28+JH$29+JH$30+JH$31+JH$32</f>
        <v/>
      </c>
      <c r="JI33" s="43">
        <f>JI$24+JI$25+JI$26+JI$27+JI$28+JI$29+JI$30+JI$31+JI$32</f>
        <v/>
      </c>
      <c r="JJ33" s="43">
        <f>JJ$24+JJ$25+JJ$26+JJ$27+JJ$28+JJ$29+JJ$30+JJ$31+JJ$32</f>
        <v/>
      </c>
      <c r="JK33" s="43">
        <f>JK$24+JK$25+JK$26+JK$27+JK$28+JK$29+JK$30+JK$31+JK$32</f>
        <v/>
      </c>
      <c r="JL33" s="43">
        <f>JL$24+JL$25+JL$26+JL$27+JL$28+JL$29+JL$30+JL$31+JL$32</f>
        <v/>
      </c>
      <c r="JM33" s="43">
        <f>JM$24+JM$25+JM$26+JM$27+JM$28+JM$29+JM$30+JM$31+JM$32</f>
        <v/>
      </c>
      <c r="JN33" s="43">
        <f>JN$24+JN$25+JN$26+JN$27+JN$28+JN$29+JN$30+JN$31+JN$32</f>
        <v/>
      </c>
      <c r="JO33" s="43">
        <f>JO$24+JO$25+JO$26+JO$27+JO$28+JO$29+JO$30+JO$31+JO$32</f>
        <v/>
      </c>
      <c r="JP33" s="43">
        <f>JP$24+JP$25+JP$26+JP$27+JP$28+JP$29+JP$30+JP$31+JP$32</f>
        <v/>
      </c>
      <c r="JQ33" s="43">
        <f>JQ$24+JQ$25+JQ$26+JQ$27+JQ$28+JQ$29+JQ$30+JQ$31+JQ$32</f>
        <v/>
      </c>
      <c r="JR33" s="43">
        <f>JR$24+JR$25+JR$26+JR$27+JR$28+JR$29+JR$30+JR$31+JR$32</f>
        <v/>
      </c>
      <c r="JS33" s="43">
        <f>JS$24+JS$25+JS$26+JS$27+JS$28+JS$29+JS$30+JS$31+JS$32</f>
        <v/>
      </c>
      <c r="JT33" s="43">
        <f>JT$24+JT$25+JT$26+JT$27+JT$28+JT$29+JT$30+JT$31+JT$32</f>
        <v/>
      </c>
      <c r="JU33" s="43">
        <f>JU$24+JU$25+JU$26+JU$27+JU$28+JU$29+JU$30+JU$31+JU$32</f>
        <v/>
      </c>
      <c r="JV33" s="43">
        <f>JV$24+JV$25+JV$26+JV$27+JV$28+JV$29+JV$30+JV$31+JV$32</f>
        <v/>
      </c>
      <c r="JW33" s="43">
        <f>JW$24+JW$25+JW$26+JW$27+JW$28+JW$29+JW$30+JW$31+JW$32</f>
        <v/>
      </c>
      <c r="JX33" s="43">
        <f>JX$24+JX$25+JX$26+JX$27+JX$28+JX$29+JX$30+JX$31+JX$32</f>
        <v/>
      </c>
      <c r="JY33" s="43">
        <f>JY$24+JY$25+JY$26+JY$27+JY$28+JY$29+JY$30+JY$31+JY$32</f>
        <v/>
      </c>
      <c r="JZ33" s="43">
        <f>JZ$24+JZ$25+JZ$26+JZ$27+JZ$28+JZ$29+JZ$30+JZ$31+JZ$32</f>
        <v/>
      </c>
      <c r="KA33" s="43">
        <f>KA$24+KA$25+KA$26+KA$27+KA$28+KA$29+KA$30+KA$31+KA$32</f>
        <v/>
      </c>
      <c r="KB33" s="43">
        <f>KB$24+KB$25+KB$26+KB$27+KB$28+KB$29+KB$30+KB$31+KB$32</f>
        <v/>
      </c>
      <c r="KC33" s="43">
        <f>KC$24+KC$25+KC$26+KC$27+KC$28+KC$29+KC$30+KC$31+KC$32</f>
        <v/>
      </c>
      <c r="KD33" s="43">
        <f>KD$24+KD$25+KD$26+KD$27+KD$28+KD$29+KD$30+KD$31+KD$32</f>
        <v/>
      </c>
      <c r="KE33" s="43">
        <f>KE$24+KE$25+KE$26+KE$27+KE$28+KE$29+KE$30+KE$31+KE$32</f>
        <v/>
      </c>
      <c r="KF33" s="43">
        <f>KF$24+KF$25+KF$26+KF$27+KF$28+KF$29+KF$30+KF$31+KF$32</f>
        <v/>
      </c>
      <c r="KG33" s="43">
        <f>KG$24+KG$25+KG$26+KG$27+KG$28+KG$29+KG$30+KG$31+KG$32</f>
        <v/>
      </c>
      <c r="KH33" s="43">
        <f>KH$24+KH$25+KH$26+KH$27+KH$28+KH$29+KH$30+KH$31+KH$32</f>
        <v/>
      </c>
      <c r="KI33" s="43">
        <f>KI$24+KI$25+KI$26+KI$27+KI$28+KI$29+KI$30+KI$31+KI$32</f>
        <v/>
      </c>
      <c r="KJ33" s="43">
        <f>KJ$24+KJ$25+KJ$26+KJ$27+KJ$28+KJ$29+KJ$30+KJ$31+KJ$32</f>
        <v/>
      </c>
      <c r="KK33" s="43">
        <f>KK$24+KK$25+KK$26+KK$27+KK$28+KK$29+KK$30+KK$31+KK$32</f>
        <v/>
      </c>
      <c r="KL33" s="43">
        <f>KL$24+KL$25+KL$26+KL$27+KL$28+KL$29+KL$30+KL$31+KL$32</f>
        <v/>
      </c>
      <c r="KM33" s="43">
        <f>KM$24+KM$25+KM$26+KM$27+KM$28+KM$29+KM$30+KM$31+KM$32</f>
        <v/>
      </c>
      <c r="KN33" s="43">
        <f>KN$24+KN$25+KN$26+KN$27+KN$28+KN$29+KN$30+KN$31+KN$32</f>
        <v/>
      </c>
      <c r="KO33" s="43">
        <f>KO$24+KO$25+KO$26+KO$27+KO$28+KO$29+KO$30+KO$31+KO$32</f>
        <v/>
      </c>
      <c r="KP33" s="43">
        <f>KP$24+KP$25+KP$26+KP$27+KP$28+KP$29+KP$30+KP$31+KP$32</f>
        <v/>
      </c>
      <c r="KQ33" s="43">
        <f>KQ$24+KQ$25+KQ$26+KQ$27+KQ$28+KQ$29+KQ$30+KQ$31+KQ$32</f>
        <v/>
      </c>
      <c r="KR33" s="43">
        <f>KR$24+KR$25+KR$26+KR$27+KR$28+KR$29+KR$30+KR$31+KR$32</f>
        <v/>
      </c>
      <c r="KS33" s="43">
        <f>KS$24+KS$25+KS$26+KS$27+KS$28+KS$29+KS$30+KS$31+KS$32</f>
        <v/>
      </c>
      <c r="KT33" s="43">
        <f>KT$24+KT$25+KT$26+KT$27+KT$28+KT$29+KT$30+KT$31+KT$32</f>
        <v/>
      </c>
      <c r="KU33" s="43">
        <f>KU$24+KU$25+KU$26+KU$27+KU$28+KU$29+KU$30+KU$31+KU$32</f>
        <v/>
      </c>
      <c r="KV33" s="43">
        <f>KV$24+KV$25+KV$26+KV$27+KV$28+KV$29+KV$30+KV$31+KV$32</f>
        <v/>
      </c>
      <c r="KW33" s="43">
        <f>KW$24+KW$25+KW$26+KW$27+KW$28+KW$29+KW$30+KW$31+KW$32</f>
        <v/>
      </c>
      <c r="KX33" s="43">
        <f>KX$24+KX$25+KX$26+KX$27+KX$28+KX$29+KX$30+KX$31+KX$32</f>
        <v/>
      </c>
      <c r="KY33" s="43">
        <f>KY$24+KY$25+KY$26+KY$27+KY$28+KY$29+KY$30+KY$31+KY$32</f>
        <v/>
      </c>
      <c r="KZ33" s="43">
        <f>KZ$24+KZ$25+KZ$26+KZ$27+KZ$28+KZ$29+KZ$30+KZ$31+KZ$32</f>
        <v/>
      </c>
      <c r="LA33" s="43">
        <f>LA$24+LA$25+LA$26+LA$27+LA$28+LA$29+LA$30+LA$31+LA$32</f>
        <v/>
      </c>
      <c r="LB33" s="43">
        <f>LB$24+LB$25+LB$26+LB$27+LB$28+LB$29+LB$30+LB$31+LB$32</f>
        <v/>
      </c>
      <c r="LC33" s="43">
        <f>LC$24+LC$25+LC$26+LC$27+LC$28+LC$29+LC$30+LC$31+LC$32</f>
        <v/>
      </c>
      <c r="LD33" s="43">
        <f>LD$24+LD$25+LD$26+LD$27+LD$28+LD$29+LD$30+LD$31+LD$32</f>
        <v/>
      </c>
      <c r="LE33" s="43">
        <f>LE$24+LE$25+LE$26+LE$27+LE$28+LE$29+LE$30+LE$31+LE$32</f>
        <v/>
      </c>
      <c r="LF33" s="43">
        <f>LF$24+LF$25+LF$26+LF$27+LF$28+LF$29+LF$30+LF$31+LF$32</f>
        <v/>
      </c>
      <c r="LG33" s="43">
        <f>LG$24+LG$25+LG$26+LG$27+LG$28+LG$29+LG$30+LG$31+LG$32</f>
        <v/>
      </c>
      <c r="LH33" s="43">
        <f>LH$24+LH$25+LH$26+LH$27+LH$28+LH$29+LH$30+LH$31+LH$32</f>
        <v/>
      </c>
      <c r="LI33" s="43">
        <f>LI$24+LI$25+LI$26+LI$27+LI$28+LI$29+LI$30+LI$31+LI$32</f>
        <v/>
      </c>
      <c r="LJ33" s="43">
        <f>LJ$24+LJ$25+LJ$26+LJ$27+LJ$28+LJ$29+LJ$30+LJ$31+LJ$32</f>
        <v/>
      </c>
      <c r="LK33" s="43">
        <f>LK$24+LK$25+LK$26+LK$27+LK$28+LK$29+LK$30+LK$31+LK$32</f>
        <v/>
      </c>
      <c r="LL33" s="43">
        <f>LL$24+LL$25+LL$26+LL$27+LL$28+LL$29+LL$30+LL$31+LL$32</f>
        <v/>
      </c>
      <c r="LM33" s="43">
        <f>LM$24+LM$25+LM$26+LM$27+LM$28+LM$29+LM$30+LM$31+LM$32</f>
        <v/>
      </c>
      <c r="LN33" s="43">
        <f>LN$24+LN$25+LN$26+LN$27+LN$28+LN$29+LN$30+LN$31+LN$32</f>
        <v/>
      </c>
      <c r="LO33" s="43">
        <f>LO$24+LO$25+LO$26+LO$27+LO$28+LO$29+LO$30+LO$31+LO$32</f>
        <v/>
      </c>
      <c r="LP33" s="43">
        <f>LP$24+LP$25+LP$26+LP$27+LP$28+LP$29+LP$30+LP$31+LP$32</f>
        <v/>
      </c>
      <c r="LQ33" s="43">
        <f>LQ$24+LQ$25+LQ$26+LQ$27+LQ$28+LQ$29+LQ$30+LQ$31+LQ$32</f>
        <v/>
      </c>
      <c r="LR33" s="43">
        <f>LR$24+LR$25+LR$26+LR$27+LR$28+LR$29+LR$30+LR$31+LR$32</f>
        <v/>
      </c>
      <c r="LS33" s="43">
        <f>LS$24+LS$25+LS$26+LS$27+LS$28+LS$29+LS$30+LS$31+LS$32</f>
        <v/>
      </c>
      <c r="LT33" s="43">
        <f>LT$24+LT$25+LT$26+LT$27+LT$28+LT$29+LT$30+LT$31+LT$32</f>
        <v/>
      </c>
      <c r="LU33" s="43">
        <f>LU$24+LU$25+LU$26+LU$27+LU$28+LU$29+LU$30+LU$31+LU$32</f>
        <v/>
      </c>
      <c r="LV33" s="43">
        <f>LV$24+LV$25+LV$26+LV$27+LV$28+LV$29+LV$30+LV$31+LV$32</f>
        <v/>
      </c>
      <c r="LW33" s="43">
        <f>LW$24+LW$25+LW$26+LW$27+LW$28+LW$29+LW$30+LW$31+LW$32</f>
        <v/>
      </c>
      <c r="LX33" s="43">
        <f>LX$24+LX$25+LX$26+LX$27+LX$28+LX$29+LX$30+LX$31+LX$32</f>
        <v/>
      </c>
      <c r="LY33" s="43">
        <f>LY$24+LY$25+LY$26+LY$27+LY$28+LY$29+LY$30+LY$31+LY$32</f>
        <v/>
      </c>
      <c r="LZ33" s="43">
        <f>LZ$24+LZ$25+LZ$26+LZ$27+LZ$28+LZ$29+LZ$30+LZ$31+LZ$32</f>
        <v/>
      </c>
      <c r="MA33" s="43">
        <f>MA$24+MA$25+MA$26+MA$27+MA$28+MA$29+MA$30+MA$31+MA$32</f>
        <v/>
      </c>
      <c r="MB33" s="43">
        <f>MB$24+MB$25+MB$26+MB$27+MB$28+MB$29+MB$30+MB$31+MB$32</f>
        <v/>
      </c>
      <c r="MC33" s="43">
        <f>MC$24+MC$25+MC$26+MC$27+MC$28+MC$29+MC$30+MC$31+MC$32</f>
        <v/>
      </c>
      <c r="MD33" s="43">
        <f>MD$24+MD$25+MD$26+MD$27+MD$28+MD$29+MD$30+MD$31+MD$32</f>
        <v/>
      </c>
      <c r="ME33" s="43">
        <f>ME$24+ME$25+ME$26+ME$27+ME$28+ME$29+ME$30+ME$31+ME$32</f>
        <v/>
      </c>
      <c r="MF33" s="43">
        <f>MF$24+MF$25+MF$26+MF$27+MF$28+MF$29+MF$30+MF$31+MF$32</f>
        <v/>
      </c>
      <c r="MG33" s="43">
        <f>MG$24+MG$25+MG$26+MG$27+MG$28+MG$29+MG$30+MG$31+MG$32</f>
        <v/>
      </c>
      <c r="MH33" s="43">
        <f>MH$24+MH$25+MH$26+MH$27+MH$28+MH$29+MH$30+MH$31+MH$32</f>
        <v/>
      </c>
      <c r="MI33" s="43">
        <f>MI$24+MI$25+MI$26+MI$27+MI$28+MI$29+MI$30+MI$31+MI$32</f>
        <v/>
      </c>
      <c r="MJ33" s="43">
        <f>MJ$24+MJ$25+MJ$26+MJ$27+MJ$28+MJ$29+MJ$30+MJ$31+MJ$32</f>
        <v/>
      </c>
      <c r="MK33" s="43">
        <f>MK$24+MK$25+MK$26+MK$27+MK$28+MK$29+MK$30+MK$31+MK$32</f>
        <v/>
      </c>
      <c r="ML33" s="43">
        <f>ML$24+ML$25+ML$26+ML$27+ML$28+ML$29+ML$30+ML$31+ML$32</f>
        <v/>
      </c>
      <c r="MM33" s="43">
        <f>MM$24+MM$25+MM$26+MM$27+MM$28+MM$29+MM$30+MM$31+MM$32</f>
        <v/>
      </c>
      <c r="MN33" s="43">
        <f>MN$24+MN$25+MN$26+MN$27+MN$28+MN$29+MN$30+MN$31+MN$32</f>
        <v/>
      </c>
      <c r="MO33" s="43">
        <f>MO$24+MO$25+MO$26+MO$27+MO$28+MO$29+MO$30+MO$31+MO$32</f>
        <v/>
      </c>
      <c r="MP33" s="43">
        <f>MP$24+MP$25+MP$26+MP$27+MP$28+MP$29+MP$30+MP$31+MP$32</f>
        <v/>
      </c>
      <c r="MQ33" s="43">
        <f>MQ$24+MQ$25+MQ$26+MQ$27+MQ$28+MQ$29+MQ$30+MQ$31+MQ$32</f>
        <v/>
      </c>
      <c r="MR33" s="43">
        <f>MR$24+MR$25+MR$26+MR$27+MR$28+MR$29+MR$30+MR$31+MR$32</f>
        <v/>
      </c>
      <c r="MS33" s="43">
        <f>MS$24+MS$25+MS$26+MS$27+MS$28+MS$29+MS$30+MS$31+MS$32</f>
        <v/>
      </c>
      <c r="MT33" s="43">
        <f>MT$24+MT$25+MT$26+MT$27+MT$28+MT$29+MT$30+MT$31+MT$32</f>
        <v/>
      </c>
      <c r="MU33" s="43">
        <f>MU$24+MU$25+MU$26+MU$27+MU$28+MU$29+MU$30+MU$31+MU$32</f>
        <v/>
      </c>
      <c r="MV33" s="43">
        <f>MV$24+MV$25+MV$26+MV$27+MV$28+MV$29+MV$30+MV$31+MV$32</f>
        <v/>
      </c>
      <c r="MW33" s="43">
        <f>MW$24+MW$25+MW$26+MW$27+MW$28+MW$29+MW$30+MW$31+MW$32</f>
        <v/>
      </c>
      <c r="MX33" s="43">
        <f>MX$24+MX$25+MX$26+MX$27+MX$28+MX$29+MX$30+MX$31+MX$32</f>
        <v/>
      </c>
      <c r="MY33" s="43">
        <f>MY$24+MY$25+MY$26+MY$27+MY$28+MY$29+MY$30+MY$31+MY$32</f>
        <v/>
      </c>
      <c r="MZ33" s="43">
        <f>MZ$24+MZ$25+MZ$26+MZ$27+MZ$28+MZ$29+MZ$30+MZ$31+MZ$32</f>
        <v/>
      </c>
      <c r="NA33" s="43">
        <f>NA$24+NA$25+NA$26+NA$27+NA$28+NA$29+NA$30+NA$31+NA$32</f>
        <v/>
      </c>
      <c r="NB33" s="43">
        <f>NB$24+NB$25+NB$26+NB$27+NB$28+NB$29+NB$30+NB$31+NB$32</f>
        <v/>
      </c>
      <c r="NC33" s="43">
        <f>NC$24+NC$25+NC$26+NC$27+NC$28+NC$29+NC$30+NC$31+NC$32</f>
        <v/>
      </c>
      <c r="ND33" s="43">
        <f>ND$24+ND$25+ND$26+ND$27+ND$28+ND$29+ND$30+ND$31+ND$32</f>
        <v/>
      </c>
      <c r="NE33" s="43">
        <f>NE$24+NE$25+NE$26+NE$27+NE$28+NE$29+NE$30+NE$31+NE$32</f>
        <v/>
      </c>
      <c r="NF33" s="43">
        <f>NF$24+NF$25+NF$26+NF$27+NF$28+NF$29+NF$30+NF$31+NF$32</f>
        <v/>
      </c>
      <c r="NG33" s="43">
        <f>NG$24+NG$25+NG$26+NG$27+NG$28+NG$29+NG$30+NG$31+NG$32</f>
        <v/>
      </c>
      <c r="NH33" s="43">
        <f>NH$24+NH$25+NH$26+NH$27+NH$28+NH$29+NH$30+NH$31+NH$32</f>
        <v/>
      </c>
      <c r="NI33" s="43">
        <f>NI$24+NI$25+NI$26+NI$27+NI$28+NI$29+NI$30+NI$31+NI$32</f>
        <v/>
      </c>
      <c r="NJ33" s="43">
        <f>NJ$24+NJ$25+NJ$26+NJ$27+NJ$28+NJ$29+NJ$30+NJ$31+NJ$32</f>
        <v/>
      </c>
      <c r="NK33" s="43">
        <f>NK$24+NK$25+NK$26+NK$27+NK$28+NK$29+NK$30+NK$31+NK$32</f>
        <v/>
      </c>
    </row>
    <row r="34">
      <c r="A34" s="21" t="inlineStr">
        <is>
          <t>NOI before Property Tax</t>
        </is>
      </c>
      <c r="C34" s="41">
        <f>SUM(D34:NK34)</f>
        <v/>
      </c>
      <c r="D34" s="43">
        <f>D$22-D$33</f>
        <v/>
      </c>
      <c r="E34" s="43">
        <f>E$22-E$33</f>
        <v/>
      </c>
      <c r="F34" s="43">
        <f>F$22-F$33</f>
        <v/>
      </c>
      <c r="G34" s="43">
        <f>G$22-G$33</f>
        <v/>
      </c>
      <c r="H34" s="43">
        <f>H$22-H$33</f>
        <v/>
      </c>
      <c r="I34" s="43">
        <f>I$22-I$33</f>
        <v/>
      </c>
      <c r="J34" s="43">
        <f>J$22-J$33</f>
        <v/>
      </c>
      <c r="K34" s="43">
        <f>K$22-K$33</f>
        <v/>
      </c>
      <c r="L34" s="43">
        <f>L$22-L$33</f>
        <v/>
      </c>
      <c r="M34" s="43">
        <f>M$22-M$33</f>
        <v/>
      </c>
      <c r="N34" s="43">
        <f>N$22-N$33</f>
        <v/>
      </c>
      <c r="O34" s="43">
        <f>O$22-O$33</f>
        <v/>
      </c>
      <c r="P34" s="43">
        <f>P$22-P$33</f>
        <v/>
      </c>
      <c r="Q34" s="43">
        <f>Q$22-Q$33</f>
        <v/>
      </c>
      <c r="R34" s="43">
        <f>R$22-R$33</f>
        <v/>
      </c>
      <c r="S34" s="43">
        <f>S$22-S$33</f>
        <v/>
      </c>
      <c r="T34" s="43">
        <f>T$22-T$33</f>
        <v/>
      </c>
      <c r="U34" s="43">
        <f>U$22-U$33</f>
        <v/>
      </c>
      <c r="V34" s="43">
        <f>V$22-V$33</f>
        <v/>
      </c>
      <c r="W34" s="43">
        <f>W$22-W$33</f>
        <v/>
      </c>
      <c r="X34" s="43">
        <f>X$22-X$33</f>
        <v/>
      </c>
      <c r="Y34" s="43">
        <f>Y$22-Y$33</f>
        <v/>
      </c>
      <c r="Z34" s="43">
        <f>Z$22-Z$33</f>
        <v/>
      </c>
      <c r="AA34" s="43">
        <f>AA$22-AA$33</f>
        <v/>
      </c>
      <c r="AB34" s="43">
        <f>AB$22-AB$33</f>
        <v/>
      </c>
      <c r="AC34" s="43">
        <f>AC$22-AC$33</f>
        <v/>
      </c>
      <c r="AD34" s="43">
        <f>AD$22-AD$33</f>
        <v/>
      </c>
      <c r="AE34" s="43">
        <f>AE$22-AE$33</f>
        <v/>
      </c>
      <c r="AF34" s="43">
        <f>AF$22-AF$33</f>
        <v/>
      </c>
      <c r="AG34" s="43">
        <f>AG$22-AG$33</f>
        <v/>
      </c>
      <c r="AH34" s="43">
        <f>AH$22-AH$33</f>
        <v/>
      </c>
      <c r="AI34" s="43">
        <f>AI$22-AI$33</f>
        <v/>
      </c>
      <c r="AJ34" s="43">
        <f>AJ$22-AJ$33</f>
        <v/>
      </c>
      <c r="AK34" s="43">
        <f>AK$22-AK$33</f>
        <v/>
      </c>
      <c r="AL34" s="43">
        <f>AL$22-AL$33</f>
        <v/>
      </c>
      <c r="AM34" s="43">
        <f>AM$22-AM$33</f>
        <v/>
      </c>
      <c r="AN34" s="43">
        <f>AN$22-AN$33</f>
        <v/>
      </c>
      <c r="AO34" s="43">
        <f>AO$22-AO$33</f>
        <v/>
      </c>
      <c r="AP34" s="43">
        <f>AP$22-AP$33</f>
        <v/>
      </c>
      <c r="AQ34" s="43">
        <f>AQ$22-AQ$33</f>
        <v/>
      </c>
      <c r="AR34" s="43">
        <f>AR$22-AR$33</f>
        <v/>
      </c>
      <c r="AS34" s="43">
        <f>AS$22-AS$33</f>
        <v/>
      </c>
      <c r="AT34" s="43">
        <f>AT$22-AT$33</f>
        <v/>
      </c>
      <c r="AU34" s="43">
        <f>AU$22-AU$33</f>
        <v/>
      </c>
      <c r="AV34" s="43">
        <f>AV$22-AV$33</f>
        <v/>
      </c>
      <c r="AW34" s="43">
        <f>AW$22-AW$33</f>
        <v/>
      </c>
      <c r="AX34" s="43">
        <f>AX$22-AX$33</f>
        <v/>
      </c>
      <c r="AY34" s="43">
        <f>AY$22-AY$33</f>
        <v/>
      </c>
      <c r="AZ34" s="43">
        <f>AZ$22-AZ$33</f>
        <v/>
      </c>
      <c r="BA34" s="43">
        <f>BA$22-BA$33</f>
        <v/>
      </c>
      <c r="BB34" s="43">
        <f>BB$22-BB$33</f>
        <v/>
      </c>
      <c r="BC34" s="43">
        <f>BC$22-BC$33</f>
        <v/>
      </c>
      <c r="BD34" s="43">
        <f>BD$22-BD$33</f>
        <v/>
      </c>
      <c r="BE34" s="43">
        <f>BE$22-BE$33</f>
        <v/>
      </c>
      <c r="BF34" s="43">
        <f>BF$22-BF$33</f>
        <v/>
      </c>
      <c r="BG34" s="43">
        <f>BG$22-BG$33</f>
        <v/>
      </c>
      <c r="BH34" s="43">
        <f>BH$22-BH$33</f>
        <v/>
      </c>
      <c r="BI34" s="43">
        <f>BI$22-BI$33</f>
        <v/>
      </c>
      <c r="BJ34" s="43">
        <f>BJ$22-BJ$33</f>
        <v/>
      </c>
      <c r="BK34" s="43">
        <f>BK$22-BK$33</f>
        <v/>
      </c>
      <c r="BL34" s="43">
        <f>BL$22-BL$33</f>
        <v/>
      </c>
      <c r="BM34" s="43">
        <f>BM$22-BM$33</f>
        <v/>
      </c>
      <c r="BN34" s="43">
        <f>BN$22-BN$33</f>
        <v/>
      </c>
      <c r="BO34" s="43">
        <f>BO$22-BO$33</f>
        <v/>
      </c>
      <c r="BP34" s="43">
        <f>BP$22-BP$33</f>
        <v/>
      </c>
      <c r="BQ34" s="43">
        <f>BQ$22-BQ$33</f>
        <v/>
      </c>
      <c r="BR34" s="43">
        <f>BR$22-BR$33</f>
        <v/>
      </c>
      <c r="BS34" s="43">
        <f>BS$22-BS$33</f>
        <v/>
      </c>
      <c r="BT34" s="43">
        <f>BT$22-BT$33</f>
        <v/>
      </c>
      <c r="BU34" s="43">
        <f>BU$22-BU$33</f>
        <v/>
      </c>
      <c r="BV34" s="43">
        <f>BV$22-BV$33</f>
        <v/>
      </c>
      <c r="BW34" s="43">
        <f>BW$22-BW$33</f>
        <v/>
      </c>
      <c r="BX34" s="43">
        <f>BX$22-BX$33</f>
        <v/>
      </c>
      <c r="BY34" s="43">
        <f>BY$22-BY$33</f>
        <v/>
      </c>
      <c r="BZ34" s="43">
        <f>BZ$22-BZ$33</f>
        <v/>
      </c>
      <c r="CA34" s="43">
        <f>CA$22-CA$33</f>
        <v/>
      </c>
      <c r="CB34" s="43">
        <f>CB$22-CB$33</f>
        <v/>
      </c>
      <c r="CC34" s="43">
        <f>CC$22-CC$33</f>
        <v/>
      </c>
      <c r="CD34" s="43">
        <f>CD$22-CD$33</f>
        <v/>
      </c>
      <c r="CE34" s="43">
        <f>CE$22-CE$33</f>
        <v/>
      </c>
      <c r="CF34" s="43">
        <f>CF$22-CF$33</f>
        <v/>
      </c>
      <c r="CG34" s="43">
        <f>CG$22-CG$33</f>
        <v/>
      </c>
      <c r="CH34" s="43">
        <f>CH$22-CH$33</f>
        <v/>
      </c>
      <c r="CI34" s="43">
        <f>CI$22-CI$33</f>
        <v/>
      </c>
      <c r="CJ34" s="43">
        <f>CJ$22-CJ$33</f>
        <v/>
      </c>
      <c r="CK34" s="43">
        <f>CK$22-CK$33</f>
        <v/>
      </c>
      <c r="CL34" s="43">
        <f>CL$22-CL$33</f>
        <v/>
      </c>
      <c r="CM34" s="43">
        <f>CM$22-CM$33</f>
        <v/>
      </c>
      <c r="CN34" s="43">
        <f>CN$22-CN$33</f>
        <v/>
      </c>
      <c r="CO34" s="43">
        <f>CO$22-CO$33</f>
        <v/>
      </c>
      <c r="CP34" s="43">
        <f>CP$22-CP$33</f>
        <v/>
      </c>
      <c r="CQ34" s="43">
        <f>CQ$22-CQ$33</f>
        <v/>
      </c>
      <c r="CR34" s="43">
        <f>CR$22-CR$33</f>
        <v/>
      </c>
      <c r="CS34" s="43">
        <f>CS$22-CS$33</f>
        <v/>
      </c>
      <c r="CT34" s="43">
        <f>CT$22-CT$33</f>
        <v/>
      </c>
      <c r="CU34" s="43">
        <f>CU$22-CU$33</f>
        <v/>
      </c>
      <c r="CV34" s="43">
        <f>CV$22-CV$33</f>
        <v/>
      </c>
      <c r="CW34" s="43">
        <f>CW$22-CW$33</f>
        <v/>
      </c>
      <c r="CX34" s="43">
        <f>CX$22-CX$33</f>
        <v/>
      </c>
      <c r="CY34" s="43">
        <f>CY$22-CY$33</f>
        <v/>
      </c>
      <c r="CZ34" s="43">
        <f>CZ$22-CZ$33</f>
        <v/>
      </c>
      <c r="DA34" s="43">
        <f>DA$22-DA$33</f>
        <v/>
      </c>
      <c r="DB34" s="43">
        <f>DB$22-DB$33</f>
        <v/>
      </c>
      <c r="DC34" s="43">
        <f>DC$22-DC$33</f>
        <v/>
      </c>
      <c r="DD34" s="43">
        <f>DD$22-DD$33</f>
        <v/>
      </c>
      <c r="DE34" s="43">
        <f>DE$22-DE$33</f>
        <v/>
      </c>
      <c r="DF34" s="43">
        <f>DF$22-DF$33</f>
        <v/>
      </c>
      <c r="DG34" s="43">
        <f>DG$22-DG$33</f>
        <v/>
      </c>
      <c r="DH34" s="43">
        <f>DH$22-DH$33</f>
        <v/>
      </c>
      <c r="DI34" s="43">
        <f>DI$22-DI$33</f>
        <v/>
      </c>
      <c r="DJ34" s="43">
        <f>DJ$22-DJ$33</f>
        <v/>
      </c>
      <c r="DK34" s="43">
        <f>DK$22-DK$33</f>
        <v/>
      </c>
      <c r="DL34" s="43">
        <f>DL$22-DL$33</f>
        <v/>
      </c>
      <c r="DM34" s="43">
        <f>DM$22-DM$33</f>
        <v/>
      </c>
      <c r="DN34" s="43">
        <f>DN$22-DN$33</f>
        <v/>
      </c>
      <c r="DO34" s="43">
        <f>DO$22-DO$33</f>
        <v/>
      </c>
      <c r="DP34" s="43">
        <f>DP$22-DP$33</f>
        <v/>
      </c>
      <c r="DQ34" s="43">
        <f>DQ$22-DQ$33</f>
        <v/>
      </c>
      <c r="DR34" s="43">
        <f>DR$22-DR$33</f>
        <v/>
      </c>
      <c r="DS34" s="43">
        <f>DS$22-DS$33</f>
        <v/>
      </c>
      <c r="DT34" s="43">
        <f>DT$22-DT$33</f>
        <v/>
      </c>
      <c r="DU34" s="43">
        <f>DU$22-DU$33</f>
        <v/>
      </c>
      <c r="DV34" s="43">
        <f>DV$22-DV$33</f>
        <v/>
      </c>
      <c r="DW34" s="43">
        <f>DW$22-DW$33</f>
        <v/>
      </c>
      <c r="DX34" s="43">
        <f>DX$22-DX$33</f>
        <v/>
      </c>
      <c r="DY34" s="43">
        <f>DY$22-DY$33</f>
        <v/>
      </c>
      <c r="DZ34" s="43">
        <f>DZ$22-DZ$33</f>
        <v/>
      </c>
      <c r="EA34" s="43">
        <f>EA$22-EA$33</f>
        <v/>
      </c>
      <c r="EB34" s="43">
        <f>EB$22-EB$33</f>
        <v/>
      </c>
      <c r="EC34" s="43">
        <f>EC$22-EC$33</f>
        <v/>
      </c>
      <c r="ED34" s="43">
        <f>ED$22-ED$33</f>
        <v/>
      </c>
      <c r="EE34" s="43">
        <f>EE$22-EE$33</f>
        <v/>
      </c>
      <c r="EF34" s="43">
        <f>EF$22-EF$33</f>
        <v/>
      </c>
      <c r="EG34" s="43">
        <f>EG$22-EG$33</f>
        <v/>
      </c>
      <c r="EH34" s="43">
        <f>EH$22-EH$33</f>
        <v/>
      </c>
      <c r="EI34" s="43">
        <f>EI$22-EI$33</f>
        <v/>
      </c>
      <c r="EJ34" s="43">
        <f>EJ$22-EJ$33</f>
        <v/>
      </c>
      <c r="EK34" s="43">
        <f>EK$22-EK$33</f>
        <v/>
      </c>
      <c r="EL34" s="43">
        <f>EL$22-EL$33</f>
        <v/>
      </c>
      <c r="EM34" s="43">
        <f>EM$22-EM$33</f>
        <v/>
      </c>
      <c r="EN34" s="43">
        <f>EN$22-EN$33</f>
        <v/>
      </c>
      <c r="EO34" s="43">
        <f>EO$22-EO$33</f>
        <v/>
      </c>
      <c r="EP34" s="43">
        <f>EP$22-EP$33</f>
        <v/>
      </c>
      <c r="EQ34" s="43">
        <f>EQ$22-EQ$33</f>
        <v/>
      </c>
      <c r="ER34" s="43">
        <f>ER$22-ER$33</f>
        <v/>
      </c>
      <c r="ES34" s="43">
        <f>ES$22-ES$33</f>
        <v/>
      </c>
      <c r="ET34" s="43">
        <f>ET$22-ET$33</f>
        <v/>
      </c>
      <c r="EU34" s="43">
        <f>EU$22-EU$33</f>
        <v/>
      </c>
      <c r="EV34" s="43">
        <f>EV$22-EV$33</f>
        <v/>
      </c>
      <c r="EW34" s="43">
        <f>EW$22-EW$33</f>
        <v/>
      </c>
      <c r="EX34" s="43">
        <f>EX$22-EX$33</f>
        <v/>
      </c>
      <c r="EY34" s="43">
        <f>EY$22-EY$33</f>
        <v/>
      </c>
      <c r="EZ34" s="43">
        <f>EZ$22-EZ$33</f>
        <v/>
      </c>
      <c r="FA34" s="43">
        <f>FA$22-FA$33</f>
        <v/>
      </c>
      <c r="FB34" s="43">
        <f>FB$22-FB$33</f>
        <v/>
      </c>
      <c r="FC34" s="43">
        <f>FC$22-FC$33</f>
        <v/>
      </c>
      <c r="FD34" s="43">
        <f>FD$22-FD$33</f>
        <v/>
      </c>
      <c r="FE34" s="43">
        <f>FE$22-FE$33</f>
        <v/>
      </c>
      <c r="FF34" s="43">
        <f>FF$22-FF$33</f>
        <v/>
      </c>
      <c r="FG34" s="43">
        <f>FG$22-FG$33</f>
        <v/>
      </c>
      <c r="FH34" s="43">
        <f>FH$22-FH$33</f>
        <v/>
      </c>
      <c r="FI34" s="43">
        <f>FI$22-FI$33</f>
        <v/>
      </c>
      <c r="FJ34" s="43">
        <f>FJ$22-FJ$33</f>
        <v/>
      </c>
      <c r="FK34" s="43">
        <f>FK$22-FK$33</f>
        <v/>
      </c>
      <c r="FL34" s="43">
        <f>FL$22-FL$33</f>
        <v/>
      </c>
      <c r="FM34" s="43">
        <f>FM$22-FM$33</f>
        <v/>
      </c>
      <c r="FN34" s="43">
        <f>FN$22-FN$33</f>
        <v/>
      </c>
      <c r="FO34" s="43">
        <f>FO$22-FO$33</f>
        <v/>
      </c>
      <c r="FP34" s="43">
        <f>FP$22-FP$33</f>
        <v/>
      </c>
      <c r="FQ34" s="43">
        <f>FQ$22-FQ$33</f>
        <v/>
      </c>
      <c r="FR34" s="43">
        <f>FR$22-FR$33</f>
        <v/>
      </c>
      <c r="FS34" s="43">
        <f>FS$22-FS$33</f>
        <v/>
      </c>
      <c r="FT34" s="43">
        <f>FT$22-FT$33</f>
        <v/>
      </c>
      <c r="FU34" s="43">
        <f>FU$22-FU$33</f>
        <v/>
      </c>
      <c r="FV34" s="43">
        <f>FV$22-FV$33</f>
        <v/>
      </c>
      <c r="FW34" s="43">
        <f>FW$22-FW$33</f>
        <v/>
      </c>
      <c r="FX34" s="43">
        <f>FX$22-FX$33</f>
        <v/>
      </c>
      <c r="FY34" s="43">
        <f>FY$22-FY$33</f>
        <v/>
      </c>
      <c r="FZ34" s="43">
        <f>FZ$22-FZ$33</f>
        <v/>
      </c>
      <c r="GA34" s="43">
        <f>GA$22-GA$33</f>
        <v/>
      </c>
      <c r="GB34" s="43">
        <f>GB$22-GB$33</f>
        <v/>
      </c>
      <c r="GC34" s="43">
        <f>GC$22-GC$33</f>
        <v/>
      </c>
      <c r="GD34" s="43">
        <f>GD$22-GD$33</f>
        <v/>
      </c>
      <c r="GE34" s="43">
        <f>GE$22-GE$33</f>
        <v/>
      </c>
      <c r="GF34" s="43">
        <f>GF$22-GF$33</f>
        <v/>
      </c>
      <c r="GG34" s="43">
        <f>GG$22-GG$33</f>
        <v/>
      </c>
      <c r="GH34" s="43">
        <f>GH$22-GH$33</f>
        <v/>
      </c>
      <c r="GI34" s="43">
        <f>GI$22-GI$33</f>
        <v/>
      </c>
      <c r="GJ34" s="43">
        <f>GJ$22-GJ$33</f>
        <v/>
      </c>
      <c r="GK34" s="43">
        <f>GK$22-GK$33</f>
        <v/>
      </c>
      <c r="GL34" s="43">
        <f>GL$22-GL$33</f>
        <v/>
      </c>
      <c r="GM34" s="43">
        <f>GM$22-GM$33</f>
        <v/>
      </c>
      <c r="GN34" s="43">
        <f>GN$22-GN$33</f>
        <v/>
      </c>
      <c r="GO34" s="43">
        <f>GO$22-GO$33</f>
        <v/>
      </c>
      <c r="GP34" s="43">
        <f>GP$22-GP$33</f>
        <v/>
      </c>
      <c r="GQ34" s="43">
        <f>GQ$22-GQ$33</f>
        <v/>
      </c>
      <c r="GR34" s="43">
        <f>GR$22-GR$33</f>
        <v/>
      </c>
      <c r="GS34" s="43">
        <f>GS$22-GS$33</f>
        <v/>
      </c>
      <c r="GT34" s="43">
        <f>GT$22-GT$33</f>
        <v/>
      </c>
      <c r="GU34" s="43">
        <f>GU$22-GU$33</f>
        <v/>
      </c>
      <c r="GV34" s="43">
        <f>GV$22-GV$33</f>
        <v/>
      </c>
      <c r="GW34" s="43">
        <f>GW$22-GW$33</f>
        <v/>
      </c>
      <c r="GX34" s="43">
        <f>GX$22-GX$33</f>
        <v/>
      </c>
      <c r="GY34" s="43">
        <f>GY$22-GY$33</f>
        <v/>
      </c>
      <c r="GZ34" s="43">
        <f>GZ$22-GZ$33</f>
        <v/>
      </c>
      <c r="HA34" s="43">
        <f>HA$22-HA$33</f>
        <v/>
      </c>
      <c r="HB34" s="43">
        <f>HB$22-HB$33</f>
        <v/>
      </c>
      <c r="HC34" s="43">
        <f>HC$22-HC$33</f>
        <v/>
      </c>
      <c r="HD34" s="43">
        <f>HD$22-HD$33</f>
        <v/>
      </c>
      <c r="HE34" s="43">
        <f>HE$22-HE$33</f>
        <v/>
      </c>
      <c r="HF34" s="43">
        <f>HF$22-HF$33</f>
        <v/>
      </c>
      <c r="HG34" s="43">
        <f>HG$22-HG$33</f>
        <v/>
      </c>
      <c r="HH34" s="43">
        <f>HH$22-HH$33</f>
        <v/>
      </c>
      <c r="HI34" s="43">
        <f>HI$22-HI$33</f>
        <v/>
      </c>
      <c r="HJ34" s="43">
        <f>HJ$22-HJ$33</f>
        <v/>
      </c>
      <c r="HK34" s="43">
        <f>HK$22-HK$33</f>
        <v/>
      </c>
      <c r="HL34" s="43">
        <f>HL$22-HL$33</f>
        <v/>
      </c>
      <c r="HM34" s="43">
        <f>HM$22-HM$33</f>
        <v/>
      </c>
      <c r="HN34" s="43">
        <f>HN$22-HN$33</f>
        <v/>
      </c>
      <c r="HO34" s="43">
        <f>HO$22-HO$33</f>
        <v/>
      </c>
      <c r="HP34" s="43">
        <f>HP$22-HP$33</f>
        <v/>
      </c>
      <c r="HQ34" s="43">
        <f>HQ$22-HQ$33</f>
        <v/>
      </c>
      <c r="HR34" s="43">
        <f>HR$22-HR$33</f>
        <v/>
      </c>
      <c r="HS34" s="43">
        <f>HS$22-HS$33</f>
        <v/>
      </c>
      <c r="HT34" s="43">
        <f>HT$22-HT$33</f>
        <v/>
      </c>
      <c r="HU34" s="43">
        <f>HU$22-HU$33</f>
        <v/>
      </c>
      <c r="HV34" s="43">
        <f>HV$22-HV$33</f>
        <v/>
      </c>
      <c r="HW34" s="43">
        <f>HW$22-HW$33</f>
        <v/>
      </c>
      <c r="HX34" s="43">
        <f>HX$22-HX$33</f>
        <v/>
      </c>
      <c r="HY34" s="43">
        <f>HY$22-HY$33</f>
        <v/>
      </c>
      <c r="HZ34" s="43">
        <f>HZ$22-HZ$33</f>
        <v/>
      </c>
      <c r="IA34" s="43">
        <f>IA$22-IA$33</f>
        <v/>
      </c>
      <c r="IB34" s="43">
        <f>IB$22-IB$33</f>
        <v/>
      </c>
      <c r="IC34" s="43">
        <f>IC$22-IC$33</f>
        <v/>
      </c>
      <c r="ID34" s="43">
        <f>ID$22-ID$33</f>
        <v/>
      </c>
      <c r="IE34" s="43">
        <f>IE$22-IE$33</f>
        <v/>
      </c>
      <c r="IF34" s="43">
        <f>IF$22-IF$33</f>
        <v/>
      </c>
      <c r="IG34" s="43">
        <f>IG$22-IG$33</f>
        <v/>
      </c>
      <c r="IH34" s="43">
        <f>IH$22-IH$33</f>
        <v/>
      </c>
      <c r="II34" s="43">
        <f>II$22-II$33</f>
        <v/>
      </c>
      <c r="IJ34" s="43">
        <f>IJ$22-IJ$33</f>
        <v/>
      </c>
      <c r="IK34" s="43">
        <f>IK$22-IK$33</f>
        <v/>
      </c>
      <c r="IL34" s="43">
        <f>IL$22-IL$33</f>
        <v/>
      </c>
      <c r="IM34" s="43">
        <f>IM$22-IM$33</f>
        <v/>
      </c>
      <c r="IN34" s="43">
        <f>IN$22-IN$33</f>
        <v/>
      </c>
      <c r="IO34" s="43">
        <f>IO$22-IO$33</f>
        <v/>
      </c>
      <c r="IP34" s="43">
        <f>IP$22-IP$33</f>
        <v/>
      </c>
      <c r="IQ34" s="43">
        <f>IQ$22-IQ$33</f>
        <v/>
      </c>
      <c r="IR34" s="43">
        <f>IR$22-IR$33</f>
        <v/>
      </c>
      <c r="IS34" s="43">
        <f>IS$22-IS$33</f>
        <v/>
      </c>
      <c r="IT34" s="43">
        <f>IT$22-IT$33</f>
        <v/>
      </c>
      <c r="IU34" s="43">
        <f>IU$22-IU$33</f>
        <v/>
      </c>
      <c r="IV34" s="43">
        <f>IV$22-IV$33</f>
        <v/>
      </c>
      <c r="IW34" s="43">
        <f>IW$22-IW$33</f>
        <v/>
      </c>
      <c r="IX34" s="43">
        <f>IX$22-IX$33</f>
        <v/>
      </c>
      <c r="IY34" s="43">
        <f>IY$22-IY$33</f>
        <v/>
      </c>
      <c r="IZ34" s="43">
        <f>IZ$22-IZ$33</f>
        <v/>
      </c>
      <c r="JA34" s="43">
        <f>JA$22-JA$33</f>
        <v/>
      </c>
      <c r="JB34" s="43">
        <f>JB$22-JB$33</f>
        <v/>
      </c>
      <c r="JC34" s="43">
        <f>JC$22-JC$33</f>
        <v/>
      </c>
      <c r="JD34" s="43">
        <f>JD$22-JD$33</f>
        <v/>
      </c>
      <c r="JE34" s="43">
        <f>JE$22-JE$33</f>
        <v/>
      </c>
      <c r="JF34" s="43">
        <f>JF$22-JF$33</f>
        <v/>
      </c>
      <c r="JG34" s="43">
        <f>JG$22-JG$33</f>
        <v/>
      </c>
      <c r="JH34" s="43">
        <f>JH$22-JH$33</f>
        <v/>
      </c>
      <c r="JI34" s="43">
        <f>JI$22-JI$33</f>
        <v/>
      </c>
      <c r="JJ34" s="43">
        <f>JJ$22-JJ$33</f>
        <v/>
      </c>
      <c r="JK34" s="43">
        <f>JK$22-JK$33</f>
        <v/>
      </c>
      <c r="JL34" s="43">
        <f>JL$22-JL$33</f>
        <v/>
      </c>
      <c r="JM34" s="43">
        <f>JM$22-JM$33</f>
        <v/>
      </c>
      <c r="JN34" s="43">
        <f>JN$22-JN$33</f>
        <v/>
      </c>
      <c r="JO34" s="43">
        <f>JO$22-JO$33</f>
        <v/>
      </c>
      <c r="JP34" s="43">
        <f>JP$22-JP$33</f>
        <v/>
      </c>
      <c r="JQ34" s="43">
        <f>JQ$22-JQ$33</f>
        <v/>
      </c>
      <c r="JR34" s="43">
        <f>JR$22-JR$33</f>
        <v/>
      </c>
      <c r="JS34" s="43">
        <f>JS$22-JS$33</f>
        <v/>
      </c>
      <c r="JT34" s="43">
        <f>JT$22-JT$33</f>
        <v/>
      </c>
      <c r="JU34" s="43">
        <f>JU$22-JU$33</f>
        <v/>
      </c>
      <c r="JV34" s="43">
        <f>JV$22-JV$33</f>
        <v/>
      </c>
      <c r="JW34" s="43">
        <f>JW$22-JW$33</f>
        <v/>
      </c>
      <c r="JX34" s="43">
        <f>JX$22-JX$33</f>
        <v/>
      </c>
      <c r="JY34" s="43">
        <f>JY$22-JY$33</f>
        <v/>
      </c>
      <c r="JZ34" s="43">
        <f>JZ$22-JZ$33</f>
        <v/>
      </c>
      <c r="KA34" s="43">
        <f>KA$22-KA$33</f>
        <v/>
      </c>
      <c r="KB34" s="43">
        <f>KB$22-KB$33</f>
        <v/>
      </c>
      <c r="KC34" s="43">
        <f>KC$22-KC$33</f>
        <v/>
      </c>
      <c r="KD34" s="43">
        <f>KD$22-KD$33</f>
        <v/>
      </c>
      <c r="KE34" s="43">
        <f>KE$22-KE$33</f>
        <v/>
      </c>
      <c r="KF34" s="43">
        <f>KF$22-KF$33</f>
        <v/>
      </c>
      <c r="KG34" s="43">
        <f>KG$22-KG$33</f>
        <v/>
      </c>
      <c r="KH34" s="43">
        <f>KH$22-KH$33</f>
        <v/>
      </c>
      <c r="KI34" s="43">
        <f>KI$22-KI$33</f>
        <v/>
      </c>
      <c r="KJ34" s="43">
        <f>KJ$22-KJ$33</f>
        <v/>
      </c>
      <c r="KK34" s="43">
        <f>KK$22-KK$33</f>
        <v/>
      </c>
      <c r="KL34" s="43">
        <f>KL$22-KL$33</f>
        <v/>
      </c>
      <c r="KM34" s="43">
        <f>KM$22-KM$33</f>
        <v/>
      </c>
      <c r="KN34" s="43">
        <f>KN$22-KN$33</f>
        <v/>
      </c>
      <c r="KO34" s="43">
        <f>KO$22-KO$33</f>
        <v/>
      </c>
      <c r="KP34" s="43">
        <f>KP$22-KP$33</f>
        <v/>
      </c>
      <c r="KQ34" s="43">
        <f>KQ$22-KQ$33</f>
        <v/>
      </c>
      <c r="KR34" s="43">
        <f>KR$22-KR$33</f>
        <v/>
      </c>
      <c r="KS34" s="43">
        <f>KS$22-KS$33</f>
        <v/>
      </c>
      <c r="KT34" s="43">
        <f>KT$22-KT$33</f>
        <v/>
      </c>
      <c r="KU34" s="43">
        <f>KU$22-KU$33</f>
        <v/>
      </c>
      <c r="KV34" s="43">
        <f>KV$22-KV$33</f>
        <v/>
      </c>
      <c r="KW34" s="43">
        <f>KW$22-KW$33</f>
        <v/>
      </c>
      <c r="KX34" s="43">
        <f>KX$22-KX$33</f>
        <v/>
      </c>
      <c r="KY34" s="43">
        <f>KY$22-KY$33</f>
        <v/>
      </c>
      <c r="KZ34" s="43">
        <f>KZ$22-KZ$33</f>
        <v/>
      </c>
      <c r="LA34" s="43">
        <f>LA$22-LA$33</f>
        <v/>
      </c>
      <c r="LB34" s="43">
        <f>LB$22-LB$33</f>
        <v/>
      </c>
      <c r="LC34" s="43">
        <f>LC$22-LC$33</f>
        <v/>
      </c>
      <c r="LD34" s="43">
        <f>LD$22-LD$33</f>
        <v/>
      </c>
      <c r="LE34" s="43">
        <f>LE$22-LE$33</f>
        <v/>
      </c>
      <c r="LF34" s="43">
        <f>LF$22-LF$33</f>
        <v/>
      </c>
      <c r="LG34" s="43">
        <f>LG$22-LG$33</f>
        <v/>
      </c>
      <c r="LH34" s="43">
        <f>LH$22-LH$33</f>
        <v/>
      </c>
      <c r="LI34" s="43">
        <f>LI$22-LI$33</f>
        <v/>
      </c>
      <c r="LJ34" s="43">
        <f>LJ$22-LJ$33</f>
        <v/>
      </c>
      <c r="LK34" s="43">
        <f>LK$22-LK$33</f>
        <v/>
      </c>
      <c r="LL34" s="43">
        <f>LL$22-LL$33</f>
        <v/>
      </c>
      <c r="LM34" s="43">
        <f>LM$22-LM$33</f>
        <v/>
      </c>
      <c r="LN34" s="43">
        <f>LN$22-LN$33</f>
        <v/>
      </c>
      <c r="LO34" s="43">
        <f>LO$22-LO$33</f>
        <v/>
      </c>
      <c r="LP34" s="43">
        <f>LP$22-LP$33</f>
        <v/>
      </c>
      <c r="LQ34" s="43">
        <f>LQ$22-LQ$33</f>
        <v/>
      </c>
      <c r="LR34" s="43">
        <f>LR$22-LR$33</f>
        <v/>
      </c>
      <c r="LS34" s="43">
        <f>LS$22-LS$33</f>
        <v/>
      </c>
      <c r="LT34" s="43">
        <f>LT$22-LT$33</f>
        <v/>
      </c>
      <c r="LU34" s="43">
        <f>LU$22-LU$33</f>
        <v/>
      </c>
      <c r="LV34" s="43">
        <f>LV$22-LV$33</f>
        <v/>
      </c>
      <c r="LW34" s="43">
        <f>LW$22-LW$33</f>
        <v/>
      </c>
      <c r="LX34" s="43">
        <f>LX$22-LX$33</f>
        <v/>
      </c>
      <c r="LY34" s="43">
        <f>LY$22-LY$33</f>
        <v/>
      </c>
      <c r="LZ34" s="43">
        <f>LZ$22-LZ$33</f>
        <v/>
      </c>
      <c r="MA34" s="43">
        <f>MA$22-MA$33</f>
        <v/>
      </c>
      <c r="MB34" s="43">
        <f>MB$22-MB$33</f>
        <v/>
      </c>
      <c r="MC34" s="43">
        <f>MC$22-MC$33</f>
        <v/>
      </c>
      <c r="MD34" s="43">
        <f>MD$22-MD$33</f>
        <v/>
      </c>
      <c r="ME34" s="43">
        <f>ME$22-ME$33</f>
        <v/>
      </c>
      <c r="MF34" s="43">
        <f>MF$22-MF$33</f>
        <v/>
      </c>
      <c r="MG34" s="43">
        <f>MG$22-MG$33</f>
        <v/>
      </c>
      <c r="MH34" s="43">
        <f>MH$22-MH$33</f>
        <v/>
      </c>
      <c r="MI34" s="43">
        <f>MI$22-MI$33</f>
        <v/>
      </c>
      <c r="MJ34" s="43">
        <f>MJ$22-MJ$33</f>
        <v/>
      </c>
      <c r="MK34" s="43">
        <f>MK$22-MK$33</f>
        <v/>
      </c>
      <c r="ML34" s="43">
        <f>ML$22-ML$33</f>
        <v/>
      </c>
      <c r="MM34" s="43">
        <f>MM$22-MM$33</f>
        <v/>
      </c>
      <c r="MN34" s="43">
        <f>MN$22-MN$33</f>
        <v/>
      </c>
      <c r="MO34" s="43">
        <f>MO$22-MO$33</f>
        <v/>
      </c>
      <c r="MP34" s="43">
        <f>MP$22-MP$33</f>
        <v/>
      </c>
      <c r="MQ34" s="43">
        <f>MQ$22-MQ$33</f>
        <v/>
      </c>
      <c r="MR34" s="43">
        <f>MR$22-MR$33</f>
        <v/>
      </c>
      <c r="MS34" s="43">
        <f>MS$22-MS$33</f>
        <v/>
      </c>
      <c r="MT34" s="43">
        <f>MT$22-MT$33</f>
        <v/>
      </c>
      <c r="MU34" s="43">
        <f>MU$22-MU$33</f>
        <v/>
      </c>
      <c r="MV34" s="43">
        <f>MV$22-MV$33</f>
        <v/>
      </c>
      <c r="MW34" s="43">
        <f>MW$22-MW$33</f>
        <v/>
      </c>
      <c r="MX34" s="43">
        <f>MX$22-MX$33</f>
        <v/>
      </c>
      <c r="MY34" s="43">
        <f>MY$22-MY$33</f>
        <v/>
      </c>
      <c r="MZ34" s="43">
        <f>MZ$22-MZ$33</f>
        <v/>
      </c>
      <c r="NA34" s="43">
        <f>NA$22-NA$33</f>
        <v/>
      </c>
      <c r="NB34" s="43">
        <f>NB$22-NB$33</f>
        <v/>
      </c>
      <c r="NC34" s="43">
        <f>NC$22-NC$33</f>
        <v/>
      </c>
      <c r="ND34" s="43">
        <f>ND$22-ND$33</f>
        <v/>
      </c>
      <c r="NE34" s="43">
        <f>NE$22-NE$33</f>
        <v/>
      </c>
      <c r="NF34" s="43">
        <f>NF$22-NF$33</f>
        <v/>
      </c>
      <c r="NG34" s="43">
        <f>NG$22-NG$33</f>
        <v/>
      </c>
      <c r="NH34" s="43">
        <f>NH$22-NH$33</f>
        <v/>
      </c>
      <c r="NI34" s="43">
        <f>NI$22-NI$33</f>
        <v/>
      </c>
      <c r="NJ34" s="43">
        <f>NJ$22-NJ$33</f>
        <v/>
      </c>
      <c r="NK34" s="43">
        <f>NK$22-NK$33</f>
        <v/>
      </c>
    </row>
    <row r="35">
      <c r="A35" s="5" t="inlineStr">
        <is>
          <t>Property Tax</t>
        </is>
      </c>
      <c r="C35" s="41">
        <f>SUM(D35:NK35)</f>
        <v/>
      </c>
      <c r="D35" s="18">
        <f>IF(1&gt;=DeliverStart,IF(TaxMethodValue&gt;=1,TaxYear1*(1+GrowthTax)^MAX(0,INT((1-1)/12)-INT((StabMonth-1)/12))/12,MAX(0,D$34*12)/EntryCapRate*(TaxLevyPct*TaxAssessmentPct*TaxValueAdjFactor)/12),0)</f>
        <v/>
      </c>
      <c r="E35" s="18">
        <f>IF(2&gt;=DeliverStart,IF(TaxMethodValue&gt;=1,TaxYear1*(1+GrowthTax)^MAX(0,INT((2-1)/12)-INT((StabMonth-1)/12))/12,MAX(0,E$34*12)/EntryCapRate*(TaxLevyPct*TaxAssessmentPct*TaxValueAdjFactor)/12),0)</f>
        <v/>
      </c>
      <c r="F35" s="18">
        <f>IF(3&gt;=DeliverStart,IF(TaxMethodValue&gt;=1,TaxYear1*(1+GrowthTax)^MAX(0,INT((3-1)/12)-INT((StabMonth-1)/12))/12,MAX(0,F$34*12)/EntryCapRate*(TaxLevyPct*TaxAssessmentPct*TaxValueAdjFactor)/12),0)</f>
        <v/>
      </c>
      <c r="G35" s="18">
        <f>IF(4&gt;=DeliverStart,IF(TaxMethodValue&gt;=1,TaxYear1*(1+GrowthTax)^MAX(0,INT((4-1)/12)-INT((StabMonth-1)/12))/12,MAX(0,G$34*12)/EntryCapRate*(TaxLevyPct*TaxAssessmentPct*TaxValueAdjFactor)/12),0)</f>
        <v/>
      </c>
      <c r="H35" s="18">
        <f>IF(5&gt;=DeliverStart,IF(TaxMethodValue&gt;=1,TaxYear1*(1+GrowthTax)^MAX(0,INT((5-1)/12)-INT((StabMonth-1)/12))/12,MAX(0,H$34*12)/EntryCapRate*(TaxLevyPct*TaxAssessmentPct*TaxValueAdjFactor)/12),0)</f>
        <v/>
      </c>
      <c r="I35" s="18">
        <f>IF(6&gt;=DeliverStart,IF(TaxMethodValue&gt;=1,TaxYear1*(1+GrowthTax)^MAX(0,INT((6-1)/12)-INT((StabMonth-1)/12))/12,MAX(0,I$34*12)/EntryCapRate*(TaxLevyPct*TaxAssessmentPct*TaxValueAdjFactor)/12),0)</f>
        <v/>
      </c>
      <c r="J35" s="18">
        <f>IF(7&gt;=DeliverStart,IF(TaxMethodValue&gt;=1,TaxYear1*(1+GrowthTax)^MAX(0,INT((7-1)/12)-INT((StabMonth-1)/12))/12,MAX(0,J$34*12)/EntryCapRate*(TaxLevyPct*TaxAssessmentPct*TaxValueAdjFactor)/12),0)</f>
        <v/>
      </c>
      <c r="K35" s="18">
        <f>IF(8&gt;=DeliverStart,IF(TaxMethodValue&gt;=1,TaxYear1*(1+GrowthTax)^MAX(0,INT((8-1)/12)-INT((StabMonth-1)/12))/12,MAX(0,K$34*12)/EntryCapRate*(TaxLevyPct*TaxAssessmentPct*TaxValueAdjFactor)/12),0)</f>
        <v/>
      </c>
      <c r="L35" s="18">
        <f>IF(9&gt;=DeliverStart,IF(TaxMethodValue&gt;=1,TaxYear1*(1+GrowthTax)^MAX(0,INT((9-1)/12)-INT((StabMonth-1)/12))/12,MAX(0,L$34*12)/EntryCapRate*(TaxLevyPct*TaxAssessmentPct*TaxValueAdjFactor)/12),0)</f>
        <v/>
      </c>
      <c r="M35" s="18">
        <f>IF(10&gt;=DeliverStart,IF(TaxMethodValue&gt;=1,TaxYear1*(1+GrowthTax)^MAX(0,INT((10-1)/12)-INT((StabMonth-1)/12))/12,MAX(0,M$34*12)/EntryCapRate*(TaxLevyPct*TaxAssessmentPct*TaxValueAdjFactor)/12),0)</f>
        <v/>
      </c>
      <c r="N35" s="18">
        <f>IF(11&gt;=DeliverStart,IF(TaxMethodValue&gt;=1,TaxYear1*(1+GrowthTax)^MAX(0,INT((11-1)/12)-INT((StabMonth-1)/12))/12,MAX(0,N$34*12)/EntryCapRate*(TaxLevyPct*TaxAssessmentPct*TaxValueAdjFactor)/12),0)</f>
        <v/>
      </c>
      <c r="O35" s="18">
        <f>IF(12&gt;=DeliverStart,IF(TaxMethodValue&gt;=1,TaxYear1*(1+GrowthTax)^MAX(0,INT((12-1)/12)-INT((StabMonth-1)/12))/12,MAX(0,O$34*12)/EntryCapRate*(TaxLevyPct*TaxAssessmentPct*TaxValueAdjFactor)/12),0)</f>
        <v/>
      </c>
      <c r="P35" s="18">
        <f>IF(13&gt;=DeliverStart,IF(TaxMethodValue&gt;=1,TaxYear1*(1+GrowthTax)^MAX(0,INT((13-1)/12)-INT((StabMonth-1)/12))/12,MAX(0,P$34*12)/EntryCapRate*(TaxLevyPct*TaxAssessmentPct*TaxValueAdjFactor)/12),0)</f>
        <v/>
      </c>
      <c r="Q35" s="18">
        <f>IF(14&gt;=DeliverStart,IF(TaxMethodValue&gt;=1,TaxYear1*(1+GrowthTax)^MAX(0,INT((14-1)/12)-INT((StabMonth-1)/12))/12,MAX(0,Q$34*12)/EntryCapRate*(TaxLevyPct*TaxAssessmentPct*TaxValueAdjFactor)/12),0)</f>
        <v/>
      </c>
      <c r="R35" s="18">
        <f>IF(15&gt;=DeliverStart,IF(TaxMethodValue&gt;=1,TaxYear1*(1+GrowthTax)^MAX(0,INT((15-1)/12)-INT((StabMonth-1)/12))/12,MAX(0,R$34*12)/EntryCapRate*(TaxLevyPct*TaxAssessmentPct*TaxValueAdjFactor)/12),0)</f>
        <v/>
      </c>
      <c r="S35" s="18">
        <f>IF(16&gt;=DeliverStart,IF(TaxMethodValue&gt;=1,TaxYear1*(1+GrowthTax)^MAX(0,INT((16-1)/12)-INT((StabMonth-1)/12))/12,MAX(0,S$34*12)/EntryCapRate*(TaxLevyPct*TaxAssessmentPct*TaxValueAdjFactor)/12),0)</f>
        <v/>
      </c>
      <c r="T35" s="18">
        <f>IF(17&gt;=DeliverStart,IF(TaxMethodValue&gt;=1,TaxYear1*(1+GrowthTax)^MAX(0,INT((17-1)/12)-INT((StabMonth-1)/12))/12,MAX(0,T$34*12)/EntryCapRate*(TaxLevyPct*TaxAssessmentPct*TaxValueAdjFactor)/12),0)</f>
        <v/>
      </c>
      <c r="U35" s="18">
        <f>IF(18&gt;=DeliverStart,IF(TaxMethodValue&gt;=1,TaxYear1*(1+GrowthTax)^MAX(0,INT((18-1)/12)-INT((StabMonth-1)/12))/12,MAX(0,U$34*12)/EntryCapRate*(TaxLevyPct*TaxAssessmentPct*TaxValueAdjFactor)/12),0)</f>
        <v/>
      </c>
      <c r="V35" s="18">
        <f>IF(19&gt;=DeliverStart,IF(TaxMethodValue&gt;=1,TaxYear1*(1+GrowthTax)^MAX(0,INT((19-1)/12)-INT((StabMonth-1)/12))/12,MAX(0,V$34*12)/EntryCapRate*(TaxLevyPct*TaxAssessmentPct*TaxValueAdjFactor)/12),0)</f>
        <v/>
      </c>
      <c r="W35" s="18">
        <f>IF(20&gt;=DeliverStart,IF(TaxMethodValue&gt;=1,TaxYear1*(1+GrowthTax)^MAX(0,INT((20-1)/12)-INT((StabMonth-1)/12))/12,MAX(0,W$34*12)/EntryCapRate*(TaxLevyPct*TaxAssessmentPct*TaxValueAdjFactor)/12),0)</f>
        <v/>
      </c>
      <c r="X35" s="18">
        <f>IF(21&gt;=DeliverStart,IF(TaxMethodValue&gt;=1,TaxYear1*(1+GrowthTax)^MAX(0,INT((21-1)/12)-INT((StabMonth-1)/12))/12,MAX(0,X$34*12)/EntryCapRate*(TaxLevyPct*TaxAssessmentPct*TaxValueAdjFactor)/12),0)</f>
        <v/>
      </c>
      <c r="Y35" s="18">
        <f>IF(22&gt;=DeliverStart,IF(TaxMethodValue&gt;=1,TaxYear1*(1+GrowthTax)^MAX(0,INT((22-1)/12)-INT((StabMonth-1)/12))/12,MAX(0,Y$34*12)/EntryCapRate*(TaxLevyPct*TaxAssessmentPct*TaxValueAdjFactor)/12),0)</f>
        <v/>
      </c>
      <c r="Z35" s="18">
        <f>IF(23&gt;=DeliverStart,IF(TaxMethodValue&gt;=1,TaxYear1*(1+GrowthTax)^MAX(0,INT((23-1)/12)-INT((StabMonth-1)/12))/12,MAX(0,Z$34*12)/EntryCapRate*(TaxLevyPct*TaxAssessmentPct*TaxValueAdjFactor)/12),0)</f>
        <v/>
      </c>
      <c r="AA35" s="18">
        <f>IF(24&gt;=DeliverStart,IF(TaxMethodValue&gt;=1,TaxYear1*(1+GrowthTax)^MAX(0,INT((24-1)/12)-INT((StabMonth-1)/12))/12,MAX(0,AA$34*12)/EntryCapRate*(TaxLevyPct*TaxAssessmentPct*TaxValueAdjFactor)/12),0)</f>
        <v/>
      </c>
      <c r="AB35" s="18">
        <f>IF(25&gt;=DeliverStart,IF(TaxMethodValue&gt;=1,TaxYear1*(1+GrowthTax)^MAX(0,INT((25-1)/12)-INT((StabMonth-1)/12))/12,MAX(0,AB$34*12)/EntryCapRate*(TaxLevyPct*TaxAssessmentPct*TaxValueAdjFactor)/12),0)</f>
        <v/>
      </c>
      <c r="AC35" s="18">
        <f>IF(26&gt;=DeliverStart,IF(TaxMethodValue&gt;=1,TaxYear1*(1+GrowthTax)^MAX(0,INT((26-1)/12)-INT((StabMonth-1)/12))/12,MAX(0,AC$34*12)/EntryCapRate*(TaxLevyPct*TaxAssessmentPct*TaxValueAdjFactor)/12),0)</f>
        <v/>
      </c>
      <c r="AD35" s="18">
        <f>IF(27&gt;=DeliverStart,IF(TaxMethodValue&gt;=1,TaxYear1*(1+GrowthTax)^MAX(0,INT((27-1)/12)-INT((StabMonth-1)/12))/12,MAX(0,AD$34*12)/EntryCapRate*(TaxLevyPct*TaxAssessmentPct*TaxValueAdjFactor)/12),0)</f>
        <v/>
      </c>
      <c r="AE35" s="18">
        <f>IF(28&gt;=DeliverStart,IF(TaxMethodValue&gt;=1,TaxYear1*(1+GrowthTax)^MAX(0,INT((28-1)/12)-INT((StabMonth-1)/12))/12,MAX(0,AE$34*12)/EntryCapRate*(TaxLevyPct*TaxAssessmentPct*TaxValueAdjFactor)/12),0)</f>
        <v/>
      </c>
      <c r="AF35" s="18">
        <f>IF(29&gt;=DeliverStart,IF(TaxMethodValue&gt;=1,TaxYear1*(1+GrowthTax)^MAX(0,INT((29-1)/12)-INT((StabMonth-1)/12))/12,MAX(0,AF$34*12)/EntryCapRate*(TaxLevyPct*TaxAssessmentPct*TaxValueAdjFactor)/12),0)</f>
        <v/>
      </c>
      <c r="AG35" s="18">
        <f>IF(30&gt;=DeliverStart,IF(TaxMethodValue&gt;=1,TaxYear1*(1+GrowthTax)^MAX(0,INT((30-1)/12)-INT((StabMonth-1)/12))/12,MAX(0,AG$34*12)/EntryCapRate*(TaxLevyPct*TaxAssessmentPct*TaxValueAdjFactor)/12),0)</f>
        <v/>
      </c>
      <c r="AH35" s="18">
        <f>IF(31&gt;=DeliverStart,IF(TaxMethodValue&gt;=1,TaxYear1*(1+GrowthTax)^MAX(0,INT((31-1)/12)-INT((StabMonth-1)/12))/12,MAX(0,AH$34*12)/EntryCapRate*(TaxLevyPct*TaxAssessmentPct*TaxValueAdjFactor)/12),0)</f>
        <v/>
      </c>
      <c r="AI35" s="18">
        <f>IF(32&gt;=DeliverStart,IF(TaxMethodValue&gt;=1,TaxYear1*(1+GrowthTax)^MAX(0,INT((32-1)/12)-INT((StabMonth-1)/12))/12,MAX(0,AI$34*12)/EntryCapRate*(TaxLevyPct*TaxAssessmentPct*TaxValueAdjFactor)/12),0)</f>
        <v/>
      </c>
      <c r="AJ35" s="18">
        <f>IF(33&gt;=DeliverStart,IF(TaxMethodValue&gt;=1,TaxYear1*(1+GrowthTax)^MAX(0,INT((33-1)/12)-INT((StabMonth-1)/12))/12,MAX(0,AJ$34*12)/EntryCapRate*(TaxLevyPct*TaxAssessmentPct*TaxValueAdjFactor)/12),0)</f>
        <v/>
      </c>
      <c r="AK35" s="18">
        <f>IF(34&gt;=DeliverStart,IF(TaxMethodValue&gt;=1,TaxYear1*(1+GrowthTax)^MAX(0,INT((34-1)/12)-INT((StabMonth-1)/12))/12,MAX(0,AK$34*12)/EntryCapRate*(TaxLevyPct*TaxAssessmentPct*TaxValueAdjFactor)/12),0)</f>
        <v/>
      </c>
      <c r="AL35" s="18">
        <f>IF(35&gt;=DeliverStart,IF(TaxMethodValue&gt;=1,TaxYear1*(1+GrowthTax)^MAX(0,INT((35-1)/12)-INT((StabMonth-1)/12))/12,MAX(0,AL$34*12)/EntryCapRate*(TaxLevyPct*TaxAssessmentPct*TaxValueAdjFactor)/12),0)</f>
        <v/>
      </c>
      <c r="AM35" s="18">
        <f>IF(36&gt;=DeliverStart,IF(TaxMethodValue&gt;=1,TaxYear1*(1+GrowthTax)^MAX(0,INT((36-1)/12)-INT((StabMonth-1)/12))/12,MAX(0,AM$34*12)/EntryCapRate*(TaxLevyPct*TaxAssessmentPct*TaxValueAdjFactor)/12),0)</f>
        <v/>
      </c>
      <c r="AN35" s="18">
        <f>IF(37&gt;=DeliverStart,IF(TaxMethodValue&gt;=1,TaxYear1*(1+GrowthTax)^MAX(0,INT((37-1)/12)-INT((StabMonth-1)/12))/12,MAX(0,AN$34*12)/EntryCapRate*(TaxLevyPct*TaxAssessmentPct*TaxValueAdjFactor)/12),0)</f>
        <v/>
      </c>
      <c r="AO35" s="18">
        <f>IF(38&gt;=DeliverStart,IF(TaxMethodValue&gt;=1,TaxYear1*(1+GrowthTax)^MAX(0,INT((38-1)/12)-INT((StabMonth-1)/12))/12,MAX(0,AO$34*12)/EntryCapRate*(TaxLevyPct*TaxAssessmentPct*TaxValueAdjFactor)/12),0)</f>
        <v/>
      </c>
      <c r="AP35" s="18">
        <f>IF(39&gt;=DeliverStart,IF(TaxMethodValue&gt;=1,TaxYear1*(1+GrowthTax)^MAX(0,INT((39-1)/12)-INT((StabMonth-1)/12))/12,MAX(0,AP$34*12)/EntryCapRate*(TaxLevyPct*TaxAssessmentPct*TaxValueAdjFactor)/12),0)</f>
        <v/>
      </c>
      <c r="AQ35" s="18">
        <f>IF(40&gt;=DeliverStart,IF(TaxMethodValue&gt;=1,TaxYear1*(1+GrowthTax)^MAX(0,INT((40-1)/12)-INT((StabMonth-1)/12))/12,MAX(0,AQ$34*12)/EntryCapRate*(TaxLevyPct*TaxAssessmentPct*TaxValueAdjFactor)/12),0)</f>
        <v/>
      </c>
      <c r="AR35" s="18">
        <f>IF(41&gt;=DeliverStart,IF(TaxMethodValue&gt;=1,TaxYear1*(1+GrowthTax)^MAX(0,INT((41-1)/12)-INT((StabMonth-1)/12))/12,MAX(0,AR$34*12)/EntryCapRate*(TaxLevyPct*TaxAssessmentPct*TaxValueAdjFactor)/12),0)</f>
        <v/>
      </c>
      <c r="AS35" s="18">
        <f>IF(42&gt;=DeliverStart,IF(TaxMethodValue&gt;=1,TaxYear1*(1+GrowthTax)^MAX(0,INT((42-1)/12)-INT((StabMonth-1)/12))/12,MAX(0,AS$34*12)/EntryCapRate*(TaxLevyPct*TaxAssessmentPct*TaxValueAdjFactor)/12),0)</f>
        <v/>
      </c>
      <c r="AT35" s="18">
        <f>IF(43&gt;=DeliverStart,IF(TaxMethodValue&gt;=1,TaxYear1*(1+GrowthTax)^MAX(0,INT((43-1)/12)-INT((StabMonth-1)/12))/12,MAX(0,AT$34*12)/EntryCapRate*(TaxLevyPct*TaxAssessmentPct*TaxValueAdjFactor)/12),0)</f>
        <v/>
      </c>
      <c r="AU35" s="18">
        <f>IF(44&gt;=DeliverStart,IF(TaxMethodValue&gt;=1,TaxYear1*(1+GrowthTax)^MAX(0,INT((44-1)/12)-INT((StabMonth-1)/12))/12,MAX(0,AU$34*12)/EntryCapRate*(TaxLevyPct*TaxAssessmentPct*TaxValueAdjFactor)/12),0)</f>
        <v/>
      </c>
      <c r="AV35" s="18">
        <f>IF(45&gt;=DeliverStart,IF(TaxMethodValue&gt;=1,TaxYear1*(1+GrowthTax)^MAX(0,INT((45-1)/12)-INT((StabMonth-1)/12))/12,MAX(0,AV$34*12)/EntryCapRate*(TaxLevyPct*TaxAssessmentPct*TaxValueAdjFactor)/12),0)</f>
        <v/>
      </c>
      <c r="AW35" s="18">
        <f>IF(46&gt;=DeliverStart,IF(TaxMethodValue&gt;=1,TaxYear1*(1+GrowthTax)^MAX(0,INT((46-1)/12)-INT((StabMonth-1)/12))/12,MAX(0,AW$34*12)/EntryCapRate*(TaxLevyPct*TaxAssessmentPct*TaxValueAdjFactor)/12),0)</f>
        <v/>
      </c>
      <c r="AX35" s="18">
        <f>IF(47&gt;=DeliverStart,IF(TaxMethodValue&gt;=1,TaxYear1*(1+GrowthTax)^MAX(0,INT((47-1)/12)-INT((StabMonth-1)/12))/12,MAX(0,AX$34*12)/EntryCapRate*(TaxLevyPct*TaxAssessmentPct*TaxValueAdjFactor)/12),0)</f>
        <v/>
      </c>
      <c r="AY35" s="18">
        <f>IF(48&gt;=DeliverStart,IF(TaxMethodValue&gt;=1,TaxYear1*(1+GrowthTax)^MAX(0,INT((48-1)/12)-INT((StabMonth-1)/12))/12,MAX(0,AY$34*12)/EntryCapRate*(TaxLevyPct*TaxAssessmentPct*TaxValueAdjFactor)/12),0)</f>
        <v/>
      </c>
      <c r="AZ35" s="18">
        <f>IF(49&gt;=DeliverStart,IF(TaxMethodValue&gt;=1,TaxYear1*(1+GrowthTax)^MAX(0,INT((49-1)/12)-INT((StabMonth-1)/12))/12,MAX(0,AZ$34*12)/EntryCapRate*(TaxLevyPct*TaxAssessmentPct*TaxValueAdjFactor)/12),0)</f>
        <v/>
      </c>
      <c r="BA35" s="18">
        <f>IF(50&gt;=DeliverStart,IF(TaxMethodValue&gt;=1,TaxYear1*(1+GrowthTax)^MAX(0,INT((50-1)/12)-INT((StabMonth-1)/12))/12,MAX(0,BA$34*12)/EntryCapRate*(TaxLevyPct*TaxAssessmentPct*TaxValueAdjFactor)/12),0)</f>
        <v/>
      </c>
      <c r="BB35" s="18">
        <f>IF(51&gt;=DeliverStart,IF(TaxMethodValue&gt;=1,TaxYear1*(1+GrowthTax)^MAX(0,INT((51-1)/12)-INT((StabMonth-1)/12))/12,MAX(0,BB$34*12)/EntryCapRate*(TaxLevyPct*TaxAssessmentPct*TaxValueAdjFactor)/12),0)</f>
        <v/>
      </c>
      <c r="BC35" s="18">
        <f>IF(52&gt;=DeliverStart,IF(TaxMethodValue&gt;=1,TaxYear1*(1+GrowthTax)^MAX(0,INT((52-1)/12)-INT((StabMonth-1)/12))/12,MAX(0,BC$34*12)/EntryCapRate*(TaxLevyPct*TaxAssessmentPct*TaxValueAdjFactor)/12),0)</f>
        <v/>
      </c>
      <c r="BD35" s="18">
        <f>IF(53&gt;=DeliverStart,IF(TaxMethodValue&gt;=1,TaxYear1*(1+GrowthTax)^MAX(0,INT((53-1)/12)-INT((StabMonth-1)/12))/12,MAX(0,BD$34*12)/EntryCapRate*(TaxLevyPct*TaxAssessmentPct*TaxValueAdjFactor)/12),0)</f>
        <v/>
      </c>
      <c r="BE35" s="18">
        <f>IF(54&gt;=DeliverStart,IF(TaxMethodValue&gt;=1,TaxYear1*(1+GrowthTax)^MAX(0,INT((54-1)/12)-INT((StabMonth-1)/12))/12,MAX(0,BE$34*12)/EntryCapRate*(TaxLevyPct*TaxAssessmentPct*TaxValueAdjFactor)/12),0)</f>
        <v/>
      </c>
      <c r="BF35" s="18">
        <f>IF(55&gt;=DeliverStart,IF(TaxMethodValue&gt;=1,TaxYear1*(1+GrowthTax)^MAX(0,INT((55-1)/12)-INT((StabMonth-1)/12))/12,MAX(0,BF$34*12)/EntryCapRate*(TaxLevyPct*TaxAssessmentPct*TaxValueAdjFactor)/12),0)</f>
        <v/>
      </c>
      <c r="BG35" s="18">
        <f>IF(56&gt;=DeliverStart,IF(TaxMethodValue&gt;=1,TaxYear1*(1+GrowthTax)^MAX(0,INT((56-1)/12)-INT((StabMonth-1)/12))/12,MAX(0,BG$34*12)/EntryCapRate*(TaxLevyPct*TaxAssessmentPct*TaxValueAdjFactor)/12),0)</f>
        <v/>
      </c>
      <c r="BH35" s="18">
        <f>IF(57&gt;=DeliverStart,IF(TaxMethodValue&gt;=1,TaxYear1*(1+GrowthTax)^MAX(0,INT((57-1)/12)-INT((StabMonth-1)/12))/12,MAX(0,BH$34*12)/EntryCapRate*(TaxLevyPct*TaxAssessmentPct*TaxValueAdjFactor)/12),0)</f>
        <v/>
      </c>
      <c r="BI35" s="18">
        <f>IF(58&gt;=DeliverStart,IF(TaxMethodValue&gt;=1,TaxYear1*(1+GrowthTax)^MAX(0,INT((58-1)/12)-INT((StabMonth-1)/12))/12,MAX(0,BI$34*12)/EntryCapRate*(TaxLevyPct*TaxAssessmentPct*TaxValueAdjFactor)/12),0)</f>
        <v/>
      </c>
      <c r="BJ35" s="18">
        <f>IF(59&gt;=DeliverStart,IF(TaxMethodValue&gt;=1,TaxYear1*(1+GrowthTax)^MAX(0,INT((59-1)/12)-INT((StabMonth-1)/12))/12,MAX(0,BJ$34*12)/EntryCapRate*(TaxLevyPct*TaxAssessmentPct*TaxValueAdjFactor)/12),0)</f>
        <v/>
      </c>
      <c r="BK35" s="18">
        <f>IF(60&gt;=DeliverStart,IF(TaxMethodValue&gt;=1,TaxYear1*(1+GrowthTax)^MAX(0,INT((60-1)/12)-INT((StabMonth-1)/12))/12,MAX(0,BK$34*12)/EntryCapRate*(TaxLevyPct*TaxAssessmentPct*TaxValueAdjFactor)/12),0)</f>
        <v/>
      </c>
      <c r="BL35" s="18">
        <f>IF(61&gt;=DeliverStart,IF(TaxMethodValue&gt;=1,TaxYear1*(1+GrowthTax)^MAX(0,INT((61-1)/12)-INT((StabMonth-1)/12))/12,MAX(0,BL$34*12)/EntryCapRate*(TaxLevyPct*TaxAssessmentPct*TaxValueAdjFactor)/12),0)</f>
        <v/>
      </c>
      <c r="BM35" s="18">
        <f>IF(62&gt;=DeliverStart,IF(TaxMethodValue&gt;=1,TaxYear1*(1+GrowthTax)^MAX(0,INT((62-1)/12)-INT((StabMonth-1)/12))/12,MAX(0,BM$34*12)/EntryCapRate*(TaxLevyPct*TaxAssessmentPct*TaxValueAdjFactor)/12),0)</f>
        <v/>
      </c>
      <c r="BN35" s="18">
        <f>IF(63&gt;=DeliverStart,IF(TaxMethodValue&gt;=1,TaxYear1*(1+GrowthTax)^MAX(0,INT((63-1)/12)-INT((StabMonth-1)/12))/12,MAX(0,BN$34*12)/EntryCapRate*(TaxLevyPct*TaxAssessmentPct*TaxValueAdjFactor)/12),0)</f>
        <v/>
      </c>
      <c r="BO35" s="18">
        <f>IF(64&gt;=DeliverStart,IF(TaxMethodValue&gt;=1,TaxYear1*(1+GrowthTax)^MAX(0,INT((64-1)/12)-INT((StabMonth-1)/12))/12,MAX(0,BO$34*12)/EntryCapRate*(TaxLevyPct*TaxAssessmentPct*TaxValueAdjFactor)/12),0)</f>
        <v/>
      </c>
      <c r="BP35" s="18">
        <f>IF(65&gt;=DeliverStart,IF(TaxMethodValue&gt;=1,TaxYear1*(1+GrowthTax)^MAX(0,INT((65-1)/12)-INT((StabMonth-1)/12))/12,MAX(0,BP$34*12)/EntryCapRate*(TaxLevyPct*TaxAssessmentPct*TaxValueAdjFactor)/12),0)</f>
        <v/>
      </c>
      <c r="BQ35" s="18">
        <f>IF(66&gt;=DeliverStart,IF(TaxMethodValue&gt;=1,TaxYear1*(1+GrowthTax)^MAX(0,INT((66-1)/12)-INT((StabMonth-1)/12))/12,MAX(0,BQ$34*12)/EntryCapRate*(TaxLevyPct*TaxAssessmentPct*TaxValueAdjFactor)/12),0)</f>
        <v/>
      </c>
      <c r="BR35" s="18">
        <f>IF(67&gt;=DeliverStart,IF(TaxMethodValue&gt;=1,TaxYear1*(1+GrowthTax)^MAX(0,INT((67-1)/12)-INT((StabMonth-1)/12))/12,MAX(0,BR$34*12)/EntryCapRate*(TaxLevyPct*TaxAssessmentPct*TaxValueAdjFactor)/12),0)</f>
        <v/>
      </c>
      <c r="BS35" s="18">
        <f>IF(68&gt;=DeliverStart,IF(TaxMethodValue&gt;=1,TaxYear1*(1+GrowthTax)^MAX(0,INT((68-1)/12)-INT((StabMonth-1)/12))/12,MAX(0,BS$34*12)/EntryCapRate*(TaxLevyPct*TaxAssessmentPct*TaxValueAdjFactor)/12),0)</f>
        <v/>
      </c>
      <c r="BT35" s="18">
        <f>IF(69&gt;=DeliverStart,IF(TaxMethodValue&gt;=1,TaxYear1*(1+GrowthTax)^MAX(0,INT((69-1)/12)-INT((StabMonth-1)/12))/12,MAX(0,BT$34*12)/EntryCapRate*(TaxLevyPct*TaxAssessmentPct*TaxValueAdjFactor)/12),0)</f>
        <v/>
      </c>
      <c r="BU35" s="18">
        <f>IF(70&gt;=DeliverStart,IF(TaxMethodValue&gt;=1,TaxYear1*(1+GrowthTax)^MAX(0,INT((70-1)/12)-INT((StabMonth-1)/12))/12,MAX(0,BU$34*12)/EntryCapRate*(TaxLevyPct*TaxAssessmentPct*TaxValueAdjFactor)/12),0)</f>
        <v/>
      </c>
      <c r="BV35" s="18">
        <f>IF(71&gt;=DeliverStart,IF(TaxMethodValue&gt;=1,TaxYear1*(1+GrowthTax)^MAX(0,INT((71-1)/12)-INT((StabMonth-1)/12))/12,MAX(0,BV$34*12)/EntryCapRate*(TaxLevyPct*TaxAssessmentPct*TaxValueAdjFactor)/12),0)</f>
        <v/>
      </c>
      <c r="BW35" s="18">
        <f>IF(72&gt;=DeliverStart,IF(TaxMethodValue&gt;=1,TaxYear1*(1+GrowthTax)^MAX(0,INT((72-1)/12)-INT((StabMonth-1)/12))/12,MAX(0,BW$34*12)/EntryCapRate*(TaxLevyPct*TaxAssessmentPct*TaxValueAdjFactor)/12),0)</f>
        <v/>
      </c>
      <c r="BX35" s="18">
        <f>IF(73&gt;=DeliverStart,IF(TaxMethodValue&gt;=1,TaxYear1*(1+GrowthTax)^MAX(0,INT((73-1)/12)-INT((StabMonth-1)/12))/12,MAX(0,BX$34*12)/EntryCapRate*(TaxLevyPct*TaxAssessmentPct*TaxValueAdjFactor)/12),0)</f>
        <v/>
      </c>
      <c r="BY35" s="18">
        <f>IF(74&gt;=DeliverStart,IF(TaxMethodValue&gt;=1,TaxYear1*(1+GrowthTax)^MAX(0,INT((74-1)/12)-INT((StabMonth-1)/12))/12,MAX(0,BY$34*12)/EntryCapRate*(TaxLevyPct*TaxAssessmentPct*TaxValueAdjFactor)/12),0)</f>
        <v/>
      </c>
      <c r="BZ35" s="18">
        <f>IF(75&gt;=DeliverStart,IF(TaxMethodValue&gt;=1,TaxYear1*(1+GrowthTax)^MAX(0,INT((75-1)/12)-INT((StabMonth-1)/12))/12,MAX(0,BZ$34*12)/EntryCapRate*(TaxLevyPct*TaxAssessmentPct*TaxValueAdjFactor)/12),0)</f>
        <v/>
      </c>
      <c r="CA35" s="18">
        <f>IF(76&gt;=DeliverStart,IF(TaxMethodValue&gt;=1,TaxYear1*(1+GrowthTax)^MAX(0,INT((76-1)/12)-INT((StabMonth-1)/12))/12,MAX(0,CA$34*12)/EntryCapRate*(TaxLevyPct*TaxAssessmentPct*TaxValueAdjFactor)/12),0)</f>
        <v/>
      </c>
      <c r="CB35" s="18">
        <f>IF(77&gt;=DeliverStart,IF(TaxMethodValue&gt;=1,TaxYear1*(1+GrowthTax)^MAX(0,INT((77-1)/12)-INT((StabMonth-1)/12))/12,MAX(0,CB$34*12)/EntryCapRate*(TaxLevyPct*TaxAssessmentPct*TaxValueAdjFactor)/12),0)</f>
        <v/>
      </c>
      <c r="CC35" s="18">
        <f>IF(78&gt;=DeliverStart,IF(TaxMethodValue&gt;=1,TaxYear1*(1+GrowthTax)^MAX(0,INT((78-1)/12)-INT((StabMonth-1)/12))/12,MAX(0,CC$34*12)/EntryCapRate*(TaxLevyPct*TaxAssessmentPct*TaxValueAdjFactor)/12),0)</f>
        <v/>
      </c>
      <c r="CD35" s="18">
        <f>IF(79&gt;=DeliverStart,IF(TaxMethodValue&gt;=1,TaxYear1*(1+GrowthTax)^MAX(0,INT((79-1)/12)-INT((StabMonth-1)/12))/12,MAX(0,CD$34*12)/EntryCapRate*(TaxLevyPct*TaxAssessmentPct*TaxValueAdjFactor)/12),0)</f>
        <v/>
      </c>
      <c r="CE35" s="18">
        <f>IF(80&gt;=DeliverStart,IF(TaxMethodValue&gt;=1,TaxYear1*(1+GrowthTax)^MAX(0,INT((80-1)/12)-INT((StabMonth-1)/12))/12,MAX(0,CE$34*12)/EntryCapRate*(TaxLevyPct*TaxAssessmentPct*TaxValueAdjFactor)/12),0)</f>
        <v/>
      </c>
      <c r="CF35" s="18">
        <f>IF(81&gt;=DeliverStart,IF(TaxMethodValue&gt;=1,TaxYear1*(1+GrowthTax)^MAX(0,INT((81-1)/12)-INT((StabMonth-1)/12))/12,MAX(0,CF$34*12)/EntryCapRate*(TaxLevyPct*TaxAssessmentPct*TaxValueAdjFactor)/12),0)</f>
        <v/>
      </c>
      <c r="CG35" s="18">
        <f>IF(82&gt;=DeliverStart,IF(TaxMethodValue&gt;=1,TaxYear1*(1+GrowthTax)^MAX(0,INT((82-1)/12)-INT((StabMonth-1)/12))/12,MAX(0,CG$34*12)/EntryCapRate*(TaxLevyPct*TaxAssessmentPct*TaxValueAdjFactor)/12),0)</f>
        <v/>
      </c>
      <c r="CH35" s="18">
        <f>IF(83&gt;=DeliverStart,IF(TaxMethodValue&gt;=1,TaxYear1*(1+GrowthTax)^MAX(0,INT((83-1)/12)-INT((StabMonth-1)/12))/12,MAX(0,CH$34*12)/EntryCapRate*(TaxLevyPct*TaxAssessmentPct*TaxValueAdjFactor)/12),0)</f>
        <v/>
      </c>
      <c r="CI35" s="18">
        <f>IF(84&gt;=DeliverStart,IF(TaxMethodValue&gt;=1,TaxYear1*(1+GrowthTax)^MAX(0,INT((84-1)/12)-INT((StabMonth-1)/12))/12,MAX(0,CI$34*12)/EntryCapRate*(TaxLevyPct*TaxAssessmentPct*TaxValueAdjFactor)/12),0)</f>
        <v/>
      </c>
      <c r="CJ35" s="18">
        <f>IF(85&gt;=DeliverStart,IF(TaxMethodValue&gt;=1,TaxYear1*(1+GrowthTax)^MAX(0,INT((85-1)/12)-INT((StabMonth-1)/12))/12,MAX(0,CJ$34*12)/EntryCapRate*(TaxLevyPct*TaxAssessmentPct*TaxValueAdjFactor)/12),0)</f>
        <v/>
      </c>
      <c r="CK35" s="18">
        <f>IF(86&gt;=DeliverStart,IF(TaxMethodValue&gt;=1,TaxYear1*(1+GrowthTax)^MAX(0,INT((86-1)/12)-INT((StabMonth-1)/12))/12,MAX(0,CK$34*12)/EntryCapRate*(TaxLevyPct*TaxAssessmentPct*TaxValueAdjFactor)/12),0)</f>
        <v/>
      </c>
      <c r="CL35" s="18">
        <f>IF(87&gt;=DeliverStart,IF(TaxMethodValue&gt;=1,TaxYear1*(1+GrowthTax)^MAX(0,INT((87-1)/12)-INT((StabMonth-1)/12))/12,MAX(0,CL$34*12)/EntryCapRate*(TaxLevyPct*TaxAssessmentPct*TaxValueAdjFactor)/12),0)</f>
        <v/>
      </c>
      <c r="CM35" s="18">
        <f>IF(88&gt;=DeliverStart,IF(TaxMethodValue&gt;=1,TaxYear1*(1+GrowthTax)^MAX(0,INT((88-1)/12)-INT((StabMonth-1)/12))/12,MAX(0,CM$34*12)/EntryCapRate*(TaxLevyPct*TaxAssessmentPct*TaxValueAdjFactor)/12),0)</f>
        <v/>
      </c>
      <c r="CN35" s="18">
        <f>IF(89&gt;=DeliverStart,IF(TaxMethodValue&gt;=1,TaxYear1*(1+GrowthTax)^MAX(0,INT((89-1)/12)-INT((StabMonth-1)/12))/12,MAX(0,CN$34*12)/EntryCapRate*(TaxLevyPct*TaxAssessmentPct*TaxValueAdjFactor)/12),0)</f>
        <v/>
      </c>
      <c r="CO35" s="18">
        <f>IF(90&gt;=DeliverStart,IF(TaxMethodValue&gt;=1,TaxYear1*(1+GrowthTax)^MAX(0,INT((90-1)/12)-INT((StabMonth-1)/12))/12,MAX(0,CO$34*12)/EntryCapRate*(TaxLevyPct*TaxAssessmentPct*TaxValueAdjFactor)/12),0)</f>
        <v/>
      </c>
      <c r="CP35" s="18">
        <f>IF(91&gt;=DeliverStart,IF(TaxMethodValue&gt;=1,TaxYear1*(1+GrowthTax)^MAX(0,INT((91-1)/12)-INT((StabMonth-1)/12))/12,MAX(0,CP$34*12)/EntryCapRate*(TaxLevyPct*TaxAssessmentPct*TaxValueAdjFactor)/12),0)</f>
        <v/>
      </c>
      <c r="CQ35" s="18">
        <f>IF(92&gt;=DeliverStart,IF(TaxMethodValue&gt;=1,TaxYear1*(1+GrowthTax)^MAX(0,INT((92-1)/12)-INT((StabMonth-1)/12))/12,MAX(0,CQ$34*12)/EntryCapRate*(TaxLevyPct*TaxAssessmentPct*TaxValueAdjFactor)/12),0)</f>
        <v/>
      </c>
      <c r="CR35" s="18">
        <f>IF(93&gt;=DeliverStart,IF(TaxMethodValue&gt;=1,TaxYear1*(1+GrowthTax)^MAX(0,INT((93-1)/12)-INT((StabMonth-1)/12))/12,MAX(0,CR$34*12)/EntryCapRate*(TaxLevyPct*TaxAssessmentPct*TaxValueAdjFactor)/12),0)</f>
        <v/>
      </c>
      <c r="CS35" s="18">
        <f>IF(94&gt;=DeliverStart,IF(TaxMethodValue&gt;=1,TaxYear1*(1+GrowthTax)^MAX(0,INT((94-1)/12)-INT((StabMonth-1)/12))/12,MAX(0,CS$34*12)/EntryCapRate*(TaxLevyPct*TaxAssessmentPct*TaxValueAdjFactor)/12),0)</f>
        <v/>
      </c>
      <c r="CT35" s="18">
        <f>IF(95&gt;=DeliverStart,IF(TaxMethodValue&gt;=1,TaxYear1*(1+GrowthTax)^MAX(0,INT((95-1)/12)-INT((StabMonth-1)/12))/12,MAX(0,CT$34*12)/EntryCapRate*(TaxLevyPct*TaxAssessmentPct*TaxValueAdjFactor)/12),0)</f>
        <v/>
      </c>
      <c r="CU35" s="18">
        <f>IF(96&gt;=DeliverStart,IF(TaxMethodValue&gt;=1,TaxYear1*(1+GrowthTax)^MAX(0,INT((96-1)/12)-INT((StabMonth-1)/12))/12,MAX(0,CU$34*12)/EntryCapRate*(TaxLevyPct*TaxAssessmentPct*TaxValueAdjFactor)/12),0)</f>
        <v/>
      </c>
      <c r="CV35" s="18">
        <f>IF(97&gt;=DeliverStart,IF(TaxMethodValue&gt;=1,TaxYear1*(1+GrowthTax)^MAX(0,INT((97-1)/12)-INT((StabMonth-1)/12))/12,MAX(0,CV$34*12)/EntryCapRate*(TaxLevyPct*TaxAssessmentPct*TaxValueAdjFactor)/12),0)</f>
        <v/>
      </c>
      <c r="CW35" s="18">
        <f>IF(98&gt;=DeliverStart,IF(TaxMethodValue&gt;=1,TaxYear1*(1+GrowthTax)^MAX(0,INT((98-1)/12)-INT((StabMonth-1)/12))/12,MAX(0,CW$34*12)/EntryCapRate*(TaxLevyPct*TaxAssessmentPct*TaxValueAdjFactor)/12),0)</f>
        <v/>
      </c>
      <c r="CX35" s="18">
        <f>IF(99&gt;=DeliverStart,IF(TaxMethodValue&gt;=1,TaxYear1*(1+GrowthTax)^MAX(0,INT((99-1)/12)-INT((StabMonth-1)/12))/12,MAX(0,CX$34*12)/EntryCapRate*(TaxLevyPct*TaxAssessmentPct*TaxValueAdjFactor)/12),0)</f>
        <v/>
      </c>
      <c r="CY35" s="18">
        <f>IF(100&gt;=DeliverStart,IF(TaxMethodValue&gt;=1,TaxYear1*(1+GrowthTax)^MAX(0,INT((100-1)/12)-INT((StabMonth-1)/12))/12,MAX(0,CY$34*12)/EntryCapRate*(TaxLevyPct*TaxAssessmentPct*TaxValueAdjFactor)/12),0)</f>
        <v/>
      </c>
      <c r="CZ35" s="18">
        <f>IF(101&gt;=DeliverStart,IF(TaxMethodValue&gt;=1,TaxYear1*(1+GrowthTax)^MAX(0,INT((101-1)/12)-INT((StabMonth-1)/12))/12,MAX(0,CZ$34*12)/EntryCapRate*(TaxLevyPct*TaxAssessmentPct*TaxValueAdjFactor)/12),0)</f>
        <v/>
      </c>
      <c r="DA35" s="18">
        <f>IF(102&gt;=DeliverStart,IF(TaxMethodValue&gt;=1,TaxYear1*(1+GrowthTax)^MAX(0,INT((102-1)/12)-INT((StabMonth-1)/12))/12,MAX(0,DA$34*12)/EntryCapRate*(TaxLevyPct*TaxAssessmentPct*TaxValueAdjFactor)/12),0)</f>
        <v/>
      </c>
      <c r="DB35" s="18">
        <f>IF(103&gt;=DeliverStart,IF(TaxMethodValue&gt;=1,TaxYear1*(1+GrowthTax)^MAX(0,INT((103-1)/12)-INT((StabMonth-1)/12))/12,MAX(0,DB$34*12)/EntryCapRate*(TaxLevyPct*TaxAssessmentPct*TaxValueAdjFactor)/12),0)</f>
        <v/>
      </c>
      <c r="DC35" s="18">
        <f>IF(104&gt;=DeliverStart,IF(TaxMethodValue&gt;=1,TaxYear1*(1+GrowthTax)^MAX(0,INT((104-1)/12)-INT((StabMonth-1)/12))/12,MAX(0,DC$34*12)/EntryCapRate*(TaxLevyPct*TaxAssessmentPct*TaxValueAdjFactor)/12),0)</f>
        <v/>
      </c>
      <c r="DD35" s="18">
        <f>IF(105&gt;=DeliverStart,IF(TaxMethodValue&gt;=1,TaxYear1*(1+GrowthTax)^MAX(0,INT((105-1)/12)-INT((StabMonth-1)/12))/12,MAX(0,DD$34*12)/EntryCapRate*(TaxLevyPct*TaxAssessmentPct*TaxValueAdjFactor)/12),0)</f>
        <v/>
      </c>
      <c r="DE35" s="18">
        <f>IF(106&gt;=DeliverStart,IF(TaxMethodValue&gt;=1,TaxYear1*(1+GrowthTax)^MAX(0,INT((106-1)/12)-INT((StabMonth-1)/12))/12,MAX(0,DE$34*12)/EntryCapRate*(TaxLevyPct*TaxAssessmentPct*TaxValueAdjFactor)/12),0)</f>
        <v/>
      </c>
      <c r="DF35" s="18">
        <f>IF(107&gt;=DeliverStart,IF(TaxMethodValue&gt;=1,TaxYear1*(1+GrowthTax)^MAX(0,INT((107-1)/12)-INT((StabMonth-1)/12))/12,MAX(0,DF$34*12)/EntryCapRate*(TaxLevyPct*TaxAssessmentPct*TaxValueAdjFactor)/12),0)</f>
        <v/>
      </c>
      <c r="DG35" s="18">
        <f>IF(108&gt;=DeliverStart,IF(TaxMethodValue&gt;=1,TaxYear1*(1+GrowthTax)^MAX(0,INT((108-1)/12)-INT((StabMonth-1)/12))/12,MAX(0,DG$34*12)/EntryCapRate*(TaxLevyPct*TaxAssessmentPct*TaxValueAdjFactor)/12),0)</f>
        <v/>
      </c>
      <c r="DH35" s="18">
        <f>IF(109&gt;=DeliverStart,IF(TaxMethodValue&gt;=1,TaxYear1*(1+GrowthTax)^MAX(0,INT((109-1)/12)-INT((StabMonth-1)/12))/12,MAX(0,DH$34*12)/EntryCapRate*(TaxLevyPct*TaxAssessmentPct*TaxValueAdjFactor)/12),0)</f>
        <v/>
      </c>
      <c r="DI35" s="18">
        <f>IF(110&gt;=DeliverStart,IF(TaxMethodValue&gt;=1,TaxYear1*(1+GrowthTax)^MAX(0,INT((110-1)/12)-INT((StabMonth-1)/12))/12,MAX(0,DI$34*12)/EntryCapRate*(TaxLevyPct*TaxAssessmentPct*TaxValueAdjFactor)/12),0)</f>
        <v/>
      </c>
      <c r="DJ35" s="18">
        <f>IF(111&gt;=DeliverStart,IF(TaxMethodValue&gt;=1,TaxYear1*(1+GrowthTax)^MAX(0,INT((111-1)/12)-INT((StabMonth-1)/12))/12,MAX(0,DJ$34*12)/EntryCapRate*(TaxLevyPct*TaxAssessmentPct*TaxValueAdjFactor)/12),0)</f>
        <v/>
      </c>
      <c r="DK35" s="18">
        <f>IF(112&gt;=DeliverStart,IF(TaxMethodValue&gt;=1,TaxYear1*(1+GrowthTax)^MAX(0,INT((112-1)/12)-INT((StabMonth-1)/12))/12,MAX(0,DK$34*12)/EntryCapRate*(TaxLevyPct*TaxAssessmentPct*TaxValueAdjFactor)/12),0)</f>
        <v/>
      </c>
      <c r="DL35" s="18">
        <f>IF(113&gt;=DeliverStart,IF(TaxMethodValue&gt;=1,TaxYear1*(1+GrowthTax)^MAX(0,INT((113-1)/12)-INT((StabMonth-1)/12))/12,MAX(0,DL$34*12)/EntryCapRate*(TaxLevyPct*TaxAssessmentPct*TaxValueAdjFactor)/12),0)</f>
        <v/>
      </c>
      <c r="DM35" s="18">
        <f>IF(114&gt;=DeliverStart,IF(TaxMethodValue&gt;=1,TaxYear1*(1+GrowthTax)^MAX(0,INT((114-1)/12)-INT((StabMonth-1)/12))/12,MAX(0,DM$34*12)/EntryCapRate*(TaxLevyPct*TaxAssessmentPct*TaxValueAdjFactor)/12),0)</f>
        <v/>
      </c>
      <c r="DN35" s="18">
        <f>IF(115&gt;=DeliverStart,IF(TaxMethodValue&gt;=1,TaxYear1*(1+GrowthTax)^MAX(0,INT((115-1)/12)-INT((StabMonth-1)/12))/12,MAX(0,DN$34*12)/EntryCapRate*(TaxLevyPct*TaxAssessmentPct*TaxValueAdjFactor)/12),0)</f>
        <v/>
      </c>
      <c r="DO35" s="18">
        <f>IF(116&gt;=DeliverStart,IF(TaxMethodValue&gt;=1,TaxYear1*(1+GrowthTax)^MAX(0,INT((116-1)/12)-INT((StabMonth-1)/12))/12,MAX(0,DO$34*12)/EntryCapRate*(TaxLevyPct*TaxAssessmentPct*TaxValueAdjFactor)/12),0)</f>
        <v/>
      </c>
      <c r="DP35" s="18">
        <f>IF(117&gt;=DeliverStart,IF(TaxMethodValue&gt;=1,TaxYear1*(1+GrowthTax)^MAX(0,INT((117-1)/12)-INT((StabMonth-1)/12))/12,MAX(0,DP$34*12)/EntryCapRate*(TaxLevyPct*TaxAssessmentPct*TaxValueAdjFactor)/12),0)</f>
        <v/>
      </c>
      <c r="DQ35" s="18">
        <f>IF(118&gt;=DeliverStart,IF(TaxMethodValue&gt;=1,TaxYear1*(1+GrowthTax)^MAX(0,INT((118-1)/12)-INT((StabMonth-1)/12))/12,MAX(0,DQ$34*12)/EntryCapRate*(TaxLevyPct*TaxAssessmentPct*TaxValueAdjFactor)/12),0)</f>
        <v/>
      </c>
      <c r="DR35" s="18">
        <f>IF(119&gt;=DeliverStart,IF(TaxMethodValue&gt;=1,TaxYear1*(1+GrowthTax)^MAX(0,INT((119-1)/12)-INT((StabMonth-1)/12))/12,MAX(0,DR$34*12)/EntryCapRate*(TaxLevyPct*TaxAssessmentPct*TaxValueAdjFactor)/12),0)</f>
        <v/>
      </c>
      <c r="DS35" s="18">
        <f>IF(120&gt;=DeliverStart,IF(TaxMethodValue&gt;=1,TaxYear1*(1+GrowthTax)^MAX(0,INT((120-1)/12)-INT((StabMonth-1)/12))/12,MAX(0,DS$34*12)/EntryCapRate*(TaxLevyPct*TaxAssessmentPct*TaxValueAdjFactor)/12),0)</f>
        <v/>
      </c>
      <c r="DT35" s="18">
        <f>IF(121&gt;=DeliverStart,IF(TaxMethodValue&gt;=1,TaxYear1*(1+GrowthTax)^MAX(0,INT((121-1)/12)-INT((StabMonth-1)/12))/12,MAX(0,DT$34*12)/EntryCapRate*(TaxLevyPct*TaxAssessmentPct*TaxValueAdjFactor)/12),0)</f>
        <v/>
      </c>
      <c r="DU35" s="18">
        <f>IF(122&gt;=DeliverStart,IF(TaxMethodValue&gt;=1,TaxYear1*(1+GrowthTax)^MAX(0,INT((122-1)/12)-INT((StabMonth-1)/12))/12,MAX(0,DU$34*12)/EntryCapRate*(TaxLevyPct*TaxAssessmentPct*TaxValueAdjFactor)/12),0)</f>
        <v/>
      </c>
      <c r="DV35" s="18">
        <f>IF(123&gt;=DeliverStart,IF(TaxMethodValue&gt;=1,TaxYear1*(1+GrowthTax)^MAX(0,INT((123-1)/12)-INT((StabMonth-1)/12))/12,MAX(0,DV$34*12)/EntryCapRate*(TaxLevyPct*TaxAssessmentPct*TaxValueAdjFactor)/12),0)</f>
        <v/>
      </c>
      <c r="DW35" s="18">
        <f>IF(124&gt;=DeliverStart,IF(TaxMethodValue&gt;=1,TaxYear1*(1+GrowthTax)^MAX(0,INT((124-1)/12)-INT((StabMonth-1)/12))/12,MAX(0,DW$34*12)/EntryCapRate*(TaxLevyPct*TaxAssessmentPct*TaxValueAdjFactor)/12),0)</f>
        <v/>
      </c>
      <c r="DX35" s="18">
        <f>IF(125&gt;=DeliverStart,IF(TaxMethodValue&gt;=1,TaxYear1*(1+GrowthTax)^MAX(0,INT((125-1)/12)-INT((StabMonth-1)/12))/12,MAX(0,DX$34*12)/EntryCapRate*(TaxLevyPct*TaxAssessmentPct*TaxValueAdjFactor)/12),0)</f>
        <v/>
      </c>
      <c r="DY35" s="18">
        <f>IF(126&gt;=DeliverStart,IF(TaxMethodValue&gt;=1,TaxYear1*(1+GrowthTax)^MAX(0,INT((126-1)/12)-INT((StabMonth-1)/12))/12,MAX(0,DY$34*12)/EntryCapRate*(TaxLevyPct*TaxAssessmentPct*TaxValueAdjFactor)/12),0)</f>
        <v/>
      </c>
      <c r="DZ35" s="18">
        <f>IF(127&gt;=DeliverStart,IF(TaxMethodValue&gt;=1,TaxYear1*(1+GrowthTax)^MAX(0,INT((127-1)/12)-INT((StabMonth-1)/12))/12,MAX(0,DZ$34*12)/EntryCapRate*(TaxLevyPct*TaxAssessmentPct*TaxValueAdjFactor)/12),0)</f>
        <v/>
      </c>
      <c r="EA35" s="18">
        <f>IF(128&gt;=DeliverStart,IF(TaxMethodValue&gt;=1,TaxYear1*(1+GrowthTax)^MAX(0,INT((128-1)/12)-INT((StabMonth-1)/12))/12,MAX(0,EA$34*12)/EntryCapRate*(TaxLevyPct*TaxAssessmentPct*TaxValueAdjFactor)/12),0)</f>
        <v/>
      </c>
      <c r="EB35" s="18">
        <f>IF(129&gt;=DeliverStart,IF(TaxMethodValue&gt;=1,TaxYear1*(1+GrowthTax)^MAX(0,INT((129-1)/12)-INT((StabMonth-1)/12))/12,MAX(0,EB$34*12)/EntryCapRate*(TaxLevyPct*TaxAssessmentPct*TaxValueAdjFactor)/12),0)</f>
        <v/>
      </c>
      <c r="EC35" s="18">
        <f>IF(130&gt;=DeliverStart,IF(TaxMethodValue&gt;=1,TaxYear1*(1+GrowthTax)^MAX(0,INT((130-1)/12)-INT((StabMonth-1)/12))/12,MAX(0,EC$34*12)/EntryCapRate*(TaxLevyPct*TaxAssessmentPct*TaxValueAdjFactor)/12),0)</f>
        <v/>
      </c>
      <c r="ED35" s="18">
        <f>IF(131&gt;=DeliverStart,IF(TaxMethodValue&gt;=1,TaxYear1*(1+GrowthTax)^MAX(0,INT((131-1)/12)-INT((StabMonth-1)/12))/12,MAX(0,ED$34*12)/EntryCapRate*(TaxLevyPct*TaxAssessmentPct*TaxValueAdjFactor)/12),0)</f>
        <v/>
      </c>
      <c r="EE35" s="18">
        <f>IF(132&gt;=DeliverStart,IF(TaxMethodValue&gt;=1,TaxYear1*(1+GrowthTax)^MAX(0,INT((132-1)/12)-INT((StabMonth-1)/12))/12,MAX(0,EE$34*12)/EntryCapRate*(TaxLevyPct*TaxAssessmentPct*TaxValueAdjFactor)/12),0)</f>
        <v/>
      </c>
      <c r="EF35" s="18">
        <f>IF(133&gt;=DeliverStart,IF(TaxMethodValue&gt;=1,TaxYear1*(1+GrowthTax)^MAX(0,INT((133-1)/12)-INT((StabMonth-1)/12))/12,MAX(0,EF$34*12)/EntryCapRate*(TaxLevyPct*TaxAssessmentPct*TaxValueAdjFactor)/12),0)</f>
        <v/>
      </c>
      <c r="EG35" s="18">
        <f>IF(134&gt;=DeliverStart,IF(TaxMethodValue&gt;=1,TaxYear1*(1+GrowthTax)^MAX(0,INT((134-1)/12)-INT((StabMonth-1)/12))/12,MAX(0,EG$34*12)/EntryCapRate*(TaxLevyPct*TaxAssessmentPct*TaxValueAdjFactor)/12),0)</f>
        <v/>
      </c>
      <c r="EH35" s="18">
        <f>IF(135&gt;=DeliverStart,IF(TaxMethodValue&gt;=1,TaxYear1*(1+GrowthTax)^MAX(0,INT((135-1)/12)-INT((StabMonth-1)/12))/12,MAX(0,EH$34*12)/EntryCapRate*(TaxLevyPct*TaxAssessmentPct*TaxValueAdjFactor)/12),0)</f>
        <v/>
      </c>
      <c r="EI35" s="18">
        <f>IF(136&gt;=DeliverStart,IF(TaxMethodValue&gt;=1,TaxYear1*(1+GrowthTax)^MAX(0,INT((136-1)/12)-INT((StabMonth-1)/12))/12,MAX(0,EI$34*12)/EntryCapRate*(TaxLevyPct*TaxAssessmentPct*TaxValueAdjFactor)/12),0)</f>
        <v/>
      </c>
      <c r="EJ35" s="18">
        <f>IF(137&gt;=DeliverStart,IF(TaxMethodValue&gt;=1,TaxYear1*(1+GrowthTax)^MAX(0,INT((137-1)/12)-INT((StabMonth-1)/12))/12,MAX(0,EJ$34*12)/EntryCapRate*(TaxLevyPct*TaxAssessmentPct*TaxValueAdjFactor)/12),0)</f>
        <v/>
      </c>
      <c r="EK35" s="18">
        <f>IF(138&gt;=DeliverStart,IF(TaxMethodValue&gt;=1,TaxYear1*(1+GrowthTax)^MAX(0,INT((138-1)/12)-INT((StabMonth-1)/12))/12,MAX(0,EK$34*12)/EntryCapRate*(TaxLevyPct*TaxAssessmentPct*TaxValueAdjFactor)/12),0)</f>
        <v/>
      </c>
      <c r="EL35" s="18">
        <f>IF(139&gt;=DeliverStart,IF(TaxMethodValue&gt;=1,TaxYear1*(1+GrowthTax)^MAX(0,INT((139-1)/12)-INT((StabMonth-1)/12))/12,MAX(0,EL$34*12)/EntryCapRate*(TaxLevyPct*TaxAssessmentPct*TaxValueAdjFactor)/12),0)</f>
        <v/>
      </c>
      <c r="EM35" s="18">
        <f>IF(140&gt;=DeliverStart,IF(TaxMethodValue&gt;=1,TaxYear1*(1+GrowthTax)^MAX(0,INT((140-1)/12)-INT((StabMonth-1)/12))/12,MAX(0,EM$34*12)/EntryCapRate*(TaxLevyPct*TaxAssessmentPct*TaxValueAdjFactor)/12),0)</f>
        <v/>
      </c>
      <c r="EN35" s="18">
        <f>IF(141&gt;=DeliverStart,IF(TaxMethodValue&gt;=1,TaxYear1*(1+GrowthTax)^MAX(0,INT((141-1)/12)-INT((StabMonth-1)/12))/12,MAX(0,EN$34*12)/EntryCapRate*(TaxLevyPct*TaxAssessmentPct*TaxValueAdjFactor)/12),0)</f>
        <v/>
      </c>
      <c r="EO35" s="18">
        <f>IF(142&gt;=DeliverStart,IF(TaxMethodValue&gt;=1,TaxYear1*(1+GrowthTax)^MAX(0,INT((142-1)/12)-INT((StabMonth-1)/12))/12,MAX(0,EO$34*12)/EntryCapRate*(TaxLevyPct*TaxAssessmentPct*TaxValueAdjFactor)/12),0)</f>
        <v/>
      </c>
      <c r="EP35" s="18">
        <f>IF(143&gt;=DeliverStart,IF(TaxMethodValue&gt;=1,TaxYear1*(1+GrowthTax)^MAX(0,INT((143-1)/12)-INT((StabMonth-1)/12))/12,MAX(0,EP$34*12)/EntryCapRate*(TaxLevyPct*TaxAssessmentPct*TaxValueAdjFactor)/12),0)</f>
        <v/>
      </c>
      <c r="EQ35" s="18">
        <f>IF(144&gt;=DeliverStart,IF(TaxMethodValue&gt;=1,TaxYear1*(1+GrowthTax)^MAX(0,INT((144-1)/12)-INT((StabMonth-1)/12))/12,MAX(0,EQ$34*12)/EntryCapRate*(TaxLevyPct*TaxAssessmentPct*TaxValueAdjFactor)/12),0)</f>
        <v/>
      </c>
      <c r="ER35" s="18">
        <f>IF(145&gt;=DeliverStart,IF(TaxMethodValue&gt;=1,TaxYear1*(1+GrowthTax)^MAX(0,INT((145-1)/12)-INT((StabMonth-1)/12))/12,MAX(0,ER$34*12)/EntryCapRate*(TaxLevyPct*TaxAssessmentPct*TaxValueAdjFactor)/12),0)</f>
        <v/>
      </c>
      <c r="ES35" s="18">
        <f>IF(146&gt;=DeliverStart,IF(TaxMethodValue&gt;=1,TaxYear1*(1+GrowthTax)^MAX(0,INT((146-1)/12)-INT((StabMonth-1)/12))/12,MAX(0,ES$34*12)/EntryCapRate*(TaxLevyPct*TaxAssessmentPct*TaxValueAdjFactor)/12),0)</f>
        <v/>
      </c>
      <c r="ET35" s="18">
        <f>IF(147&gt;=DeliverStart,IF(TaxMethodValue&gt;=1,TaxYear1*(1+GrowthTax)^MAX(0,INT((147-1)/12)-INT((StabMonth-1)/12))/12,MAX(0,ET$34*12)/EntryCapRate*(TaxLevyPct*TaxAssessmentPct*TaxValueAdjFactor)/12),0)</f>
        <v/>
      </c>
      <c r="EU35" s="18">
        <f>IF(148&gt;=DeliverStart,IF(TaxMethodValue&gt;=1,TaxYear1*(1+GrowthTax)^MAX(0,INT((148-1)/12)-INT((StabMonth-1)/12))/12,MAX(0,EU$34*12)/EntryCapRate*(TaxLevyPct*TaxAssessmentPct*TaxValueAdjFactor)/12),0)</f>
        <v/>
      </c>
      <c r="EV35" s="18">
        <f>IF(149&gt;=DeliverStart,IF(TaxMethodValue&gt;=1,TaxYear1*(1+GrowthTax)^MAX(0,INT((149-1)/12)-INT((StabMonth-1)/12))/12,MAX(0,EV$34*12)/EntryCapRate*(TaxLevyPct*TaxAssessmentPct*TaxValueAdjFactor)/12),0)</f>
        <v/>
      </c>
      <c r="EW35" s="18">
        <f>IF(150&gt;=DeliverStart,IF(TaxMethodValue&gt;=1,TaxYear1*(1+GrowthTax)^MAX(0,INT((150-1)/12)-INT((StabMonth-1)/12))/12,MAX(0,EW$34*12)/EntryCapRate*(TaxLevyPct*TaxAssessmentPct*TaxValueAdjFactor)/12),0)</f>
        <v/>
      </c>
      <c r="EX35" s="18">
        <f>IF(151&gt;=DeliverStart,IF(TaxMethodValue&gt;=1,TaxYear1*(1+GrowthTax)^MAX(0,INT((151-1)/12)-INT((StabMonth-1)/12))/12,MAX(0,EX$34*12)/EntryCapRate*(TaxLevyPct*TaxAssessmentPct*TaxValueAdjFactor)/12),0)</f>
        <v/>
      </c>
      <c r="EY35" s="18">
        <f>IF(152&gt;=DeliverStart,IF(TaxMethodValue&gt;=1,TaxYear1*(1+GrowthTax)^MAX(0,INT((152-1)/12)-INT((StabMonth-1)/12))/12,MAX(0,EY$34*12)/EntryCapRate*(TaxLevyPct*TaxAssessmentPct*TaxValueAdjFactor)/12),0)</f>
        <v/>
      </c>
      <c r="EZ35" s="18">
        <f>IF(153&gt;=DeliverStart,IF(TaxMethodValue&gt;=1,TaxYear1*(1+GrowthTax)^MAX(0,INT((153-1)/12)-INT((StabMonth-1)/12))/12,MAX(0,EZ$34*12)/EntryCapRate*(TaxLevyPct*TaxAssessmentPct*TaxValueAdjFactor)/12),0)</f>
        <v/>
      </c>
      <c r="FA35" s="18">
        <f>IF(154&gt;=DeliverStart,IF(TaxMethodValue&gt;=1,TaxYear1*(1+GrowthTax)^MAX(0,INT((154-1)/12)-INT((StabMonth-1)/12))/12,MAX(0,FA$34*12)/EntryCapRate*(TaxLevyPct*TaxAssessmentPct*TaxValueAdjFactor)/12),0)</f>
        <v/>
      </c>
      <c r="FB35" s="18">
        <f>IF(155&gt;=DeliverStart,IF(TaxMethodValue&gt;=1,TaxYear1*(1+GrowthTax)^MAX(0,INT((155-1)/12)-INT((StabMonth-1)/12))/12,MAX(0,FB$34*12)/EntryCapRate*(TaxLevyPct*TaxAssessmentPct*TaxValueAdjFactor)/12),0)</f>
        <v/>
      </c>
      <c r="FC35" s="18">
        <f>IF(156&gt;=DeliverStart,IF(TaxMethodValue&gt;=1,TaxYear1*(1+GrowthTax)^MAX(0,INT((156-1)/12)-INT((StabMonth-1)/12))/12,MAX(0,FC$34*12)/EntryCapRate*(TaxLevyPct*TaxAssessmentPct*TaxValueAdjFactor)/12),0)</f>
        <v/>
      </c>
      <c r="FD35" s="18">
        <f>IF(157&gt;=DeliverStart,IF(TaxMethodValue&gt;=1,TaxYear1*(1+GrowthTax)^MAX(0,INT((157-1)/12)-INT((StabMonth-1)/12))/12,MAX(0,FD$34*12)/EntryCapRate*(TaxLevyPct*TaxAssessmentPct*TaxValueAdjFactor)/12),0)</f>
        <v/>
      </c>
      <c r="FE35" s="18">
        <f>IF(158&gt;=DeliverStart,IF(TaxMethodValue&gt;=1,TaxYear1*(1+GrowthTax)^MAX(0,INT((158-1)/12)-INT((StabMonth-1)/12))/12,MAX(0,FE$34*12)/EntryCapRate*(TaxLevyPct*TaxAssessmentPct*TaxValueAdjFactor)/12),0)</f>
        <v/>
      </c>
      <c r="FF35" s="18">
        <f>IF(159&gt;=DeliverStart,IF(TaxMethodValue&gt;=1,TaxYear1*(1+GrowthTax)^MAX(0,INT((159-1)/12)-INT((StabMonth-1)/12))/12,MAX(0,FF$34*12)/EntryCapRate*(TaxLevyPct*TaxAssessmentPct*TaxValueAdjFactor)/12),0)</f>
        <v/>
      </c>
      <c r="FG35" s="18">
        <f>IF(160&gt;=DeliverStart,IF(TaxMethodValue&gt;=1,TaxYear1*(1+GrowthTax)^MAX(0,INT((160-1)/12)-INT((StabMonth-1)/12))/12,MAX(0,FG$34*12)/EntryCapRate*(TaxLevyPct*TaxAssessmentPct*TaxValueAdjFactor)/12),0)</f>
        <v/>
      </c>
      <c r="FH35" s="18">
        <f>IF(161&gt;=DeliverStart,IF(TaxMethodValue&gt;=1,TaxYear1*(1+GrowthTax)^MAX(0,INT((161-1)/12)-INT((StabMonth-1)/12))/12,MAX(0,FH$34*12)/EntryCapRate*(TaxLevyPct*TaxAssessmentPct*TaxValueAdjFactor)/12),0)</f>
        <v/>
      </c>
      <c r="FI35" s="18">
        <f>IF(162&gt;=DeliverStart,IF(TaxMethodValue&gt;=1,TaxYear1*(1+GrowthTax)^MAX(0,INT((162-1)/12)-INT((StabMonth-1)/12))/12,MAX(0,FI$34*12)/EntryCapRate*(TaxLevyPct*TaxAssessmentPct*TaxValueAdjFactor)/12),0)</f>
        <v/>
      </c>
      <c r="FJ35" s="18">
        <f>IF(163&gt;=DeliverStart,IF(TaxMethodValue&gt;=1,TaxYear1*(1+GrowthTax)^MAX(0,INT((163-1)/12)-INT((StabMonth-1)/12))/12,MAX(0,FJ$34*12)/EntryCapRate*(TaxLevyPct*TaxAssessmentPct*TaxValueAdjFactor)/12),0)</f>
        <v/>
      </c>
      <c r="FK35" s="18">
        <f>IF(164&gt;=DeliverStart,IF(TaxMethodValue&gt;=1,TaxYear1*(1+GrowthTax)^MAX(0,INT((164-1)/12)-INT((StabMonth-1)/12))/12,MAX(0,FK$34*12)/EntryCapRate*(TaxLevyPct*TaxAssessmentPct*TaxValueAdjFactor)/12),0)</f>
        <v/>
      </c>
      <c r="FL35" s="18">
        <f>IF(165&gt;=DeliverStart,IF(TaxMethodValue&gt;=1,TaxYear1*(1+GrowthTax)^MAX(0,INT((165-1)/12)-INT((StabMonth-1)/12))/12,MAX(0,FL$34*12)/EntryCapRate*(TaxLevyPct*TaxAssessmentPct*TaxValueAdjFactor)/12),0)</f>
        <v/>
      </c>
      <c r="FM35" s="18">
        <f>IF(166&gt;=DeliverStart,IF(TaxMethodValue&gt;=1,TaxYear1*(1+GrowthTax)^MAX(0,INT((166-1)/12)-INT((StabMonth-1)/12))/12,MAX(0,FM$34*12)/EntryCapRate*(TaxLevyPct*TaxAssessmentPct*TaxValueAdjFactor)/12),0)</f>
        <v/>
      </c>
      <c r="FN35" s="18">
        <f>IF(167&gt;=DeliverStart,IF(TaxMethodValue&gt;=1,TaxYear1*(1+GrowthTax)^MAX(0,INT((167-1)/12)-INT((StabMonth-1)/12))/12,MAX(0,FN$34*12)/EntryCapRate*(TaxLevyPct*TaxAssessmentPct*TaxValueAdjFactor)/12),0)</f>
        <v/>
      </c>
      <c r="FO35" s="18">
        <f>IF(168&gt;=DeliverStart,IF(TaxMethodValue&gt;=1,TaxYear1*(1+GrowthTax)^MAX(0,INT((168-1)/12)-INT((StabMonth-1)/12))/12,MAX(0,FO$34*12)/EntryCapRate*(TaxLevyPct*TaxAssessmentPct*TaxValueAdjFactor)/12),0)</f>
        <v/>
      </c>
      <c r="FP35" s="18">
        <f>IF(169&gt;=DeliverStart,IF(TaxMethodValue&gt;=1,TaxYear1*(1+GrowthTax)^MAX(0,INT((169-1)/12)-INT((StabMonth-1)/12))/12,MAX(0,FP$34*12)/EntryCapRate*(TaxLevyPct*TaxAssessmentPct*TaxValueAdjFactor)/12),0)</f>
        <v/>
      </c>
      <c r="FQ35" s="18">
        <f>IF(170&gt;=DeliverStart,IF(TaxMethodValue&gt;=1,TaxYear1*(1+GrowthTax)^MAX(0,INT((170-1)/12)-INT((StabMonth-1)/12))/12,MAX(0,FQ$34*12)/EntryCapRate*(TaxLevyPct*TaxAssessmentPct*TaxValueAdjFactor)/12),0)</f>
        <v/>
      </c>
      <c r="FR35" s="18">
        <f>IF(171&gt;=DeliverStart,IF(TaxMethodValue&gt;=1,TaxYear1*(1+GrowthTax)^MAX(0,INT((171-1)/12)-INT((StabMonth-1)/12))/12,MAX(0,FR$34*12)/EntryCapRate*(TaxLevyPct*TaxAssessmentPct*TaxValueAdjFactor)/12),0)</f>
        <v/>
      </c>
      <c r="FS35" s="18">
        <f>IF(172&gt;=DeliverStart,IF(TaxMethodValue&gt;=1,TaxYear1*(1+GrowthTax)^MAX(0,INT((172-1)/12)-INT((StabMonth-1)/12))/12,MAX(0,FS$34*12)/EntryCapRate*(TaxLevyPct*TaxAssessmentPct*TaxValueAdjFactor)/12),0)</f>
        <v/>
      </c>
      <c r="FT35" s="18">
        <f>IF(173&gt;=DeliverStart,IF(TaxMethodValue&gt;=1,TaxYear1*(1+GrowthTax)^MAX(0,INT((173-1)/12)-INT((StabMonth-1)/12))/12,MAX(0,FT$34*12)/EntryCapRate*(TaxLevyPct*TaxAssessmentPct*TaxValueAdjFactor)/12),0)</f>
        <v/>
      </c>
      <c r="FU35" s="18">
        <f>IF(174&gt;=DeliverStart,IF(TaxMethodValue&gt;=1,TaxYear1*(1+GrowthTax)^MAX(0,INT((174-1)/12)-INT((StabMonth-1)/12))/12,MAX(0,FU$34*12)/EntryCapRate*(TaxLevyPct*TaxAssessmentPct*TaxValueAdjFactor)/12),0)</f>
        <v/>
      </c>
      <c r="FV35" s="18">
        <f>IF(175&gt;=DeliverStart,IF(TaxMethodValue&gt;=1,TaxYear1*(1+GrowthTax)^MAX(0,INT((175-1)/12)-INT((StabMonth-1)/12))/12,MAX(0,FV$34*12)/EntryCapRate*(TaxLevyPct*TaxAssessmentPct*TaxValueAdjFactor)/12),0)</f>
        <v/>
      </c>
      <c r="FW35" s="18">
        <f>IF(176&gt;=DeliverStart,IF(TaxMethodValue&gt;=1,TaxYear1*(1+GrowthTax)^MAX(0,INT((176-1)/12)-INT((StabMonth-1)/12))/12,MAX(0,FW$34*12)/EntryCapRate*(TaxLevyPct*TaxAssessmentPct*TaxValueAdjFactor)/12),0)</f>
        <v/>
      </c>
      <c r="FX35" s="18">
        <f>IF(177&gt;=DeliverStart,IF(TaxMethodValue&gt;=1,TaxYear1*(1+GrowthTax)^MAX(0,INT((177-1)/12)-INT((StabMonth-1)/12))/12,MAX(0,FX$34*12)/EntryCapRate*(TaxLevyPct*TaxAssessmentPct*TaxValueAdjFactor)/12),0)</f>
        <v/>
      </c>
      <c r="FY35" s="18">
        <f>IF(178&gt;=DeliverStart,IF(TaxMethodValue&gt;=1,TaxYear1*(1+GrowthTax)^MAX(0,INT((178-1)/12)-INT((StabMonth-1)/12))/12,MAX(0,FY$34*12)/EntryCapRate*(TaxLevyPct*TaxAssessmentPct*TaxValueAdjFactor)/12),0)</f>
        <v/>
      </c>
      <c r="FZ35" s="18">
        <f>IF(179&gt;=DeliverStart,IF(TaxMethodValue&gt;=1,TaxYear1*(1+GrowthTax)^MAX(0,INT((179-1)/12)-INT((StabMonth-1)/12))/12,MAX(0,FZ$34*12)/EntryCapRate*(TaxLevyPct*TaxAssessmentPct*TaxValueAdjFactor)/12),0)</f>
        <v/>
      </c>
      <c r="GA35" s="18">
        <f>IF(180&gt;=DeliverStart,IF(TaxMethodValue&gt;=1,TaxYear1*(1+GrowthTax)^MAX(0,INT((180-1)/12)-INT((StabMonth-1)/12))/12,MAX(0,GA$34*12)/EntryCapRate*(TaxLevyPct*TaxAssessmentPct*TaxValueAdjFactor)/12),0)</f>
        <v/>
      </c>
      <c r="GB35" s="18">
        <f>IF(181&gt;=DeliverStart,IF(TaxMethodValue&gt;=1,TaxYear1*(1+GrowthTax)^MAX(0,INT((181-1)/12)-INT((StabMonth-1)/12))/12,MAX(0,GB$34*12)/EntryCapRate*(TaxLevyPct*TaxAssessmentPct*TaxValueAdjFactor)/12),0)</f>
        <v/>
      </c>
      <c r="GC35" s="18">
        <f>IF(182&gt;=DeliverStart,IF(TaxMethodValue&gt;=1,TaxYear1*(1+GrowthTax)^MAX(0,INT((182-1)/12)-INT((StabMonth-1)/12))/12,MAX(0,GC$34*12)/EntryCapRate*(TaxLevyPct*TaxAssessmentPct*TaxValueAdjFactor)/12),0)</f>
        <v/>
      </c>
      <c r="GD35" s="18">
        <f>IF(183&gt;=DeliverStart,IF(TaxMethodValue&gt;=1,TaxYear1*(1+GrowthTax)^MAX(0,INT((183-1)/12)-INT((StabMonth-1)/12))/12,MAX(0,GD$34*12)/EntryCapRate*(TaxLevyPct*TaxAssessmentPct*TaxValueAdjFactor)/12),0)</f>
        <v/>
      </c>
      <c r="GE35" s="18">
        <f>IF(184&gt;=DeliverStart,IF(TaxMethodValue&gt;=1,TaxYear1*(1+GrowthTax)^MAX(0,INT((184-1)/12)-INT((StabMonth-1)/12))/12,MAX(0,GE$34*12)/EntryCapRate*(TaxLevyPct*TaxAssessmentPct*TaxValueAdjFactor)/12),0)</f>
        <v/>
      </c>
      <c r="GF35" s="18">
        <f>IF(185&gt;=DeliverStart,IF(TaxMethodValue&gt;=1,TaxYear1*(1+GrowthTax)^MAX(0,INT((185-1)/12)-INT((StabMonth-1)/12))/12,MAX(0,GF$34*12)/EntryCapRate*(TaxLevyPct*TaxAssessmentPct*TaxValueAdjFactor)/12),0)</f>
        <v/>
      </c>
      <c r="GG35" s="18">
        <f>IF(186&gt;=DeliverStart,IF(TaxMethodValue&gt;=1,TaxYear1*(1+GrowthTax)^MAX(0,INT((186-1)/12)-INT((StabMonth-1)/12))/12,MAX(0,GG$34*12)/EntryCapRate*(TaxLevyPct*TaxAssessmentPct*TaxValueAdjFactor)/12),0)</f>
        <v/>
      </c>
      <c r="GH35" s="18">
        <f>IF(187&gt;=DeliverStart,IF(TaxMethodValue&gt;=1,TaxYear1*(1+GrowthTax)^MAX(0,INT((187-1)/12)-INT((StabMonth-1)/12))/12,MAX(0,GH$34*12)/EntryCapRate*(TaxLevyPct*TaxAssessmentPct*TaxValueAdjFactor)/12),0)</f>
        <v/>
      </c>
      <c r="GI35" s="18">
        <f>IF(188&gt;=DeliverStart,IF(TaxMethodValue&gt;=1,TaxYear1*(1+GrowthTax)^MAX(0,INT((188-1)/12)-INT((StabMonth-1)/12))/12,MAX(0,GI$34*12)/EntryCapRate*(TaxLevyPct*TaxAssessmentPct*TaxValueAdjFactor)/12),0)</f>
        <v/>
      </c>
      <c r="GJ35" s="18">
        <f>IF(189&gt;=DeliverStart,IF(TaxMethodValue&gt;=1,TaxYear1*(1+GrowthTax)^MAX(0,INT((189-1)/12)-INT((StabMonth-1)/12))/12,MAX(0,GJ$34*12)/EntryCapRate*(TaxLevyPct*TaxAssessmentPct*TaxValueAdjFactor)/12),0)</f>
        <v/>
      </c>
      <c r="GK35" s="18">
        <f>IF(190&gt;=DeliverStart,IF(TaxMethodValue&gt;=1,TaxYear1*(1+GrowthTax)^MAX(0,INT((190-1)/12)-INT((StabMonth-1)/12))/12,MAX(0,GK$34*12)/EntryCapRate*(TaxLevyPct*TaxAssessmentPct*TaxValueAdjFactor)/12),0)</f>
        <v/>
      </c>
      <c r="GL35" s="18">
        <f>IF(191&gt;=DeliverStart,IF(TaxMethodValue&gt;=1,TaxYear1*(1+GrowthTax)^MAX(0,INT((191-1)/12)-INT((StabMonth-1)/12))/12,MAX(0,GL$34*12)/EntryCapRate*(TaxLevyPct*TaxAssessmentPct*TaxValueAdjFactor)/12),0)</f>
        <v/>
      </c>
      <c r="GM35" s="18">
        <f>IF(192&gt;=DeliverStart,IF(TaxMethodValue&gt;=1,TaxYear1*(1+GrowthTax)^MAX(0,INT((192-1)/12)-INT((StabMonth-1)/12))/12,MAX(0,GM$34*12)/EntryCapRate*(TaxLevyPct*TaxAssessmentPct*TaxValueAdjFactor)/12),0)</f>
        <v/>
      </c>
      <c r="GN35" s="18">
        <f>IF(193&gt;=DeliverStart,IF(TaxMethodValue&gt;=1,TaxYear1*(1+GrowthTax)^MAX(0,INT((193-1)/12)-INT((StabMonth-1)/12))/12,MAX(0,GN$34*12)/EntryCapRate*(TaxLevyPct*TaxAssessmentPct*TaxValueAdjFactor)/12),0)</f>
        <v/>
      </c>
      <c r="GO35" s="18">
        <f>IF(194&gt;=DeliverStart,IF(TaxMethodValue&gt;=1,TaxYear1*(1+GrowthTax)^MAX(0,INT((194-1)/12)-INT((StabMonth-1)/12))/12,MAX(0,GO$34*12)/EntryCapRate*(TaxLevyPct*TaxAssessmentPct*TaxValueAdjFactor)/12),0)</f>
        <v/>
      </c>
      <c r="GP35" s="18">
        <f>IF(195&gt;=DeliverStart,IF(TaxMethodValue&gt;=1,TaxYear1*(1+GrowthTax)^MAX(0,INT((195-1)/12)-INT((StabMonth-1)/12))/12,MAX(0,GP$34*12)/EntryCapRate*(TaxLevyPct*TaxAssessmentPct*TaxValueAdjFactor)/12),0)</f>
        <v/>
      </c>
      <c r="GQ35" s="18">
        <f>IF(196&gt;=DeliverStart,IF(TaxMethodValue&gt;=1,TaxYear1*(1+GrowthTax)^MAX(0,INT((196-1)/12)-INT((StabMonth-1)/12))/12,MAX(0,GQ$34*12)/EntryCapRate*(TaxLevyPct*TaxAssessmentPct*TaxValueAdjFactor)/12),0)</f>
        <v/>
      </c>
      <c r="GR35" s="18">
        <f>IF(197&gt;=DeliverStart,IF(TaxMethodValue&gt;=1,TaxYear1*(1+GrowthTax)^MAX(0,INT((197-1)/12)-INT((StabMonth-1)/12))/12,MAX(0,GR$34*12)/EntryCapRate*(TaxLevyPct*TaxAssessmentPct*TaxValueAdjFactor)/12),0)</f>
        <v/>
      </c>
      <c r="GS35" s="18">
        <f>IF(198&gt;=DeliverStart,IF(TaxMethodValue&gt;=1,TaxYear1*(1+GrowthTax)^MAX(0,INT((198-1)/12)-INT((StabMonth-1)/12))/12,MAX(0,GS$34*12)/EntryCapRate*(TaxLevyPct*TaxAssessmentPct*TaxValueAdjFactor)/12),0)</f>
        <v/>
      </c>
      <c r="GT35" s="18">
        <f>IF(199&gt;=DeliverStart,IF(TaxMethodValue&gt;=1,TaxYear1*(1+GrowthTax)^MAX(0,INT((199-1)/12)-INT((StabMonth-1)/12))/12,MAX(0,GT$34*12)/EntryCapRate*(TaxLevyPct*TaxAssessmentPct*TaxValueAdjFactor)/12),0)</f>
        <v/>
      </c>
      <c r="GU35" s="18">
        <f>IF(200&gt;=DeliverStart,IF(TaxMethodValue&gt;=1,TaxYear1*(1+GrowthTax)^MAX(0,INT((200-1)/12)-INT((StabMonth-1)/12))/12,MAX(0,GU$34*12)/EntryCapRate*(TaxLevyPct*TaxAssessmentPct*TaxValueAdjFactor)/12),0)</f>
        <v/>
      </c>
      <c r="GV35" s="18">
        <f>IF(201&gt;=DeliverStart,IF(TaxMethodValue&gt;=1,TaxYear1*(1+GrowthTax)^MAX(0,INT((201-1)/12)-INT((StabMonth-1)/12))/12,MAX(0,GV$34*12)/EntryCapRate*(TaxLevyPct*TaxAssessmentPct*TaxValueAdjFactor)/12),0)</f>
        <v/>
      </c>
      <c r="GW35" s="18">
        <f>IF(202&gt;=DeliverStart,IF(TaxMethodValue&gt;=1,TaxYear1*(1+GrowthTax)^MAX(0,INT((202-1)/12)-INT((StabMonth-1)/12))/12,MAX(0,GW$34*12)/EntryCapRate*(TaxLevyPct*TaxAssessmentPct*TaxValueAdjFactor)/12),0)</f>
        <v/>
      </c>
      <c r="GX35" s="18">
        <f>IF(203&gt;=DeliverStart,IF(TaxMethodValue&gt;=1,TaxYear1*(1+GrowthTax)^MAX(0,INT((203-1)/12)-INT((StabMonth-1)/12))/12,MAX(0,GX$34*12)/EntryCapRate*(TaxLevyPct*TaxAssessmentPct*TaxValueAdjFactor)/12),0)</f>
        <v/>
      </c>
      <c r="GY35" s="18">
        <f>IF(204&gt;=DeliverStart,IF(TaxMethodValue&gt;=1,TaxYear1*(1+GrowthTax)^MAX(0,INT((204-1)/12)-INT((StabMonth-1)/12))/12,MAX(0,GY$34*12)/EntryCapRate*(TaxLevyPct*TaxAssessmentPct*TaxValueAdjFactor)/12),0)</f>
        <v/>
      </c>
      <c r="GZ35" s="18">
        <f>IF(205&gt;=DeliverStart,IF(TaxMethodValue&gt;=1,TaxYear1*(1+GrowthTax)^MAX(0,INT((205-1)/12)-INT((StabMonth-1)/12))/12,MAX(0,GZ$34*12)/EntryCapRate*(TaxLevyPct*TaxAssessmentPct*TaxValueAdjFactor)/12),0)</f>
        <v/>
      </c>
      <c r="HA35" s="18">
        <f>IF(206&gt;=DeliverStart,IF(TaxMethodValue&gt;=1,TaxYear1*(1+GrowthTax)^MAX(0,INT((206-1)/12)-INT((StabMonth-1)/12))/12,MAX(0,HA$34*12)/EntryCapRate*(TaxLevyPct*TaxAssessmentPct*TaxValueAdjFactor)/12),0)</f>
        <v/>
      </c>
      <c r="HB35" s="18">
        <f>IF(207&gt;=DeliverStart,IF(TaxMethodValue&gt;=1,TaxYear1*(1+GrowthTax)^MAX(0,INT((207-1)/12)-INT((StabMonth-1)/12))/12,MAX(0,HB$34*12)/EntryCapRate*(TaxLevyPct*TaxAssessmentPct*TaxValueAdjFactor)/12),0)</f>
        <v/>
      </c>
      <c r="HC35" s="18">
        <f>IF(208&gt;=DeliverStart,IF(TaxMethodValue&gt;=1,TaxYear1*(1+GrowthTax)^MAX(0,INT((208-1)/12)-INT((StabMonth-1)/12))/12,MAX(0,HC$34*12)/EntryCapRate*(TaxLevyPct*TaxAssessmentPct*TaxValueAdjFactor)/12),0)</f>
        <v/>
      </c>
      <c r="HD35" s="18">
        <f>IF(209&gt;=DeliverStart,IF(TaxMethodValue&gt;=1,TaxYear1*(1+GrowthTax)^MAX(0,INT((209-1)/12)-INT((StabMonth-1)/12))/12,MAX(0,HD$34*12)/EntryCapRate*(TaxLevyPct*TaxAssessmentPct*TaxValueAdjFactor)/12),0)</f>
        <v/>
      </c>
      <c r="HE35" s="18">
        <f>IF(210&gt;=DeliverStart,IF(TaxMethodValue&gt;=1,TaxYear1*(1+GrowthTax)^MAX(0,INT((210-1)/12)-INT((StabMonth-1)/12))/12,MAX(0,HE$34*12)/EntryCapRate*(TaxLevyPct*TaxAssessmentPct*TaxValueAdjFactor)/12),0)</f>
        <v/>
      </c>
      <c r="HF35" s="18">
        <f>IF(211&gt;=DeliverStart,IF(TaxMethodValue&gt;=1,TaxYear1*(1+GrowthTax)^MAX(0,INT((211-1)/12)-INT((StabMonth-1)/12))/12,MAX(0,HF$34*12)/EntryCapRate*(TaxLevyPct*TaxAssessmentPct*TaxValueAdjFactor)/12),0)</f>
        <v/>
      </c>
      <c r="HG35" s="18">
        <f>IF(212&gt;=DeliverStart,IF(TaxMethodValue&gt;=1,TaxYear1*(1+GrowthTax)^MAX(0,INT((212-1)/12)-INT((StabMonth-1)/12))/12,MAX(0,HG$34*12)/EntryCapRate*(TaxLevyPct*TaxAssessmentPct*TaxValueAdjFactor)/12),0)</f>
        <v/>
      </c>
      <c r="HH35" s="18">
        <f>IF(213&gt;=DeliverStart,IF(TaxMethodValue&gt;=1,TaxYear1*(1+GrowthTax)^MAX(0,INT((213-1)/12)-INT((StabMonth-1)/12))/12,MAX(0,HH$34*12)/EntryCapRate*(TaxLevyPct*TaxAssessmentPct*TaxValueAdjFactor)/12),0)</f>
        <v/>
      </c>
      <c r="HI35" s="18">
        <f>IF(214&gt;=DeliverStart,IF(TaxMethodValue&gt;=1,TaxYear1*(1+GrowthTax)^MAX(0,INT((214-1)/12)-INT((StabMonth-1)/12))/12,MAX(0,HI$34*12)/EntryCapRate*(TaxLevyPct*TaxAssessmentPct*TaxValueAdjFactor)/12),0)</f>
        <v/>
      </c>
      <c r="HJ35" s="18">
        <f>IF(215&gt;=DeliverStart,IF(TaxMethodValue&gt;=1,TaxYear1*(1+GrowthTax)^MAX(0,INT((215-1)/12)-INT((StabMonth-1)/12))/12,MAX(0,HJ$34*12)/EntryCapRate*(TaxLevyPct*TaxAssessmentPct*TaxValueAdjFactor)/12),0)</f>
        <v/>
      </c>
      <c r="HK35" s="18">
        <f>IF(216&gt;=DeliverStart,IF(TaxMethodValue&gt;=1,TaxYear1*(1+GrowthTax)^MAX(0,INT((216-1)/12)-INT((StabMonth-1)/12))/12,MAX(0,HK$34*12)/EntryCapRate*(TaxLevyPct*TaxAssessmentPct*TaxValueAdjFactor)/12),0)</f>
        <v/>
      </c>
      <c r="HL35" s="18">
        <f>IF(217&gt;=DeliverStart,IF(TaxMethodValue&gt;=1,TaxYear1*(1+GrowthTax)^MAX(0,INT((217-1)/12)-INT((StabMonth-1)/12))/12,MAX(0,HL$34*12)/EntryCapRate*(TaxLevyPct*TaxAssessmentPct*TaxValueAdjFactor)/12),0)</f>
        <v/>
      </c>
      <c r="HM35" s="18">
        <f>IF(218&gt;=DeliverStart,IF(TaxMethodValue&gt;=1,TaxYear1*(1+GrowthTax)^MAX(0,INT((218-1)/12)-INT((StabMonth-1)/12))/12,MAX(0,HM$34*12)/EntryCapRate*(TaxLevyPct*TaxAssessmentPct*TaxValueAdjFactor)/12),0)</f>
        <v/>
      </c>
      <c r="HN35" s="18">
        <f>IF(219&gt;=DeliverStart,IF(TaxMethodValue&gt;=1,TaxYear1*(1+GrowthTax)^MAX(0,INT((219-1)/12)-INT((StabMonth-1)/12))/12,MAX(0,HN$34*12)/EntryCapRate*(TaxLevyPct*TaxAssessmentPct*TaxValueAdjFactor)/12),0)</f>
        <v/>
      </c>
      <c r="HO35" s="18">
        <f>IF(220&gt;=DeliverStart,IF(TaxMethodValue&gt;=1,TaxYear1*(1+GrowthTax)^MAX(0,INT((220-1)/12)-INT((StabMonth-1)/12))/12,MAX(0,HO$34*12)/EntryCapRate*(TaxLevyPct*TaxAssessmentPct*TaxValueAdjFactor)/12),0)</f>
        <v/>
      </c>
      <c r="HP35" s="18">
        <f>IF(221&gt;=DeliverStart,IF(TaxMethodValue&gt;=1,TaxYear1*(1+GrowthTax)^MAX(0,INT((221-1)/12)-INT((StabMonth-1)/12))/12,MAX(0,HP$34*12)/EntryCapRate*(TaxLevyPct*TaxAssessmentPct*TaxValueAdjFactor)/12),0)</f>
        <v/>
      </c>
      <c r="HQ35" s="18">
        <f>IF(222&gt;=DeliverStart,IF(TaxMethodValue&gt;=1,TaxYear1*(1+GrowthTax)^MAX(0,INT((222-1)/12)-INT((StabMonth-1)/12))/12,MAX(0,HQ$34*12)/EntryCapRate*(TaxLevyPct*TaxAssessmentPct*TaxValueAdjFactor)/12),0)</f>
        <v/>
      </c>
      <c r="HR35" s="18">
        <f>IF(223&gt;=DeliverStart,IF(TaxMethodValue&gt;=1,TaxYear1*(1+GrowthTax)^MAX(0,INT((223-1)/12)-INT((StabMonth-1)/12))/12,MAX(0,HR$34*12)/EntryCapRate*(TaxLevyPct*TaxAssessmentPct*TaxValueAdjFactor)/12),0)</f>
        <v/>
      </c>
      <c r="HS35" s="18">
        <f>IF(224&gt;=DeliverStart,IF(TaxMethodValue&gt;=1,TaxYear1*(1+GrowthTax)^MAX(0,INT((224-1)/12)-INT((StabMonth-1)/12))/12,MAX(0,HS$34*12)/EntryCapRate*(TaxLevyPct*TaxAssessmentPct*TaxValueAdjFactor)/12),0)</f>
        <v/>
      </c>
      <c r="HT35" s="18">
        <f>IF(225&gt;=DeliverStart,IF(TaxMethodValue&gt;=1,TaxYear1*(1+GrowthTax)^MAX(0,INT((225-1)/12)-INT((StabMonth-1)/12))/12,MAX(0,HT$34*12)/EntryCapRate*(TaxLevyPct*TaxAssessmentPct*TaxValueAdjFactor)/12),0)</f>
        <v/>
      </c>
      <c r="HU35" s="18">
        <f>IF(226&gt;=DeliverStart,IF(TaxMethodValue&gt;=1,TaxYear1*(1+GrowthTax)^MAX(0,INT((226-1)/12)-INT((StabMonth-1)/12))/12,MAX(0,HU$34*12)/EntryCapRate*(TaxLevyPct*TaxAssessmentPct*TaxValueAdjFactor)/12),0)</f>
        <v/>
      </c>
      <c r="HV35" s="18">
        <f>IF(227&gt;=DeliverStart,IF(TaxMethodValue&gt;=1,TaxYear1*(1+GrowthTax)^MAX(0,INT((227-1)/12)-INT((StabMonth-1)/12))/12,MAX(0,HV$34*12)/EntryCapRate*(TaxLevyPct*TaxAssessmentPct*TaxValueAdjFactor)/12),0)</f>
        <v/>
      </c>
      <c r="HW35" s="18">
        <f>IF(228&gt;=DeliverStart,IF(TaxMethodValue&gt;=1,TaxYear1*(1+GrowthTax)^MAX(0,INT((228-1)/12)-INT((StabMonth-1)/12))/12,MAX(0,HW$34*12)/EntryCapRate*(TaxLevyPct*TaxAssessmentPct*TaxValueAdjFactor)/12),0)</f>
        <v/>
      </c>
      <c r="HX35" s="18">
        <f>IF(229&gt;=DeliverStart,IF(TaxMethodValue&gt;=1,TaxYear1*(1+GrowthTax)^MAX(0,INT((229-1)/12)-INT((StabMonth-1)/12))/12,MAX(0,HX$34*12)/EntryCapRate*(TaxLevyPct*TaxAssessmentPct*TaxValueAdjFactor)/12),0)</f>
        <v/>
      </c>
      <c r="HY35" s="18">
        <f>IF(230&gt;=DeliverStart,IF(TaxMethodValue&gt;=1,TaxYear1*(1+GrowthTax)^MAX(0,INT((230-1)/12)-INT((StabMonth-1)/12))/12,MAX(0,HY$34*12)/EntryCapRate*(TaxLevyPct*TaxAssessmentPct*TaxValueAdjFactor)/12),0)</f>
        <v/>
      </c>
      <c r="HZ35" s="18">
        <f>IF(231&gt;=DeliverStart,IF(TaxMethodValue&gt;=1,TaxYear1*(1+GrowthTax)^MAX(0,INT((231-1)/12)-INT((StabMonth-1)/12))/12,MAX(0,HZ$34*12)/EntryCapRate*(TaxLevyPct*TaxAssessmentPct*TaxValueAdjFactor)/12),0)</f>
        <v/>
      </c>
      <c r="IA35" s="18">
        <f>IF(232&gt;=DeliverStart,IF(TaxMethodValue&gt;=1,TaxYear1*(1+GrowthTax)^MAX(0,INT((232-1)/12)-INT((StabMonth-1)/12))/12,MAX(0,IA$34*12)/EntryCapRate*(TaxLevyPct*TaxAssessmentPct*TaxValueAdjFactor)/12),0)</f>
        <v/>
      </c>
      <c r="IB35" s="18">
        <f>IF(233&gt;=DeliverStart,IF(TaxMethodValue&gt;=1,TaxYear1*(1+GrowthTax)^MAX(0,INT((233-1)/12)-INT((StabMonth-1)/12))/12,MAX(0,IB$34*12)/EntryCapRate*(TaxLevyPct*TaxAssessmentPct*TaxValueAdjFactor)/12),0)</f>
        <v/>
      </c>
      <c r="IC35" s="18">
        <f>IF(234&gt;=DeliverStart,IF(TaxMethodValue&gt;=1,TaxYear1*(1+GrowthTax)^MAX(0,INT((234-1)/12)-INT((StabMonth-1)/12))/12,MAX(0,IC$34*12)/EntryCapRate*(TaxLevyPct*TaxAssessmentPct*TaxValueAdjFactor)/12),0)</f>
        <v/>
      </c>
      <c r="ID35" s="18">
        <f>IF(235&gt;=DeliverStart,IF(TaxMethodValue&gt;=1,TaxYear1*(1+GrowthTax)^MAX(0,INT((235-1)/12)-INT((StabMonth-1)/12))/12,MAX(0,ID$34*12)/EntryCapRate*(TaxLevyPct*TaxAssessmentPct*TaxValueAdjFactor)/12),0)</f>
        <v/>
      </c>
      <c r="IE35" s="18">
        <f>IF(236&gt;=DeliverStart,IF(TaxMethodValue&gt;=1,TaxYear1*(1+GrowthTax)^MAX(0,INT((236-1)/12)-INT((StabMonth-1)/12))/12,MAX(0,IE$34*12)/EntryCapRate*(TaxLevyPct*TaxAssessmentPct*TaxValueAdjFactor)/12),0)</f>
        <v/>
      </c>
      <c r="IF35" s="18">
        <f>IF(237&gt;=DeliverStart,IF(TaxMethodValue&gt;=1,TaxYear1*(1+GrowthTax)^MAX(0,INT((237-1)/12)-INT((StabMonth-1)/12))/12,MAX(0,IF$34*12)/EntryCapRate*(TaxLevyPct*TaxAssessmentPct*TaxValueAdjFactor)/12),0)</f>
        <v/>
      </c>
      <c r="IG35" s="18">
        <f>IF(238&gt;=DeliverStart,IF(TaxMethodValue&gt;=1,TaxYear1*(1+GrowthTax)^MAX(0,INT((238-1)/12)-INT((StabMonth-1)/12))/12,MAX(0,IG$34*12)/EntryCapRate*(TaxLevyPct*TaxAssessmentPct*TaxValueAdjFactor)/12),0)</f>
        <v/>
      </c>
      <c r="IH35" s="18">
        <f>IF(239&gt;=DeliverStart,IF(TaxMethodValue&gt;=1,TaxYear1*(1+GrowthTax)^MAX(0,INT((239-1)/12)-INT((StabMonth-1)/12))/12,MAX(0,IH$34*12)/EntryCapRate*(TaxLevyPct*TaxAssessmentPct*TaxValueAdjFactor)/12),0)</f>
        <v/>
      </c>
      <c r="II35" s="18">
        <f>IF(240&gt;=DeliverStart,IF(TaxMethodValue&gt;=1,TaxYear1*(1+GrowthTax)^MAX(0,INT((240-1)/12)-INT((StabMonth-1)/12))/12,MAX(0,II$34*12)/EntryCapRate*(TaxLevyPct*TaxAssessmentPct*TaxValueAdjFactor)/12),0)</f>
        <v/>
      </c>
      <c r="IJ35" s="18">
        <f>IF(241&gt;=DeliverStart,IF(TaxMethodValue&gt;=1,TaxYear1*(1+GrowthTax)^MAX(0,INT((241-1)/12)-INT((StabMonth-1)/12))/12,MAX(0,IJ$34*12)/EntryCapRate*(TaxLevyPct*TaxAssessmentPct*TaxValueAdjFactor)/12),0)</f>
        <v/>
      </c>
      <c r="IK35" s="18">
        <f>IF(242&gt;=DeliverStart,IF(TaxMethodValue&gt;=1,TaxYear1*(1+GrowthTax)^MAX(0,INT((242-1)/12)-INT((StabMonth-1)/12))/12,MAX(0,IK$34*12)/EntryCapRate*(TaxLevyPct*TaxAssessmentPct*TaxValueAdjFactor)/12),0)</f>
        <v/>
      </c>
      <c r="IL35" s="18">
        <f>IF(243&gt;=DeliverStart,IF(TaxMethodValue&gt;=1,TaxYear1*(1+GrowthTax)^MAX(0,INT((243-1)/12)-INT((StabMonth-1)/12))/12,MAX(0,IL$34*12)/EntryCapRate*(TaxLevyPct*TaxAssessmentPct*TaxValueAdjFactor)/12),0)</f>
        <v/>
      </c>
      <c r="IM35" s="18">
        <f>IF(244&gt;=DeliverStart,IF(TaxMethodValue&gt;=1,TaxYear1*(1+GrowthTax)^MAX(0,INT((244-1)/12)-INT((StabMonth-1)/12))/12,MAX(0,IM$34*12)/EntryCapRate*(TaxLevyPct*TaxAssessmentPct*TaxValueAdjFactor)/12),0)</f>
        <v/>
      </c>
      <c r="IN35" s="18">
        <f>IF(245&gt;=DeliverStart,IF(TaxMethodValue&gt;=1,TaxYear1*(1+GrowthTax)^MAX(0,INT((245-1)/12)-INT((StabMonth-1)/12))/12,MAX(0,IN$34*12)/EntryCapRate*(TaxLevyPct*TaxAssessmentPct*TaxValueAdjFactor)/12),0)</f>
        <v/>
      </c>
      <c r="IO35" s="18">
        <f>IF(246&gt;=DeliverStart,IF(TaxMethodValue&gt;=1,TaxYear1*(1+GrowthTax)^MAX(0,INT((246-1)/12)-INT((StabMonth-1)/12))/12,MAX(0,IO$34*12)/EntryCapRate*(TaxLevyPct*TaxAssessmentPct*TaxValueAdjFactor)/12),0)</f>
        <v/>
      </c>
      <c r="IP35" s="18">
        <f>IF(247&gt;=DeliverStart,IF(TaxMethodValue&gt;=1,TaxYear1*(1+GrowthTax)^MAX(0,INT((247-1)/12)-INT((StabMonth-1)/12))/12,MAX(0,IP$34*12)/EntryCapRate*(TaxLevyPct*TaxAssessmentPct*TaxValueAdjFactor)/12),0)</f>
        <v/>
      </c>
      <c r="IQ35" s="18">
        <f>IF(248&gt;=DeliverStart,IF(TaxMethodValue&gt;=1,TaxYear1*(1+GrowthTax)^MAX(0,INT((248-1)/12)-INT((StabMonth-1)/12))/12,MAX(0,IQ$34*12)/EntryCapRate*(TaxLevyPct*TaxAssessmentPct*TaxValueAdjFactor)/12),0)</f>
        <v/>
      </c>
      <c r="IR35" s="18">
        <f>IF(249&gt;=DeliverStart,IF(TaxMethodValue&gt;=1,TaxYear1*(1+GrowthTax)^MAX(0,INT((249-1)/12)-INT((StabMonth-1)/12))/12,MAX(0,IR$34*12)/EntryCapRate*(TaxLevyPct*TaxAssessmentPct*TaxValueAdjFactor)/12),0)</f>
        <v/>
      </c>
      <c r="IS35" s="18">
        <f>IF(250&gt;=DeliverStart,IF(TaxMethodValue&gt;=1,TaxYear1*(1+GrowthTax)^MAX(0,INT((250-1)/12)-INT((StabMonth-1)/12))/12,MAX(0,IS$34*12)/EntryCapRate*(TaxLevyPct*TaxAssessmentPct*TaxValueAdjFactor)/12),0)</f>
        <v/>
      </c>
      <c r="IT35" s="18">
        <f>IF(251&gt;=DeliverStart,IF(TaxMethodValue&gt;=1,TaxYear1*(1+GrowthTax)^MAX(0,INT((251-1)/12)-INT((StabMonth-1)/12))/12,MAX(0,IT$34*12)/EntryCapRate*(TaxLevyPct*TaxAssessmentPct*TaxValueAdjFactor)/12),0)</f>
        <v/>
      </c>
      <c r="IU35" s="18">
        <f>IF(252&gt;=DeliverStart,IF(TaxMethodValue&gt;=1,TaxYear1*(1+GrowthTax)^MAX(0,INT((252-1)/12)-INT((StabMonth-1)/12))/12,MAX(0,IU$34*12)/EntryCapRate*(TaxLevyPct*TaxAssessmentPct*TaxValueAdjFactor)/12),0)</f>
        <v/>
      </c>
      <c r="IV35" s="18">
        <f>IF(253&gt;=DeliverStart,IF(TaxMethodValue&gt;=1,TaxYear1*(1+GrowthTax)^MAX(0,INT((253-1)/12)-INT((StabMonth-1)/12))/12,MAX(0,IV$34*12)/EntryCapRate*(TaxLevyPct*TaxAssessmentPct*TaxValueAdjFactor)/12),0)</f>
        <v/>
      </c>
      <c r="IW35" s="18">
        <f>IF(254&gt;=DeliverStart,IF(TaxMethodValue&gt;=1,TaxYear1*(1+GrowthTax)^MAX(0,INT((254-1)/12)-INT((StabMonth-1)/12))/12,MAX(0,IW$34*12)/EntryCapRate*(TaxLevyPct*TaxAssessmentPct*TaxValueAdjFactor)/12),0)</f>
        <v/>
      </c>
      <c r="IX35" s="18">
        <f>IF(255&gt;=DeliverStart,IF(TaxMethodValue&gt;=1,TaxYear1*(1+GrowthTax)^MAX(0,INT((255-1)/12)-INT((StabMonth-1)/12))/12,MAX(0,IX$34*12)/EntryCapRate*(TaxLevyPct*TaxAssessmentPct*TaxValueAdjFactor)/12),0)</f>
        <v/>
      </c>
      <c r="IY35" s="18">
        <f>IF(256&gt;=DeliverStart,IF(TaxMethodValue&gt;=1,TaxYear1*(1+GrowthTax)^MAX(0,INT((256-1)/12)-INT((StabMonth-1)/12))/12,MAX(0,IY$34*12)/EntryCapRate*(TaxLevyPct*TaxAssessmentPct*TaxValueAdjFactor)/12),0)</f>
        <v/>
      </c>
      <c r="IZ35" s="18">
        <f>IF(257&gt;=DeliverStart,IF(TaxMethodValue&gt;=1,TaxYear1*(1+GrowthTax)^MAX(0,INT((257-1)/12)-INT((StabMonth-1)/12))/12,MAX(0,IZ$34*12)/EntryCapRate*(TaxLevyPct*TaxAssessmentPct*TaxValueAdjFactor)/12),0)</f>
        <v/>
      </c>
      <c r="JA35" s="18">
        <f>IF(258&gt;=DeliverStart,IF(TaxMethodValue&gt;=1,TaxYear1*(1+GrowthTax)^MAX(0,INT((258-1)/12)-INT((StabMonth-1)/12))/12,MAX(0,JA$34*12)/EntryCapRate*(TaxLevyPct*TaxAssessmentPct*TaxValueAdjFactor)/12),0)</f>
        <v/>
      </c>
      <c r="JB35" s="18">
        <f>IF(259&gt;=DeliverStart,IF(TaxMethodValue&gt;=1,TaxYear1*(1+GrowthTax)^MAX(0,INT((259-1)/12)-INT((StabMonth-1)/12))/12,MAX(0,JB$34*12)/EntryCapRate*(TaxLevyPct*TaxAssessmentPct*TaxValueAdjFactor)/12),0)</f>
        <v/>
      </c>
      <c r="JC35" s="18">
        <f>IF(260&gt;=DeliverStart,IF(TaxMethodValue&gt;=1,TaxYear1*(1+GrowthTax)^MAX(0,INT((260-1)/12)-INT((StabMonth-1)/12))/12,MAX(0,JC$34*12)/EntryCapRate*(TaxLevyPct*TaxAssessmentPct*TaxValueAdjFactor)/12),0)</f>
        <v/>
      </c>
      <c r="JD35" s="18">
        <f>IF(261&gt;=DeliverStart,IF(TaxMethodValue&gt;=1,TaxYear1*(1+GrowthTax)^MAX(0,INT((261-1)/12)-INT((StabMonth-1)/12))/12,MAX(0,JD$34*12)/EntryCapRate*(TaxLevyPct*TaxAssessmentPct*TaxValueAdjFactor)/12),0)</f>
        <v/>
      </c>
      <c r="JE35" s="18">
        <f>IF(262&gt;=DeliverStart,IF(TaxMethodValue&gt;=1,TaxYear1*(1+GrowthTax)^MAX(0,INT((262-1)/12)-INT((StabMonth-1)/12))/12,MAX(0,JE$34*12)/EntryCapRate*(TaxLevyPct*TaxAssessmentPct*TaxValueAdjFactor)/12),0)</f>
        <v/>
      </c>
      <c r="JF35" s="18">
        <f>IF(263&gt;=DeliverStart,IF(TaxMethodValue&gt;=1,TaxYear1*(1+GrowthTax)^MAX(0,INT((263-1)/12)-INT((StabMonth-1)/12))/12,MAX(0,JF$34*12)/EntryCapRate*(TaxLevyPct*TaxAssessmentPct*TaxValueAdjFactor)/12),0)</f>
        <v/>
      </c>
      <c r="JG35" s="18">
        <f>IF(264&gt;=DeliverStart,IF(TaxMethodValue&gt;=1,TaxYear1*(1+GrowthTax)^MAX(0,INT((264-1)/12)-INT((StabMonth-1)/12))/12,MAX(0,JG$34*12)/EntryCapRate*(TaxLevyPct*TaxAssessmentPct*TaxValueAdjFactor)/12),0)</f>
        <v/>
      </c>
      <c r="JH35" s="18">
        <f>IF(265&gt;=DeliverStart,IF(TaxMethodValue&gt;=1,TaxYear1*(1+GrowthTax)^MAX(0,INT((265-1)/12)-INT((StabMonth-1)/12))/12,MAX(0,JH$34*12)/EntryCapRate*(TaxLevyPct*TaxAssessmentPct*TaxValueAdjFactor)/12),0)</f>
        <v/>
      </c>
      <c r="JI35" s="18">
        <f>IF(266&gt;=DeliverStart,IF(TaxMethodValue&gt;=1,TaxYear1*(1+GrowthTax)^MAX(0,INT((266-1)/12)-INT((StabMonth-1)/12))/12,MAX(0,JI$34*12)/EntryCapRate*(TaxLevyPct*TaxAssessmentPct*TaxValueAdjFactor)/12),0)</f>
        <v/>
      </c>
      <c r="JJ35" s="18">
        <f>IF(267&gt;=DeliverStart,IF(TaxMethodValue&gt;=1,TaxYear1*(1+GrowthTax)^MAX(0,INT((267-1)/12)-INT((StabMonth-1)/12))/12,MAX(0,JJ$34*12)/EntryCapRate*(TaxLevyPct*TaxAssessmentPct*TaxValueAdjFactor)/12),0)</f>
        <v/>
      </c>
      <c r="JK35" s="18">
        <f>IF(268&gt;=DeliverStart,IF(TaxMethodValue&gt;=1,TaxYear1*(1+GrowthTax)^MAX(0,INT((268-1)/12)-INT((StabMonth-1)/12))/12,MAX(0,JK$34*12)/EntryCapRate*(TaxLevyPct*TaxAssessmentPct*TaxValueAdjFactor)/12),0)</f>
        <v/>
      </c>
      <c r="JL35" s="18">
        <f>IF(269&gt;=DeliverStart,IF(TaxMethodValue&gt;=1,TaxYear1*(1+GrowthTax)^MAX(0,INT((269-1)/12)-INT((StabMonth-1)/12))/12,MAX(0,JL$34*12)/EntryCapRate*(TaxLevyPct*TaxAssessmentPct*TaxValueAdjFactor)/12),0)</f>
        <v/>
      </c>
      <c r="JM35" s="18">
        <f>IF(270&gt;=DeliverStart,IF(TaxMethodValue&gt;=1,TaxYear1*(1+GrowthTax)^MAX(0,INT((270-1)/12)-INT((StabMonth-1)/12))/12,MAX(0,JM$34*12)/EntryCapRate*(TaxLevyPct*TaxAssessmentPct*TaxValueAdjFactor)/12),0)</f>
        <v/>
      </c>
      <c r="JN35" s="18">
        <f>IF(271&gt;=DeliverStart,IF(TaxMethodValue&gt;=1,TaxYear1*(1+GrowthTax)^MAX(0,INT((271-1)/12)-INT((StabMonth-1)/12))/12,MAX(0,JN$34*12)/EntryCapRate*(TaxLevyPct*TaxAssessmentPct*TaxValueAdjFactor)/12),0)</f>
        <v/>
      </c>
      <c r="JO35" s="18">
        <f>IF(272&gt;=DeliverStart,IF(TaxMethodValue&gt;=1,TaxYear1*(1+GrowthTax)^MAX(0,INT((272-1)/12)-INT((StabMonth-1)/12))/12,MAX(0,JO$34*12)/EntryCapRate*(TaxLevyPct*TaxAssessmentPct*TaxValueAdjFactor)/12),0)</f>
        <v/>
      </c>
      <c r="JP35" s="18">
        <f>IF(273&gt;=DeliverStart,IF(TaxMethodValue&gt;=1,TaxYear1*(1+GrowthTax)^MAX(0,INT((273-1)/12)-INT((StabMonth-1)/12))/12,MAX(0,JP$34*12)/EntryCapRate*(TaxLevyPct*TaxAssessmentPct*TaxValueAdjFactor)/12),0)</f>
        <v/>
      </c>
      <c r="JQ35" s="18">
        <f>IF(274&gt;=DeliverStart,IF(TaxMethodValue&gt;=1,TaxYear1*(1+GrowthTax)^MAX(0,INT((274-1)/12)-INT((StabMonth-1)/12))/12,MAX(0,JQ$34*12)/EntryCapRate*(TaxLevyPct*TaxAssessmentPct*TaxValueAdjFactor)/12),0)</f>
        <v/>
      </c>
      <c r="JR35" s="18">
        <f>IF(275&gt;=DeliverStart,IF(TaxMethodValue&gt;=1,TaxYear1*(1+GrowthTax)^MAX(0,INT((275-1)/12)-INT((StabMonth-1)/12))/12,MAX(0,JR$34*12)/EntryCapRate*(TaxLevyPct*TaxAssessmentPct*TaxValueAdjFactor)/12),0)</f>
        <v/>
      </c>
      <c r="JS35" s="18">
        <f>IF(276&gt;=DeliverStart,IF(TaxMethodValue&gt;=1,TaxYear1*(1+GrowthTax)^MAX(0,INT((276-1)/12)-INT((StabMonth-1)/12))/12,MAX(0,JS$34*12)/EntryCapRate*(TaxLevyPct*TaxAssessmentPct*TaxValueAdjFactor)/12),0)</f>
        <v/>
      </c>
      <c r="JT35" s="18">
        <f>IF(277&gt;=DeliverStart,IF(TaxMethodValue&gt;=1,TaxYear1*(1+GrowthTax)^MAX(0,INT((277-1)/12)-INT((StabMonth-1)/12))/12,MAX(0,JT$34*12)/EntryCapRate*(TaxLevyPct*TaxAssessmentPct*TaxValueAdjFactor)/12),0)</f>
        <v/>
      </c>
      <c r="JU35" s="18">
        <f>IF(278&gt;=DeliverStart,IF(TaxMethodValue&gt;=1,TaxYear1*(1+GrowthTax)^MAX(0,INT((278-1)/12)-INT((StabMonth-1)/12))/12,MAX(0,JU$34*12)/EntryCapRate*(TaxLevyPct*TaxAssessmentPct*TaxValueAdjFactor)/12),0)</f>
        <v/>
      </c>
      <c r="JV35" s="18">
        <f>IF(279&gt;=DeliverStart,IF(TaxMethodValue&gt;=1,TaxYear1*(1+GrowthTax)^MAX(0,INT((279-1)/12)-INT((StabMonth-1)/12))/12,MAX(0,JV$34*12)/EntryCapRate*(TaxLevyPct*TaxAssessmentPct*TaxValueAdjFactor)/12),0)</f>
        <v/>
      </c>
      <c r="JW35" s="18">
        <f>IF(280&gt;=DeliverStart,IF(TaxMethodValue&gt;=1,TaxYear1*(1+GrowthTax)^MAX(0,INT((280-1)/12)-INT((StabMonth-1)/12))/12,MAX(0,JW$34*12)/EntryCapRate*(TaxLevyPct*TaxAssessmentPct*TaxValueAdjFactor)/12),0)</f>
        <v/>
      </c>
      <c r="JX35" s="18">
        <f>IF(281&gt;=DeliverStart,IF(TaxMethodValue&gt;=1,TaxYear1*(1+GrowthTax)^MAX(0,INT((281-1)/12)-INT((StabMonth-1)/12))/12,MAX(0,JX$34*12)/EntryCapRate*(TaxLevyPct*TaxAssessmentPct*TaxValueAdjFactor)/12),0)</f>
        <v/>
      </c>
      <c r="JY35" s="18">
        <f>IF(282&gt;=DeliverStart,IF(TaxMethodValue&gt;=1,TaxYear1*(1+GrowthTax)^MAX(0,INT((282-1)/12)-INT((StabMonth-1)/12))/12,MAX(0,JY$34*12)/EntryCapRate*(TaxLevyPct*TaxAssessmentPct*TaxValueAdjFactor)/12),0)</f>
        <v/>
      </c>
      <c r="JZ35" s="18">
        <f>IF(283&gt;=DeliverStart,IF(TaxMethodValue&gt;=1,TaxYear1*(1+GrowthTax)^MAX(0,INT((283-1)/12)-INT((StabMonth-1)/12))/12,MAX(0,JZ$34*12)/EntryCapRate*(TaxLevyPct*TaxAssessmentPct*TaxValueAdjFactor)/12),0)</f>
        <v/>
      </c>
      <c r="KA35" s="18">
        <f>IF(284&gt;=DeliverStart,IF(TaxMethodValue&gt;=1,TaxYear1*(1+GrowthTax)^MAX(0,INT((284-1)/12)-INT((StabMonth-1)/12))/12,MAX(0,KA$34*12)/EntryCapRate*(TaxLevyPct*TaxAssessmentPct*TaxValueAdjFactor)/12),0)</f>
        <v/>
      </c>
      <c r="KB35" s="18">
        <f>IF(285&gt;=DeliverStart,IF(TaxMethodValue&gt;=1,TaxYear1*(1+GrowthTax)^MAX(0,INT((285-1)/12)-INT((StabMonth-1)/12))/12,MAX(0,KB$34*12)/EntryCapRate*(TaxLevyPct*TaxAssessmentPct*TaxValueAdjFactor)/12),0)</f>
        <v/>
      </c>
      <c r="KC35" s="18">
        <f>IF(286&gt;=DeliverStart,IF(TaxMethodValue&gt;=1,TaxYear1*(1+GrowthTax)^MAX(0,INT((286-1)/12)-INT((StabMonth-1)/12))/12,MAX(0,KC$34*12)/EntryCapRate*(TaxLevyPct*TaxAssessmentPct*TaxValueAdjFactor)/12),0)</f>
        <v/>
      </c>
      <c r="KD35" s="18">
        <f>IF(287&gt;=DeliverStart,IF(TaxMethodValue&gt;=1,TaxYear1*(1+GrowthTax)^MAX(0,INT((287-1)/12)-INT((StabMonth-1)/12))/12,MAX(0,KD$34*12)/EntryCapRate*(TaxLevyPct*TaxAssessmentPct*TaxValueAdjFactor)/12),0)</f>
        <v/>
      </c>
      <c r="KE35" s="18">
        <f>IF(288&gt;=DeliverStart,IF(TaxMethodValue&gt;=1,TaxYear1*(1+GrowthTax)^MAX(0,INT((288-1)/12)-INT((StabMonth-1)/12))/12,MAX(0,KE$34*12)/EntryCapRate*(TaxLevyPct*TaxAssessmentPct*TaxValueAdjFactor)/12),0)</f>
        <v/>
      </c>
      <c r="KF35" s="18">
        <f>IF(289&gt;=DeliverStart,IF(TaxMethodValue&gt;=1,TaxYear1*(1+GrowthTax)^MAX(0,INT((289-1)/12)-INT((StabMonth-1)/12))/12,MAX(0,KF$34*12)/EntryCapRate*(TaxLevyPct*TaxAssessmentPct*TaxValueAdjFactor)/12),0)</f>
        <v/>
      </c>
      <c r="KG35" s="18">
        <f>IF(290&gt;=DeliverStart,IF(TaxMethodValue&gt;=1,TaxYear1*(1+GrowthTax)^MAX(0,INT((290-1)/12)-INT((StabMonth-1)/12))/12,MAX(0,KG$34*12)/EntryCapRate*(TaxLevyPct*TaxAssessmentPct*TaxValueAdjFactor)/12),0)</f>
        <v/>
      </c>
      <c r="KH35" s="18">
        <f>IF(291&gt;=DeliverStart,IF(TaxMethodValue&gt;=1,TaxYear1*(1+GrowthTax)^MAX(0,INT((291-1)/12)-INT((StabMonth-1)/12))/12,MAX(0,KH$34*12)/EntryCapRate*(TaxLevyPct*TaxAssessmentPct*TaxValueAdjFactor)/12),0)</f>
        <v/>
      </c>
      <c r="KI35" s="18">
        <f>IF(292&gt;=DeliverStart,IF(TaxMethodValue&gt;=1,TaxYear1*(1+GrowthTax)^MAX(0,INT((292-1)/12)-INT((StabMonth-1)/12))/12,MAX(0,KI$34*12)/EntryCapRate*(TaxLevyPct*TaxAssessmentPct*TaxValueAdjFactor)/12),0)</f>
        <v/>
      </c>
      <c r="KJ35" s="18">
        <f>IF(293&gt;=DeliverStart,IF(TaxMethodValue&gt;=1,TaxYear1*(1+GrowthTax)^MAX(0,INT((293-1)/12)-INT((StabMonth-1)/12))/12,MAX(0,KJ$34*12)/EntryCapRate*(TaxLevyPct*TaxAssessmentPct*TaxValueAdjFactor)/12),0)</f>
        <v/>
      </c>
      <c r="KK35" s="18">
        <f>IF(294&gt;=DeliverStart,IF(TaxMethodValue&gt;=1,TaxYear1*(1+GrowthTax)^MAX(0,INT((294-1)/12)-INT((StabMonth-1)/12))/12,MAX(0,KK$34*12)/EntryCapRate*(TaxLevyPct*TaxAssessmentPct*TaxValueAdjFactor)/12),0)</f>
        <v/>
      </c>
      <c r="KL35" s="18">
        <f>IF(295&gt;=DeliverStart,IF(TaxMethodValue&gt;=1,TaxYear1*(1+GrowthTax)^MAX(0,INT((295-1)/12)-INT((StabMonth-1)/12))/12,MAX(0,KL$34*12)/EntryCapRate*(TaxLevyPct*TaxAssessmentPct*TaxValueAdjFactor)/12),0)</f>
        <v/>
      </c>
      <c r="KM35" s="18">
        <f>IF(296&gt;=DeliverStart,IF(TaxMethodValue&gt;=1,TaxYear1*(1+GrowthTax)^MAX(0,INT((296-1)/12)-INT((StabMonth-1)/12))/12,MAX(0,KM$34*12)/EntryCapRate*(TaxLevyPct*TaxAssessmentPct*TaxValueAdjFactor)/12),0)</f>
        <v/>
      </c>
      <c r="KN35" s="18">
        <f>IF(297&gt;=DeliverStart,IF(TaxMethodValue&gt;=1,TaxYear1*(1+GrowthTax)^MAX(0,INT((297-1)/12)-INT((StabMonth-1)/12))/12,MAX(0,KN$34*12)/EntryCapRate*(TaxLevyPct*TaxAssessmentPct*TaxValueAdjFactor)/12),0)</f>
        <v/>
      </c>
      <c r="KO35" s="18">
        <f>IF(298&gt;=DeliverStart,IF(TaxMethodValue&gt;=1,TaxYear1*(1+GrowthTax)^MAX(0,INT((298-1)/12)-INT((StabMonth-1)/12))/12,MAX(0,KO$34*12)/EntryCapRate*(TaxLevyPct*TaxAssessmentPct*TaxValueAdjFactor)/12),0)</f>
        <v/>
      </c>
      <c r="KP35" s="18">
        <f>IF(299&gt;=DeliverStart,IF(TaxMethodValue&gt;=1,TaxYear1*(1+GrowthTax)^MAX(0,INT((299-1)/12)-INT((StabMonth-1)/12))/12,MAX(0,KP$34*12)/EntryCapRate*(TaxLevyPct*TaxAssessmentPct*TaxValueAdjFactor)/12),0)</f>
        <v/>
      </c>
      <c r="KQ35" s="18">
        <f>IF(300&gt;=DeliverStart,IF(TaxMethodValue&gt;=1,TaxYear1*(1+GrowthTax)^MAX(0,INT((300-1)/12)-INT((StabMonth-1)/12))/12,MAX(0,KQ$34*12)/EntryCapRate*(TaxLevyPct*TaxAssessmentPct*TaxValueAdjFactor)/12),0)</f>
        <v/>
      </c>
      <c r="KR35" s="18">
        <f>IF(301&gt;=DeliverStart,IF(TaxMethodValue&gt;=1,TaxYear1*(1+GrowthTax)^MAX(0,INT((301-1)/12)-INT((StabMonth-1)/12))/12,MAX(0,KR$34*12)/EntryCapRate*(TaxLevyPct*TaxAssessmentPct*TaxValueAdjFactor)/12),0)</f>
        <v/>
      </c>
      <c r="KS35" s="18">
        <f>IF(302&gt;=DeliverStart,IF(TaxMethodValue&gt;=1,TaxYear1*(1+GrowthTax)^MAX(0,INT((302-1)/12)-INT((StabMonth-1)/12))/12,MAX(0,KS$34*12)/EntryCapRate*(TaxLevyPct*TaxAssessmentPct*TaxValueAdjFactor)/12),0)</f>
        <v/>
      </c>
      <c r="KT35" s="18">
        <f>IF(303&gt;=DeliverStart,IF(TaxMethodValue&gt;=1,TaxYear1*(1+GrowthTax)^MAX(0,INT((303-1)/12)-INT((StabMonth-1)/12))/12,MAX(0,KT$34*12)/EntryCapRate*(TaxLevyPct*TaxAssessmentPct*TaxValueAdjFactor)/12),0)</f>
        <v/>
      </c>
      <c r="KU35" s="18">
        <f>IF(304&gt;=DeliverStart,IF(TaxMethodValue&gt;=1,TaxYear1*(1+GrowthTax)^MAX(0,INT((304-1)/12)-INT((StabMonth-1)/12))/12,MAX(0,KU$34*12)/EntryCapRate*(TaxLevyPct*TaxAssessmentPct*TaxValueAdjFactor)/12),0)</f>
        <v/>
      </c>
      <c r="KV35" s="18">
        <f>IF(305&gt;=DeliverStart,IF(TaxMethodValue&gt;=1,TaxYear1*(1+GrowthTax)^MAX(0,INT((305-1)/12)-INT((StabMonth-1)/12))/12,MAX(0,KV$34*12)/EntryCapRate*(TaxLevyPct*TaxAssessmentPct*TaxValueAdjFactor)/12),0)</f>
        <v/>
      </c>
      <c r="KW35" s="18">
        <f>IF(306&gt;=DeliverStart,IF(TaxMethodValue&gt;=1,TaxYear1*(1+GrowthTax)^MAX(0,INT((306-1)/12)-INT((StabMonth-1)/12))/12,MAX(0,KW$34*12)/EntryCapRate*(TaxLevyPct*TaxAssessmentPct*TaxValueAdjFactor)/12),0)</f>
        <v/>
      </c>
      <c r="KX35" s="18">
        <f>IF(307&gt;=DeliverStart,IF(TaxMethodValue&gt;=1,TaxYear1*(1+GrowthTax)^MAX(0,INT((307-1)/12)-INT((StabMonth-1)/12))/12,MAX(0,KX$34*12)/EntryCapRate*(TaxLevyPct*TaxAssessmentPct*TaxValueAdjFactor)/12),0)</f>
        <v/>
      </c>
      <c r="KY35" s="18">
        <f>IF(308&gt;=DeliverStart,IF(TaxMethodValue&gt;=1,TaxYear1*(1+GrowthTax)^MAX(0,INT((308-1)/12)-INT((StabMonth-1)/12))/12,MAX(0,KY$34*12)/EntryCapRate*(TaxLevyPct*TaxAssessmentPct*TaxValueAdjFactor)/12),0)</f>
        <v/>
      </c>
      <c r="KZ35" s="18">
        <f>IF(309&gt;=DeliverStart,IF(TaxMethodValue&gt;=1,TaxYear1*(1+GrowthTax)^MAX(0,INT((309-1)/12)-INT((StabMonth-1)/12))/12,MAX(0,KZ$34*12)/EntryCapRate*(TaxLevyPct*TaxAssessmentPct*TaxValueAdjFactor)/12),0)</f>
        <v/>
      </c>
      <c r="LA35" s="18">
        <f>IF(310&gt;=DeliverStart,IF(TaxMethodValue&gt;=1,TaxYear1*(1+GrowthTax)^MAX(0,INT((310-1)/12)-INT((StabMonth-1)/12))/12,MAX(0,LA$34*12)/EntryCapRate*(TaxLevyPct*TaxAssessmentPct*TaxValueAdjFactor)/12),0)</f>
        <v/>
      </c>
      <c r="LB35" s="18">
        <f>IF(311&gt;=DeliverStart,IF(TaxMethodValue&gt;=1,TaxYear1*(1+GrowthTax)^MAX(0,INT((311-1)/12)-INT((StabMonth-1)/12))/12,MAX(0,LB$34*12)/EntryCapRate*(TaxLevyPct*TaxAssessmentPct*TaxValueAdjFactor)/12),0)</f>
        <v/>
      </c>
      <c r="LC35" s="18">
        <f>IF(312&gt;=DeliverStart,IF(TaxMethodValue&gt;=1,TaxYear1*(1+GrowthTax)^MAX(0,INT((312-1)/12)-INT((StabMonth-1)/12))/12,MAX(0,LC$34*12)/EntryCapRate*(TaxLevyPct*TaxAssessmentPct*TaxValueAdjFactor)/12),0)</f>
        <v/>
      </c>
      <c r="LD35" s="18">
        <f>IF(313&gt;=DeliverStart,IF(TaxMethodValue&gt;=1,TaxYear1*(1+GrowthTax)^MAX(0,INT((313-1)/12)-INT((StabMonth-1)/12))/12,MAX(0,LD$34*12)/EntryCapRate*(TaxLevyPct*TaxAssessmentPct*TaxValueAdjFactor)/12),0)</f>
        <v/>
      </c>
      <c r="LE35" s="18">
        <f>IF(314&gt;=DeliverStart,IF(TaxMethodValue&gt;=1,TaxYear1*(1+GrowthTax)^MAX(0,INT((314-1)/12)-INT((StabMonth-1)/12))/12,MAX(0,LE$34*12)/EntryCapRate*(TaxLevyPct*TaxAssessmentPct*TaxValueAdjFactor)/12),0)</f>
        <v/>
      </c>
      <c r="LF35" s="18">
        <f>IF(315&gt;=DeliverStart,IF(TaxMethodValue&gt;=1,TaxYear1*(1+GrowthTax)^MAX(0,INT((315-1)/12)-INT((StabMonth-1)/12))/12,MAX(0,LF$34*12)/EntryCapRate*(TaxLevyPct*TaxAssessmentPct*TaxValueAdjFactor)/12),0)</f>
        <v/>
      </c>
      <c r="LG35" s="18">
        <f>IF(316&gt;=DeliverStart,IF(TaxMethodValue&gt;=1,TaxYear1*(1+GrowthTax)^MAX(0,INT((316-1)/12)-INT((StabMonth-1)/12))/12,MAX(0,LG$34*12)/EntryCapRate*(TaxLevyPct*TaxAssessmentPct*TaxValueAdjFactor)/12),0)</f>
        <v/>
      </c>
      <c r="LH35" s="18">
        <f>IF(317&gt;=DeliverStart,IF(TaxMethodValue&gt;=1,TaxYear1*(1+GrowthTax)^MAX(0,INT((317-1)/12)-INT((StabMonth-1)/12))/12,MAX(0,LH$34*12)/EntryCapRate*(TaxLevyPct*TaxAssessmentPct*TaxValueAdjFactor)/12),0)</f>
        <v/>
      </c>
      <c r="LI35" s="18">
        <f>IF(318&gt;=DeliverStart,IF(TaxMethodValue&gt;=1,TaxYear1*(1+GrowthTax)^MAX(0,INT((318-1)/12)-INT((StabMonth-1)/12))/12,MAX(0,LI$34*12)/EntryCapRate*(TaxLevyPct*TaxAssessmentPct*TaxValueAdjFactor)/12),0)</f>
        <v/>
      </c>
      <c r="LJ35" s="18">
        <f>IF(319&gt;=DeliverStart,IF(TaxMethodValue&gt;=1,TaxYear1*(1+GrowthTax)^MAX(0,INT((319-1)/12)-INT((StabMonth-1)/12))/12,MAX(0,LJ$34*12)/EntryCapRate*(TaxLevyPct*TaxAssessmentPct*TaxValueAdjFactor)/12),0)</f>
        <v/>
      </c>
      <c r="LK35" s="18">
        <f>IF(320&gt;=DeliverStart,IF(TaxMethodValue&gt;=1,TaxYear1*(1+GrowthTax)^MAX(0,INT((320-1)/12)-INT((StabMonth-1)/12))/12,MAX(0,LK$34*12)/EntryCapRate*(TaxLevyPct*TaxAssessmentPct*TaxValueAdjFactor)/12),0)</f>
        <v/>
      </c>
      <c r="LL35" s="18">
        <f>IF(321&gt;=DeliverStart,IF(TaxMethodValue&gt;=1,TaxYear1*(1+GrowthTax)^MAX(0,INT((321-1)/12)-INT((StabMonth-1)/12))/12,MAX(0,LL$34*12)/EntryCapRate*(TaxLevyPct*TaxAssessmentPct*TaxValueAdjFactor)/12),0)</f>
        <v/>
      </c>
      <c r="LM35" s="18">
        <f>IF(322&gt;=DeliverStart,IF(TaxMethodValue&gt;=1,TaxYear1*(1+GrowthTax)^MAX(0,INT((322-1)/12)-INT((StabMonth-1)/12))/12,MAX(0,LM$34*12)/EntryCapRate*(TaxLevyPct*TaxAssessmentPct*TaxValueAdjFactor)/12),0)</f>
        <v/>
      </c>
      <c r="LN35" s="18">
        <f>IF(323&gt;=DeliverStart,IF(TaxMethodValue&gt;=1,TaxYear1*(1+GrowthTax)^MAX(0,INT((323-1)/12)-INT((StabMonth-1)/12))/12,MAX(0,LN$34*12)/EntryCapRate*(TaxLevyPct*TaxAssessmentPct*TaxValueAdjFactor)/12),0)</f>
        <v/>
      </c>
      <c r="LO35" s="18">
        <f>IF(324&gt;=DeliverStart,IF(TaxMethodValue&gt;=1,TaxYear1*(1+GrowthTax)^MAX(0,INT((324-1)/12)-INT((StabMonth-1)/12))/12,MAX(0,LO$34*12)/EntryCapRate*(TaxLevyPct*TaxAssessmentPct*TaxValueAdjFactor)/12),0)</f>
        <v/>
      </c>
      <c r="LP35" s="18">
        <f>IF(325&gt;=DeliverStart,IF(TaxMethodValue&gt;=1,TaxYear1*(1+GrowthTax)^MAX(0,INT((325-1)/12)-INT((StabMonth-1)/12))/12,MAX(0,LP$34*12)/EntryCapRate*(TaxLevyPct*TaxAssessmentPct*TaxValueAdjFactor)/12),0)</f>
        <v/>
      </c>
      <c r="LQ35" s="18">
        <f>IF(326&gt;=DeliverStart,IF(TaxMethodValue&gt;=1,TaxYear1*(1+GrowthTax)^MAX(0,INT((326-1)/12)-INT((StabMonth-1)/12))/12,MAX(0,LQ$34*12)/EntryCapRate*(TaxLevyPct*TaxAssessmentPct*TaxValueAdjFactor)/12),0)</f>
        <v/>
      </c>
      <c r="LR35" s="18">
        <f>IF(327&gt;=DeliverStart,IF(TaxMethodValue&gt;=1,TaxYear1*(1+GrowthTax)^MAX(0,INT((327-1)/12)-INT((StabMonth-1)/12))/12,MAX(0,LR$34*12)/EntryCapRate*(TaxLevyPct*TaxAssessmentPct*TaxValueAdjFactor)/12),0)</f>
        <v/>
      </c>
      <c r="LS35" s="18">
        <f>IF(328&gt;=DeliverStart,IF(TaxMethodValue&gt;=1,TaxYear1*(1+GrowthTax)^MAX(0,INT((328-1)/12)-INT((StabMonth-1)/12))/12,MAX(0,LS$34*12)/EntryCapRate*(TaxLevyPct*TaxAssessmentPct*TaxValueAdjFactor)/12),0)</f>
        <v/>
      </c>
      <c r="LT35" s="18">
        <f>IF(329&gt;=DeliverStart,IF(TaxMethodValue&gt;=1,TaxYear1*(1+GrowthTax)^MAX(0,INT((329-1)/12)-INT((StabMonth-1)/12))/12,MAX(0,LT$34*12)/EntryCapRate*(TaxLevyPct*TaxAssessmentPct*TaxValueAdjFactor)/12),0)</f>
        <v/>
      </c>
      <c r="LU35" s="18">
        <f>IF(330&gt;=DeliverStart,IF(TaxMethodValue&gt;=1,TaxYear1*(1+GrowthTax)^MAX(0,INT((330-1)/12)-INT((StabMonth-1)/12))/12,MAX(0,LU$34*12)/EntryCapRate*(TaxLevyPct*TaxAssessmentPct*TaxValueAdjFactor)/12),0)</f>
        <v/>
      </c>
      <c r="LV35" s="18">
        <f>IF(331&gt;=DeliverStart,IF(TaxMethodValue&gt;=1,TaxYear1*(1+GrowthTax)^MAX(0,INT((331-1)/12)-INT((StabMonth-1)/12))/12,MAX(0,LV$34*12)/EntryCapRate*(TaxLevyPct*TaxAssessmentPct*TaxValueAdjFactor)/12),0)</f>
        <v/>
      </c>
      <c r="LW35" s="18">
        <f>IF(332&gt;=DeliverStart,IF(TaxMethodValue&gt;=1,TaxYear1*(1+GrowthTax)^MAX(0,INT((332-1)/12)-INT((StabMonth-1)/12))/12,MAX(0,LW$34*12)/EntryCapRate*(TaxLevyPct*TaxAssessmentPct*TaxValueAdjFactor)/12),0)</f>
        <v/>
      </c>
      <c r="LX35" s="18">
        <f>IF(333&gt;=DeliverStart,IF(TaxMethodValue&gt;=1,TaxYear1*(1+GrowthTax)^MAX(0,INT((333-1)/12)-INT((StabMonth-1)/12))/12,MAX(0,LX$34*12)/EntryCapRate*(TaxLevyPct*TaxAssessmentPct*TaxValueAdjFactor)/12),0)</f>
        <v/>
      </c>
      <c r="LY35" s="18">
        <f>IF(334&gt;=DeliverStart,IF(TaxMethodValue&gt;=1,TaxYear1*(1+GrowthTax)^MAX(0,INT((334-1)/12)-INT((StabMonth-1)/12))/12,MAX(0,LY$34*12)/EntryCapRate*(TaxLevyPct*TaxAssessmentPct*TaxValueAdjFactor)/12),0)</f>
        <v/>
      </c>
      <c r="LZ35" s="18">
        <f>IF(335&gt;=DeliverStart,IF(TaxMethodValue&gt;=1,TaxYear1*(1+GrowthTax)^MAX(0,INT((335-1)/12)-INT((StabMonth-1)/12))/12,MAX(0,LZ$34*12)/EntryCapRate*(TaxLevyPct*TaxAssessmentPct*TaxValueAdjFactor)/12),0)</f>
        <v/>
      </c>
      <c r="MA35" s="18">
        <f>IF(336&gt;=DeliverStart,IF(TaxMethodValue&gt;=1,TaxYear1*(1+GrowthTax)^MAX(0,INT((336-1)/12)-INT((StabMonth-1)/12))/12,MAX(0,MA$34*12)/EntryCapRate*(TaxLevyPct*TaxAssessmentPct*TaxValueAdjFactor)/12),0)</f>
        <v/>
      </c>
      <c r="MB35" s="18">
        <f>IF(337&gt;=DeliverStart,IF(TaxMethodValue&gt;=1,TaxYear1*(1+GrowthTax)^MAX(0,INT((337-1)/12)-INT((StabMonth-1)/12))/12,MAX(0,MB$34*12)/EntryCapRate*(TaxLevyPct*TaxAssessmentPct*TaxValueAdjFactor)/12),0)</f>
        <v/>
      </c>
      <c r="MC35" s="18">
        <f>IF(338&gt;=DeliverStart,IF(TaxMethodValue&gt;=1,TaxYear1*(1+GrowthTax)^MAX(0,INT((338-1)/12)-INT((StabMonth-1)/12))/12,MAX(0,MC$34*12)/EntryCapRate*(TaxLevyPct*TaxAssessmentPct*TaxValueAdjFactor)/12),0)</f>
        <v/>
      </c>
      <c r="MD35" s="18">
        <f>IF(339&gt;=DeliverStart,IF(TaxMethodValue&gt;=1,TaxYear1*(1+GrowthTax)^MAX(0,INT((339-1)/12)-INT((StabMonth-1)/12))/12,MAX(0,MD$34*12)/EntryCapRate*(TaxLevyPct*TaxAssessmentPct*TaxValueAdjFactor)/12),0)</f>
        <v/>
      </c>
      <c r="ME35" s="18">
        <f>IF(340&gt;=DeliverStart,IF(TaxMethodValue&gt;=1,TaxYear1*(1+GrowthTax)^MAX(0,INT((340-1)/12)-INT((StabMonth-1)/12))/12,MAX(0,ME$34*12)/EntryCapRate*(TaxLevyPct*TaxAssessmentPct*TaxValueAdjFactor)/12),0)</f>
        <v/>
      </c>
      <c r="MF35" s="18">
        <f>IF(341&gt;=DeliverStart,IF(TaxMethodValue&gt;=1,TaxYear1*(1+GrowthTax)^MAX(0,INT((341-1)/12)-INT((StabMonth-1)/12))/12,MAX(0,MF$34*12)/EntryCapRate*(TaxLevyPct*TaxAssessmentPct*TaxValueAdjFactor)/12),0)</f>
        <v/>
      </c>
      <c r="MG35" s="18">
        <f>IF(342&gt;=DeliverStart,IF(TaxMethodValue&gt;=1,TaxYear1*(1+GrowthTax)^MAX(0,INT((342-1)/12)-INT((StabMonth-1)/12))/12,MAX(0,MG$34*12)/EntryCapRate*(TaxLevyPct*TaxAssessmentPct*TaxValueAdjFactor)/12),0)</f>
        <v/>
      </c>
      <c r="MH35" s="18">
        <f>IF(343&gt;=DeliverStart,IF(TaxMethodValue&gt;=1,TaxYear1*(1+GrowthTax)^MAX(0,INT((343-1)/12)-INT((StabMonth-1)/12))/12,MAX(0,MH$34*12)/EntryCapRate*(TaxLevyPct*TaxAssessmentPct*TaxValueAdjFactor)/12),0)</f>
        <v/>
      </c>
      <c r="MI35" s="18">
        <f>IF(344&gt;=DeliverStart,IF(TaxMethodValue&gt;=1,TaxYear1*(1+GrowthTax)^MAX(0,INT((344-1)/12)-INT((StabMonth-1)/12))/12,MAX(0,MI$34*12)/EntryCapRate*(TaxLevyPct*TaxAssessmentPct*TaxValueAdjFactor)/12),0)</f>
        <v/>
      </c>
      <c r="MJ35" s="18">
        <f>IF(345&gt;=DeliverStart,IF(TaxMethodValue&gt;=1,TaxYear1*(1+GrowthTax)^MAX(0,INT((345-1)/12)-INT((StabMonth-1)/12))/12,MAX(0,MJ$34*12)/EntryCapRate*(TaxLevyPct*TaxAssessmentPct*TaxValueAdjFactor)/12),0)</f>
        <v/>
      </c>
      <c r="MK35" s="18">
        <f>IF(346&gt;=DeliverStart,IF(TaxMethodValue&gt;=1,TaxYear1*(1+GrowthTax)^MAX(0,INT((346-1)/12)-INT((StabMonth-1)/12))/12,MAX(0,MK$34*12)/EntryCapRate*(TaxLevyPct*TaxAssessmentPct*TaxValueAdjFactor)/12),0)</f>
        <v/>
      </c>
      <c r="ML35" s="18">
        <f>IF(347&gt;=DeliverStart,IF(TaxMethodValue&gt;=1,TaxYear1*(1+GrowthTax)^MAX(0,INT((347-1)/12)-INT((StabMonth-1)/12))/12,MAX(0,ML$34*12)/EntryCapRate*(TaxLevyPct*TaxAssessmentPct*TaxValueAdjFactor)/12),0)</f>
        <v/>
      </c>
      <c r="MM35" s="18">
        <f>IF(348&gt;=DeliverStart,IF(TaxMethodValue&gt;=1,TaxYear1*(1+GrowthTax)^MAX(0,INT((348-1)/12)-INT((StabMonth-1)/12))/12,MAX(0,MM$34*12)/EntryCapRate*(TaxLevyPct*TaxAssessmentPct*TaxValueAdjFactor)/12),0)</f>
        <v/>
      </c>
      <c r="MN35" s="18">
        <f>IF(349&gt;=DeliverStart,IF(TaxMethodValue&gt;=1,TaxYear1*(1+GrowthTax)^MAX(0,INT((349-1)/12)-INT((StabMonth-1)/12))/12,MAX(0,MN$34*12)/EntryCapRate*(TaxLevyPct*TaxAssessmentPct*TaxValueAdjFactor)/12),0)</f>
        <v/>
      </c>
      <c r="MO35" s="18">
        <f>IF(350&gt;=DeliverStart,IF(TaxMethodValue&gt;=1,TaxYear1*(1+GrowthTax)^MAX(0,INT((350-1)/12)-INT((StabMonth-1)/12))/12,MAX(0,MO$34*12)/EntryCapRate*(TaxLevyPct*TaxAssessmentPct*TaxValueAdjFactor)/12),0)</f>
        <v/>
      </c>
      <c r="MP35" s="18">
        <f>IF(351&gt;=DeliverStart,IF(TaxMethodValue&gt;=1,TaxYear1*(1+GrowthTax)^MAX(0,INT((351-1)/12)-INT((StabMonth-1)/12))/12,MAX(0,MP$34*12)/EntryCapRate*(TaxLevyPct*TaxAssessmentPct*TaxValueAdjFactor)/12),0)</f>
        <v/>
      </c>
      <c r="MQ35" s="18">
        <f>IF(352&gt;=DeliverStart,IF(TaxMethodValue&gt;=1,TaxYear1*(1+GrowthTax)^MAX(0,INT((352-1)/12)-INT((StabMonth-1)/12))/12,MAX(0,MQ$34*12)/EntryCapRate*(TaxLevyPct*TaxAssessmentPct*TaxValueAdjFactor)/12),0)</f>
        <v/>
      </c>
      <c r="MR35" s="18">
        <f>IF(353&gt;=DeliverStart,IF(TaxMethodValue&gt;=1,TaxYear1*(1+GrowthTax)^MAX(0,INT((353-1)/12)-INT((StabMonth-1)/12))/12,MAX(0,MR$34*12)/EntryCapRate*(TaxLevyPct*TaxAssessmentPct*TaxValueAdjFactor)/12),0)</f>
        <v/>
      </c>
      <c r="MS35" s="18">
        <f>IF(354&gt;=DeliverStart,IF(TaxMethodValue&gt;=1,TaxYear1*(1+GrowthTax)^MAX(0,INT((354-1)/12)-INT((StabMonth-1)/12))/12,MAX(0,MS$34*12)/EntryCapRate*(TaxLevyPct*TaxAssessmentPct*TaxValueAdjFactor)/12),0)</f>
        <v/>
      </c>
      <c r="MT35" s="18">
        <f>IF(355&gt;=DeliverStart,IF(TaxMethodValue&gt;=1,TaxYear1*(1+GrowthTax)^MAX(0,INT((355-1)/12)-INT((StabMonth-1)/12))/12,MAX(0,MT$34*12)/EntryCapRate*(TaxLevyPct*TaxAssessmentPct*TaxValueAdjFactor)/12),0)</f>
        <v/>
      </c>
      <c r="MU35" s="18">
        <f>IF(356&gt;=DeliverStart,IF(TaxMethodValue&gt;=1,TaxYear1*(1+GrowthTax)^MAX(0,INT((356-1)/12)-INT((StabMonth-1)/12))/12,MAX(0,MU$34*12)/EntryCapRate*(TaxLevyPct*TaxAssessmentPct*TaxValueAdjFactor)/12),0)</f>
        <v/>
      </c>
      <c r="MV35" s="18">
        <f>IF(357&gt;=DeliverStart,IF(TaxMethodValue&gt;=1,TaxYear1*(1+GrowthTax)^MAX(0,INT((357-1)/12)-INT((StabMonth-1)/12))/12,MAX(0,MV$34*12)/EntryCapRate*(TaxLevyPct*TaxAssessmentPct*TaxValueAdjFactor)/12),0)</f>
        <v/>
      </c>
      <c r="MW35" s="18">
        <f>IF(358&gt;=DeliverStart,IF(TaxMethodValue&gt;=1,TaxYear1*(1+GrowthTax)^MAX(0,INT((358-1)/12)-INT((StabMonth-1)/12))/12,MAX(0,MW$34*12)/EntryCapRate*(TaxLevyPct*TaxAssessmentPct*TaxValueAdjFactor)/12),0)</f>
        <v/>
      </c>
      <c r="MX35" s="18">
        <f>IF(359&gt;=DeliverStart,IF(TaxMethodValue&gt;=1,TaxYear1*(1+GrowthTax)^MAX(0,INT((359-1)/12)-INT((StabMonth-1)/12))/12,MAX(0,MX$34*12)/EntryCapRate*(TaxLevyPct*TaxAssessmentPct*TaxValueAdjFactor)/12),0)</f>
        <v/>
      </c>
      <c r="MY35" s="18">
        <f>IF(360&gt;=DeliverStart,IF(TaxMethodValue&gt;=1,TaxYear1*(1+GrowthTax)^MAX(0,INT((360-1)/12)-INT((StabMonth-1)/12))/12,MAX(0,MY$34*12)/EntryCapRate*(TaxLevyPct*TaxAssessmentPct*TaxValueAdjFactor)/12),0)</f>
        <v/>
      </c>
      <c r="MZ35" s="18">
        <f>IF(361&gt;=DeliverStart,IF(TaxMethodValue&gt;=1,TaxYear1*(1+GrowthTax)^MAX(0,INT((361-1)/12)-INT((StabMonth-1)/12))/12,MAX(0,MZ$34*12)/EntryCapRate*(TaxLevyPct*TaxAssessmentPct*TaxValueAdjFactor)/12),0)</f>
        <v/>
      </c>
      <c r="NA35" s="18">
        <f>IF(362&gt;=DeliverStart,IF(TaxMethodValue&gt;=1,TaxYear1*(1+GrowthTax)^MAX(0,INT((362-1)/12)-INT((StabMonth-1)/12))/12,MAX(0,NA$34*12)/EntryCapRate*(TaxLevyPct*TaxAssessmentPct*TaxValueAdjFactor)/12),0)</f>
        <v/>
      </c>
      <c r="NB35" s="18">
        <f>IF(363&gt;=DeliverStart,IF(TaxMethodValue&gt;=1,TaxYear1*(1+GrowthTax)^MAX(0,INT((363-1)/12)-INT((StabMonth-1)/12))/12,MAX(0,NB$34*12)/EntryCapRate*(TaxLevyPct*TaxAssessmentPct*TaxValueAdjFactor)/12),0)</f>
        <v/>
      </c>
      <c r="NC35" s="18">
        <f>IF(364&gt;=DeliverStart,IF(TaxMethodValue&gt;=1,TaxYear1*(1+GrowthTax)^MAX(0,INT((364-1)/12)-INT((StabMonth-1)/12))/12,MAX(0,NC$34*12)/EntryCapRate*(TaxLevyPct*TaxAssessmentPct*TaxValueAdjFactor)/12),0)</f>
        <v/>
      </c>
      <c r="ND35" s="18">
        <f>IF(365&gt;=DeliverStart,IF(TaxMethodValue&gt;=1,TaxYear1*(1+GrowthTax)^MAX(0,INT((365-1)/12)-INT((StabMonth-1)/12))/12,MAX(0,ND$34*12)/EntryCapRate*(TaxLevyPct*TaxAssessmentPct*TaxValueAdjFactor)/12),0)</f>
        <v/>
      </c>
      <c r="NE35" s="18">
        <f>IF(366&gt;=DeliverStart,IF(TaxMethodValue&gt;=1,TaxYear1*(1+GrowthTax)^MAX(0,INT((366-1)/12)-INT((StabMonth-1)/12))/12,MAX(0,NE$34*12)/EntryCapRate*(TaxLevyPct*TaxAssessmentPct*TaxValueAdjFactor)/12),0)</f>
        <v/>
      </c>
      <c r="NF35" s="18">
        <f>IF(367&gt;=DeliverStart,IF(TaxMethodValue&gt;=1,TaxYear1*(1+GrowthTax)^MAX(0,INT((367-1)/12)-INT((StabMonth-1)/12))/12,MAX(0,NF$34*12)/EntryCapRate*(TaxLevyPct*TaxAssessmentPct*TaxValueAdjFactor)/12),0)</f>
        <v/>
      </c>
      <c r="NG35" s="18">
        <f>IF(368&gt;=DeliverStart,IF(TaxMethodValue&gt;=1,TaxYear1*(1+GrowthTax)^MAX(0,INT((368-1)/12)-INT((StabMonth-1)/12))/12,MAX(0,NG$34*12)/EntryCapRate*(TaxLevyPct*TaxAssessmentPct*TaxValueAdjFactor)/12),0)</f>
        <v/>
      </c>
      <c r="NH35" s="18">
        <f>IF(369&gt;=DeliverStart,IF(TaxMethodValue&gt;=1,TaxYear1*(1+GrowthTax)^MAX(0,INT((369-1)/12)-INT((StabMonth-1)/12))/12,MAX(0,NH$34*12)/EntryCapRate*(TaxLevyPct*TaxAssessmentPct*TaxValueAdjFactor)/12),0)</f>
        <v/>
      </c>
      <c r="NI35" s="18">
        <f>IF(370&gt;=DeliverStart,IF(TaxMethodValue&gt;=1,TaxYear1*(1+GrowthTax)^MAX(0,INT((370-1)/12)-INT((StabMonth-1)/12))/12,MAX(0,NI$34*12)/EntryCapRate*(TaxLevyPct*TaxAssessmentPct*TaxValueAdjFactor)/12),0)</f>
        <v/>
      </c>
      <c r="NJ35" s="18">
        <f>IF(371&gt;=DeliverStart,IF(TaxMethodValue&gt;=1,TaxYear1*(1+GrowthTax)^MAX(0,INT((371-1)/12)-INT((StabMonth-1)/12))/12,MAX(0,NJ$34*12)/EntryCapRate*(TaxLevyPct*TaxAssessmentPct*TaxValueAdjFactor)/12),0)</f>
        <v/>
      </c>
      <c r="NK35" s="18">
        <f>IF(372&gt;=DeliverStart,IF(TaxMethodValue&gt;=1,TaxYear1*(1+GrowthTax)^MAX(0,INT((372-1)/12)-INT((StabMonth-1)/12))/12,MAX(0,NK$34*12)/EntryCapRate*(TaxLevyPct*TaxAssessmentPct*TaxValueAdjFactor)/12),0)</f>
        <v/>
      </c>
    </row>
    <row r="36">
      <c r="A36" s="21" t="inlineStr">
        <is>
          <t>Total Operating Expenses</t>
        </is>
      </c>
      <c r="C36" s="41">
        <f>SUM(D36:NK36)</f>
        <v/>
      </c>
      <c r="D36" s="43">
        <f>D$33+D$35</f>
        <v/>
      </c>
      <c r="E36" s="43">
        <f>E$33+E$35</f>
        <v/>
      </c>
      <c r="F36" s="43">
        <f>F$33+F$35</f>
        <v/>
      </c>
      <c r="G36" s="43">
        <f>G$33+G$35</f>
        <v/>
      </c>
      <c r="H36" s="43">
        <f>H$33+H$35</f>
        <v/>
      </c>
      <c r="I36" s="43">
        <f>I$33+I$35</f>
        <v/>
      </c>
      <c r="J36" s="43">
        <f>J$33+J$35</f>
        <v/>
      </c>
      <c r="K36" s="43">
        <f>K$33+K$35</f>
        <v/>
      </c>
      <c r="L36" s="43">
        <f>L$33+L$35</f>
        <v/>
      </c>
      <c r="M36" s="43">
        <f>M$33+M$35</f>
        <v/>
      </c>
      <c r="N36" s="43">
        <f>N$33+N$35</f>
        <v/>
      </c>
      <c r="O36" s="43">
        <f>O$33+O$35</f>
        <v/>
      </c>
      <c r="P36" s="43">
        <f>P$33+P$35</f>
        <v/>
      </c>
      <c r="Q36" s="43">
        <f>Q$33+Q$35</f>
        <v/>
      </c>
      <c r="R36" s="43">
        <f>R$33+R$35</f>
        <v/>
      </c>
      <c r="S36" s="43">
        <f>S$33+S$35</f>
        <v/>
      </c>
      <c r="T36" s="43">
        <f>T$33+T$35</f>
        <v/>
      </c>
      <c r="U36" s="43">
        <f>U$33+U$35</f>
        <v/>
      </c>
      <c r="V36" s="43">
        <f>V$33+V$35</f>
        <v/>
      </c>
      <c r="W36" s="43">
        <f>W$33+W$35</f>
        <v/>
      </c>
      <c r="X36" s="43">
        <f>X$33+X$35</f>
        <v/>
      </c>
      <c r="Y36" s="43">
        <f>Y$33+Y$35</f>
        <v/>
      </c>
      <c r="Z36" s="43">
        <f>Z$33+Z$35</f>
        <v/>
      </c>
      <c r="AA36" s="43">
        <f>AA$33+AA$35</f>
        <v/>
      </c>
      <c r="AB36" s="43">
        <f>AB$33+AB$35</f>
        <v/>
      </c>
      <c r="AC36" s="43">
        <f>AC$33+AC$35</f>
        <v/>
      </c>
      <c r="AD36" s="43">
        <f>AD$33+AD$35</f>
        <v/>
      </c>
      <c r="AE36" s="43">
        <f>AE$33+AE$35</f>
        <v/>
      </c>
      <c r="AF36" s="43">
        <f>AF$33+AF$35</f>
        <v/>
      </c>
      <c r="AG36" s="43">
        <f>AG$33+AG$35</f>
        <v/>
      </c>
      <c r="AH36" s="43">
        <f>AH$33+AH$35</f>
        <v/>
      </c>
      <c r="AI36" s="43">
        <f>AI$33+AI$35</f>
        <v/>
      </c>
      <c r="AJ36" s="43">
        <f>AJ$33+AJ$35</f>
        <v/>
      </c>
      <c r="AK36" s="43">
        <f>AK$33+AK$35</f>
        <v/>
      </c>
      <c r="AL36" s="43">
        <f>AL$33+AL$35</f>
        <v/>
      </c>
      <c r="AM36" s="43">
        <f>AM$33+AM$35</f>
        <v/>
      </c>
      <c r="AN36" s="43">
        <f>AN$33+AN$35</f>
        <v/>
      </c>
      <c r="AO36" s="43">
        <f>AO$33+AO$35</f>
        <v/>
      </c>
      <c r="AP36" s="43">
        <f>AP$33+AP$35</f>
        <v/>
      </c>
      <c r="AQ36" s="43">
        <f>AQ$33+AQ$35</f>
        <v/>
      </c>
      <c r="AR36" s="43">
        <f>AR$33+AR$35</f>
        <v/>
      </c>
      <c r="AS36" s="43">
        <f>AS$33+AS$35</f>
        <v/>
      </c>
      <c r="AT36" s="43">
        <f>AT$33+AT$35</f>
        <v/>
      </c>
      <c r="AU36" s="43">
        <f>AU$33+AU$35</f>
        <v/>
      </c>
      <c r="AV36" s="43">
        <f>AV$33+AV$35</f>
        <v/>
      </c>
      <c r="AW36" s="43">
        <f>AW$33+AW$35</f>
        <v/>
      </c>
      <c r="AX36" s="43">
        <f>AX$33+AX$35</f>
        <v/>
      </c>
      <c r="AY36" s="43">
        <f>AY$33+AY$35</f>
        <v/>
      </c>
      <c r="AZ36" s="43">
        <f>AZ$33+AZ$35</f>
        <v/>
      </c>
      <c r="BA36" s="43">
        <f>BA$33+BA$35</f>
        <v/>
      </c>
      <c r="BB36" s="43">
        <f>BB$33+BB$35</f>
        <v/>
      </c>
      <c r="BC36" s="43">
        <f>BC$33+BC$35</f>
        <v/>
      </c>
      <c r="BD36" s="43">
        <f>BD$33+BD$35</f>
        <v/>
      </c>
      <c r="BE36" s="43">
        <f>BE$33+BE$35</f>
        <v/>
      </c>
      <c r="BF36" s="43">
        <f>BF$33+BF$35</f>
        <v/>
      </c>
      <c r="BG36" s="43">
        <f>BG$33+BG$35</f>
        <v/>
      </c>
      <c r="BH36" s="43">
        <f>BH$33+BH$35</f>
        <v/>
      </c>
      <c r="BI36" s="43">
        <f>BI$33+BI$35</f>
        <v/>
      </c>
      <c r="BJ36" s="43">
        <f>BJ$33+BJ$35</f>
        <v/>
      </c>
      <c r="BK36" s="43">
        <f>BK$33+BK$35</f>
        <v/>
      </c>
      <c r="BL36" s="43">
        <f>BL$33+BL$35</f>
        <v/>
      </c>
      <c r="BM36" s="43">
        <f>BM$33+BM$35</f>
        <v/>
      </c>
      <c r="BN36" s="43">
        <f>BN$33+BN$35</f>
        <v/>
      </c>
      <c r="BO36" s="43">
        <f>BO$33+BO$35</f>
        <v/>
      </c>
      <c r="BP36" s="43">
        <f>BP$33+BP$35</f>
        <v/>
      </c>
      <c r="BQ36" s="43">
        <f>BQ$33+BQ$35</f>
        <v/>
      </c>
      <c r="BR36" s="43">
        <f>BR$33+BR$35</f>
        <v/>
      </c>
      <c r="BS36" s="43">
        <f>BS$33+BS$35</f>
        <v/>
      </c>
      <c r="BT36" s="43">
        <f>BT$33+BT$35</f>
        <v/>
      </c>
      <c r="BU36" s="43">
        <f>BU$33+BU$35</f>
        <v/>
      </c>
      <c r="BV36" s="43">
        <f>BV$33+BV$35</f>
        <v/>
      </c>
      <c r="BW36" s="43">
        <f>BW$33+BW$35</f>
        <v/>
      </c>
      <c r="BX36" s="43">
        <f>BX$33+BX$35</f>
        <v/>
      </c>
      <c r="BY36" s="43">
        <f>BY$33+BY$35</f>
        <v/>
      </c>
      <c r="BZ36" s="43">
        <f>BZ$33+BZ$35</f>
        <v/>
      </c>
      <c r="CA36" s="43">
        <f>CA$33+CA$35</f>
        <v/>
      </c>
      <c r="CB36" s="43">
        <f>CB$33+CB$35</f>
        <v/>
      </c>
      <c r="CC36" s="43">
        <f>CC$33+CC$35</f>
        <v/>
      </c>
      <c r="CD36" s="43">
        <f>CD$33+CD$35</f>
        <v/>
      </c>
      <c r="CE36" s="43">
        <f>CE$33+CE$35</f>
        <v/>
      </c>
      <c r="CF36" s="43">
        <f>CF$33+CF$35</f>
        <v/>
      </c>
      <c r="CG36" s="43">
        <f>CG$33+CG$35</f>
        <v/>
      </c>
      <c r="CH36" s="43">
        <f>CH$33+CH$35</f>
        <v/>
      </c>
      <c r="CI36" s="43">
        <f>CI$33+CI$35</f>
        <v/>
      </c>
      <c r="CJ36" s="43">
        <f>CJ$33+CJ$35</f>
        <v/>
      </c>
      <c r="CK36" s="43">
        <f>CK$33+CK$35</f>
        <v/>
      </c>
      <c r="CL36" s="43">
        <f>CL$33+CL$35</f>
        <v/>
      </c>
      <c r="CM36" s="43">
        <f>CM$33+CM$35</f>
        <v/>
      </c>
      <c r="CN36" s="43">
        <f>CN$33+CN$35</f>
        <v/>
      </c>
      <c r="CO36" s="43">
        <f>CO$33+CO$35</f>
        <v/>
      </c>
      <c r="CP36" s="43">
        <f>CP$33+CP$35</f>
        <v/>
      </c>
      <c r="CQ36" s="43">
        <f>CQ$33+CQ$35</f>
        <v/>
      </c>
      <c r="CR36" s="43">
        <f>CR$33+CR$35</f>
        <v/>
      </c>
      <c r="CS36" s="43">
        <f>CS$33+CS$35</f>
        <v/>
      </c>
      <c r="CT36" s="43">
        <f>CT$33+CT$35</f>
        <v/>
      </c>
      <c r="CU36" s="43">
        <f>CU$33+CU$35</f>
        <v/>
      </c>
      <c r="CV36" s="43">
        <f>CV$33+CV$35</f>
        <v/>
      </c>
      <c r="CW36" s="43">
        <f>CW$33+CW$35</f>
        <v/>
      </c>
      <c r="CX36" s="43">
        <f>CX$33+CX$35</f>
        <v/>
      </c>
      <c r="CY36" s="43">
        <f>CY$33+CY$35</f>
        <v/>
      </c>
      <c r="CZ36" s="43">
        <f>CZ$33+CZ$35</f>
        <v/>
      </c>
      <c r="DA36" s="43">
        <f>DA$33+DA$35</f>
        <v/>
      </c>
      <c r="DB36" s="43">
        <f>DB$33+DB$35</f>
        <v/>
      </c>
      <c r="DC36" s="43">
        <f>DC$33+DC$35</f>
        <v/>
      </c>
      <c r="DD36" s="43">
        <f>DD$33+DD$35</f>
        <v/>
      </c>
      <c r="DE36" s="43">
        <f>DE$33+DE$35</f>
        <v/>
      </c>
      <c r="DF36" s="43">
        <f>DF$33+DF$35</f>
        <v/>
      </c>
      <c r="DG36" s="43">
        <f>DG$33+DG$35</f>
        <v/>
      </c>
      <c r="DH36" s="43">
        <f>DH$33+DH$35</f>
        <v/>
      </c>
      <c r="DI36" s="43">
        <f>DI$33+DI$35</f>
        <v/>
      </c>
      <c r="DJ36" s="43">
        <f>DJ$33+DJ$35</f>
        <v/>
      </c>
      <c r="DK36" s="43">
        <f>DK$33+DK$35</f>
        <v/>
      </c>
      <c r="DL36" s="43">
        <f>DL$33+DL$35</f>
        <v/>
      </c>
      <c r="DM36" s="43">
        <f>DM$33+DM$35</f>
        <v/>
      </c>
      <c r="DN36" s="43">
        <f>DN$33+DN$35</f>
        <v/>
      </c>
      <c r="DO36" s="43">
        <f>DO$33+DO$35</f>
        <v/>
      </c>
      <c r="DP36" s="43">
        <f>DP$33+DP$35</f>
        <v/>
      </c>
      <c r="DQ36" s="43">
        <f>DQ$33+DQ$35</f>
        <v/>
      </c>
      <c r="DR36" s="43">
        <f>DR$33+DR$35</f>
        <v/>
      </c>
      <c r="DS36" s="43">
        <f>DS$33+DS$35</f>
        <v/>
      </c>
      <c r="DT36" s="43">
        <f>DT$33+DT$35</f>
        <v/>
      </c>
      <c r="DU36" s="43">
        <f>DU$33+DU$35</f>
        <v/>
      </c>
      <c r="DV36" s="43">
        <f>DV$33+DV$35</f>
        <v/>
      </c>
      <c r="DW36" s="43">
        <f>DW$33+DW$35</f>
        <v/>
      </c>
      <c r="DX36" s="43">
        <f>DX$33+DX$35</f>
        <v/>
      </c>
      <c r="DY36" s="43">
        <f>DY$33+DY$35</f>
        <v/>
      </c>
      <c r="DZ36" s="43">
        <f>DZ$33+DZ$35</f>
        <v/>
      </c>
      <c r="EA36" s="43">
        <f>EA$33+EA$35</f>
        <v/>
      </c>
      <c r="EB36" s="43">
        <f>EB$33+EB$35</f>
        <v/>
      </c>
      <c r="EC36" s="43">
        <f>EC$33+EC$35</f>
        <v/>
      </c>
      <c r="ED36" s="43">
        <f>ED$33+ED$35</f>
        <v/>
      </c>
      <c r="EE36" s="43">
        <f>EE$33+EE$35</f>
        <v/>
      </c>
      <c r="EF36" s="43">
        <f>EF$33+EF$35</f>
        <v/>
      </c>
      <c r="EG36" s="43">
        <f>EG$33+EG$35</f>
        <v/>
      </c>
      <c r="EH36" s="43">
        <f>EH$33+EH$35</f>
        <v/>
      </c>
      <c r="EI36" s="43">
        <f>EI$33+EI$35</f>
        <v/>
      </c>
      <c r="EJ36" s="43">
        <f>EJ$33+EJ$35</f>
        <v/>
      </c>
      <c r="EK36" s="43">
        <f>EK$33+EK$35</f>
        <v/>
      </c>
      <c r="EL36" s="43">
        <f>EL$33+EL$35</f>
        <v/>
      </c>
      <c r="EM36" s="43">
        <f>EM$33+EM$35</f>
        <v/>
      </c>
      <c r="EN36" s="43">
        <f>EN$33+EN$35</f>
        <v/>
      </c>
      <c r="EO36" s="43">
        <f>EO$33+EO$35</f>
        <v/>
      </c>
      <c r="EP36" s="43">
        <f>EP$33+EP$35</f>
        <v/>
      </c>
      <c r="EQ36" s="43">
        <f>EQ$33+EQ$35</f>
        <v/>
      </c>
      <c r="ER36" s="43">
        <f>ER$33+ER$35</f>
        <v/>
      </c>
      <c r="ES36" s="43">
        <f>ES$33+ES$35</f>
        <v/>
      </c>
      <c r="ET36" s="43">
        <f>ET$33+ET$35</f>
        <v/>
      </c>
      <c r="EU36" s="43">
        <f>EU$33+EU$35</f>
        <v/>
      </c>
      <c r="EV36" s="43">
        <f>EV$33+EV$35</f>
        <v/>
      </c>
      <c r="EW36" s="43">
        <f>EW$33+EW$35</f>
        <v/>
      </c>
      <c r="EX36" s="43">
        <f>EX$33+EX$35</f>
        <v/>
      </c>
      <c r="EY36" s="43">
        <f>EY$33+EY$35</f>
        <v/>
      </c>
      <c r="EZ36" s="43">
        <f>EZ$33+EZ$35</f>
        <v/>
      </c>
      <c r="FA36" s="43">
        <f>FA$33+FA$35</f>
        <v/>
      </c>
      <c r="FB36" s="43">
        <f>FB$33+FB$35</f>
        <v/>
      </c>
      <c r="FC36" s="43">
        <f>FC$33+FC$35</f>
        <v/>
      </c>
      <c r="FD36" s="43">
        <f>FD$33+FD$35</f>
        <v/>
      </c>
      <c r="FE36" s="43">
        <f>FE$33+FE$35</f>
        <v/>
      </c>
      <c r="FF36" s="43">
        <f>FF$33+FF$35</f>
        <v/>
      </c>
      <c r="FG36" s="43">
        <f>FG$33+FG$35</f>
        <v/>
      </c>
      <c r="FH36" s="43">
        <f>FH$33+FH$35</f>
        <v/>
      </c>
      <c r="FI36" s="43">
        <f>FI$33+FI$35</f>
        <v/>
      </c>
      <c r="FJ36" s="43">
        <f>FJ$33+FJ$35</f>
        <v/>
      </c>
      <c r="FK36" s="43">
        <f>FK$33+FK$35</f>
        <v/>
      </c>
      <c r="FL36" s="43">
        <f>FL$33+FL$35</f>
        <v/>
      </c>
      <c r="FM36" s="43">
        <f>FM$33+FM$35</f>
        <v/>
      </c>
      <c r="FN36" s="43">
        <f>FN$33+FN$35</f>
        <v/>
      </c>
      <c r="FO36" s="43">
        <f>FO$33+FO$35</f>
        <v/>
      </c>
      <c r="FP36" s="43">
        <f>FP$33+FP$35</f>
        <v/>
      </c>
      <c r="FQ36" s="43">
        <f>FQ$33+FQ$35</f>
        <v/>
      </c>
      <c r="FR36" s="43">
        <f>FR$33+FR$35</f>
        <v/>
      </c>
      <c r="FS36" s="43">
        <f>FS$33+FS$35</f>
        <v/>
      </c>
      <c r="FT36" s="43">
        <f>FT$33+FT$35</f>
        <v/>
      </c>
      <c r="FU36" s="43">
        <f>FU$33+FU$35</f>
        <v/>
      </c>
      <c r="FV36" s="43">
        <f>FV$33+FV$35</f>
        <v/>
      </c>
      <c r="FW36" s="43">
        <f>FW$33+FW$35</f>
        <v/>
      </c>
      <c r="FX36" s="43">
        <f>FX$33+FX$35</f>
        <v/>
      </c>
      <c r="FY36" s="43">
        <f>FY$33+FY$35</f>
        <v/>
      </c>
      <c r="FZ36" s="43">
        <f>FZ$33+FZ$35</f>
        <v/>
      </c>
      <c r="GA36" s="43">
        <f>GA$33+GA$35</f>
        <v/>
      </c>
      <c r="GB36" s="43">
        <f>GB$33+GB$35</f>
        <v/>
      </c>
      <c r="GC36" s="43">
        <f>GC$33+GC$35</f>
        <v/>
      </c>
      <c r="GD36" s="43">
        <f>GD$33+GD$35</f>
        <v/>
      </c>
      <c r="GE36" s="43">
        <f>GE$33+GE$35</f>
        <v/>
      </c>
      <c r="GF36" s="43">
        <f>GF$33+GF$35</f>
        <v/>
      </c>
      <c r="GG36" s="43">
        <f>GG$33+GG$35</f>
        <v/>
      </c>
      <c r="GH36" s="43">
        <f>GH$33+GH$35</f>
        <v/>
      </c>
      <c r="GI36" s="43">
        <f>GI$33+GI$35</f>
        <v/>
      </c>
      <c r="GJ36" s="43">
        <f>GJ$33+GJ$35</f>
        <v/>
      </c>
      <c r="GK36" s="43">
        <f>GK$33+GK$35</f>
        <v/>
      </c>
      <c r="GL36" s="43">
        <f>GL$33+GL$35</f>
        <v/>
      </c>
      <c r="GM36" s="43">
        <f>GM$33+GM$35</f>
        <v/>
      </c>
      <c r="GN36" s="43">
        <f>GN$33+GN$35</f>
        <v/>
      </c>
      <c r="GO36" s="43">
        <f>GO$33+GO$35</f>
        <v/>
      </c>
      <c r="GP36" s="43">
        <f>GP$33+GP$35</f>
        <v/>
      </c>
      <c r="GQ36" s="43">
        <f>GQ$33+GQ$35</f>
        <v/>
      </c>
      <c r="GR36" s="43">
        <f>GR$33+GR$35</f>
        <v/>
      </c>
      <c r="GS36" s="43">
        <f>GS$33+GS$35</f>
        <v/>
      </c>
      <c r="GT36" s="43">
        <f>GT$33+GT$35</f>
        <v/>
      </c>
      <c r="GU36" s="43">
        <f>GU$33+GU$35</f>
        <v/>
      </c>
      <c r="GV36" s="43">
        <f>GV$33+GV$35</f>
        <v/>
      </c>
      <c r="GW36" s="43">
        <f>GW$33+GW$35</f>
        <v/>
      </c>
      <c r="GX36" s="43">
        <f>GX$33+GX$35</f>
        <v/>
      </c>
      <c r="GY36" s="43">
        <f>GY$33+GY$35</f>
        <v/>
      </c>
      <c r="GZ36" s="43">
        <f>GZ$33+GZ$35</f>
        <v/>
      </c>
      <c r="HA36" s="43">
        <f>HA$33+HA$35</f>
        <v/>
      </c>
      <c r="HB36" s="43">
        <f>HB$33+HB$35</f>
        <v/>
      </c>
      <c r="HC36" s="43">
        <f>HC$33+HC$35</f>
        <v/>
      </c>
      <c r="HD36" s="43">
        <f>HD$33+HD$35</f>
        <v/>
      </c>
      <c r="HE36" s="43">
        <f>HE$33+HE$35</f>
        <v/>
      </c>
      <c r="HF36" s="43">
        <f>HF$33+HF$35</f>
        <v/>
      </c>
      <c r="HG36" s="43">
        <f>HG$33+HG$35</f>
        <v/>
      </c>
      <c r="HH36" s="43">
        <f>HH$33+HH$35</f>
        <v/>
      </c>
      <c r="HI36" s="43">
        <f>HI$33+HI$35</f>
        <v/>
      </c>
      <c r="HJ36" s="43">
        <f>HJ$33+HJ$35</f>
        <v/>
      </c>
      <c r="HK36" s="43">
        <f>HK$33+HK$35</f>
        <v/>
      </c>
      <c r="HL36" s="43">
        <f>HL$33+HL$35</f>
        <v/>
      </c>
      <c r="HM36" s="43">
        <f>HM$33+HM$35</f>
        <v/>
      </c>
      <c r="HN36" s="43">
        <f>HN$33+HN$35</f>
        <v/>
      </c>
      <c r="HO36" s="43">
        <f>HO$33+HO$35</f>
        <v/>
      </c>
      <c r="HP36" s="43">
        <f>HP$33+HP$35</f>
        <v/>
      </c>
      <c r="HQ36" s="43">
        <f>HQ$33+HQ$35</f>
        <v/>
      </c>
      <c r="HR36" s="43">
        <f>HR$33+HR$35</f>
        <v/>
      </c>
      <c r="HS36" s="43">
        <f>HS$33+HS$35</f>
        <v/>
      </c>
      <c r="HT36" s="43">
        <f>HT$33+HT$35</f>
        <v/>
      </c>
      <c r="HU36" s="43">
        <f>HU$33+HU$35</f>
        <v/>
      </c>
      <c r="HV36" s="43">
        <f>HV$33+HV$35</f>
        <v/>
      </c>
      <c r="HW36" s="43">
        <f>HW$33+HW$35</f>
        <v/>
      </c>
      <c r="HX36" s="43">
        <f>HX$33+HX$35</f>
        <v/>
      </c>
      <c r="HY36" s="43">
        <f>HY$33+HY$35</f>
        <v/>
      </c>
      <c r="HZ36" s="43">
        <f>HZ$33+HZ$35</f>
        <v/>
      </c>
      <c r="IA36" s="43">
        <f>IA$33+IA$35</f>
        <v/>
      </c>
      <c r="IB36" s="43">
        <f>IB$33+IB$35</f>
        <v/>
      </c>
      <c r="IC36" s="43">
        <f>IC$33+IC$35</f>
        <v/>
      </c>
      <c r="ID36" s="43">
        <f>ID$33+ID$35</f>
        <v/>
      </c>
      <c r="IE36" s="43">
        <f>IE$33+IE$35</f>
        <v/>
      </c>
      <c r="IF36" s="43">
        <f>IF$33+IF$35</f>
        <v/>
      </c>
      <c r="IG36" s="43">
        <f>IG$33+IG$35</f>
        <v/>
      </c>
      <c r="IH36" s="43">
        <f>IH$33+IH$35</f>
        <v/>
      </c>
      <c r="II36" s="43">
        <f>II$33+II$35</f>
        <v/>
      </c>
      <c r="IJ36" s="43">
        <f>IJ$33+IJ$35</f>
        <v/>
      </c>
      <c r="IK36" s="43">
        <f>IK$33+IK$35</f>
        <v/>
      </c>
      <c r="IL36" s="43">
        <f>IL$33+IL$35</f>
        <v/>
      </c>
      <c r="IM36" s="43">
        <f>IM$33+IM$35</f>
        <v/>
      </c>
      <c r="IN36" s="43">
        <f>IN$33+IN$35</f>
        <v/>
      </c>
      <c r="IO36" s="43">
        <f>IO$33+IO$35</f>
        <v/>
      </c>
      <c r="IP36" s="43">
        <f>IP$33+IP$35</f>
        <v/>
      </c>
      <c r="IQ36" s="43">
        <f>IQ$33+IQ$35</f>
        <v/>
      </c>
      <c r="IR36" s="43">
        <f>IR$33+IR$35</f>
        <v/>
      </c>
      <c r="IS36" s="43">
        <f>IS$33+IS$35</f>
        <v/>
      </c>
      <c r="IT36" s="43">
        <f>IT$33+IT$35</f>
        <v/>
      </c>
      <c r="IU36" s="43">
        <f>IU$33+IU$35</f>
        <v/>
      </c>
      <c r="IV36" s="43">
        <f>IV$33+IV$35</f>
        <v/>
      </c>
      <c r="IW36" s="43">
        <f>IW$33+IW$35</f>
        <v/>
      </c>
      <c r="IX36" s="43">
        <f>IX$33+IX$35</f>
        <v/>
      </c>
      <c r="IY36" s="43">
        <f>IY$33+IY$35</f>
        <v/>
      </c>
      <c r="IZ36" s="43">
        <f>IZ$33+IZ$35</f>
        <v/>
      </c>
      <c r="JA36" s="43">
        <f>JA$33+JA$35</f>
        <v/>
      </c>
      <c r="JB36" s="43">
        <f>JB$33+JB$35</f>
        <v/>
      </c>
      <c r="JC36" s="43">
        <f>JC$33+JC$35</f>
        <v/>
      </c>
      <c r="JD36" s="43">
        <f>JD$33+JD$35</f>
        <v/>
      </c>
      <c r="JE36" s="43">
        <f>JE$33+JE$35</f>
        <v/>
      </c>
      <c r="JF36" s="43">
        <f>JF$33+JF$35</f>
        <v/>
      </c>
      <c r="JG36" s="43">
        <f>JG$33+JG$35</f>
        <v/>
      </c>
      <c r="JH36" s="43">
        <f>JH$33+JH$35</f>
        <v/>
      </c>
      <c r="JI36" s="43">
        <f>JI$33+JI$35</f>
        <v/>
      </c>
      <c r="JJ36" s="43">
        <f>JJ$33+JJ$35</f>
        <v/>
      </c>
      <c r="JK36" s="43">
        <f>JK$33+JK$35</f>
        <v/>
      </c>
      <c r="JL36" s="43">
        <f>JL$33+JL$35</f>
        <v/>
      </c>
      <c r="JM36" s="43">
        <f>JM$33+JM$35</f>
        <v/>
      </c>
      <c r="JN36" s="43">
        <f>JN$33+JN$35</f>
        <v/>
      </c>
      <c r="JO36" s="43">
        <f>JO$33+JO$35</f>
        <v/>
      </c>
      <c r="JP36" s="43">
        <f>JP$33+JP$35</f>
        <v/>
      </c>
      <c r="JQ36" s="43">
        <f>JQ$33+JQ$35</f>
        <v/>
      </c>
      <c r="JR36" s="43">
        <f>JR$33+JR$35</f>
        <v/>
      </c>
      <c r="JS36" s="43">
        <f>JS$33+JS$35</f>
        <v/>
      </c>
      <c r="JT36" s="43">
        <f>JT$33+JT$35</f>
        <v/>
      </c>
      <c r="JU36" s="43">
        <f>JU$33+JU$35</f>
        <v/>
      </c>
      <c r="JV36" s="43">
        <f>JV$33+JV$35</f>
        <v/>
      </c>
      <c r="JW36" s="43">
        <f>JW$33+JW$35</f>
        <v/>
      </c>
      <c r="JX36" s="43">
        <f>JX$33+JX$35</f>
        <v/>
      </c>
      <c r="JY36" s="43">
        <f>JY$33+JY$35</f>
        <v/>
      </c>
      <c r="JZ36" s="43">
        <f>JZ$33+JZ$35</f>
        <v/>
      </c>
      <c r="KA36" s="43">
        <f>KA$33+KA$35</f>
        <v/>
      </c>
      <c r="KB36" s="43">
        <f>KB$33+KB$35</f>
        <v/>
      </c>
      <c r="KC36" s="43">
        <f>KC$33+KC$35</f>
        <v/>
      </c>
      <c r="KD36" s="43">
        <f>KD$33+KD$35</f>
        <v/>
      </c>
      <c r="KE36" s="43">
        <f>KE$33+KE$35</f>
        <v/>
      </c>
      <c r="KF36" s="43">
        <f>KF$33+KF$35</f>
        <v/>
      </c>
      <c r="KG36" s="43">
        <f>KG$33+KG$35</f>
        <v/>
      </c>
      <c r="KH36" s="43">
        <f>KH$33+KH$35</f>
        <v/>
      </c>
      <c r="KI36" s="43">
        <f>KI$33+KI$35</f>
        <v/>
      </c>
      <c r="KJ36" s="43">
        <f>KJ$33+KJ$35</f>
        <v/>
      </c>
      <c r="KK36" s="43">
        <f>KK$33+KK$35</f>
        <v/>
      </c>
      <c r="KL36" s="43">
        <f>KL$33+KL$35</f>
        <v/>
      </c>
      <c r="KM36" s="43">
        <f>KM$33+KM$35</f>
        <v/>
      </c>
      <c r="KN36" s="43">
        <f>KN$33+KN$35</f>
        <v/>
      </c>
      <c r="KO36" s="43">
        <f>KO$33+KO$35</f>
        <v/>
      </c>
      <c r="KP36" s="43">
        <f>KP$33+KP$35</f>
        <v/>
      </c>
      <c r="KQ36" s="43">
        <f>KQ$33+KQ$35</f>
        <v/>
      </c>
      <c r="KR36" s="43">
        <f>KR$33+KR$35</f>
        <v/>
      </c>
      <c r="KS36" s="43">
        <f>KS$33+KS$35</f>
        <v/>
      </c>
      <c r="KT36" s="43">
        <f>KT$33+KT$35</f>
        <v/>
      </c>
      <c r="KU36" s="43">
        <f>KU$33+KU$35</f>
        <v/>
      </c>
      <c r="KV36" s="43">
        <f>KV$33+KV$35</f>
        <v/>
      </c>
      <c r="KW36" s="43">
        <f>KW$33+KW$35</f>
        <v/>
      </c>
      <c r="KX36" s="43">
        <f>KX$33+KX$35</f>
        <v/>
      </c>
      <c r="KY36" s="43">
        <f>KY$33+KY$35</f>
        <v/>
      </c>
      <c r="KZ36" s="43">
        <f>KZ$33+KZ$35</f>
        <v/>
      </c>
      <c r="LA36" s="43">
        <f>LA$33+LA$35</f>
        <v/>
      </c>
      <c r="LB36" s="43">
        <f>LB$33+LB$35</f>
        <v/>
      </c>
      <c r="LC36" s="43">
        <f>LC$33+LC$35</f>
        <v/>
      </c>
      <c r="LD36" s="43">
        <f>LD$33+LD$35</f>
        <v/>
      </c>
      <c r="LE36" s="43">
        <f>LE$33+LE$35</f>
        <v/>
      </c>
      <c r="LF36" s="43">
        <f>LF$33+LF$35</f>
        <v/>
      </c>
      <c r="LG36" s="43">
        <f>LG$33+LG$35</f>
        <v/>
      </c>
      <c r="LH36" s="43">
        <f>LH$33+LH$35</f>
        <v/>
      </c>
      <c r="LI36" s="43">
        <f>LI$33+LI$35</f>
        <v/>
      </c>
      <c r="LJ36" s="43">
        <f>LJ$33+LJ$35</f>
        <v/>
      </c>
      <c r="LK36" s="43">
        <f>LK$33+LK$35</f>
        <v/>
      </c>
      <c r="LL36" s="43">
        <f>LL$33+LL$35</f>
        <v/>
      </c>
      <c r="LM36" s="43">
        <f>LM$33+LM$35</f>
        <v/>
      </c>
      <c r="LN36" s="43">
        <f>LN$33+LN$35</f>
        <v/>
      </c>
      <c r="LO36" s="43">
        <f>LO$33+LO$35</f>
        <v/>
      </c>
      <c r="LP36" s="43">
        <f>LP$33+LP$35</f>
        <v/>
      </c>
      <c r="LQ36" s="43">
        <f>LQ$33+LQ$35</f>
        <v/>
      </c>
      <c r="LR36" s="43">
        <f>LR$33+LR$35</f>
        <v/>
      </c>
      <c r="LS36" s="43">
        <f>LS$33+LS$35</f>
        <v/>
      </c>
      <c r="LT36" s="43">
        <f>LT$33+LT$35</f>
        <v/>
      </c>
      <c r="LU36" s="43">
        <f>LU$33+LU$35</f>
        <v/>
      </c>
      <c r="LV36" s="43">
        <f>LV$33+LV$35</f>
        <v/>
      </c>
      <c r="LW36" s="43">
        <f>LW$33+LW$35</f>
        <v/>
      </c>
      <c r="LX36" s="43">
        <f>LX$33+LX$35</f>
        <v/>
      </c>
      <c r="LY36" s="43">
        <f>LY$33+LY$35</f>
        <v/>
      </c>
      <c r="LZ36" s="43">
        <f>LZ$33+LZ$35</f>
        <v/>
      </c>
      <c r="MA36" s="43">
        <f>MA$33+MA$35</f>
        <v/>
      </c>
      <c r="MB36" s="43">
        <f>MB$33+MB$35</f>
        <v/>
      </c>
      <c r="MC36" s="43">
        <f>MC$33+MC$35</f>
        <v/>
      </c>
      <c r="MD36" s="43">
        <f>MD$33+MD$35</f>
        <v/>
      </c>
      <c r="ME36" s="43">
        <f>ME$33+ME$35</f>
        <v/>
      </c>
      <c r="MF36" s="43">
        <f>MF$33+MF$35</f>
        <v/>
      </c>
      <c r="MG36" s="43">
        <f>MG$33+MG$35</f>
        <v/>
      </c>
      <c r="MH36" s="43">
        <f>MH$33+MH$35</f>
        <v/>
      </c>
      <c r="MI36" s="43">
        <f>MI$33+MI$35</f>
        <v/>
      </c>
      <c r="MJ36" s="43">
        <f>MJ$33+MJ$35</f>
        <v/>
      </c>
      <c r="MK36" s="43">
        <f>MK$33+MK$35</f>
        <v/>
      </c>
      <c r="ML36" s="43">
        <f>ML$33+ML$35</f>
        <v/>
      </c>
      <c r="MM36" s="43">
        <f>MM$33+MM$35</f>
        <v/>
      </c>
      <c r="MN36" s="43">
        <f>MN$33+MN$35</f>
        <v/>
      </c>
      <c r="MO36" s="43">
        <f>MO$33+MO$35</f>
        <v/>
      </c>
      <c r="MP36" s="43">
        <f>MP$33+MP$35</f>
        <v/>
      </c>
      <c r="MQ36" s="43">
        <f>MQ$33+MQ$35</f>
        <v/>
      </c>
      <c r="MR36" s="43">
        <f>MR$33+MR$35</f>
        <v/>
      </c>
      <c r="MS36" s="43">
        <f>MS$33+MS$35</f>
        <v/>
      </c>
      <c r="MT36" s="43">
        <f>MT$33+MT$35</f>
        <v/>
      </c>
      <c r="MU36" s="43">
        <f>MU$33+MU$35</f>
        <v/>
      </c>
      <c r="MV36" s="43">
        <f>MV$33+MV$35</f>
        <v/>
      </c>
      <c r="MW36" s="43">
        <f>MW$33+MW$35</f>
        <v/>
      </c>
      <c r="MX36" s="43">
        <f>MX$33+MX$35</f>
        <v/>
      </c>
      <c r="MY36" s="43">
        <f>MY$33+MY$35</f>
        <v/>
      </c>
      <c r="MZ36" s="43">
        <f>MZ$33+MZ$35</f>
        <v/>
      </c>
      <c r="NA36" s="43">
        <f>NA$33+NA$35</f>
        <v/>
      </c>
      <c r="NB36" s="43">
        <f>NB$33+NB$35</f>
        <v/>
      </c>
      <c r="NC36" s="43">
        <f>NC$33+NC$35</f>
        <v/>
      </c>
      <c r="ND36" s="43">
        <f>ND$33+ND$35</f>
        <v/>
      </c>
      <c r="NE36" s="43">
        <f>NE$33+NE$35</f>
        <v/>
      </c>
      <c r="NF36" s="43">
        <f>NF$33+NF$35</f>
        <v/>
      </c>
      <c r="NG36" s="43">
        <f>NG$33+NG$35</f>
        <v/>
      </c>
      <c r="NH36" s="43">
        <f>NH$33+NH$35</f>
        <v/>
      </c>
      <c r="NI36" s="43">
        <f>NI$33+NI$35</f>
        <v/>
      </c>
      <c r="NJ36" s="43">
        <f>NJ$33+NJ$35</f>
        <v/>
      </c>
      <c r="NK36" s="43">
        <f>NK$33+NK$35</f>
        <v/>
      </c>
    </row>
    <row r="37">
      <c r="A37" s="21" t="inlineStr">
        <is>
          <t>Net Operating Income</t>
        </is>
      </c>
      <c r="C37" s="41">
        <f>SUM(D37:NK37)</f>
        <v/>
      </c>
      <c r="D37" s="43">
        <f>D$34-D$35</f>
        <v/>
      </c>
      <c r="E37" s="43">
        <f>E$34-E$35</f>
        <v/>
      </c>
      <c r="F37" s="43">
        <f>F$34-F$35</f>
        <v/>
      </c>
      <c r="G37" s="43">
        <f>G$34-G$35</f>
        <v/>
      </c>
      <c r="H37" s="43">
        <f>H$34-H$35</f>
        <v/>
      </c>
      <c r="I37" s="43">
        <f>I$34-I$35</f>
        <v/>
      </c>
      <c r="J37" s="43">
        <f>J$34-J$35</f>
        <v/>
      </c>
      <c r="K37" s="43">
        <f>K$34-K$35</f>
        <v/>
      </c>
      <c r="L37" s="43">
        <f>L$34-L$35</f>
        <v/>
      </c>
      <c r="M37" s="43">
        <f>M$34-M$35</f>
        <v/>
      </c>
      <c r="N37" s="43">
        <f>N$34-N$35</f>
        <v/>
      </c>
      <c r="O37" s="43">
        <f>O$34-O$35</f>
        <v/>
      </c>
      <c r="P37" s="43">
        <f>P$34-P$35</f>
        <v/>
      </c>
      <c r="Q37" s="43">
        <f>Q$34-Q$35</f>
        <v/>
      </c>
      <c r="R37" s="43">
        <f>R$34-R$35</f>
        <v/>
      </c>
      <c r="S37" s="43">
        <f>S$34-S$35</f>
        <v/>
      </c>
      <c r="T37" s="43">
        <f>T$34-T$35</f>
        <v/>
      </c>
      <c r="U37" s="43">
        <f>U$34-U$35</f>
        <v/>
      </c>
      <c r="V37" s="43">
        <f>V$34-V$35</f>
        <v/>
      </c>
      <c r="W37" s="43">
        <f>W$34-W$35</f>
        <v/>
      </c>
      <c r="X37" s="43">
        <f>X$34-X$35</f>
        <v/>
      </c>
      <c r="Y37" s="43">
        <f>Y$34-Y$35</f>
        <v/>
      </c>
      <c r="Z37" s="43">
        <f>Z$34-Z$35</f>
        <v/>
      </c>
      <c r="AA37" s="43">
        <f>AA$34-AA$35</f>
        <v/>
      </c>
      <c r="AB37" s="43">
        <f>AB$34-AB$35</f>
        <v/>
      </c>
      <c r="AC37" s="43">
        <f>AC$34-AC$35</f>
        <v/>
      </c>
      <c r="AD37" s="43">
        <f>AD$34-AD$35</f>
        <v/>
      </c>
      <c r="AE37" s="43">
        <f>AE$34-AE$35</f>
        <v/>
      </c>
      <c r="AF37" s="43">
        <f>AF$34-AF$35</f>
        <v/>
      </c>
      <c r="AG37" s="43">
        <f>AG$34-AG$35</f>
        <v/>
      </c>
      <c r="AH37" s="43">
        <f>AH$34-AH$35</f>
        <v/>
      </c>
      <c r="AI37" s="43">
        <f>AI$34-AI$35</f>
        <v/>
      </c>
      <c r="AJ37" s="43">
        <f>AJ$34-AJ$35</f>
        <v/>
      </c>
      <c r="AK37" s="43">
        <f>AK$34-AK$35</f>
        <v/>
      </c>
      <c r="AL37" s="43">
        <f>AL$34-AL$35</f>
        <v/>
      </c>
      <c r="AM37" s="43">
        <f>AM$34-AM$35</f>
        <v/>
      </c>
      <c r="AN37" s="43">
        <f>AN$34-AN$35</f>
        <v/>
      </c>
      <c r="AO37" s="43">
        <f>AO$34-AO$35</f>
        <v/>
      </c>
      <c r="AP37" s="43">
        <f>AP$34-AP$35</f>
        <v/>
      </c>
      <c r="AQ37" s="43">
        <f>AQ$34-AQ$35</f>
        <v/>
      </c>
      <c r="AR37" s="43">
        <f>AR$34-AR$35</f>
        <v/>
      </c>
      <c r="AS37" s="43">
        <f>AS$34-AS$35</f>
        <v/>
      </c>
      <c r="AT37" s="43">
        <f>AT$34-AT$35</f>
        <v/>
      </c>
      <c r="AU37" s="43">
        <f>AU$34-AU$35</f>
        <v/>
      </c>
      <c r="AV37" s="43">
        <f>AV$34-AV$35</f>
        <v/>
      </c>
      <c r="AW37" s="43">
        <f>AW$34-AW$35</f>
        <v/>
      </c>
      <c r="AX37" s="43">
        <f>AX$34-AX$35</f>
        <v/>
      </c>
      <c r="AY37" s="43">
        <f>AY$34-AY$35</f>
        <v/>
      </c>
      <c r="AZ37" s="43">
        <f>AZ$34-AZ$35</f>
        <v/>
      </c>
      <c r="BA37" s="43">
        <f>BA$34-BA$35</f>
        <v/>
      </c>
      <c r="BB37" s="43">
        <f>BB$34-BB$35</f>
        <v/>
      </c>
      <c r="BC37" s="43">
        <f>BC$34-BC$35</f>
        <v/>
      </c>
      <c r="BD37" s="43">
        <f>BD$34-BD$35</f>
        <v/>
      </c>
      <c r="BE37" s="43">
        <f>BE$34-BE$35</f>
        <v/>
      </c>
      <c r="BF37" s="43">
        <f>BF$34-BF$35</f>
        <v/>
      </c>
      <c r="BG37" s="43">
        <f>BG$34-BG$35</f>
        <v/>
      </c>
      <c r="BH37" s="43">
        <f>BH$34-BH$35</f>
        <v/>
      </c>
      <c r="BI37" s="43">
        <f>BI$34-BI$35</f>
        <v/>
      </c>
      <c r="BJ37" s="43">
        <f>BJ$34-BJ$35</f>
        <v/>
      </c>
      <c r="BK37" s="43">
        <f>BK$34-BK$35</f>
        <v/>
      </c>
      <c r="BL37" s="43">
        <f>BL$34-BL$35</f>
        <v/>
      </c>
      <c r="BM37" s="43">
        <f>BM$34-BM$35</f>
        <v/>
      </c>
      <c r="BN37" s="43">
        <f>BN$34-BN$35</f>
        <v/>
      </c>
      <c r="BO37" s="43">
        <f>BO$34-BO$35</f>
        <v/>
      </c>
      <c r="BP37" s="43">
        <f>BP$34-BP$35</f>
        <v/>
      </c>
      <c r="BQ37" s="43">
        <f>BQ$34-BQ$35</f>
        <v/>
      </c>
      <c r="BR37" s="43">
        <f>BR$34-BR$35</f>
        <v/>
      </c>
      <c r="BS37" s="43">
        <f>BS$34-BS$35</f>
        <v/>
      </c>
      <c r="BT37" s="43">
        <f>BT$34-BT$35</f>
        <v/>
      </c>
      <c r="BU37" s="43">
        <f>BU$34-BU$35</f>
        <v/>
      </c>
      <c r="BV37" s="43">
        <f>BV$34-BV$35</f>
        <v/>
      </c>
      <c r="BW37" s="43">
        <f>BW$34-BW$35</f>
        <v/>
      </c>
      <c r="BX37" s="43">
        <f>BX$34-BX$35</f>
        <v/>
      </c>
      <c r="BY37" s="43">
        <f>BY$34-BY$35</f>
        <v/>
      </c>
      <c r="BZ37" s="43">
        <f>BZ$34-BZ$35</f>
        <v/>
      </c>
      <c r="CA37" s="43">
        <f>CA$34-CA$35</f>
        <v/>
      </c>
      <c r="CB37" s="43">
        <f>CB$34-CB$35</f>
        <v/>
      </c>
      <c r="CC37" s="43">
        <f>CC$34-CC$35</f>
        <v/>
      </c>
      <c r="CD37" s="43">
        <f>CD$34-CD$35</f>
        <v/>
      </c>
      <c r="CE37" s="43">
        <f>CE$34-CE$35</f>
        <v/>
      </c>
      <c r="CF37" s="43">
        <f>CF$34-CF$35</f>
        <v/>
      </c>
      <c r="CG37" s="43">
        <f>CG$34-CG$35</f>
        <v/>
      </c>
      <c r="CH37" s="43">
        <f>CH$34-CH$35</f>
        <v/>
      </c>
      <c r="CI37" s="43">
        <f>CI$34-CI$35</f>
        <v/>
      </c>
      <c r="CJ37" s="43">
        <f>CJ$34-CJ$35</f>
        <v/>
      </c>
      <c r="CK37" s="43">
        <f>CK$34-CK$35</f>
        <v/>
      </c>
      <c r="CL37" s="43">
        <f>CL$34-CL$35</f>
        <v/>
      </c>
      <c r="CM37" s="43">
        <f>CM$34-CM$35</f>
        <v/>
      </c>
      <c r="CN37" s="43">
        <f>CN$34-CN$35</f>
        <v/>
      </c>
      <c r="CO37" s="43">
        <f>CO$34-CO$35</f>
        <v/>
      </c>
      <c r="CP37" s="43">
        <f>CP$34-CP$35</f>
        <v/>
      </c>
      <c r="CQ37" s="43">
        <f>CQ$34-CQ$35</f>
        <v/>
      </c>
      <c r="CR37" s="43">
        <f>CR$34-CR$35</f>
        <v/>
      </c>
      <c r="CS37" s="43">
        <f>CS$34-CS$35</f>
        <v/>
      </c>
      <c r="CT37" s="43">
        <f>CT$34-CT$35</f>
        <v/>
      </c>
      <c r="CU37" s="43">
        <f>CU$34-CU$35</f>
        <v/>
      </c>
      <c r="CV37" s="43">
        <f>CV$34-CV$35</f>
        <v/>
      </c>
      <c r="CW37" s="43">
        <f>CW$34-CW$35</f>
        <v/>
      </c>
      <c r="CX37" s="43">
        <f>CX$34-CX$35</f>
        <v/>
      </c>
      <c r="CY37" s="43">
        <f>CY$34-CY$35</f>
        <v/>
      </c>
      <c r="CZ37" s="43">
        <f>CZ$34-CZ$35</f>
        <v/>
      </c>
      <c r="DA37" s="43">
        <f>DA$34-DA$35</f>
        <v/>
      </c>
      <c r="DB37" s="43">
        <f>DB$34-DB$35</f>
        <v/>
      </c>
      <c r="DC37" s="43">
        <f>DC$34-DC$35</f>
        <v/>
      </c>
      <c r="DD37" s="43">
        <f>DD$34-DD$35</f>
        <v/>
      </c>
      <c r="DE37" s="43">
        <f>DE$34-DE$35</f>
        <v/>
      </c>
      <c r="DF37" s="43">
        <f>DF$34-DF$35</f>
        <v/>
      </c>
      <c r="DG37" s="43">
        <f>DG$34-DG$35</f>
        <v/>
      </c>
      <c r="DH37" s="43">
        <f>DH$34-DH$35</f>
        <v/>
      </c>
      <c r="DI37" s="43">
        <f>DI$34-DI$35</f>
        <v/>
      </c>
      <c r="DJ37" s="43">
        <f>DJ$34-DJ$35</f>
        <v/>
      </c>
      <c r="DK37" s="43">
        <f>DK$34-DK$35</f>
        <v/>
      </c>
      <c r="DL37" s="43">
        <f>DL$34-DL$35</f>
        <v/>
      </c>
      <c r="DM37" s="43">
        <f>DM$34-DM$35</f>
        <v/>
      </c>
      <c r="DN37" s="43">
        <f>DN$34-DN$35</f>
        <v/>
      </c>
      <c r="DO37" s="43">
        <f>DO$34-DO$35</f>
        <v/>
      </c>
      <c r="DP37" s="43">
        <f>DP$34-DP$35</f>
        <v/>
      </c>
      <c r="DQ37" s="43">
        <f>DQ$34-DQ$35</f>
        <v/>
      </c>
      <c r="DR37" s="43">
        <f>DR$34-DR$35</f>
        <v/>
      </c>
      <c r="DS37" s="43">
        <f>DS$34-DS$35</f>
        <v/>
      </c>
      <c r="DT37" s="43">
        <f>DT$34-DT$35</f>
        <v/>
      </c>
      <c r="DU37" s="43">
        <f>DU$34-DU$35</f>
        <v/>
      </c>
      <c r="DV37" s="43">
        <f>DV$34-DV$35</f>
        <v/>
      </c>
      <c r="DW37" s="43">
        <f>DW$34-DW$35</f>
        <v/>
      </c>
      <c r="DX37" s="43">
        <f>DX$34-DX$35</f>
        <v/>
      </c>
      <c r="DY37" s="43">
        <f>DY$34-DY$35</f>
        <v/>
      </c>
      <c r="DZ37" s="43">
        <f>DZ$34-DZ$35</f>
        <v/>
      </c>
      <c r="EA37" s="43">
        <f>EA$34-EA$35</f>
        <v/>
      </c>
      <c r="EB37" s="43">
        <f>EB$34-EB$35</f>
        <v/>
      </c>
      <c r="EC37" s="43">
        <f>EC$34-EC$35</f>
        <v/>
      </c>
      <c r="ED37" s="43">
        <f>ED$34-ED$35</f>
        <v/>
      </c>
      <c r="EE37" s="43">
        <f>EE$34-EE$35</f>
        <v/>
      </c>
      <c r="EF37" s="43">
        <f>EF$34-EF$35</f>
        <v/>
      </c>
      <c r="EG37" s="43">
        <f>EG$34-EG$35</f>
        <v/>
      </c>
      <c r="EH37" s="43">
        <f>EH$34-EH$35</f>
        <v/>
      </c>
      <c r="EI37" s="43">
        <f>EI$34-EI$35</f>
        <v/>
      </c>
      <c r="EJ37" s="43">
        <f>EJ$34-EJ$35</f>
        <v/>
      </c>
      <c r="EK37" s="43">
        <f>EK$34-EK$35</f>
        <v/>
      </c>
      <c r="EL37" s="43">
        <f>EL$34-EL$35</f>
        <v/>
      </c>
      <c r="EM37" s="43">
        <f>EM$34-EM$35</f>
        <v/>
      </c>
      <c r="EN37" s="43">
        <f>EN$34-EN$35</f>
        <v/>
      </c>
      <c r="EO37" s="43">
        <f>EO$34-EO$35</f>
        <v/>
      </c>
      <c r="EP37" s="43">
        <f>EP$34-EP$35</f>
        <v/>
      </c>
      <c r="EQ37" s="43">
        <f>EQ$34-EQ$35</f>
        <v/>
      </c>
      <c r="ER37" s="43">
        <f>ER$34-ER$35</f>
        <v/>
      </c>
      <c r="ES37" s="43">
        <f>ES$34-ES$35</f>
        <v/>
      </c>
      <c r="ET37" s="43">
        <f>ET$34-ET$35</f>
        <v/>
      </c>
      <c r="EU37" s="43">
        <f>EU$34-EU$35</f>
        <v/>
      </c>
      <c r="EV37" s="43">
        <f>EV$34-EV$35</f>
        <v/>
      </c>
      <c r="EW37" s="43">
        <f>EW$34-EW$35</f>
        <v/>
      </c>
      <c r="EX37" s="43">
        <f>EX$34-EX$35</f>
        <v/>
      </c>
      <c r="EY37" s="43">
        <f>EY$34-EY$35</f>
        <v/>
      </c>
      <c r="EZ37" s="43">
        <f>EZ$34-EZ$35</f>
        <v/>
      </c>
      <c r="FA37" s="43">
        <f>FA$34-FA$35</f>
        <v/>
      </c>
      <c r="FB37" s="43">
        <f>FB$34-FB$35</f>
        <v/>
      </c>
      <c r="FC37" s="43">
        <f>FC$34-FC$35</f>
        <v/>
      </c>
      <c r="FD37" s="43">
        <f>FD$34-FD$35</f>
        <v/>
      </c>
      <c r="FE37" s="43">
        <f>FE$34-FE$35</f>
        <v/>
      </c>
      <c r="FF37" s="43">
        <f>FF$34-FF$35</f>
        <v/>
      </c>
      <c r="FG37" s="43">
        <f>FG$34-FG$35</f>
        <v/>
      </c>
      <c r="FH37" s="43">
        <f>FH$34-FH$35</f>
        <v/>
      </c>
      <c r="FI37" s="43">
        <f>FI$34-FI$35</f>
        <v/>
      </c>
      <c r="FJ37" s="43">
        <f>FJ$34-FJ$35</f>
        <v/>
      </c>
      <c r="FK37" s="43">
        <f>FK$34-FK$35</f>
        <v/>
      </c>
      <c r="FL37" s="43">
        <f>FL$34-FL$35</f>
        <v/>
      </c>
      <c r="FM37" s="43">
        <f>FM$34-FM$35</f>
        <v/>
      </c>
      <c r="FN37" s="43">
        <f>FN$34-FN$35</f>
        <v/>
      </c>
      <c r="FO37" s="43">
        <f>FO$34-FO$35</f>
        <v/>
      </c>
      <c r="FP37" s="43">
        <f>FP$34-FP$35</f>
        <v/>
      </c>
      <c r="FQ37" s="43">
        <f>FQ$34-FQ$35</f>
        <v/>
      </c>
      <c r="FR37" s="43">
        <f>FR$34-FR$35</f>
        <v/>
      </c>
      <c r="FS37" s="43">
        <f>FS$34-FS$35</f>
        <v/>
      </c>
      <c r="FT37" s="43">
        <f>FT$34-FT$35</f>
        <v/>
      </c>
      <c r="FU37" s="43">
        <f>FU$34-FU$35</f>
        <v/>
      </c>
      <c r="FV37" s="43">
        <f>FV$34-FV$35</f>
        <v/>
      </c>
      <c r="FW37" s="43">
        <f>FW$34-FW$35</f>
        <v/>
      </c>
      <c r="FX37" s="43">
        <f>FX$34-FX$35</f>
        <v/>
      </c>
      <c r="FY37" s="43">
        <f>FY$34-FY$35</f>
        <v/>
      </c>
      <c r="FZ37" s="43">
        <f>FZ$34-FZ$35</f>
        <v/>
      </c>
      <c r="GA37" s="43">
        <f>GA$34-GA$35</f>
        <v/>
      </c>
      <c r="GB37" s="43">
        <f>GB$34-GB$35</f>
        <v/>
      </c>
      <c r="GC37" s="43">
        <f>GC$34-GC$35</f>
        <v/>
      </c>
      <c r="GD37" s="43">
        <f>GD$34-GD$35</f>
        <v/>
      </c>
      <c r="GE37" s="43">
        <f>GE$34-GE$35</f>
        <v/>
      </c>
      <c r="GF37" s="43">
        <f>GF$34-GF$35</f>
        <v/>
      </c>
      <c r="GG37" s="43">
        <f>GG$34-GG$35</f>
        <v/>
      </c>
      <c r="GH37" s="43">
        <f>GH$34-GH$35</f>
        <v/>
      </c>
      <c r="GI37" s="43">
        <f>GI$34-GI$35</f>
        <v/>
      </c>
      <c r="GJ37" s="43">
        <f>GJ$34-GJ$35</f>
        <v/>
      </c>
      <c r="GK37" s="43">
        <f>GK$34-GK$35</f>
        <v/>
      </c>
      <c r="GL37" s="43">
        <f>GL$34-GL$35</f>
        <v/>
      </c>
      <c r="GM37" s="43">
        <f>GM$34-GM$35</f>
        <v/>
      </c>
      <c r="GN37" s="43">
        <f>GN$34-GN$35</f>
        <v/>
      </c>
      <c r="GO37" s="43">
        <f>GO$34-GO$35</f>
        <v/>
      </c>
      <c r="GP37" s="43">
        <f>GP$34-GP$35</f>
        <v/>
      </c>
      <c r="GQ37" s="43">
        <f>GQ$34-GQ$35</f>
        <v/>
      </c>
      <c r="GR37" s="43">
        <f>GR$34-GR$35</f>
        <v/>
      </c>
      <c r="GS37" s="43">
        <f>GS$34-GS$35</f>
        <v/>
      </c>
      <c r="GT37" s="43">
        <f>GT$34-GT$35</f>
        <v/>
      </c>
      <c r="GU37" s="43">
        <f>GU$34-GU$35</f>
        <v/>
      </c>
      <c r="GV37" s="43">
        <f>GV$34-GV$35</f>
        <v/>
      </c>
      <c r="GW37" s="43">
        <f>GW$34-GW$35</f>
        <v/>
      </c>
      <c r="GX37" s="43">
        <f>GX$34-GX$35</f>
        <v/>
      </c>
      <c r="GY37" s="43">
        <f>GY$34-GY$35</f>
        <v/>
      </c>
      <c r="GZ37" s="43">
        <f>GZ$34-GZ$35</f>
        <v/>
      </c>
      <c r="HA37" s="43">
        <f>HA$34-HA$35</f>
        <v/>
      </c>
      <c r="HB37" s="43">
        <f>HB$34-HB$35</f>
        <v/>
      </c>
      <c r="HC37" s="43">
        <f>HC$34-HC$35</f>
        <v/>
      </c>
      <c r="HD37" s="43">
        <f>HD$34-HD$35</f>
        <v/>
      </c>
      <c r="HE37" s="43">
        <f>HE$34-HE$35</f>
        <v/>
      </c>
      <c r="HF37" s="43">
        <f>HF$34-HF$35</f>
        <v/>
      </c>
      <c r="HG37" s="43">
        <f>HG$34-HG$35</f>
        <v/>
      </c>
      <c r="HH37" s="43">
        <f>HH$34-HH$35</f>
        <v/>
      </c>
      <c r="HI37" s="43">
        <f>HI$34-HI$35</f>
        <v/>
      </c>
      <c r="HJ37" s="43">
        <f>HJ$34-HJ$35</f>
        <v/>
      </c>
      <c r="HK37" s="43">
        <f>HK$34-HK$35</f>
        <v/>
      </c>
      <c r="HL37" s="43">
        <f>HL$34-HL$35</f>
        <v/>
      </c>
      <c r="HM37" s="43">
        <f>HM$34-HM$35</f>
        <v/>
      </c>
      <c r="HN37" s="43">
        <f>HN$34-HN$35</f>
        <v/>
      </c>
      <c r="HO37" s="43">
        <f>HO$34-HO$35</f>
        <v/>
      </c>
      <c r="HP37" s="43">
        <f>HP$34-HP$35</f>
        <v/>
      </c>
      <c r="HQ37" s="43">
        <f>HQ$34-HQ$35</f>
        <v/>
      </c>
      <c r="HR37" s="43">
        <f>HR$34-HR$35</f>
        <v/>
      </c>
      <c r="HS37" s="43">
        <f>HS$34-HS$35</f>
        <v/>
      </c>
      <c r="HT37" s="43">
        <f>HT$34-HT$35</f>
        <v/>
      </c>
      <c r="HU37" s="43">
        <f>HU$34-HU$35</f>
        <v/>
      </c>
      <c r="HV37" s="43">
        <f>HV$34-HV$35</f>
        <v/>
      </c>
      <c r="HW37" s="43">
        <f>HW$34-HW$35</f>
        <v/>
      </c>
      <c r="HX37" s="43">
        <f>HX$34-HX$35</f>
        <v/>
      </c>
      <c r="HY37" s="43">
        <f>HY$34-HY$35</f>
        <v/>
      </c>
      <c r="HZ37" s="43">
        <f>HZ$34-HZ$35</f>
        <v/>
      </c>
      <c r="IA37" s="43">
        <f>IA$34-IA$35</f>
        <v/>
      </c>
      <c r="IB37" s="43">
        <f>IB$34-IB$35</f>
        <v/>
      </c>
      <c r="IC37" s="43">
        <f>IC$34-IC$35</f>
        <v/>
      </c>
      <c r="ID37" s="43">
        <f>ID$34-ID$35</f>
        <v/>
      </c>
      <c r="IE37" s="43">
        <f>IE$34-IE$35</f>
        <v/>
      </c>
      <c r="IF37" s="43">
        <f>IF$34-IF$35</f>
        <v/>
      </c>
      <c r="IG37" s="43">
        <f>IG$34-IG$35</f>
        <v/>
      </c>
      <c r="IH37" s="43">
        <f>IH$34-IH$35</f>
        <v/>
      </c>
      <c r="II37" s="43">
        <f>II$34-II$35</f>
        <v/>
      </c>
      <c r="IJ37" s="43">
        <f>IJ$34-IJ$35</f>
        <v/>
      </c>
      <c r="IK37" s="43">
        <f>IK$34-IK$35</f>
        <v/>
      </c>
      <c r="IL37" s="43">
        <f>IL$34-IL$35</f>
        <v/>
      </c>
      <c r="IM37" s="43">
        <f>IM$34-IM$35</f>
        <v/>
      </c>
      <c r="IN37" s="43">
        <f>IN$34-IN$35</f>
        <v/>
      </c>
      <c r="IO37" s="43">
        <f>IO$34-IO$35</f>
        <v/>
      </c>
      <c r="IP37" s="43">
        <f>IP$34-IP$35</f>
        <v/>
      </c>
      <c r="IQ37" s="43">
        <f>IQ$34-IQ$35</f>
        <v/>
      </c>
      <c r="IR37" s="43">
        <f>IR$34-IR$35</f>
        <v/>
      </c>
      <c r="IS37" s="43">
        <f>IS$34-IS$35</f>
        <v/>
      </c>
      <c r="IT37" s="43">
        <f>IT$34-IT$35</f>
        <v/>
      </c>
      <c r="IU37" s="43">
        <f>IU$34-IU$35</f>
        <v/>
      </c>
      <c r="IV37" s="43">
        <f>IV$34-IV$35</f>
        <v/>
      </c>
      <c r="IW37" s="43">
        <f>IW$34-IW$35</f>
        <v/>
      </c>
      <c r="IX37" s="43">
        <f>IX$34-IX$35</f>
        <v/>
      </c>
      <c r="IY37" s="43">
        <f>IY$34-IY$35</f>
        <v/>
      </c>
      <c r="IZ37" s="43">
        <f>IZ$34-IZ$35</f>
        <v/>
      </c>
      <c r="JA37" s="43">
        <f>JA$34-JA$35</f>
        <v/>
      </c>
      <c r="JB37" s="43">
        <f>JB$34-JB$35</f>
        <v/>
      </c>
      <c r="JC37" s="43">
        <f>JC$34-JC$35</f>
        <v/>
      </c>
      <c r="JD37" s="43">
        <f>JD$34-JD$35</f>
        <v/>
      </c>
      <c r="JE37" s="43">
        <f>JE$34-JE$35</f>
        <v/>
      </c>
      <c r="JF37" s="43">
        <f>JF$34-JF$35</f>
        <v/>
      </c>
      <c r="JG37" s="43">
        <f>JG$34-JG$35</f>
        <v/>
      </c>
      <c r="JH37" s="43">
        <f>JH$34-JH$35</f>
        <v/>
      </c>
      <c r="JI37" s="43">
        <f>JI$34-JI$35</f>
        <v/>
      </c>
      <c r="JJ37" s="43">
        <f>JJ$34-JJ$35</f>
        <v/>
      </c>
      <c r="JK37" s="43">
        <f>JK$34-JK$35</f>
        <v/>
      </c>
      <c r="JL37" s="43">
        <f>JL$34-JL$35</f>
        <v/>
      </c>
      <c r="JM37" s="43">
        <f>JM$34-JM$35</f>
        <v/>
      </c>
      <c r="JN37" s="43">
        <f>JN$34-JN$35</f>
        <v/>
      </c>
      <c r="JO37" s="43">
        <f>JO$34-JO$35</f>
        <v/>
      </c>
      <c r="JP37" s="43">
        <f>JP$34-JP$35</f>
        <v/>
      </c>
      <c r="JQ37" s="43">
        <f>JQ$34-JQ$35</f>
        <v/>
      </c>
      <c r="JR37" s="43">
        <f>JR$34-JR$35</f>
        <v/>
      </c>
      <c r="JS37" s="43">
        <f>JS$34-JS$35</f>
        <v/>
      </c>
      <c r="JT37" s="43">
        <f>JT$34-JT$35</f>
        <v/>
      </c>
      <c r="JU37" s="43">
        <f>JU$34-JU$35</f>
        <v/>
      </c>
      <c r="JV37" s="43">
        <f>JV$34-JV$35</f>
        <v/>
      </c>
      <c r="JW37" s="43">
        <f>JW$34-JW$35</f>
        <v/>
      </c>
      <c r="JX37" s="43">
        <f>JX$34-JX$35</f>
        <v/>
      </c>
      <c r="JY37" s="43">
        <f>JY$34-JY$35</f>
        <v/>
      </c>
      <c r="JZ37" s="43">
        <f>JZ$34-JZ$35</f>
        <v/>
      </c>
      <c r="KA37" s="43">
        <f>KA$34-KA$35</f>
        <v/>
      </c>
      <c r="KB37" s="43">
        <f>KB$34-KB$35</f>
        <v/>
      </c>
      <c r="KC37" s="43">
        <f>KC$34-KC$35</f>
        <v/>
      </c>
      <c r="KD37" s="43">
        <f>KD$34-KD$35</f>
        <v/>
      </c>
      <c r="KE37" s="43">
        <f>KE$34-KE$35</f>
        <v/>
      </c>
      <c r="KF37" s="43">
        <f>KF$34-KF$35</f>
        <v/>
      </c>
      <c r="KG37" s="43">
        <f>KG$34-KG$35</f>
        <v/>
      </c>
      <c r="KH37" s="43">
        <f>KH$34-KH$35</f>
        <v/>
      </c>
      <c r="KI37" s="43">
        <f>KI$34-KI$35</f>
        <v/>
      </c>
      <c r="KJ37" s="43">
        <f>KJ$34-KJ$35</f>
        <v/>
      </c>
      <c r="KK37" s="43">
        <f>KK$34-KK$35</f>
        <v/>
      </c>
      <c r="KL37" s="43">
        <f>KL$34-KL$35</f>
        <v/>
      </c>
      <c r="KM37" s="43">
        <f>KM$34-KM$35</f>
        <v/>
      </c>
      <c r="KN37" s="43">
        <f>KN$34-KN$35</f>
        <v/>
      </c>
      <c r="KO37" s="43">
        <f>KO$34-KO$35</f>
        <v/>
      </c>
      <c r="KP37" s="43">
        <f>KP$34-KP$35</f>
        <v/>
      </c>
      <c r="KQ37" s="43">
        <f>KQ$34-KQ$35</f>
        <v/>
      </c>
      <c r="KR37" s="43">
        <f>KR$34-KR$35</f>
        <v/>
      </c>
      <c r="KS37" s="43">
        <f>KS$34-KS$35</f>
        <v/>
      </c>
      <c r="KT37" s="43">
        <f>KT$34-KT$35</f>
        <v/>
      </c>
      <c r="KU37" s="43">
        <f>KU$34-KU$35</f>
        <v/>
      </c>
      <c r="KV37" s="43">
        <f>KV$34-KV$35</f>
        <v/>
      </c>
      <c r="KW37" s="43">
        <f>KW$34-KW$35</f>
        <v/>
      </c>
      <c r="KX37" s="43">
        <f>KX$34-KX$35</f>
        <v/>
      </c>
      <c r="KY37" s="43">
        <f>KY$34-KY$35</f>
        <v/>
      </c>
      <c r="KZ37" s="43">
        <f>KZ$34-KZ$35</f>
        <v/>
      </c>
      <c r="LA37" s="43">
        <f>LA$34-LA$35</f>
        <v/>
      </c>
      <c r="LB37" s="43">
        <f>LB$34-LB$35</f>
        <v/>
      </c>
      <c r="LC37" s="43">
        <f>LC$34-LC$35</f>
        <v/>
      </c>
      <c r="LD37" s="43">
        <f>LD$34-LD$35</f>
        <v/>
      </c>
      <c r="LE37" s="43">
        <f>LE$34-LE$35</f>
        <v/>
      </c>
      <c r="LF37" s="43">
        <f>LF$34-LF$35</f>
        <v/>
      </c>
      <c r="LG37" s="43">
        <f>LG$34-LG$35</f>
        <v/>
      </c>
      <c r="LH37" s="43">
        <f>LH$34-LH$35</f>
        <v/>
      </c>
      <c r="LI37" s="43">
        <f>LI$34-LI$35</f>
        <v/>
      </c>
      <c r="LJ37" s="43">
        <f>LJ$34-LJ$35</f>
        <v/>
      </c>
      <c r="LK37" s="43">
        <f>LK$34-LK$35</f>
        <v/>
      </c>
      <c r="LL37" s="43">
        <f>LL$34-LL$35</f>
        <v/>
      </c>
      <c r="LM37" s="43">
        <f>LM$34-LM$35</f>
        <v/>
      </c>
      <c r="LN37" s="43">
        <f>LN$34-LN$35</f>
        <v/>
      </c>
      <c r="LO37" s="43">
        <f>LO$34-LO$35</f>
        <v/>
      </c>
      <c r="LP37" s="43">
        <f>LP$34-LP$35</f>
        <v/>
      </c>
      <c r="LQ37" s="43">
        <f>LQ$34-LQ$35</f>
        <v/>
      </c>
      <c r="LR37" s="43">
        <f>LR$34-LR$35</f>
        <v/>
      </c>
      <c r="LS37" s="43">
        <f>LS$34-LS$35</f>
        <v/>
      </c>
      <c r="LT37" s="43">
        <f>LT$34-LT$35</f>
        <v/>
      </c>
      <c r="LU37" s="43">
        <f>LU$34-LU$35</f>
        <v/>
      </c>
      <c r="LV37" s="43">
        <f>LV$34-LV$35</f>
        <v/>
      </c>
      <c r="LW37" s="43">
        <f>LW$34-LW$35</f>
        <v/>
      </c>
      <c r="LX37" s="43">
        <f>LX$34-LX$35</f>
        <v/>
      </c>
      <c r="LY37" s="43">
        <f>LY$34-LY$35</f>
        <v/>
      </c>
      <c r="LZ37" s="43">
        <f>LZ$34-LZ$35</f>
        <v/>
      </c>
      <c r="MA37" s="43">
        <f>MA$34-MA$35</f>
        <v/>
      </c>
      <c r="MB37" s="43">
        <f>MB$34-MB$35</f>
        <v/>
      </c>
      <c r="MC37" s="43">
        <f>MC$34-MC$35</f>
        <v/>
      </c>
      <c r="MD37" s="43">
        <f>MD$34-MD$35</f>
        <v/>
      </c>
      <c r="ME37" s="43">
        <f>ME$34-ME$35</f>
        <v/>
      </c>
      <c r="MF37" s="43">
        <f>MF$34-MF$35</f>
        <v/>
      </c>
      <c r="MG37" s="43">
        <f>MG$34-MG$35</f>
        <v/>
      </c>
      <c r="MH37" s="43">
        <f>MH$34-MH$35</f>
        <v/>
      </c>
      <c r="MI37" s="43">
        <f>MI$34-MI$35</f>
        <v/>
      </c>
      <c r="MJ37" s="43">
        <f>MJ$34-MJ$35</f>
        <v/>
      </c>
      <c r="MK37" s="43">
        <f>MK$34-MK$35</f>
        <v/>
      </c>
      <c r="ML37" s="43">
        <f>ML$34-ML$35</f>
        <v/>
      </c>
      <c r="MM37" s="43">
        <f>MM$34-MM$35</f>
        <v/>
      </c>
      <c r="MN37" s="43">
        <f>MN$34-MN$35</f>
        <v/>
      </c>
      <c r="MO37" s="43">
        <f>MO$34-MO$35</f>
        <v/>
      </c>
      <c r="MP37" s="43">
        <f>MP$34-MP$35</f>
        <v/>
      </c>
      <c r="MQ37" s="43">
        <f>MQ$34-MQ$35</f>
        <v/>
      </c>
      <c r="MR37" s="43">
        <f>MR$34-MR$35</f>
        <v/>
      </c>
      <c r="MS37" s="43">
        <f>MS$34-MS$35</f>
        <v/>
      </c>
      <c r="MT37" s="43">
        <f>MT$34-MT$35</f>
        <v/>
      </c>
      <c r="MU37" s="43">
        <f>MU$34-MU$35</f>
        <v/>
      </c>
      <c r="MV37" s="43">
        <f>MV$34-MV$35</f>
        <v/>
      </c>
      <c r="MW37" s="43">
        <f>MW$34-MW$35</f>
        <v/>
      </c>
      <c r="MX37" s="43">
        <f>MX$34-MX$35</f>
        <v/>
      </c>
      <c r="MY37" s="43">
        <f>MY$34-MY$35</f>
        <v/>
      </c>
      <c r="MZ37" s="43">
        <f>MZ$34-MZ$35</f>
        <v/>
      </c>
      <c r="NA37" s="43">
        <f>NA$34-NA$35</f>
        <v/>
      </c>
      <c r="NB37" s="43">
        <f>NB$34-NB$35</f>
        <v/>
      </c>
      <c r="NC37" s="43">
        <f>NC$34-NC$35</f>
        <v/>
      </c>
      <c r="ND37" s="43">
        <f>ND$34-ND$35</f>
        <v/>
      </c>
      <c r="NE37" s="43">
        <f>NE$34-NE$35</f>
        <v/>
      </c>
      <c r="NF37" s="43">
        <f>NF$34-NF$35</f>
        <v/>
      </c>
      <c r="NG37" s="43">
        <f>NG$34-NG$35</f>
        <v/>
      </c>
      <c r="NH37" s="43">
        <f>NH$34-NH$35</f>
        <v/>
      </c>
      <c r="NI37" s="43">
        <f>NI$34-NI$35</f>
        <v/>
      </c>
      <c r="NJ37" s="43">
        <f>NJ$34-NJ$35</f>
        <v/>
      </c>
      <c r="NK37" s="43">
        <f>NK$34-NK$35</f>
        <v/>
      </c>
    </row>
    <row r="38">
      <c r="A38" s="3" t="inlineStr">
        <is>
          <t>Below-NOI Items</t>
        </is>
      </c>
      <c r="B38" s="4" t="n"/>
      <c r="C38" s="4" t="n"/>
    </row>
    <row r="39">
      <c r="A39" s="5" t="inlineStr">
        <is>
          <t>Capital Reserves + Tax Prep + Asset Mgmt Fee</t>
        </is>
      </c>
      <c r="C39" s="41">
        <f>SUM(D39:NK39)</f>
        <v/>
      </c>
      <c r="D39" s="18">
        <f>IF(1&gt;=DeliverStart,CapReservePerUnit*TotalUnits/12+TaxPrepPerUnit*TotalUnits/12+AssetMgmtFeePct*D$22,0)</f>
        <v/>
      </c>
      <c r="E39" s="18">
        <f>IF(2&gt;=DeliverStart,CapReservePerUnit*TotalUnits/12+TaxPrepPerUnit*TotalUnits/12+AssetMgmtFeePct*E$22,0)</f>
        <v/>
      </c>
      <c r="F39" s="18">
        <f>IF(3&gt;=DeliverStart,CapReservePerUnit*TotalUnits/12+TaxPrepPerUnit*TotalUnits/12+AssetMgmtFeePct*F$22,0)</f>
        <v/>
      </c>
      <c r="G39" s="18">
        <f>IF(4&gt;=DeliverStart,CapReservePerUnit*TotalUnits/12+TaxPrepPerUnit*TotalUnits/12+AssetMgmtFeePct*G$22,0)</f>
        <v/>
      </c>
      <c r="H39" s="18">
        <f>IF(5&gt;=DeliverStart,CapReservePerUnit*TotalUnits/12+TaxPrepPerUnit*TotalUnits/12+AssetMgmtFeePct*H$22,0)</f>
        <v/>
      </c>
      <c r="I39" s="18">
        <f>IF(6&gt;=DeliverStart,CapReservePerUnit*TotalUnits/12+TaxPrepPerUnit*TotalUnits/12+AssetMgmtFeePct*I$22,0)</f>
        <v/>
      </c>
      <c r="J39" s="18">
        <f>IF(7&gt;=DeliverStart,CapReservePerUnit*TotalUnits/12+TaxPrepPerUnit*TotalUnits/12+AssetMgmtFeePct*J$22,0)</f>
        <v/>
      </c>
      <c r="K39" s="18">
        <f>IF(8&gt;=DeliverStart,CapReservePerUnit*TotalUnits/12+TaxPrepPerUnit*TotalUnits/12+AssetMgmtFeePct*K$22,0)</f>
        <v/>
      </c>
      <c r="L39" s="18">
        <f>IF(9&gt;=DeliverStart,CapReservePerUnit*TotalUnits/12+TaxPrepPerUnit*TotalUnits/12+AssetMgmtFeePct*L$22,0)</f>
        <v/>
      </c>
      <c r="M39" s="18">
        <f>IF(10&gt;=DeliverStart,CapReservePerUnit*TotalUnits/12+TaxPrepPerUnit*TotalUnits/12+AssetMgmtFeePct*M$22,0)</f>
        <v/>
      </c>
      <c r="N39" s="18">
        <f>IF(11&gt;=DeliverStart,CapReservePerUnit*TotalUnits/12+TaxPrepPerUnit*TotalUnits/12+AssetMgmtFeePct*N$22,0)</f>
        <v/>
      </c>
      <c r="O39" s="18">
        <f>IF(12&gt;=DeliverStart,CapReservePerUnit*TotalUnits/12+TaxPrepPerUnit*TotalUnits/12+AssetMgmtFeePct*O$22,0)</f>
        <v/>
      </c>
      <c r="P39" s="18">
        <f>IF(13&gt;=DeliverStart,CapReservePerUnit*TotalUnits/12+TaxPrepPerUnit*TotalUnits/12+AssetMgmtFeePct*P$22,0)</f>
        <v/>
      </c>
      <c r="Q39" s="18">
        <f>IF(14&gt;=DeliverStart,CapReservePerUnit*TotalUnits/12+TaxPrepPerUnit*TotalUnits/12+AssetMgmtFeePct*Q$22,0)</f>
        <v/>
      </c>
      <c r="R39" s="18">
        <f>IF(15&gt;=DeliverStart,CapReservePerUnit*TotalUnits/12+TaxPrepPerUnit*TotalUnits/12+AssetMgmtFeePct*R$22,0)</f>
        <v/>
      </c>
      <c r="S39" s="18">
        <f>IF(16&gt;=DeliverStart,CapReservePerUnit*TotalUnits/12+TaxPrepPerUnit*TotalUnits/12+AssetMgmtFeePct*S$22,0)</f>
        <v/>
      </c>
      <c r="T39" s="18">
        <f>IF(17&gt;=DeliverStart,CapReservePerUnit*TotalUnits/12+TaxPrepPerUnit*TotalUnits/12+AssetMgmtFeePct*T$22,0)</f>
        <v/>
      </c>
      <c r="U39" s="18">
        <f>IF(18&gt;=DeliverStart,CapReservePerUnit*TotalUnits/12+TaxPrepPerUnit*TotalUnits/12+AssetMgmtFeePct*U$22,0)</f>
        <v/>
      </c>
      <c r="V39" s="18">
        <f>IF(19&gt;=DeliverStart,CapReservePerUnit*TotalUnits/12+TaxPrepPerUnit*TotalUnits/12+AssetMgmtFeePct*V$22,0)</f>
        <v/>
      </c>
      <c r="W39" s="18">
        <f>IF(20&gt;=DeliverStart,CapReservePerUnit*TotalUnits/12+TaxPrepPerUnit*TotalUnits/12+AssetMgmtFeePct*W$22,0)</f>
        <v/>
      </c>
      <c r="X39" s="18">
        <f>IF(21&gt;=DeliverStart,CapReservePerUnit*TotalUnits/12+TaxPrepPerUnit*TotalUnits/12+AssetMgmtFeePct*X$22,0)</f>
        <v/>
      </c>
      <c r="Y39" s="18">
        <f>IF(22&gt;=DeliverStart,CapReservePerUnit*TotalUnits/12+TaxPrepPerUnit*TotalUnits/12+AssetMgmtFeePct*Y$22,0)</f>
        <v/>
      </c>
      <c r="Z39" s="18">
        <f>IF(23&gt;=DeliverStart,CapReservePerUnit*TotalUnits/12+TaxPrepPerUnit*TotalUnits/12+AssetMgmtFeePct*Z$22,0)</f>
        <v/>
      </c>
      <c r="AA39" s="18">
        <f>IF(24&gt;=DeliverStart,CapReservePerUnit*TotalUnits/12+TaxPrepPerUnit*TotalUnits/12+AssetMgmtFeePct*AA$22,0)</f>
        <v/>
      </c>
      <c r="AB39" s="18">
        <f>IF(25&gt;=DeliverStart,CapReservePerUnit*TotalUnits/12+TaxPrepPerUnit*TotalUnits/12+AssetMgmtFeePct*AB$22,0)</f>
        <v/>
      </c>
      <c r="AC39" s="18">
        <f>IF(26&gt;=DeliverStart,CapReservePerUnit*TotalUnits/12+TaxPrepPerUnit*TotalUnits/12+AssetMgmtFeePct*AC$22,0)</f>
        <v/>
      </c>
      <c r="AD39" s="18">
        <f>IF(27&gt;=DeliverStart,CapReservePerUnit*TotalUnits/12+TaxPrepPerUnit*TotalUnits/12+AssetMgmtFeePct*AD$22,0)</f>
        <v/>
      </c>
      <c r="AE39" s="18">
        <f>IF(28&gt;=DeliverStart,CapReservePerUnit*TotalUnits/12+TaxPrepPerUnit*TotalUnits/12+AssetMgmtFeePct*AE$22,0)</f>
        <v/>
      </c>
      <c r="AF39" s="18">
        <f>IF(29&gt;=DeliverStart,CapReservePerUnit*TotalUnits/12+TaxPrepPerUnit*TotalUnits/12+AssetMgmtFeePct*AF$22,0)</f>
        <v/>
      </c>
      <c r="AG39" s="18">
        <f>IF(30&gt;=DeliverStart,CapReservePerUnit*TotalUnits/12+TaxPrepPerUnit*TotalUnits/12+AssetMgmtFeePct*AG$22,0)</f>
        <v/>
      </c>
      <c r="AH39" s="18">
        <f>IF(31&gt;=DeliverStart,CapReservePerUnit*TotalUnits/12+TaxPrepPerUnit*TotalUnits/12+AssetMgmtFeePct*AH$22,0)</f>
        <v/>
      </c>
      <c r="AI39" s="18">
        <f>IF(32&gt;=DeliverStart,CapReservePerUnit*TotalUnits/12+TaxPrepPerUnit*TotalUnits/12+AssetMgmtFeePct*AI$22,0)</f>
        <v/>
      </c>
      <c r="AJ39" s="18">
        <f>IF(33&gt;=DeliverStart,CapReservePerUnit*TotalUnits/12+TaxPrepPerUnit*TotalUnits/12+AssetMgmtFeePct*AJ$22,0)</f>
        <v/>
      </c>
      <c r="AK39" s="18">
        <f>IF(34&gt;=DeliverStart,CapReservePerUnit*TotalUnits/12+TaxPrepPerUnit*TotalUnits/12+AssetMgmtFeePct*AK$22,0)</f>
        <v/>
      </c>
      <c r="AL39" s="18">
        <f>IF(35&gt;=DeliverStart,CapReservePerUnit*TotalUnits/12+TaxPrepPerUnit*TotalUnits/12+AssetMgmtFeePct*AL$22,0)</f>
        <v/>
      </c>
      <c r="AM39" s="18">
        <f>IF(36&gt;=DeliverStart,CapReservePerUnit*TotalUnits/12+TaxPrepPerUnit*TotalUnits/12+AssetMgmtFeePct*AM$22,0)</f>
        <v/>
      </c>
      <c r="AN39" s="18">
        <f>IF(37&gt;=DeliverStart,CapReservePerUnit*TotalUnits/12+TaxPrepPerUnit*TotalUnits/12+AssetMgmtFeePct*AN$22,0)</f>
        <v/>
      </c>
      <c r="AO39" s="18">
        <f>IF(38&gt;=DeliverStart,CapReservePerUnit*TotalUnits/12+TaxPrepPerUnit*TotalUnits/12+AssetMgmtFeePct*AO$22,0)</f>
        <v/>
      </c>
      <c r="AP39" s="18">
        <f>IF(39&gt;=DeliverStart,CapReservePerUnit*TotalUnits/12+TaxPrepPerUnit*TotalUnits/12+AssetMgmtFeePct*AP$22,0)</f>
        <v/>
      </c>
      <c r="AQ39" s="18">
        <f>IF(40&gt;=DeliverStart,CapReservePerUnit*TotalUnits/12+TaxPrepPerUnit*TotalUnits/12+AssetMgmtFeePct*AQ$22,0)</f>
        <v/>
      </c>
      <c r="AR39" s="18">
        <f>IF(41&gt;=DeliverStart,CapReservePerUnit*TotalUnits/12+TaxPrepPerUnit*TotalUnits/12+AssetMgmtFeePct*AR$22,0)</f>
        <v/>
      </c>
      <c r="AS39" s="18">
        <f>IF(42&gt;=DeliverStart,CapReservePerUnit*TotalUnits/12+TaxPrepPerUnit*TotalUnits/12+AssetMgmtFeePct*AS$22,0)</f>
        <v/>
      </c>
      <c r="AT39" s="18">
        <f>IF(43&gt;=DeliverStart,CapReservePerUnit*TotalUnits/12+TaxPrepPerUnit*TotalUnits/12+AssetMgmtFeePct*AT$22,0)</f>
        <v/>
      </c>
      <c r="AU39" s="18">
        <f>IF(44&gt;=DeliverStart,CapReservePerUnit*TotalUnits/12+TaxPrepPerUnit*TotalUnits/12+AssetMgmtFeePct*AU$22,0)</f>
        <v/>
      </c>
      <c r="AV39" s="18">
        <f>IF(45&gt;=DeliverStart,CapReservePerUnit*TotalUnits/12+TaxPrepPerUnit*TotalUnits/12+AssetMgmtFeePct*AV$22,0)</f>
        <v/>
      </c>
      <c r="AW39" s="18">
        <f>IF(46&gt;=DeliverStart,CapReservePerUnit*TotalUnits/12+TaxPrepPerUnit*TotalUnits/12+AssetMgmtFeePct*AW$22,0)</f>
        <v/>
      </c>
      <c r="AX39" s="18">
        <f>IF(47&gt;=DeliverStart,CapReservePerUnit*TotalUnits/12+TaxPrepPerUnit*TotalUnits/12+AssetMgmtFeePct*AX$22,0)</f>
        <v/>
      </c>
      <c r="AY39" s="18">
        <f>IF(48&gt;=DeliverStart,CapReservePerUnit*TotalUnits/12+TaxPrepPerUnit*TotalUnits/12+AssetMgmtFeePct*AY$22,0)</f>
        <v/>
      </c>
      <c r="AZ39" s="18">
        <f>IF(49&gt;=DeliverStart,CapReservePerUnit*TotalUnits/12+TaxPrepPerUnit*TotalUnits/12+AssetMgmtFeePct*AZ$22,0)</f>
        <v/>
      </c>
      <c r="BA39" s="18">
        <f>IF(50&gt;=DeliverStart,CapReservePerUnit*TotalUnits/12+TaxPrepPerUnit*TotalUnits/12+AssetMgmtFeePct*BA$22,0)</f>
        <v/>
      </c>
      <c r="BB39" s="18">
        <f>IF(51&gt;=DeliverStart,CapReservePerUnit*TotalUnits/12+TaxPrepPerUnit*TotalUnits/12+AssetMgmtFeePct*BB$22,0)</f>
        <v/>
      </c>
      <c r="BC39" s="18">
        <f>IF(52&gt;=DeliverStart,CapReservePerUnit*TotalUnits/12+TaxPrepPerUnit*TotalUnits/12+AssetMgmtFeePct*BC$22,0)</f>
        <v/>
      </c>
      <c r="BD39" s="18">
        <f>IF(53&gt;=DeliverStart,CapReservePerUnit*TotalUnits/12+TaxPrepPerUnit*TotalUnits/12+AssetMgmtFeePct*BD$22,0)</f>
        <v/>
      </c>
      <c r="BE39" s="18">
        <f>IF(54&gt;=DeliverStart,CapReservePerUnit*TotalUnits/12+TaxPrepPerUnit*TotalUnits/12+AssetMgmtFeePct*BE$22,0)</f>
        <v/>
      </c>
      <c r="BF39" s="18">
        <f>IF(55&gt;=DeliverStart,CapReservePerUnit*TotalUnits/12+TaxPrepPerUnit*TotalUnits/12+AssetMgmtFeePct*BF$22,0)</f>
        <v/>
      </c>
      <c r="BG39" s="18">
        <f>IF(56&gt;=DeliverStart,CapReservePerUnit*TotalUnits/12+TaxPrepPerUnit*TotalUnits/12+AssetMgmtFeePct*BG$22,0)</f>
        <v/>
      </c>
      <c r="BH39" s="18">
        <f>IF(57&gt;=DeliverStart,CapReservePerUnit*TotalUnits/12+TaxPrepPerUnit*TotalUnits/12+AssetMgmtFeePct*BH$22,0)</f>
        <v/>
      </c>
      <c r="BI39" s="18">
        <f>IF(58&gt;=DeliverStart,CapReservePerUnit*TotalUnits/12+TaxPrepPerUnit*TotalUnits/12+AssetMgmtFeePct*BI$22,0)</f>
        <v/>
      </c>
      <c r="BJ39" s="18">
        <f>IF(59&gt;=DeliverStart,CapReservePerUnit*TotalUnits/12+TaxPrepPerUnit*TotalUnits/12+AssetMgmtFeePct*BJ$22,0)</f>
        <v/>
      </c>
      <c r="BK39" s="18">
        <f>IF(60&gt;=DeliverStart,CapReservePerUnit*TotalUnits/12+TaxPrepPerUnit*TotalUnits/12+AssetMgmtFeePct*BK$22,0)</f>
        <v/>
      </c>
      <c r="BL39" s="18">
        <f>IF(61&gt;=DeliverStart,CapReservePerUnit*TotalUnits/12+TaxPrepPerUnit*TotalUnits/12+AssetMgmtFeePct*BL$22,0)</f>
        <v/>
      </c>
      <c r="BM39" s="18">
        <f>IF(62&gt;=DeliverStart,CapReservePerUnit*TotalUnits/12+TaxPrepPerUnit*TotalUnits/12+AssetMgmtFeePct*BM$22,0)</f>
        <v/>
      </c>
      <c r="BN39" s="18">
        <f>IF(63&gt;=DeliverStart,CapReservePerUnit*TotalUnits/12+TaxPrepPerUnit*TotalUnits/12+AssetMgmtFeePct*BN$22,0)</f>
        <v/>
      </c>
      <c r="BO39" s="18">
        <f>IF(64&gt;=DeliverStart,CapReservePerUnit*TotalUnits/12+TaxPrepPerUnit*TotalUnits/12+AssetMgmtFeePct*BO$22,0)</f>
        <v/>
      </c>
      <c r="BP39" s="18">
        <f>IF(65&gt;=DeliverStart,CapReservePerUnit*TotalUnits/12+TaxPrepPerUnit*TotalUnits/12+AssetMgmtFeePct*BP$22,0)</f>
        <v/>
      </c>
      <c r="BQ39" s="18">
        <f>IF(66&gt;=DeliverStart,CapReservePerUnit*TotalUnits/12+TaxPrepPerUnit*TotalUnits/12+AssetMgmtFeePct*BQ$22,0)</f>
        <v/>
      </c>
      <c r="BR39" s="18">
        <f>IF(67&gt;=DeliverStart,CapReservePerUnit*TotalUnits/12+TaxPrepPerUnit*TotalUnits/12+AssetMgmtFeePct*BR$22,0)</f>
        <v/>
      </c>
      <c r="BS39" s="18">
        <f>IF(68&gt;=DeliverStart,CapReservePerUnit*TotalUnits/12+TaxPrepPerUnit*TotalUnits/12+AssetMgmtFeePct*BS$22,0)</f>
        <v/>
      </c>
      <c r="BT39" s="18">
        <f>IF(69&gt;=DeliverStart,CapReservePerUnit*TotalUnits/12+TaxPrepPerUnit*TotalUnits/12+AssetMgmtFeePct*BT$22,0)</f>
        <v/>
      </c>
      <c r="BU39" s="18">
        <f>IF(70&gt;=DeliverStart,CapReservePerUnit*TotalUnits/12+TaxPrepPerUnit*TotalUnits/12+AssetMgmtFeePct*BU$22,0)</f>
        <v/>
      </c>
      <c r="BV39" s="18">
        <f>IF(71&gt;=DeliverStart,CapReservePerUnit*TotalUnits/12+TaxPrepPerUnit*TotalUnits/12+AssetMgmtFeePct*BV$22,0)</f>
        <v/>
      </c>
      <c r="BW39" s="18">
        <f>IF(72&gt;=DeliverStart,CapReservePerUnit*TotalUnits/12+TaxPrepPerUnit*TotalUnits/12+AssetMgmtFeePct*BW$22,0)</f>
        <v/>
      </c>
      <c r="BX39" s="18">
        <f>IF(73&gt;=DeliverStart,CapReservePerUnit*TotalUnits/12+TaxPrepPerUnit*TotalUnits/12+AssetMgmtFeePct*BX$22,0)</f>
        <v/>
      </c>
      <c r="BY39" s="18">
        <f>IF(74&gt;=DeliverStart,CapReservePerUnit*TotalUnits/12+TaxPrepPerUnit*TotalUnits/12+AssetMgmtFeePct*BY$22,0)</f>
        <v/>
      </c>
      <c r="BZ39" s="18">
        <f>IF(75&gt;=DeliverStart,CapReservePerUnit*TotalUnits/12+TaxPrepPerUnit*TotalUnits/12+AssetMgmtFeePct*BZ$22,0)</f>
        <v/>
      </c>
      <c r="CA39" s="18">
        <f>IF(76&gt;=DeliverStart,CapReservePerUnit*TotalUnits/12+TaxPrepPerUnit*TotalUnits/12+AssetMgmtFeePct*CA$22,0)</f>
        <v/>
      </c>
      <c r="CB39" s="18">
        <f>IF(77&gt;=DeliverStart,CapReservePerUnit*TotalUnits/12+TaxPrepPerUnit*TotalUnits/12+AssetMgmtFeePct*CB$22,0)</f>
        <v/>
      </c>
      <c r="CC39" s="18">
        <f>IF(78&gt;=DeliverStart,CapReservePerUnit*TotalUnits/12+TaxPrepPerUnit*TotalUnits/12+AssetMgmtFeePct*CC$22,0)</f>
        <v/>
      </c>
      <c r="CD39" s="18">
        <f>IF(79&gt;=DeliverStart,CapReservePerUnit*TotalUnits/12+TaxPrepPerUnit*TotalUnits/12+AssetMgmtFeePct*CD$22,0)</f>
        <v/>
      </c>
      <c r="CE39" s="18">
        <f>IF(80&gt;=DeliverStart,CapReservePerUnit*TotalUnits/12+TaxPrepPerUnit*TotalUnits/12+AssetMgmtFeePct*CE$22,0)</f>
        <v/>
      </c>
      <c r="CF39" s="18">
        <f>IF(81&gt;=DeliverStart,CapReservePerUnit*TotalUnits/12+TaxPrepPerUnit*TotalUnits/12+AssetMgmtFeePct*CF$22,0)</f>
        <v/>
      </c>
      <c r="CG39" s="18">
        <f>IF(82&gt;=DeliverStart,CapReservePerUnit*TotalUnits/12+TaxPrepPerUnit*TotalUnits/12+AssetMgmtFeePct*CG$22,0)</f>
        <v/>
      </c>
      <c r="CH39" s="18">
        <f>IF(83&gt;=DeliverStart,CapReservePerUnit*TotalUnits/12+TaxPrepPerUnit*TotalUnits/12+AssetMgmtFeePct*CH$22,0)</f>
        <v/>
      </c>
      <c r="CI39" s="18">
        <f>IF(84&gt;=DeliverStart,CapReservePerUnit*TotalUnits/12+TaxPrepPerUnit*TotalUnits/12+AssetMgmtFeePct*CI$22,0)</f>
        <v/>
      </c>
      <c r="CJ39" s="18">
        <f>IF(85&gt;=DeliverStart,CapReservePerUnit*TotalUnits/12+TaxPrepPerUnit*TotalUnits/12+AssetMgmtFeePct*CJ$22,0)</f>
        <v/>
      </c>
      <c r="CK39" s="18">
        <f>IF(86&gt;=DeliverStart,CapReservePerUnit*TotalUnits/12+TaxPrepPerUnit*TotalUnits/12+AssetMgmtFeePct*CK$22,0)</f>
        <v/>
      </c>
      <c r="CL39" s="18">
        <f>IF(87&gt;=DeliverStart,CapReservePerUnit*TotalUnits/12+TaxPrepPerUnit*TotalUnits/12+AssetMgmtFeePct*CL$22,0)</f>
        <v/>
      </c>
      <c r="CM39" s="18">
        <f>IF(88&gt;=DeliverStart,CapReservePerUnit*TotalUnits/12+TaxPrepPerUnit*TotalUnits/12+AssetMgmtFeePct*CM$22,0)</f>
        <v/>
      </c>
      <c r="CN39" s="18">
        <f>IF(89&gt;=DeliverStart,CapReservePerUnit*TotalUnits/12+TaxPrepPerUnit*TotalUnits/12+AssetMgmtFeePct*CN$22,0)</f>
        <v/>
      </c>
      <c r="CO39" s="18">
        <f>IF(90&gt;=DeliverStart,CapReservePerUnit*TotalUnits/12+TaxPrepPerUnit*TotalUnits/12+AssetMgmtFeePct*CO$22,0)</f>
        <v/>
      </c>
      <c r="CP39" s="18">
        <f>IF(91&gt;=DeliverStart,CapReservePerUnit*TotalUnits/12+TaxPrepPerUnit*TotalUnits/12+AssetMgmtFeePct*CP$22,0)</f>
        <v/>
      </c>
      <c r="CQ39" s="18">
        <f>IF(92&gt;=DeliverStart,CapReservePerUnit*TotalUnits/12+TaxPrepPerUnit*TotalUnits/12+AssetMgmtFeePct*CQ$22,0)</f>
        <v/>
      </c>
      <c r="CR39" s="18">
        <f>IF(93&gt;=DeliverStart,CapReservePerUnit*TotalUnits/12+TaxPrepPerUnit*TotalUnits/12+AssetMgmtFeePct*CR$22,0)</f>
        <v/>
      </c>
      <c r="CS39" s="18">
        <f>IF(94&gt;=DeliverStart,CapReservePerUnit*TotalUnits/12+TaxPrepPerUnit*TotalUnits/12+AssetMgmtFeePct*CS$22,0)</f>
        <v/>
      </c>
      <c r="CT39" s="18">
        <f>IF(95&gt;=DeliverStart,CapReservePerUnit*TotalUnits/12+TaxPrepPerUnit*TotalUnits/12+AssetMgmtFeePct*CT$22,0)</f>
        <v/>
      </c>
      <c r="CU39" s="18">
        <f>IF(96&gt;=DeliverStart,CapReservePerUnit*TotalUnits/12+TaxPrepPerUnit*TotalUnits/12+AssetMgmtFeePct*CU$22,0)</f>
        <v/>
      </c>
      <c r="CV39" s="18">
        <f>IF(97&gt;=DeliverStart,CapReservePerUnit*TotalUnits/12+TaxPrepPerUnit*TotalUnits/12+AssetMgmtFeePct*CV$22,0)</f>
        <v/>
      </c>
      <c r="CW39" s="18">
        <f>IF(98&gt;=DeliverStart,CapReservePerUnit*TotalUnits/12+TaxPrepPerUnit*TotalUnits/12+AssetMgmtFeePct*CW$22,0)</f>
        <v/>
      </c>
      <c r="CX39" s="18">
        <f>IF(99&gt;=DeliverStart,CapReservePerUnit*TotalUnits/12+TaxPrepPerUnit*TotalUnits/12+AssetMgmtFeePct*CX$22,0)</f>
        <v/>
      </c>
      <c r="CY39" s="18">
        <f>IF(100&gt;=DeliverStart,CapReservePerUnit*TotalUnits/12+TaxPrepPerUnit*TotalUnits/12+AssetMgmtFeePct*CY$22,0)</f>
        <v/>
      </c>
      <c r="CZ39" s="18">
        <f>IF(101&gt;=DeliverStart,CapReservePerUnit*TotalUnits/12+TaxPrepPerUnit*TotalUnits/12+AssetMgmtFeePct*CZ$22,0)</f>
        <v/>
      </c>
      <c r="DA39" s="18">
        <f>IF(102&gt;=DeliverStart,CapReservePerUnit*TotalUnits/12+TaxPrepPerUnit*TotalUnits/12+AssetMgmtFeePct*DA$22,0)</f>
        <v/>
      </c>
      <c r="DB39" s="18">
        <f>IF(103&gt;=DeliverStart,CapReservePerUnit*TotalUnits/12+TaxPrepPerUnit*TotalUnits/12+AssetMgmtFeePct*DB$22,0)</f>
        <v/>
      </c>
      <c r="DC39" s="18">
        <f>IF(104&gt;=DeliverStart,CapReservePerUnit*TotalUnits/12+TaxPrepPerUnit*TotalUnits/12+AssetMgmtFeePct*DC$22,0)</f>
        <v/>
      </c>
      <c r="DD39" s="18">
        <f>IF(105&gt;=DeliverStart,CapReservePerUnit*TotalUnits/12+TaxPrepPerUnit*TotalUnits/12+AssetMgmtFeePct*DD$22,0)</f>
        <v/>
      </c>
      <c r="DE39" s="18">
        <f>IF(106&gt;=DeliverStart,CapReservePerUnit*TotalUnits/12+TaxPrepPerUnit*TotalUnits/12+AssetMgmtFeePct*DE$22,0)</f>
        <v/>
      </c>
      <c r="DF39" s="18">
        <f>IF(107&gt;=DeliverStart,CapReservePerUnit*TotalUnits/12+TaxPrepPerUnit*TotalUnits/12+AssetMgmtFeePct*DF$22,0)</f>
        <v/>
      </c>
      <c r="DG39" s="18">
        <f>IF(108&gt;=DeliverStart,CapReservePerUnit*TotalUnits/12+TaxPrepPerUnit*TotalUnits/12+AssetMgmtFeePct*DG$22,0)</f>
        <v/>
      </c>
      <c r="DH39" s="18">
        <f>IF(109&gt;=DeliverStart,CapReservePerUnit*TotalUnits/12+TaxPrepPerUnit*TotalUnits/12+AssetMgmtFeePct*DH$22,0)</f>
        <v/>
      </c>
      <c r="DI39" s="18">
        <f>IF(110&gt;=DeliverStart,CapReservePerUnit*TotalUnits/12+TaxPrepPerUnit*TotalUnits/12+AssetMgmtFeePct*DI$22,0)</f>
        <v/>
      </c>
      <c r="DJ39" s="18">
        <f>IF(111&gt;=DeliverStart,CapReservePerUnit*TotalUnits/12+TaxPrepPerUnit*TotalUnits/12+AssetMgmtFeePct*DJ$22,0)</f>
        <v/>
      </c>
      <c r="DK39" s="18">
        <f>IF(112&gt;=DeliverStart,CapReservePerUnit*TotalUnits/12+TaxPrepPerUnit*TotalUnits/12+AssetMgmtFeePct*DK$22,0)</f>
        <v/>
      </c>
      <c r="DL39" s="18">
        <f>IF(113&gt;=DeliverStart,CapReservePerUnit*TotalUnits/12+TaxPrepPerUnit*TotalUnits/12+AssetMgmtFeePct*DL$22,0)</f>
        <v/>
      </c>
      <c r="DM39" s="18">
        <f>IF(114&gt;=DeliverStart,CapReservePerUnit*TotalUnits/12+TaxPrepPerUnit*TotalUnits/12+AssetMgmtFeePct*DM$22,0)</f>
        <v/>
      </c>
      <c r="DN39" s="18">
        <f>IF(115&gt;=DeliverStart,CapReservePerUnit*TotalUnits/12+TaxPrepPerUnit*TotalUnits/12+AssetMgmtFeePct*DN$22,0)</f>
        <v/>
      </c>
      <c r="DO39" s="18">
        <f>IF(116&gt;=DeliverStart,CapReservePerUnit*TotalUnits/12+TaxPrepPerUnit*TotalUnits/12+AssetMgmtFeePct*DO$22,0)</f>
        <v/>
      </c>
      <c r="DP39" s="18">
        <f>IF(117&gt;=DeliverStart,CapReservePerUnit*TotalUnits/12+TaxPrepPerUnit*TotalUnits/12+AssetMgmtFeePct*DP$22,0)</f>
        <v/>
      </c>
      <c r="DQ39" s="18">
        <f>IF(118&gt;=DeliverStart,CapReservePerUnit*TotalUnits/12+TaxPrepPerUnit*TotalUnits/12+AssetMgmtFeePct*DQ$22,0)</f>
        <v/>
      </c>
      <c r="DR39" s="18">
        <f>IF(119&gt;=DeliverStart,CapReservePerUnit*TotalUnits/12+TaxPrepPerUnit*TotalUnits/12+AssetMgmtFeePct*DR$22,0)</f>
        <v/>
      </c>
      <c r="DS39" s="18">
        <f>IF(120&gt;=DeliverStart,CapReservePerUnit*TotalUnits/12+TaxPrepPerUnit*TotalUnits/12+AssetMgmtFeePct*DS$22,0)</f>
        <v/>
      </c>
      <c r="DT39" s="18">
        <f>IF(121&gt;=DeliverStart,CapReservePerUnit*TotalUnits/12+TaxPrepPerUnit*TotalUnits/12+AssetMgmtFeePct*DT$22,0)</f>
        <v/>
      </c>
      <c r="DU39" s="18">
        <f>IF(122&gt;=DeliverStart,CapReservePerUnit*TotalUnits/12+TaxPrepPerUnit*TotalUnits/12+AssetMgmtFeePct*DU$22,0)</f>
        <v/>
      </c>
      <c r="DV39" s="18">
        <f>IF(123&gt;=DeliverStart,CapReservePerUnit*TotalUnits/12+TaxPrepPerUnit*TotalUnits/12+AssetMgmtFeePct*DV$22,0)</f>
        <v/>
      </c>
      <c r="DW39" s="18">
        <f>IF(124&gt;=DeliverStart,CapReservePerUnit*TotalUnits/12+TaxPrepPerUnit*TotalUnits/12+AssetMgmtFeePct*DW$22,0)</f>
        <v/>
      </c>
      <c r="DX39" s="18">
        <f>IF(125&gt;=DeliverStart,CapReservePerUnit*TotalUnits/12+TaxPrepPerUnit*TotalUnits/12+AssetMgmtFeePct*DX$22,0)</f>
        <v/>
      </c>
      <c r="DY39" s="18">
        <f>IF(126&gt;=DeliverStart,CapReservePerUnit*TotalUnits/12+TaxPrepPerUnit*TotalUnits/12+AssetMgmtFeePct*DY$22,0)</f>
        <v/>
      </c>
      <c r="DZ39" s="18">
        <f>IF(127&gt;=DeliverStart,CapReservePerUnit*TotalUnits/12+TaxPrepPerUnit*TotalUnits/12+AssetMgmtFeePct*DZ$22,0)</f>
        <v/>
      </c>
      <c r="EA39" s="18">
        <f>IF(128&gt;=DeliverStart,CapReservePerUnit*TotalUnits/12+TaxPrepPerUnit*TotalUnits/12+AssetMgmtFeePct*EA$22,0)</f>
        <v/>
      </c>
      <c r="EB39" s="18">
        <f>IF(129&gt;=DeliverStart,CapReservePerUnit*TotalUnits/12+TaxPrepPerUnit*TotalUnits/12+AssetMgmtFeePct*EB$22,0)</f>
        <v/>
      </c>
      <c r="EC39" s="18">
        <f>IF(130&gt;=DeliverStart,CapReservePerUnit*TotalUnits/12+TaxPrepPerUnit*TotalUnits/12+AssetMgmtFeePct*EC$22,0)</f>
        <v/>
      </c>
      <c r="ED39" s="18">
        <f>IF(131&gt;=DeliverStart,CapReservePerUnit*TotalUnits/12+TaxPrepPerUnit*TotalUnits/12+AssetMgmtFeePct*ED$22,0)</f>
        <v/>
      </c>
      <c r="EE39" s="18">
        <f>IF(132&gt;=DeliverStart,CapReservePerUnit*TotalUnits/12+TaxPrepPerUnit*TotalUnits/12+AssetMgmtFeePct*EE$22,0)</f>
        <v/>
      </c>
      <c r="EF39" s="18">
        <f>IF(133&gt;=DeliverStart,CapReservePerUnit*TotalUnits/12+TaxPrepPerUnit*TotalUnits/12+AssetMgmtFeePct*EF$22,0)</f>
        <v/>
      </c>
      <c r="EG39" s="18">
        <f>IF(134&gt;=DeliverStart,CapReservePerUnit*TotalUnits/12+TaxPrepPerUnit*TotalUnits/12+AssetMgmtFeePct*EG$22,0)</f>
        <v/>
      </c>
      <c r="EH39" s="18">
        <f>IF(135&gt;=DeliverStart,CapReservePerUnit*TotalUnits/12+TaxPrepPerUnit*TotalUnits/12+AssetMgmtFeePct*EH$22,0)</f>
        <v/>
      </c>
      <c r="EI39" s="18">
        <f>IF(136&gt;=DeliverStart,CapReservePerUnit*TotalUnits/12+TaxPrepPerUnit*TotalUnits/12+AssetMgmtFeePct*EI$22,0)</f>
        <v/>
      </c>
      <c r="EJ39" s="18">
        <f>IF(137&gt;=DeliverStart,CapReservePerUnit*TotalUnits/12+TaxPrepPerUnit*TotalUnits/12+AssetMgmtFeePct*EJ$22,0)</f>
        <v/>
      </c>
      <c r="EK39" s="18">
        <f>IF(138&gt;=DeliverStart,CapReservePerUnit*TotalUnits/12+TaxPrepPerUnit*TotalUnits/12+AssetMgmtFeePct*EK$22,0)</f>
        <v/>
      </c>
      <c r="EL39" s="18">
        <f>IF(139&gt;=DeliverStart,CapReservePerUnit*TotalUnits/12+TaxPrepPerUnit*TotalUnits/12+AssetMgmtFeePct*EL$22,0)</f>
        <v/>
      </c>
      <c r="EM39" s="18">
        <f>IF(140&gt;=DeliverStart,CapReservePerUnit*TotalUnits/12+TaxPrepPerUnit*TotalUnits/12+AssetMgmtFeePct*EM$22,0)</f>
        <v/>
      </c>
      <c r="EN39" s="18">
        <f>IF(141&gt;=DeliverStart,CapReservePerUnit*TotalUnits/12+TaxPrepPerUnit*TotalUnits/12+AssetMgmtFeePct*EN$22,0)</f>
        <v/>
      </c>
      <c r="EO39" s="18">
        <f>IF(142&gt;=DeliverStart,CapReservePerUnit*TotalUnits/12+TaxPrepPerUnit*TotalUnits/12+AssetMgmtFeePct*EO$22,0)</f>
        <v/>
      </c>
      <c r="EP39" s="18">
        <f>IF(143&gt;=DeliverStart,CapReservePerUnit*TotalUnits/12+TaxPrepPerUnit*TotalUnits/12+AssetMgmtFeePct*EP$22,0)</f>
        <v/>
      </c>
      <c r="EQ39" s="18">
        <f>IF(144&gt;=DeliverStart,CapReservePerUnit*TotalUnits/12+TaxPrepPerUnit*TotalUnits/12+AssetMgmtFeePct*EQ$22,0)</f>
        <v/>
      </c>
      <c r="ER39" s="18">
        <f>IF(145&gt;=DeliverStart,CapReservePerUnit*TotalUnits/12+TaxPrepPerUnit*TotalUnits/12+AssetMgmtFeePct*ER$22,0)</f>
        <v/>
      </c>
      <c r="ES39" s="18">
        <f>IF(146&gt;=DeliverStart,CapReservePerUnit*TotalUnits/12+TaxPrepPerUnit*TotalUnits/12+AssetMgmtFeePct*ES$22,0)</f>
        <v/>
      </c>
      <c r="ET39" s="18">
        <f>IF(147&gt;=DeliverStart,CapReservePerUnit*TotalUnits/12+TaxPrepPerUnit*TotalUnits/12+AssetMgmtFeePct*ET$22,0)</f>
        <v/>
      </c>
      <c r="EU39" s="18">
        <f>IF(148&gt;=DeliverStart,CapReservePerUnit*TotalUnits/12+TaxPrepPerUnit*TotalUnits/12+AssetMgmtFeePct*EU$22,0)</f>
        <v/>
      </c>
      <c r="EV39" s="18">
        <f>IF(149&gt;=DeliverStart,CapReservePerUnit*TotalUnits/12+TaxPrepPerUnit*TotalUnits/12+AssetMgmtFeePct*EV$22,0)</f>
        <v/>
      </c>
      <c r="EW39" s="18">
        <f>IF(150&gt;=DeliverStart,CapReservePerUnit*TotalUnits/12+TaxPrepPerUnit*TotalUnits/12+AssetMgmtFeePct*EW$22,0)</f>
        <v/>
      </c>
      <c r="EX39" s="18">
        <f>IF(151&gt;=DeliverStart,CapReservePerUnit*TotalUnits/12+TaxPrepPerUnit*TotalUnits/12+AssetMgmtFeePct*EX$22,0)</f>
        <v/>
      </c>
      <c r="EY39" s="18">
        <f>IF(152&gt;=DeliverStart,CapReservePerUnit*TotalUnits/12+TaxPrepPerUnit*TotalUnits/12+AssetMgmtFeePct*EY$22,0)</f>
        <v/>
      </c>
      <c r="EZ39" s="18">
        <f>IF(153&gt;=DeliverStart,CapReservePerUnit*TotalUnits/12+TaxPrepPerUnit*TotalUnits/12+AssetMgmtFeePct*EZ$22,0)</f>
        <v/>
      </c>
      <c r="FA39" s="18">
        <f>IF(154&gt;=DeliverStart,CapReservePerUnit*TotalUnits/12+TaxPrepPerUnit*TotalUnits/12+AssetMgmtFeePct*FA$22,0)</f>
        <v/>
      </c>
      <c r="FB39" s="18">
        <f>IF(155&gt;=DeliverStart,CapReservePerUnit*TotalUnits/12+TaxPrepPerUnit*TotalUnits/12+AssetMgmtFeePct*FB$22,0)</f>
        <v/>
      </c>
      <c r="FC39" s="18">
        <f>IF(156&gt;=DeliverStart,CapReservePerUnit*TotalUnits/12+TaxPrepPerUnit*TotalUnits/12+AssetMgmtFeePct*FC$22,0)</f>
        <v/>
      </c>
      <c r="FD39" s="18">
        <f>IF(157&gt;=DeliverStart,CapReservePerUnit*TotalUnits/12+TaxPrepPerUnit*TotalUnits/12+AssetMgmtFeePct*FD$22,0)</f>
        <v/>
      </c>
      <c r="FE39" s="18">
        <f>IF(158&gt;=DeliverStart,CapReservePerUnit*TotalUnits/12+TaxPrepPerUnit*TotalUnits/12+AssetMgmtFeePct*FE$22,0)</f>
        <v/>
      </c>
      <c r="FF39" s="18">
        <f>IF(159&gt;=DeliverStart,CapReservePerUnit*TotalUnits/12+TaxPrepPerUnit*TotalUnits/12+AssetMgmtFeePct*FF$22,0)</f>
        <v/>
      </c>
      <c r="FG39" s="18">
        <f>IF(160&gt;=DeliverStart,CapReservePerUnit*TotalUnits/12+TaxPrepPerUnit*TotalUnits/12+AssetMgmtFeePct*FG$22,0)</f>
        <v/>
      </c>
      <c r="FH39" s="18">
        <f>IF(161&gt;=DeliverStart,CapReservePerUnit*TotalUnits/12+TaxPrepPerUnit*TotalUnits/12+AssetMgmtFeePct*FH$22,0)</f>
        <v/>
      </c>
      <c r="FI39" s="18">
        <f>IF(162&gt;=DeliverStart,CapReservePerUnit*TotalUnits/12+TaxPrepPerUnit*TotalUnits/12+AssetMgmtFeePct*FI$22,0)</f>
        <v/>
      </c>
      <c r="FJ39" s="18">
        <f>IF(163&gt;=DeliverStart,CapReservePerUnit*TotalUnits/12+TaxPrepPerUnit*TotalUnits/12+AssetMgmtFeePct*FJ$22,0)</f>
        <v/>
      </c>
      <c r="FK39" s="18">
        <f>IF(164&gt;=DeliverStart,CapReservePerUnit*TotalUnits/12+TaxPrepPerUnit*TotalUnits/12+AssetMgmtFeePct*FK$22,0)</f>
        <v/>
      </c>
      <c r="FL39" s="18">
        <f>IF(165&gt;=DeliverStart,CapReservePerUnit*TotalUnits/12+TaxPrepPerUnit*TotalUnits/12+AssetMgmtFeePct*FL$22,0)</f>
        <v/>
      </c>
      <c r="FM39" s="18">
        <f>IF(166&gt;=DeliverStart,CapReservePerUnit*TotalUnits/12+TaxPrepPerUnit*TotalUnits/12+AssetMgmtFeePct*FM$22,0)</f>
        <v/>
      </c>
      <c r="FN39" s="18">
        <f>IF(167&gt;=DeliverStart,CapReservePerUnit*TotalUnits/12+TaxPrepPerUnit*TotalUnits/12+AssetMgmtFeePct*FN$22,0)</f>
        <v/>
      </c>
      <c r="FO39" s="18">
        <f>IF(168&gt;=DeliverStart,CapReservePerUnit*TotalUnits/12+TaxPrepPerUnit*TotalUnits/12+AssetMgmtFeePct*FO$22,0)</f>
        <v/>
      </c>
      <c r="FP39" s="18">
        <f>IF(169&gt;=DeliverStart,CapReservePerUnit*TotalUnits/12+TaxPrepPerUnit*TotalUnits/12+AssetMgmtFeePct*FP$22,0)</f>
        <v/>
      </c>
      <c r="FQ39" s="18">
        <f>IF(170&gt;=DeliverStart,CapReservePerUnit*TotalUnits/12+TaxPrepPerUnit*TotalUnits/12+AssetMgmtFeePct*FQ$22,0)</f>
        <v/>
      </c>
      <c r="FR39" s="18">
        <f>IF(171&gt;=DeliverStart,CapReservePerUnit*TotalUnits/12+TaxPrepPerUnit*TotalUnits/12+AssetMgmtFeePct*FR$22,0)</f>
        <v/>
      </c>
      <c r="FS39" s="18">
        <f>IF(172&gt;=DeliverStart,CapReservePerUnit*TotalUnits/12+TaxPrepPerUnit*TotalUnits/12+AssetMgmtFeePct*FS$22,0)</f>
        <v/>
      </c>
      <c r="FT39" s="18">
        <f>IF(173&gt;=DeliverStart,CapReservePerUnit*TotalUnits/12+TaxPrepPerUnit*TotalUnits/12+AssetMgmtFeePct*FT$22,0)</f>
        <v/>
      </c>
      <c r="FU39" s="18">
        <f>IF(174&gt;=DeliverStart,CapReservePerUnit*TotalUnits/12+TaxPrepPerUnit*TotalUnits/12+AssetMgmtFeePct*FU$22,0)</f>
        <v/>
      </c>
      <c r="FV39" s="18">
        <f>IF(175&gt;=DeliverStart,CapReservePerUnit*TotalUnits/12+TaxPrepPerUnit*TotalUnits/12+AssetMgmtFeePct*FV$22,0)</f>
        <v/>
      </c>
      <c r="FW39" s="18">
        <f>IF(176&gt;=DeliverStart,CapReservePerUnit*TotalUnits/12+TaxPrepPerUnit*TotalUnits/12+AssetMgmtFeePct*FW$22,0)</f>
        <v/>
      </c>
      <c r="FX39" s="18">
        <f>IF(177&gt;=DeliverStart,CapReservePerUnit*TotalUnits/12+TaxPrepPerUnit*TotalUnits/12+AssetMgmtFeePct*FX$22,0)</f>
        <v/>
      </c>
      <c r="FY39" s="18">
        <f>IF(178&gt;=DeliverStart,CapReservePerUnit*TotalUnits/12+TaxPrepPerUnit*TotalUnits/12+AssetMgmtFeePct*FY$22,0)</f>
        <v/>
      </c>
      <c r="FZ39" s="18">
        <f>IF(179&gt;=DeliverStart,CapReservePerUnit*TotalUnits/12+TaxPrepPerUnit*TotalUnits/12+AssetMgmtFeePct*FZ$22,0)</f>
        <v/>
      </c>
      <c r="GA39" s="18">
        <f>IF(180&gt;=DeliverStart,CapReservePerUnit*TotalUnits/12+TaxPrepPerUnit*TotalUnits/12+AssetMgmtFeePct*GA$22,0)</f>
        <v/>
      </c>
      <c r="GB39" s="18">
        <f>IF(181&gt;=DeliverStart,CapReservePerUnit*TotalUnits/12+TaxPrepPerUnit*TotalUnits/12+AssetMgmtFeePct*GB$22,0)</f>
        <v/>
      </c>
      <c r="GC39" s="18">
        <f>IF(182&gt;=DeliverStart,CapReservePerUnit*TotalUnits/12+TaxPrepPerUnit*TotalUnits/12+AssetMgmtFeePct*GC$22,0)</f>
        <v/>
      </c>
      <c r="GD39" s="18">
        <f>IF(183&gt;=DeliverStart,CapReservePerUnit*TotalUnits/12+TaxPrepPerUnit*TotalUnits/12+AssetMgmtFeePct*GD$22,0)</f>
        <v/>
      </c>
      <c r="GE39" s="18">
        <f>IF(184&gt;=DeliverStart,CapReservePerUnit*TotalUnits/12+TaxPrepPerUnit*TotalUnits/12+AssetMgmtFeePct*GE$22,0)</f>
        <v/>
      </c>
      <c r="GF39" s="18">
        <f>IF(185&gt;=DeliverStart,CapReservePerUnit*TotalUnits/12+TaxPrepPerUnit*TotalUnits/12+AssetMgmtFeePct*GF$22,0)</f>
        <v/>
      </c>
      <c r="GG39" s="18">
        <f>IF(186&gt;=DeliverStart,CapReservePerUnit*TotalUnits/12+TaxPrepPerUnit*TotalUnits/12+AssetMgmtFeePct*GG$22,0)</f>
        <v/>
      </c>
      <c r="GH39" s="18">
        <f>IF(187&gt;=DeliverStart,CapReservePerUnit*TotalUnits/12+TaxPrepPerUnit*TotalUnits/12+AssetMgmtFeePct*GH$22,0)</f>
        <v/>
      </c>
      <c r="GI39" s="18">
        <f>IF(188&gt;=DeliverStart,CapReservePerUnit*TotalUnits/12+TaxPrepPerUnit*TotalUnits/12+AssetMgmtFeePct*GI$22,0)</f>
        <v/>
      </c>
      <c r="GJ39" s="18">
        <f>IF(189&gt;=DeliverStart,CapReservePerUnit*TotalUnits/12+TaxPrepPerUnit*TotalUnits/12+AssetMgmtFeePct*GJ$22,0)</f>
        <v/>
      </c>
      <c r="GK39" s="18">
        <f>IF(190&gt;=DeliverStart,CapReservePerUnit*TotalUnits/12+TaxPrepPerUnit*TotalUnits/12+AssetMgmtFeePct*GK$22,0)</f>
        <v/>
      </c>
      <c r="GL39" s="18">
        <f>IF(191&gt;=DeliverStart,CapReservePerUnit*TotalUnits/12+TaxPrepPerUnit*TotalUnits/12+AssetMgmtFeePct*GL$22,0)</f>
        <v/>
      </c>
      <c r="GM39" s="18">
        <f>IF(192&gt;=DeliverStart,CapReservePerUnit*TotalUnits/12+TaxPrepPerUnit*TotalUnits/12+AssetMgmtFeePct*GM$22,0)</f>
        <v/>
      </c>
      <c r="GN39" s="18">
        <f>IF(193&gt;=DeliverStart,CapReservePerUnit*TotalUnits/12+TaxPrepPerUnit*TotalUnits/12+AssetMgmtFeePct*GN$22,0)</f>
        <v/>
      </c>
      <c r="GO39" s="18">
        <f>IF(194&gt;=DeliverStart,CapReservePerUnit*TotalUnits/12+TaxPrepPerUnit*TotalUnits/12+AssetMgmtFeePct*GO$22,0)</f>
        <v/>
      </c>
      <c r="GP39" s="18">
        <f>IF(195&gt;=DeliverStart,CapReservePerUnit*TotalUnits/12+TaxPrepPerUnit*TotalUnits/12+AssetMgmtFeePct*GP$22,0)</f>
        <v/>
      </c>
      <c r="GQ39" s="18">
        <f>IF(196&gt;=DeliverStart,CapReservePerUnit*TotalUnits/12+TaxPrepPerUnit*TotalUnits/12+AssetMgmtFeePct*GQ$22,0)</f>
        <v/>
      </c>
      <c r="GR39" s="18">
        <f>IF(197&gt;=DeliverStart,CapReservePerUnit*TotalUnits/12+TaxPrepPerUnit*TotalUnits/12+AssetMgmtFeePct*GR$22,0)</f>
        <v/>
      </c>
      <c r="GS39" s="18">
        <f>IF(198&gt;=DeliverStart,CapReservePerUnit*TotalUnits/12+TaxPrepPerUnit*TotalUnits/12+AssetMgmtFeePct*GS$22,0)</f>
        <v/>
      </c>
      <c r="GT39" s="18">
        <f>IF(199&gt;=DeliverStart,CapReservePerUnit*TotalUnits/12+TaxPrepPerUnit*TotalUnits/12+AssetMgmtFeePct*GT$22,0)</f>
        <v/>
      </c>
      <c r="GU39" s="18">
        <f>IF(200&gt;=DeliverStart,CapReservePerUnit*TotalUnits/12+TaxPrepPerUnit*TotalUnits/12+AssetMgmtFeePct*GU$22,0)</f>
        <v/>
      </c>
      <c r="GV39" s="18">
        <f>IF(201&gt;=DeliverStart,CapReservePerUnit*TotalUnits/12+TaxPrepPerUnit*TotalUnits/12+AssetMgmtFeePct*GV$22,0)</f>
        <v/>
      </c>
      <c r="GW39" s="18">
        <f>IF(202&gt;=DeliverStart,CapReservePerUnit*TotalUnits/12+TaxPrepPerUnit*TotalUnits/12+AssetMgmtFeePct*GW$22,0)</f>
        <v/>
      </c>
      <c r="GX39" s="18">
        <f>IF(203&gt;=DeliverStart,CapReservePerUnit*TotalUnits/12+TaxPrepPerUnit*TotalUnits/12+AssetMgmtFeePct*GX$22,0)</f>
        <v/>
      </c>
      <c r="GY39" s="18">
        <f>IF(204&gt;=DeliverStart,CapReservePerUnit*TotalUnits/12+TaxPrepPerUnit*TotalUnits/12+AssetMgmtFeePct*GY$22,0)</f>
        <v/>
      </c>
      <c r="GZ39" s="18">
        <f>IF(205&gt;=DeliverStart,CapReservePerUnit*TotalUnits/12+TaxPrepPerUnit*TotalUnits/12+AssetMgmtFeePct*GZ$22,0)</f>
        <v/>
      </c>
      <c r="HA39" s="18">
        <f>IF(206&gt;=DeliverStart,CapReservePerUnit*TotalUnits/12+TaxPrepPerUnit*TotalUnits/12+AssetMgmtFeePct*HA$22,0)</f>
        <v/>
      </c>
      <c r="HB39" s="18">
        <f>IF(207&gt;=DeliverStart,CapReservePerUnit*TotalUnits/12+TaxPrepPerUnit*TotalUnits/12+AssetMgmtFeePct*HB$22,0)</f>
        <v/>
      </c>
      <c r="HC39" s="18">
        <f>IF(208&gt;=DeliverStart,CapReservePerUnit*TotalUnits/12+TaxPrepPerUnit*TotalUnits/12+AssetMgmtFeePct*HC$22,0)</f>
        <v/>
      </c>
      <c r="HD39" s="18">
        <f>IF(209&gt;=DeliverStart,CapReservePerUnit*TotalUnits/12+TaxPrepPerUnit*TotalUnits/12+AssetMgmtFeePct*HD$22,0)</f>
        <v/>
      </c>
      <c r="HE39" s="18">
        <f>IF(210&gt;=DeliverStart,CapReservePerUnit*TotalUnits/12+TaxPrepPerUnit*TotalUnits/12+AssetMgmtFeePct*HE$22,0)</f>
        <v/>
      </c>
      <c r="HF39" s="18">
        <f>IF(211&gt;=DeliverStart,CapReservePerUnit*TotalUnits/12+TaxPrepPerUnit*TotalUnits/12+AssetMgmtFeePct*HF$22,0)</f>
        <v/>
      </c>
      <c r="HG39" s="18">
        <f>IF(212&gt;=DeliverStart,CapReservePerUnit*TotalUnits/12+TaxPrepPerUnit*TotalUnits/12+AssetMgmtFeePct*HG$22,0)</f>
        <v/>
      </c>
      <c r="HH39" s="18">
        <f>IF(213&gt;=DeliverStart,CapReservePerUnit*TotalUnits/12+TaxPrepPerUnit*TotalUnits/12+AssetMgmtFeePct*HH$22,0)</f>
        <v/>
      </c>
      <c r="HI39" s="18">
        <f>IF(214&gt;=DeliverStart,CapReservePerUnit*TotalUnits/12+TaxPrepPerUnit*TotalUnits/12+AssetMgmtFeePct*HI$22,0)</f>
        <v/>
      </c>
      <c r="HJ39" s="18">
        <f>IF(215&gt;=DeliverStart,CapReservePerUnit*TotalUnits/12+TaxPrepPerUnit*TotalUnits/12+AssetMgmtFeePct*HJ$22,0)</f>
        <v/>
      </c>
      <c r="HK39" s="18">
        <f>IF(216&gt;=DeliverStart,CapReservePerUnit*TotalUnits/12+TaxPrepPerUnit*TotalUnits/12+AssetMgmtFeePct*HK$22,0)</f>
        <v/>
      </c>
      <c r="HL39" s="18">
        <f>IF(217&gt;=DeliverStart,CapReservePerUnit*TotalUnits/12+TaxPrepPerUnit*TotalUnits/12+AssetMgmtFeePct*HL$22,0)</f>
        <v/>
      </c>
      <c r="HM39" s="18">
        <f>IF(218&gt;=DeliverStart,CapReservePerUnit*TotalUnits/12+TaxPrepPerUnit*TotalUnits/12+AssetMgmtFeePct*HM$22,0)</f>
        <v/>
      </c>
      <c r="HN39" s="18">
        <f>IF(219&gt;=DeliverStart,CapReservePerUnit*TotalUnits/12+TaxPrepPerUnit*TotalUnits/12+AssetMgmtFeePct*HN$22,0)</f>
        <v/>
      </c>
      <c r="HO39" s="18">
        <f>IF(220&gt;=DeliverStart,CapReservePerUnit*TotalUnits/12+TaxPrepPerUnit*TotalUnits/12+AssetMgmtFeePct*HO$22,0)</f>
        <v/>
      </c>
      <c r="HP39" s="18">
        <f>IF(221&gt;=DeliverStart,CapReservePerUnit*TotalUnits/12+TaxPrepPerUnit*TotalUnits/12+AssetMgmtFeePct*HP$22,0)</f>
        <v/>
      </c>
      <c r="HQ39" s="18">
        <f>IF(222&gt;=DeliverStart,CapReservePerUnit*TotalUnits/12+TaxPrepPerUnit*TotalUnits/12+AssetMgmtFeePct*HQ$22,0)</f>
        <v/>
      </c>
      <c r="HR39" s="18">
        <f>IF(223&gt;=DeliverStart,CapReservePerUnit*TotalUnits/12+TaxPrepPerUnit*TotalUnits/12+AssetMgmtFeePct*HR$22,0)</f>
        <v/>
      </c>
      <c r="HS39" s="18">
        <f>IF(224&gt;=DeliverStart,CapReservePerUnit*TotalUnits/12+TaxPrepPerUnit*TotalUnits/12+AssetMgmtFeePct*HS$22,0)</f>
        <v/>
      </c>
      <c r="HT39" s="18">
        <f>IF(225&gt;=DeliverStart,CapReservePerUnit*TotalUnits/12+TaxPrepPerUnit*TotalUnits/12+AssetMgmtFeePct*HT$22,0)</f>
        <v/>
      </c>
      <c r="HU39" s="18">
        <f>IF(226&gt;=DeliverStart,CapReservePerUnit*TotalUnits/12+TaxPrepPerUnit*TotalUnits/12+AssetMgmtFeePct*HU$22,0)</f>
        <v/>
      </c>
      <c r="HV39" s="18">
        <f>IF(227&gt;=DeliverStart,CapReservePerUnit*TotalUnits/12+TaxPrepPerUnit*TotalUnits/12+AssetMgmtFeePct*HV$22,0)</f>
        <v/>
      </c>
      <c r="HW39" s="18">
        <f>IF(228&gt;=DeliverStart,CapReservePerUnit*TotalUnits/12+TaxPrepPerUnit*TotalUnits/12+AssetMgmtFeePct*HW$22,0)</f>
        <v/>
      </c>
      <c r="HX39" s="18">
        <f>IF(229&gt;=DeliverStart,CapReservePerUnit*TotalUnits/12+TaxPrepPerUnit*TotalUnits/12+AssetMgmtFeePct*HX$22,0)</f>
        <v/>
      </c>
      <c r="HY39" s="18">
        <f>IF(230&gt;=DeliverStart,CapReservePerUnit*TotalUnits/12+TaxPrepPerUnit*TotalUnits/12+AssetMgmtFeePct*HY$22,0)</f>
        <v/>
      </c>
      <c r="HZ39" s="18">
        <f>IF(231&gt;=DeliverStart,CapReservePerUnit*TotalUnits/12+TaxPrepPerUnit*TotalUnits/12+AssetMgmtFeePct*HZ$22,0)</f>
        <v/>
      </c>
      <c r="IA39" s="18">
        <f>IF(232&gt;=DeliverStart,CapReservePerUnit*TotalUnits/12+TaxPrepPerUnit*TotalUnits/12+AssetMgmtFeePct*IA$22,0)</f>
        <v/>
      </c>
      <c r="IB39" s="18">
        <f>IF(233&gt;=DeliverStart,CapReservePerUnit*TotalUnits/12+TaxPrepPerUnit*TotalUnits/12+AssetMgmtFeePct*IB$22,0)</f>
        <v/>
      </c>
      <c r="IC39" s="18">
        <f>IF(234&gt;=DeliverStart,CapReservePerUnit*TotalUnits/12+TaxPrepPerUnit*TotalUnits/12+AssetMgmtFeePct*IC$22,0)</f>
        <v/>
      </c>
      <c r="ID39" s="18">
        <f>IF(235&gt;=DeliverStart,CapReservePerUnit*TotalUnits/12+TaxPrepPerUnit*TotalUnits/12+AssetMgmtFeePct*ID$22,0)</f>
        <v/>
      </c>
      <c r="IE39" s="18">
        <f>IF(236&gt;=DeliverStart,CapReservePerUnit*TotalUnits/12+TaxPrepPerUnit*TotalUnits/12+AssetMgmtFeePct*IE$22,0)</f>
        <v/>
      </c>
      <c r="IF39" s="18">
        <f>IF(237&gt;=DeliverStart,CapReservePerUnit*TotalUnits/12+TaxPrepPerUnit*TotalUnits/12+AssetMgmtFeePct*IF$22,0)</f>
        <v/>
      </c>
      <c r="IG39" s="18">
        <f>IF(238&gt;=DeliverStart,CapReservePerUnit*TotalUnits/12+TaxPrepPerUnit*TotalUnits/12+AssetMgmtFeePct*IG$22,0)</f>
        <v/>
      </c>
      <c r="IH39" s="18">
        <f>IF(239&gt;=DeliverStart,CapReservePerUnit*TotalUnits/12+TaxPrepPerUnit*TotalUnits/12+AssetMgmtFeePct*IH$22,0)</f>
        <v/>
      </c>
      <c r="II39" s="18">
        <f>IF(240&gt;=DeliverStart,CapReservePerUnit*TotalUnits/12+TaxPrepPerUnit*TotalUnits/12+AssetMgmtFeePct*II$22,0)</f>
        <v/>
      </c>
      <c r="IJ39" s="18">
        <f>IF(241&gt;=DeliverStart,CapReservePerUnit*TotalUnits/12+TaxPrepPerUnit*TotalUnits/12+AssetMgmtFeePct*IJ$22,0)</f>
        <v/>
      </c>
      <c r="IK39" s="18">
        <f>IF(242&gt;=DeliverStart,CapReservePerUnit*TotalUnits/12+TaxPrepPerUnit*TotalUnits/12+AssetMgmtFeePct*IK$22,0)</f>
        <v/>
      </c>
      <c r="IL39" s="18">
        <f>IF(243&gt;=DeliverStart,CapReservePerUnit*TotalUnits/12+TaxPrepPerUnit*TotalUnits/12+AssetMgmtFeePct*IL$22,0)</f>
        <v/>
      </c>
      <c r="IM39" s="18">
        <f>IF(244&gt;=DeliverStart,CapReservePerUnit*TotalUnits/12+TaxPrepPerUnit*TotalUnits/12+AssetMgmtFeePct*IM$22,0)</f>
        <v/>
      </c>
      <c r="IN39" s="18">
        <f>IF(245&gt;=DeliverStart,CapReservePerUnit*TotalUnits/12+TaxPrepPerUnit*TotalUnits/12+AssetMgmtFeePct*IN$22,0)</f>
        <v/>
      </c>
      <c r="IO39" s="18">
        <f>IF(246&gt;=DeliverStart,CapReservePerUnit*TotalUnits/12+TaxPrepPerUnit*TotalUnits/12+AssetMgmtFeePct*IO$22,0)</f>
        <v/>
      </c>
      <c r="IP39" s="18">
        <f>IF(247&gt;=DeliverStart,CapReservePerUnit*TotalUnits/12+TaxPrepPerUnit*TotalUnits/12+AssetMgmtFeePct*IP$22,0)</f>
        <v/>
      </c>
      <c r="IQ39" s="18">
        <f>IF(248&gt;=DeliverStart,CapReservePerUnit*TotalUnits/12+TaxPrepPerUnit*TotalUnits/12+AssetMgmtFeePct*IQ$22,0)</f>
        <v/>
      </c>
      <c r="IR39" s="18">
        <f>IF(249&gt;=DeliverStart,CapReservePerUnit*TotalUnits/12+TaxPrepPerUnit*TotalUnits/12+AssetMgmtFeePct*IR$22,0)</f>
        <v/>
      </c>
      <c r="IS39" s="18">
        <f>IF(250&gt;=DeliverStart,CapReservePerUnit*TotalUnits/12+TaxPrepPerUnit*TotalUnits/12+AssetMgmtFeePct*IS$22,0)</f>
        <v/>
      </c>
      <c r="IT39" s="18">
        <f>IF(251&gt;=DeliverStart,CapReservePerUnit*TotalUnits/12+TaxPrepPerUnit*TotalUnits/12+AssetMgmtFeePct*IT$22,0)</f>
        <v/>
      </c>
      <c r="IU39" s="18">
        <f>IF(252&gt;=DeliverStart,CapReservePerUnit*TotalUnits/12+TaxPrepPerUnit*TotalUnits/12+AssetMgmtFeePct*IU$22,0)</f>
        <v/>
      </c>
      <c r="IV39" s="18">
        <f>IF(253&gt;=DeliverStart,CapReservePerUnit*TotalUnits/12+TaxPrepPerUnit*TotalUnits/12+AssetMgmtFeePct*IV$22,0)</f>
        <v/>
      </c>
      <c r="IW39" s="18">
        <f>IF(254&gt;=DeliverStart,CapReservePerUnit*TotalUnits/12+TaxPrepPerUnit*TotalUnits/12+AssetMgmtFeePct*IW$22,0)</f>
        <v/>
      </c>
      <c r="IX39" s="18">
        <f>IF(255&gt;=DeliverStart,CapReservePerUnit*TotalUnits/12+TaxPrepPerUnit*TotalUnits/12+AssetMgmtFeePct*IX$22,0)</f>
        <v/>
      </c>
      <c r="IY39" s="18">
        <f>IF(256&gt;=DeliverStart,CapReservePerUnit*TotalUnits/12+TaxPrepPerUnit*TotalUnits/12+AssetMgmtFeePct*IY$22,0)</f>
        <v/>
      </c>
      <c r="IZ39" s="18">
        <f>IF(257&gt;=DeliverStart,CapReservePerUnit*TotalUnits/12+TaxPrepPerUnit*TotalUnits/12+AssetMgmtFeePct*IZ$22,0)</f>
        <v/>
      </c>
      <c r="JA39" s="18">
        <f>IF(258&gt;=DeliverStart,CapReservePerUnit*TotalUnits/12+TaxPrepPerUnit*TotalUnits/12+AssetMgmtFeePct*JA$22,0)</f>
        <v/>
      </c>
      <c r="JB39" s="18">
        <f>IF(259&gt;=DeliverStart,CapReservePerUnit*TotalUnits/12+TaxPrepPerUnit*TotalUnits/12+AssetMgmtFeePct*JB$22,0)</f>
        <v/>
      </c>
      <c r="JC39" s="18">
        <f>IF(260&gt;=DeliverStart,CapReservePerUnit*TotalUnits/12+TaxPrepPerUnit*TotalUnits/12+AssetMgmtFeePct*JC$22,0)</f>
        <v/>
      </c>
      <c r="JD39" s="18">
        <f>IF(261&gt;=DeliverStart,CapReservePerUnit*TotalUnits/12+TaxPrepPerUnit*TotalUnits/12+AssetMgmtFeePct*JD$22,0)</f>
        <v/>
      </c>
      <c r="JE39" s="18">
        <f>IF(262&gt;=DeliverStart,CapReservePerUnit*TotalUnits/12+TaxPrepPerUnit*TotalUnits/12+AssetMgmtFeePct*JE$22,0)</f>
        <v/>
      </c>
      <c r="JF39" s="18">
        <f>IF(263&gt;=DeliverStart,CapReservePerUnit*TotalUnits/12+TaxPrepPerUnit*TotalUnits/12+AssetMgmtFeePct*JF$22,0)</f>
        <v/>
      </c>
      <c r="JG39" s="18">
        <f>IF(264&gt;=DeliverStart,CapReservePerUnit*TotalUnits/12+TaxPrepPerUnit*TotalUnits/12+AssetMgmtFeePct*JG$22,0)</f>
        <v/>
      </c>
      <c r="JH39" s="18">
        <f>IF(265&gt;=DeliverStart,CapReservePerUnit*TotalUnits/12+TaxPrepPerUnit*TotalUnits/12+AssetMgmtFeePct*JH$22,0)</f>
        <v/>
      </c>
      <c r="JI39" s="18">
        <f>IF(266&gt;=DeliverStart,CapReservePerUnit*TotalUnits/12+TaxPrepPerUnit*TotalUnits/12+AssetMgmtFeePct*JI$22,0)</f>
        <v/>
      </c>
      <c r="JJ39" s="18">
        <f>IF(267&gt;=DeliverStart,CapReservePerUnit*TotalUnits/12+TaxPrepPerUnit*TotalUnits/12+AssetMgmtFeePct*JJ$22,0)</f>
        <v/>
      </c>
      <c r="JK39" s="18">
        <f>IF(268&gt;=DeliverStart,CapReservePerUnit*TotalUnits/12+TaxPrepPerUnit*TotalUnits/12+AssetMgmtFeePct*JK$22,0)</f>
        <v/>
      </c>
      <c r="JL39" s="18">
        <f>IF(269&gt;=DeliverStart,CapReservePerUnit*TotalUnits/12+TaxPrepPerUnit*TotalUnits/12+AssetMgmtFeePct*JL$22,0)</f>
        <v/>
      </c>
      <c r="JM39" s="18">
        <f>IF(270&gt;=DeliverStart,CapReservePerUnit*TotalUnits/12+TaxPrepPerUnit*TotalUnits/12+AssetMgmtFeePct*JM$22,0)</f>
        <v/>
      </c>
      <c r="JN39" s="18">
        <f>IF(271&gt;=DeliverStart,CapReservePerUnit*TotalUnits/12+TaxPrepPerUnit*TotalUnits/12+AssetMgmtFeePct*JN$22,0)</f>
        <v/>
      </c>
      <c r="JO39" s="18">
        <f>IF(272&gt;=DeliverStart,CapReservePerUnit*TotalUnits/12+TaxPrepPerUnit*TotalUnits/12+AssetMgmtFeePct*JO$22,0)</f>
        <v/>
      </c>
      <c r="JP39" s="18">
        <f>IF(273&gt;=DeliverStart,CapReservePerUnit*TotalUnits/12+TaxPrepPerUnit*TotalUnits/12+AssetMgmtFeePct*JP$22,0)</f>
        <v/>
      </c>
      <c r="JQ39" s="18">
        <f>IF(274&gt;=DeliverStart,CapReservePerUnit*TotalUnits/12+TaxPrepPerUnit*TotalUnits/12+AssetMgmtFeePct*JQ$22,0)</f>
        <v/>
      </c>
      <c r="JR39" s="18">
        <f>IF(275&gt;=DeliverStart,CapReservePerUnit*TotalUnits/12+TaxPrepPerUnit*TotalUnits/12+AssetMgmtFeePct*JR$22,0)</f>
        <v/>
      </c>
      <c r="JS39" s="18">
        <f>IF(276&gt;=DeliverStart,CapReservePerUnit*TotalUnits/12+TaxPrepPerUnit*TotalUnits/12+AssetMgmtFeePct*JS$22,0)</f>
        <v/>
      </c>
      <c r="JT39" s="18">
        <f>IF(277&gt;=DeliverStart,CapReservePerUnit*TotalUnits/12+TaxPrepPerUnit*TotalUnits/12+AssetMgmtFeePct*JT$22,0)</f>
        <v/>
      </c>
      <c r="JU39" s="18">
        <f>IF(278&gt;=DeliverStart,CapReservePerUnit*TotalUnits/12+TaxPrepPerUnit*TotalUnits/12+AssetMgmtFeePct*JU$22,0)</f>
        <v/>
      </c>
      <c r="JV39" s="18">
        <f>IF(279&gt;=DeliverStart,CapReservePerUnit*TotalUnits/12+TaxPrepPerUnit*TotalUnits/12+AssetMgmtFeePct*JV$22,0)</f>
        <v/>
      </c>
      <c r="JW39" s="18">
        <f>IF(280&gt;=DeliverStart,CapReservePerUnit*TotalUnits/12+TaxPrepPerUnit*TotalUnits/12+AssetMgmtFeePct*JW$22,0)</f>
        <v/>
      </c>
      <c r="JX39" s="18">
        <f>IF(281&gt;=DeliverStart,CapReservePerUnit*TotalUnits/12+TaxPrepPerUnit*TotalUnits/12+AssetMgmtFeePct*JX$22,0)</f>
        <v/>
      </c>
      <c r="JY39" s="18">
        <f>IF(282&gt;=DeliverStart,CapReservePerUnit*TotalUnits/12+TaxPrepPerUnit*TotalUnits/12+AssetMgmtFeePct*JY$22,0)</f>
        <v/>
      </c>
      <c r="JZ39" s="18">
        <f>IF(283&gt;=DeliverStart,CapReservePerUnit*TotalUnits/12+TaxPrepPerUnit*TotalUnits/12+AssetMgmtFeePct*JZ$22,0)</f>
        <v/>
      </c>
      <c r="KA39" s="18">
        <f>IF(284&gt;=DeliverStart,CapReservePerUnit*TotalUnits/12+TaxPrepPerUnit*TotalUnits/12+AssetMgmtFeePct*KA$22,0)</f>
        <v/>
      </c>
      <c r="KB39" s="18">
        <f>IF(285&gt;=DeliverStart,CapReservePerUnit*TotalUnits/12+TaxPrepPerUnit*TotalUnits/12+AssetMgmtFeePct*KB$22,0)</f>
        <v/>
      </c>
      <c r="KC39" s="18">
        <f>IF(286&gt;=DeliverStart,CapReservePerUnit*TotalUnits/12+TaxPrepPerUnit*TotalUnits/12+AssetMgmtFeePct*KC$22,0)</f>
        <v/>
      </c>
      <c r="KD39" s="18">
        <f>IF(287&gt;=DeliverStart,CapReservePerUnit*TotalUnits/12+TaxPrepPerUnit*TotalUnits/12+AssetMgmtFeePct*KD$22,0)</f>
        <v/>
      </c>
      <c r="KE39" s="18">
        <f>IF(288&gt;=DeliverStart,CapReservePerUnit*TotalUnits/12+TaxPrepPerUnit*TotalUnits/12+AssetMgmtFeePct*KE$22,0)</f>
        <v/>
      </c>
      <c r="KF39" s="18">
        <f>IF(289&gt;=DeliverStart,CapReservePerUnit*TotalUnits/12+TaxPrepPerUnit*TotalUnits/12+AssetMgmtFeePct*KF$22,0)</f>
        <v/>
      </c>
      <c r="KG39" s="18">
        <f>IF(290&gt;=DeliverStart,CapReservePerUnit*TotalUnits/12+TaxPrepPerUnit*TotalUnits/12+AssetMgmtFeePct*KG$22,0)</f>
        <v/>
      </c>
      <c r="KH39" s="18">
        <f>IF(291&gt;=DeliverStart,CapReservePerUnit*TotalUnits/12+TaxPrepPerUnit*TotalUnits/12+AssetMgmtFeePct*KH$22,0)</f>
        <v/>
      </c>
      <c r="KI39" s="18">
        <f>IF(292&gt;=DeliverStart,CapReservePerUnit*TotalUnits/12+TaxPrepPerUnit*TotalUnits/12+AssetMgmtFeePct*KI$22,0)</f>
        <v/>
      </c>
      <c r="KJ39" s="18">
        <f>IF(293&gt;=DeliverStart,CapReservePerUnit*TotalUnits/12+TaxPrepPerUnit*TotalUnits/12+AssetMgmtFeePct*KJ$22,0)</f>
        <v/>
      </c>
      <c r="KK39" s="18">
        <f>IF(294&gt;=DeliverStart,CapReservePerUnit*TotalUnits/12+TaxPrepPerUnit*TotalUnits/12+AssetMgmtFeePct*KK$22,0)</f>
        <v/>
      </c>
      <c r="KL39" s="18">
        <f>IF(295&gt;=DeliverStart,CapReservePerUnit*TotalUnits/12+TaxPrepPerUnit*TotalUnits/12+AssetMgmtFeePct*KL$22,0)</f>
        <v/>
      </c>
      <c r="KM39" s="18">
        <f>IF(296&gt;=DeliverStart,CapReservePerUnit*TotalUnits/12+TaxPrepPerUnit*TotalUnits/12+AssetMgmtFeePct*KM$22,0)</f>
        <v/>
      </c>
      <c r="KN39" s="18">
        <f>IF(297&gt;=DeliverStart,CapReservePerUnit*TotalUnits/12+TaxPrepPerUnit*TotalUnits/12+AssetMgmtFeePct*KN$22,0)</f>
        <v/>
      </c>
      <c r="KO39" s="18">
        <f>IF(298&gt;=DeliverStart,CapReservePerUnit*TotalUnits/12+TaxPrepPerUnit*TotalUnits/12+AssetMgmtFeePct*KO$22,0)</f>
        <v/>
      </c>
      <c r="KP39" s="18">
        <f>IF(299&gt;=DeliverStart,CapReservePerUnit*TotalUnits/12+TaxPrepPerUnit*TotalUnits/12+AssetMgmtFeePct*KP$22,0)</f>
        <v/>
      </c>
      <c r="KQ39" s="18">
        <f>IF(300&gt;=DeliverStart,CapReservePerUnit*TotalUnits/12+TaxPrepPerUnit*TotalUnits/12+AssetMgmtFeePct*KQ$22,0)</f>
        <v/>
      </c>
      <c r="KR39" s="18">
        <f>IF(301&gt;=DeliverStart,CapReservePerUnit*TotalUnits/12+TaxPrepPerUnit*TotalUnits/12+AssetMgmtFeePct*KR$22,0)</f>
        <v/>
      </c>
      <c r="KS39" s="18">
        <f>IF(302&gt;=DeliverStart,CapReservePerUnit*TotalUnits/12+TaxPrepPerUnit*TotalUnits/12+AssetMgmtFeePct*KS$22,0)</f>
        <v/>
      </c>
      <c r="KT39" s="18">
        <f>IF(303&gt;=DeliverStart,CapReservePerUnit*TotalUnits/12+TaxPrepPerUnit*TotalUnits/12+AssetMgmtFeePct*KT$22,0)</f>
        <v/>
      </c>
      <c r="KU39" s="18">
        <f>IF(304&gt;=DeliverStart,CapReservePerUnit*TotalUnits/12+TaxPrepPerUnit*TotalUnits/12+AssetMgmtFeePct*KU$22,0)</f>
        <v/>
      </c>
      <c r="KV39" s="18">
        <f>IF(305&gt;=DeliverStart,CapReservePerUnit*TotalUnits/12+TaxPrepPerUnit*TotalUnits/12+AssetMgmtFeePct*KV$22,0)</f>
        <v/>
      </c>
      <c r="KW39" s="18">
        <f>IF(306&gt;=DeliverStart,CapReservePerUnit*TotalUnits/12+TaxPrepPerUnit*TotalUnits/12+AssetMgmtFeePct*KW$22,0)</f>
        <v/>
      </c>
      <c r="KX39" s="18">
        <f>IF(307&gt;=DeliverStart,CapReservePerUnit*TotalUnits/12+TaxPrepPerUnit*TotalUnits/12+AssetMgmtFeePct*KX$22,0)</f>
        <v/>
      </c>
      <c r="KY39" s="18">
        <f>IF(308&gt;=DeliverStart,CapReservePerUnit*TotalUnits/12+TaxPrepPerUnit*TotalUnits/12+AssetMgmtFeePct*KY$22,0)</f>
        <v/>
      </c>
      <c r="KZ39" s="18">
        <f>IF(309&gt;=DeliverStart,CapReservePerUnit*TotalUnits/12+TaxPrepPerUnit*TotalUnits/12+AssetMgmtFeePct*KZ$22,0)</f>
        <v/>
      </c>
      <c r="LA39" s="18">
        <f>IF(310&gt;=DeliverStart,CapReservePerUnit*TotalUnits/12+TaxPrepPerUnit*TotalUnits/12+AssetMgmtFeePct*LA$22,0)</f>
        <v/>
      </c>
      <c r="LB39" s="18">
        <f>IF(311&gt;=DeliverStart,CapReservePerUnit*TotalUnits/12+TaxPrepPerUnit*TotalUnits/12+AssetMgmtFeePct*LB$22,0)</f>
        <v/>
      </c>
      <c r="LC39" s="18">
        <f>IF(312&gt;=DeliverStart,CapReservePerUnit*TotalUnits/12+TaxPrepPerUnit*TotalUnits/12+AssetMgmtFeePct*LC$22,0)</f>
        <v/>
      </c>
      <c r="LD39" s="18">
        <f>IF(313&gt;=DeliverStart,CapReservePerUnit*TotalUnits/12+TaxPrepPerUnit*TotalUnits/12+AssetMgmtFeePct*LD$22,0)</f>
        <v/>
      </c>
      <c r="LE39" s="18">
        <f>IF(314&gt;=DeliverStart,CapReservePerUnit*TotalUnits/12+TaxPrepPerUnit*TotalUnits/12+AssetMgmtFeePct*LE$22,0)</f>
        <v/>
      </c>
      <c r="LF39" s="18">
        <f>IF(315&gt;=DeliverStart,CapReservePerUnit*TotalUnits/12+TaxPrepPerUnit*TotalUnits/12+AssetMgmtFeePct*LF$22,0)</f>
        <v/>
      </c>
      <c r="LG39" s="18">
        <f>IF(316&gt;=DeliverStart,CapReservePerUnit*TotalUnits/12+TaxPrepPerUnit*TotalUnits/12+AssetMgmtFeePct*LG$22,0)</f>
        <v/>
      </c>
      <c r="LH39" s="18">
        <f>IF(317&gt;=DeliverStart,CapReservePerUnit*TotalUnits/12+TaxPrepPerUnit*TotalUnits/12+AssetMgmtFeePct*LH$22,0)</f>
        <v/>
      </c>
      <c r="LI39" s="18">
        <f>IF(318&gt;=DeliverStart,CapReservePerUnit*TotalUnits/12+TaxPrepPerUnit*TotalUnits/12+AssetMgmtFeePct*LI$22,0)</f>
        <v/>
      </c>
      <c r="LJ39" s="18">
        <f>IF(319&gt;=DeliverStart,CapReservePerUnit*TotalUnits/12+TaxPrepPerUnit*TotalUnits/12+AssetMgmtFeePct*LJ$22,0)</f>
        <v/>
      </c>
      <c r="LK39" s="18">
        <f>IF(320&gt;=DeliverStart,CapReservePerUnit*TotalUnits/12+TaxPrepPerUnit*TotalUnits/12+AssetMgmtFeePct*LK$22,0)</f>
        <v/>
      </c>
      <c r="LL39" s="18">
        <f>IF(321&gt;=DeliverStart,CapReservePerUnit*TotalUnits/12+TaxPrepPerUnit*TotalUnits/12+AssetMgmtFeePct*LL$22,0)</f>
        <v/>
      </c>
      <c r="LM39" s="18">
        <f>IF(322&gt;=DeliverStart,CapReservePerUnit*TotalUnits/12+TaxPrepPerUnit*TotalUnits/12+AssetMgmtFeePct*LM$22,0)</f>
        <v/>
      </c>
      <c r="LN39" s="18">
        <f>IF(323&gt;=DeliverStart,CapReservePerUnit*TotalUnits/12+TaxPrepPerUnit*TotalUnits/12+AssetMgmtFeePct*LN$22,0)</f>
        <v/>
      </c>
      <c r="LO39" s="18">
        <f>IF(324&gt;=DeliverStart,CapReservePerUnit*TotalUnits/12+TaxPrepPerUnit*TotalUnits/12+AssetMgmtFeePct*LO$22,0)</f>
        <v/>
      </c>
      <c r="LP39" s="18">
        <f>IF(325&gt;=DeliverStart,CapReservePerUnit*TotalUnits/12+TaxPrepPerUnit*TotalUnits/12+AssetMgmtFeePct*LP$22,0)</f>
        <v/>
      </c>
      <c r="LQ39" s="18">
        <f>IF(326&gt;=DeliverStart,CapReservePerUnit*TotalUnits/12+TaxPrepPerUnit*TotalUnits/12+AssetMgmtFeePct*LQ$22,0)</f>
        <v/>
      </c>
      <c r="LR39" s="18">
        <f>IF(327&gt;=DeliverStart,CapReservePerUnit*TotalUnits/12+TaxPrepPerUnit*TotalUnits/12+AssetMgmtFeePct*LR$22,0)</f>
        <v/>
      </c>
      <c r="LS39" s="18">
        <f>IF(328&gt;=DeliverStart,CapReservePerUnit*TotalUnits/12+TaxPrepPerUnit*TotalUnits/12+AssetMgmtFeePct*LS$22,0)</f>
        <v/>
      </c>
      <c r="LT39" s="18">
        <f>IF(329&gt;=DeliverStart,CapReservePerUnit*TotalUnits/12+TaxPrepPerUnit*TotalUnits/12+AssetMgmtFeePct*LT$22,0)</f>
        <v/>
      </c>
      <c r="LU39" s="18">
        <f>IF(330&gt;=DeliverStart,CapReservePerUnit*TotalUnits/12+TaxPrepPerUnit*TotalUnits/12+AssetMgmtFeePct*LU$22,0)</f>
        <v/>
      </c>
      <c r="LV39" s="18">
        <f>IF(331&gt;=DeliverStart,CapReservePerUnit*TotalUnits/12+TaxPrepPerUnit*TotalUnits/12+AssetMgmtFeePct*LV$22,0)</f>
        <v/>
      </c>
      <c r="LW39" s="18">
        <f>IF(332&gt;=DeliverStart,CapReservePerUnit*TotalUnits/12+TaxPrepPerUnit*TotalUnits/12+AssetMgmtFeePct*LW$22,0)</f>
        <v/>
      </c>
      <c r="LX39" s="18">
        <f>IF(333&gt;=DeliverStart,CapReservePerUnit*TotalUnits/12+TaxPrepPerUnit*TotalUnits/12+AssetMgmtFeePct*LX$22,0)</f>
        <v/>
      </c>
      <c r="LY39" s="18">
        <f>IF(334&gt;=DeliverStart,CapReservePerUnit*TotalUnits/12+TaxPrepPerUnit*TotalUnits/12+AssetMgmtFeePct*LY$22,0)</f>
        <v/>
      </c>
      <c r="LZ39" s="18">
        <f>IF(335&gt;=DeliverStart,CapReservePerUnit*TotalUnits/12+TaxPrepPerUnit*TotalUnits/12+AssetMgmtFeePct*LZ$22,0)</f>
        <v/>
      </c>
      <c r="MA39" s="18">
        <f>IF(336&gt;=DeliverStart,CapReservePerUnit*TotalUnits/12+TaxPrepPerUnit*TotalUnits/12+AssetMgmtFeePct*MA$22,0)</f>
        <v/>
      </c>
      <c r="MB39" s="18">
        <f>IF(337&gt;=DeliverStart,CapReservePerUnit*TotalUnits/12+TaxPrepPerUnit*TotalUnits/12+AssetMgmtFeePct*MB$22,0)</f>
        <v/>
      </c>
      <c r="MC39" s="18">
        <f>IF(338&gt;=DeliverStart,CapReservePerUnit*TotalUnits/12+TaxPrepPerUnit*TotalUnits/12+AssetMgmtFeePct*MC$22,0)</f>
        <v/>
      </c>
      <c r="MD39" s="18">
        <f>IF(339&gt;=DeliverStart,CapReservePerUnit*TotalUnits/12+TaxPrepPerUnit*TotalUnits/12+AssetMgmtFeePct*MD$22,0)</f>
        <v/>
      </c>
      <c r="ME39" s="18">
        <f>IF(340&gt;=DeliverStart,CapReservePerUnit*TotalUnits/12+TaxPrepPerUnit*TotalUnits/12+AssetMgmtFeePct*ME$22,0)</f>
        <v/>
      </c>
      <c r="MF39" s="18">
        <f>IF(341&gt;=DeliverStart,CapReservePerUnit*TotalUnits/12+TaxPrepPerUnit*TotalUnits/12+AssetMgmtFeePct*MF$22,0)</f>
        <v/>
      </c>
      <c r="MG39" s="18">
        <f>IF(342&gt;=DeliverStart,CapReservePerUnit*TotalUnits/12+TaxPrepPerUnit*TotalUnits/12+AssetMgmtFeePct*MG$22,0)</f>
        <v/>
      </c>
      <c r="MH39" s="18">
        <f>IF(343&gt;=DeliverStart,CapReservePerUnit*TotalUnits/12+TaxPrepPerUnit*TotalUnits/12+AssetMgmtFeePct*MH$22,0)</f>
        <v/>
      </c>
      <c r="MI39" s="18">
        <f>IF(344&gt;=DeliverStart,CapReservePerUnit*TotalUnits/12+TaxPrepPerUnit*TotalUnits/12+AssetMgmtFeePct*MI$22,0)</f>
        <v/>
      </c>
      <c r="MJ39" s="18">
        <f>IF(345&gt;=DeliverStart,CapReservePerUnit*TotalUnits/12+TaxPrepPerUnit*TotalUnits/12+AssetMgmtFeePct*MJ$22,0)</f>
        <v/>
      </c>
      <c r="MK39" s="18">
        <f>IF(346&gt;=DeliverStart,CapReservePerUnit*TotalUnits/12+TaxPrepPerUnit*TotalUnits/12+AssetMgmtFeePct*MK$22,0)</f>
        <v/>
      </c>
      <c r="ML39" s="18">
        <f>IF(347&gt;=DeliverStart,CapReservePerUnit*TotalUnits/12+TaxPrepPerUnit*TotalUnits/12+AssetMgmtFeePct*ML$22,0)</f>
        <v/>
      </c>
      <c r="MM39" s="18">
        <f>IF(348&gt;=DeliverStart,CapReservePerUnit*TotalUnits/12+TaxPrepPerUnit*TotalUnits/12+AssetMgmtFeePct*MM$22,0)</f>
        <v/>
      </c>
      <c r="MN39" s="18">
        <f>IF(349&gt;=DeliverStart,CapReservePerUnit*TotalUnits/12+TaxPrepPerUnit*TotalUnits/12+AssetMgmtFeePct*MN$22,0)</f>
        <v/>
      </c>
      <c r="MO39" s="18">
        <f>IF(350&gt;=DeliverStart,CapReservePerUnit*TotalUnits/12+TaxPrepPerUnit*TotalUnits/12+AssetMgmtFeePct*MO$22,0)</f>
        <v/>
      </c>
      <c r="MP39" s="18">
        <f>IF(351&gt;=DeliverStart,CapReservePerUnit*TotalUnits/12+TaxPrepPerUnit*TotalUnits/12+AssetMgmtFeePct*MP$22,0)</f>
        <v/>
      </c>
      <c r="MQ39" s="18">
        <f>IF(352&gt;=DeliverStart,CapReservePerUnit*TotalUnits/12+TaxPrepPerUnit*TotalUnits/12+AssetMgmtFeePct*MQ$22,0)</f>
        <v/>
      </c>
      <c r="MR39" s="18">
        <f>IF(353&gt;=DeliverStart,CapReservePerUnit*TotalUnits/12+TaxPrepPerUnit*TotalUnits/12+AssetMgmtFeePct*MR$22,0)</f>
        <v/>
      </c>
      <c r="MS39" s="18">
        <f>IF(354&gt;=DeliverStart,CapReservePerUnit*TotalUnits/12+TaxPrepPerUnit*TotalUnits/12+AssetMgmtFeePct*MS$22,0)</f>
        <v/>
      </c>
      <c r="MT39" s="18">
        <f>IF(355&gt;=DeliverStart,CapReservePerUnit*TotalUnits/12+TaxPrepPerUnit*TotalUnits/12+AssetMgmtFeePct*MT$22,0)</f>
        <v/>
      </c>
      <c r="MU39" s="18">
        <f>IF(356&gt;=DeliverStart,CapReservePerUnit*TotalUnits/12+TaxPrepPerUnit*TotalUnits/12+AssetMgmtFeePct*MU$22,0)</f>
        <v/>
      </c>
      <c r="MV39" s="18">
        <f>IF(357&gt;=DeliverStart,CapReservePerUnit*TotalUnits/12+TaxPrepPerUnit*TotalUnits/12+AssetMgmtFeePct*MV$22,0)</f>
        <v/>
      </c>
      <c r="MW39" s="18">
        <f>IF(358&gt;=DeliverStart,CapReservePerUnit*TotalUnits/12+TaxPrepPerUnit*TotalUnits/12+AssetMgmtFeePct*MW$22,0)</f>
        <v/>
      </c>
      <c r="MX39" s="18">
        <f>IF(359&gt;=DeliverStart,CapReservePerUnit*TotalUnits/12+TaxPrepPerUnit*TotalUnits/12+AssetMgmtFeePct*MX$22,0)</f>
        <v/>
      </c>
      <c r="MY39" s="18">
        <f>IF(360&gt;=DeliverStart,CapReservePerUnit*TotalUnits/12+TaxPrepPerUnit*TotalUnits/12+AssetMgmtFeePct*MY$22,0)</f>
        <v/>
      </c>
      <c r="MZ39" s="18">
        <f>IF(361&gt;=DeliverStart,CapReservePerUnit*TotalUnits/12+TaxPrepPerUnit*TotalUnits/12+AssetMgmtFeePct*MZ$22,0)</f>
        <v/>
      </c>
      <c r="NA39" s="18">
        <f>IF(362&gt;=DeliverStart,CapReservePerUnit*TotalUnits/12+TaxPrepPerUnit*TotalUnits/12+AssetMgmtFeePct*NA$22,0)</f>
        <v/>
      </c>
      <c r="NB39" s="18">
        <f>IF(363&gt;=DeliverStart,CapReservePerUnit*TotalUnits/12+TaxPrepPerUnit*TotalUnits/12+AssetMgmtFeePct*NB$22,0)</f>
        <v/>
      </c>
      <c r="NC39" s="18">
        <f>IF(364&gt;=DeliverStart,CapReservePerUnit*TotalUnits/12+TaxPrepPerUnit*TotalUnits/12+AssetMgmtFeePct*NC$22,0)</f>
        <v/>
      </c>
      <c r="ND39" s="18">
        <f>IF(365&gt;=DeliverStart,CapReservePerUnit*TotalUnits/12+TaxPrepPerUnit*TotalUnits/12+AssetMgmtFeePct*ND$22,0)</f>
        <v/>
      </c>
      <c r="NE39" s="18">
        <f>IF(366&gt;=DeliverStart,CapReservePerUnit*TotalUnits/12+TaxPrepPerUnit*TotalUnits/12+AssetMgmtFeePct*NE$22,0)</f>
        <v/>
      </c>
      <c r="NF39" s="18">
        <f>IF(367&gt;=DeliverStart,CapReservePerUnit*TotalUnits/12+TaxPrepPerUnit*TotalUnits/12+AssetMgmtFeePct*NF$22,0)</f>
        <v/>
      </c>
      <c r="NG39" s="18">
        <f>IF(368&gt;=DeliverStart,CapReservePerUnit*TotalUnits/12+TaxPrepPerUnit*TotalUnits/12+AssetMgmtFeePct*NG$22,0)</f>
        <v/>
      </c>
      <c r="NH39" s="18">
        <f>IF(369&gt;=DeliverStart,CapReservePerUnit*TotalUnits/12+TaxPrepPerUnit*TotalUnits/12+AssetMgmtFeePct*NH$22,0)</f>
        <v/>
      </c>
      <c r="NI39" s="18">
        <f>IF(370&gt;=DeliverStart,CapReservePerUnit*TotalUnits/12+TaxPrepPerUnit*TotalUnits/12+AssetMgmtFeePct*NI$22,0)</f>
        <v/>
      </c>
      <c r="NJ39" s="18">
        <f>IF(371&gt;=DeliverStart,CapReservePerUnit*TotalUnits/12+TaxPrepPerUnit*TotalUnits/12+AssetMgmtFeePct*NJ$22,0)</f>
        <v/>
      </c>
      <c r="NK39" s="18">
        <f>IF(372&gt;=DeliverStart,CapReservePerUnit*TotalUnits/12+TaxPrepPerUnit*TotalUnits/12+AssetMgmtFeePct*NK$22,0)</f>
        <v/>
      </c>
    </row>
    <row r="40">
      <c r="A40" s="3" t="inlineStr">
        <is>
          <t>Operating Cash Flow</t>
        </is>
      </c>
      <c r="B40" s="4" t="n"/>
      <c r="C40" s="4" t="n"/>
    </row>
    <row r="41">
      <c r="A41" s="5" t="inlineStr">
        <is>
          <t>Operating CF before Debt (property)</t>
        </is>
      </c>
      <c r="C41" s="41">
        <f>SUM(D41:NK41)</f>
        <v/>
      </c>
      <c r="D41" s="18">
        <f>D$37-D$39</f>
        <v/>
      </c>
      <c r="E41" s="18">
        <f>E$37-E$39</f>
        <v/>
      </c>
      <c r="F41" s="18">
        <f>F$37-F$39</f>
        <v/>
      </c>
      <c r="G41" s="18">
        <f>G$37-G$39</f>
        <v/>
      </c>
      <c r="H41" s="18">
        <f>H$37-H$39</f>
        <v/>
      </c>
      <c r="I41" s="18">
        <f>I$37-I$39</f>
        <v/>
      </c>
      <c r="J41" s="18">
        <f>J$37-J$39</f>
        <v/>
      </c>
      <c r="K41" s="18">
        <f>K$37-K$39</f>
        <v/>
      </c>
      <c r="L41" s="18">
        <f>L$37-L$39</f>
        <v/>
      </c>
      <c r="M41" s="18">
        <f>M$37-M$39</f>
        <v/>
      </c>
      <c r="N41" s="18">
        <f>N$37-N$39</f>
        <v/>
      </c>
      <c r="O41" s="18">
        <f>O$37-O$39</f>
        <v/>
      </c>
      <c r="P41" s="18">
        <f>P$37-P$39</f>
        <v/>
      </c>
      <c r="Q41" s="18">
        <f>Q$37-Q$39</f>
        <v/>
      </c>
      <c r="R41" s="18">
        <f>R$37-R$39</f>
        <v/>
      </c>
      <c r="S41" s="18">
        <f>S$37-S$39</f>
        <v/>
      </c>
      <c r="T41" s="18">
        <f>T$37-T$39</f>
        <v/>
      </c>
      <c r="U41" s="18">
        <f>U$37-U$39</f>
        <v/>
      </c>
      <c r="V41" s="18">
        <f>V$37-V$39</f>
        <v/>
      </c>
      <c r="W41" s="18">
        <f>W$37-W$39</f>
        <v/>
      </c>
      <c r="X41" s="18">
        <f>X$37-X$39</f>
        <v/>
      </c>
      <c r="Y41" s="18">
        <f>Y$37-Y$39</f>
        <v/>
      </c>
      <c r="Z41" s="18">
        <f>Z$37-Z$39</f>
        <v/>
      </c>
      <c r="AA41" s="18">
        <f>AA$37-AA$39</f>
        <v/>
      </c>
      <c r="AB41" s="18">
        <f>AB$37-AB$39</f>
        <v/>
      </c>
      <c r="AC41" s="18">
        <f>AC$37-AC$39</f>
        <v/>
      </c>
      <c r="AD41" s="18">
        <f>AD$37-AD$39</f>
        <v/>
      </c>
      <c r="AE41" s="18">
        <f>AE$37-AE$39</f>
        <v/>
      </c>
      <c r="AF41" s="18">
        <f>AF$37-AF$39</f>
        <v/>
      </c>
      <c r="AG41" s="18">
        <f>AG$37-AG$39</f>
        <v/>
      </c>
      <c r="AH41" s="18">
        <f>AH$37-AH$39</f>
        <v/>
      </c>
      <c r="AI41" s="18">
        <f>AI$37-AI$39</f>
        <v/>
      </c>
      <c r="AJ41" s="18">
        <f>AJ$37-AJ$39</f>
        <v/>
      </c>
      <c r="AK41" s="18">
        <f>AK$37-AK$39</f>
        <v/>
      </c>
      <c r="AL41" s="18">
        <f>AL$37-AL$39</f>
        <v/>
      </c>
      <c r="AM41" s="18">
        <f>AM$37-AM$39</f>
        <v/>
      </c>
      <c r="AN41" s="18">
        <f>AN$37-AN$39</f>
        <v/>
      </c>
      <c r="AO41" s="18">
        <f>AO$37-AO$39</f>
        <v/>
      </c>
      <c r="AP41" s="18">
        <f>AP$37-AP$39</f>
        <v/>
      </c>
      <c r="AQ41" s="18">
        <f>AQ$37-AQ$39</f>
        <v/>
      </c>
      <c r="AR41" s="18">
        <f>AR$37-AR$39</f>
        <v/>
      </c>
      <c r="AS41" s="18">
        <f>AS$37-AS$39</f>
        <v/>
      </c>
      <c r="AT41" s="18">
        <f>AT$37-AT$39</f>
        <v/>
      </c>
      <c r="AU41" s="18">
        <f>AU$37-AU$39</f>
        <v/>
      </c>
      <c r="AV41" s="18">
        <f>AV$37-AV$39</f>
        <v/>
      </c>
      <c r="AW41" s="18">
        <f>AW$37-AW$39</f>
        <v/>
      </c>
      <c r="AX41" s="18">
        <f>AX$37-AX$39</f>
        <v/>
      </c>
      <c r="AY41" s="18">
        <f>AY$37-AY$39</f>
        <v/>
      </c>
      <c r="AZ41" s="18">
        <f>AZ$37-AZ$39</f>
        <v/>
      </c>
      <c r="BA41" s="18">
        <f>BA$37-BA$39</f>
        <v/>
      </c>
      <c r="BB41" s="18">
        <f>BB$37-BB$39</f>
        <v/>
      </c>
      <c r="BC41" s="18">
        <f>BC$37-BC$39</f>
        <v/>
      </c>
      <c r="BD41" s="18">
        <f>BD$37-BD$39</f>
        <v/>
      </c>
      <c r="BE41" s="18">
        <f>BE$37-BE$39</f>
        <v/>
      </c>
      <c r="BF41" s="18">
        <f>BF$37-BF$39</f>
        <v/>
      </c>
      <c r="BG41" s="18">
        <f>BG$37-BG$39</f>
        <v/>
      </c>
      <c r="BH41" s="18">
        <f>BH$37-BH$39</f>
        <v/>
      </c>
      <c r="BI41" s="18">
        <f>BI$37-BI$39</f>
        <v/>
      </c>
      <c r="BJ41" s="18">
        <f>BJ$37-BJ$39</f>
        <v/>
      </c>
      <c r="BK41" s="18">
        <f>BK$37-BK$39</f>
        <v/>
      </c>
      <c r="BL41" s="18">
        <f>BL$37-BL$39</f>
        <v/>
      </c>
      <c r="BM41" s="18">
        <f>BM$37-BM$39</f>
        <v/>
      </c>
      <c r="BN41" s="18">
        <f>BN$37-BN$39</f>
        <v/>
      </c>
      <c r="BO41" s="18">
        <f>BO$37-BO$39</f>
        <v/>
      </c>
      <c r="BP41" s="18">
        <f>BP$37-BP$39</f>
        <v/>
      </c>
      <c r="BQ41" s="18">
        <f>BQ$37-BQ$39</f>
        <v/>
      </c>
      <c r="BR41" s="18">
        <f>BR$37-BR$39</f>
        <v/>
      </c>
      <c r="BS41" s="18">
        <f>BS$37-BS$39</f>
        <v/>
      </c>
      <c r="BT41" s="18">
        <f>BT$37-BT$39</f>
        <v/>
      </c>
      <c r="BU41" s="18">
        <f>BU$37-BU$39</f>
        <v/>
      </c>
      <c r="BV41" s="18">
        <f>BV$37-BV$39</f>
        <v/>
      </c>
      <c r="BW41" s="18">
        <f>BW$37-BW$39</f>
        <v/>
      </c>
      <c r="BX41" s="18">
        <f>BX$37-BX$39</f>
        <v/>
      </c>
      <c r="BY41" s="18">
        <f>BY$37-BY$39</f>
        <v/>
      </c>
      <c r="BZ41" s="18">
        <f>BZ$37-BZ$39</f>
        <v/>
      </c>
      <c r="CA41" s="18">
        <f>CA$37-CA$39</f>
        <v/>
      </c>
      <c r="CB41" s="18">
        <f>CB$37-CB$39</f>
        <v/>
      </c>
      <c r="CC41" s="18">
        <f>CC$37-CC$39</f>
        <v/>
      </c>
      <c r="CD41" s="18">
        <f>CD$37-CD$39</f>
        <v/>
      </c>
      <c r="CE41" s="18">
        <f>CE$37-CE$39</f>
        <v/>
      </c>
      <c r="CF41" s="18">
        <f>CF$37-CF$39</f>
        <v/>
      </c>
      <c r="CG41" s="18">
        <f>CG$37-CG$39</f>
        <v/>
      </c>
      <c r="CH41" s="18">
        <f>CH$37-CH$39</f>
        <v/>
      </c>
      <c r="CI41" s="18">
        <f>CI$37-CI$39</f>
        <v/>
      </c>
      <c r="CJ41" s="18">
        <f>CJ$37-CJ$39</f>
        <v/>
      </c>
      <c r="CK41" s="18">
        <f>CK$37-CK$39</f>
        <v/>
      </c>
      <c r="CL41" s="18">
        <f>CL$37-CL$39</f>
        <v/>
      </c>
      <c r="CM41" s="18">
        <f>CM$37-CM$39</f>
        <v/>
      </c>
      <c r="CN41" s="18">
        <f>CN$37-CN$39</f>
        <v/>
      </c>
      <c r="CO41" s="18">
        <f>CO$37-CO$39</f>
        <v/>
      </c>
      <c r="CP41" s="18">
        <f>CP$37-CP$39</f>
        <v/>
      </c>
      <c r="CQ41" s="18">
        <f>CQ$37-CQ$39</f>
        <v/>
      </c>
      <c r="CR41" s="18">
        <f>CR$37-CR$39</f>
        <v/>
      </c>
      <c r="CS41" s="18">
        <f>CS$37-CS$39</f>
        <v/>
      </c>
      <c r="CT41" s="18">
        <f>CT$37-CT$39</f>
        <v/>
      </c>
      <c r="CU41" s="18">
        <f>CU$37-CU$39</f>
        <v/>
      </c>
      <c r="CV41" s="18">
        <f>CV$37-CV$39</f>
        <v/>
      </c>
      <c r="CW41" s="18">
        <f>CW$37-CW$39</f>
        <v/>
      </c>
      <c r="CX41" s="18">
        <f>CX$37-CX$39</f>
        <v/>
      </c>
      <c r="CY41" s="18">
        <f>CY$37-CY$39</f>
        <v/>
      </c>
      <c r="CZ41" s="18">
        <f>CZ$37-CZ$39</f>
        <v/>
      </c>
      <c r="DA41" s="18">
        <f>DA$37-DA$39</f>
        <v/>
      </c>
      <c r="DB41" s="18">
        <f>DB$37-DB$39</f>
        <v/>
      </c>
      <c r="DC41" s="18">
        <f>DC$37-DC$39</f>
        <v/>
      </c>
      <c r="DD41" s="18">
        <f>DD$37-DD$39</f>
        <v/>
      </c>
      <c r="DE41" s="18">
        <f>DE$37-DE$39</f>
        <v/>
      </c>
      <c r="DF41" s="18">
        <f>DF$37-DF$39</f>
        <v/>
      </c>
      <c r="DG41" s="18">
        <f>DG$37-DG$39</f>
        <v/>
      </c>
      <c r="DH41" s="18">
        <f>DH$37-DH$39</f>
        <v/>
      </c>
      <c r="DI41" s="18">
        <f>DI$37-DI$39</f>
        <v/>
      </c>
      <c r="DJ41" s="18">
        <f>DJ$37-DJ$39</f>
        <v/>
      </c>
      <c r="DK41" s="18">
        <f>DK$37-DK$39</f>
        <v/>
      </c>
      <c r="DL41" s="18">
        <f>DL$37-DL$39</f>
        <v/>
      </c>
      <c r="DM41" s="18">
        <f>DM$37-DM$39</f>
        <v/>
      </c>
      <c r="DN41" s="18">
        <f>DN$37-DN$39</f>
        <v/>
      </c>
      <c r="DO41" s="18">
        <f>DO$37-DO$39</f>
        <v/>
      </c>
      <c r="DP41" s="18">
        <f>DP$37-DP$39</f>
        <v/>
      </c>
      <c r="DQ41" s="18">
        <f>DQ$37-DQ$39</f>
        <v/>
      </c>
      <c r="DR41" s="18">
        <f>DR$37-DR$39</f>
        <v/>
      </c>
      <c r="DS41" s="18">
        <f>DS$37-DS$39</f>
        <v/>
      </c>
      <c r="DT41" s="18">
        <f>DT$37-DT$39</f>
        <v/>
      </c>
      <c r="DU41" s="18">
        <f>DU$37-DU$39</f>
        <v/>
      </c>
      <c r="DV41" s="18">
        <f>DV$37-DV$39</f>
        <v/>
      </c>
      <c r="DW41" s="18">
        <f>DW$37-DW$39</f>
        <v/>
      </c>
      <c r="DX41" s="18">
        <f>DX$37-DX$39</f>
        <v/>
      </c>
      <c r="DY41" s="18">
        <f>DY$37-DY$39</f>
        <v/>
      </c>
      <c r="DZ41" s="18">
        <f>DZ$37-DZ$39</f>
        <v/>
      </c>
      <c r="EA41" s="18">
        <f>EA$37-EA$39</f>
        <v/>
      </c>
      <c r="EB41" s="18">
        <f>EB$37-EB$39</f>
        <v/>
      </c>
      <c r="EC41" s="18">
        <f>EC$37-EC$39</f>
        <v/>
      </c>
      <c r="ED41" s="18">
        <f>ED$37-ED$39</f>
        <v/>
      </c>
      <c r="EE41" s="18">
        <f>EE$37-EE$39</f>
        <v/>
      </c>
      <c r="EF41" s="18">
        <f>EF$37-EF$39</f>
        <v/>
      </c>
      <c r="EG41" s="18">
        <f>EG$37-EG$39</f>
        <v/>
      </c>
      <c r="EH41" s="18">
        <f>EH$37-EH$39</f>
        <v/>
      </c>
      <c r="EI41" s="18">
        <f>EI$37-EI$39</f>
        <v/>
      </c>
      <c r="EJ41" s="18">
        <f>EJ$37-EJ$39</f>
        <v/>
      </c>
      <c r="EK41" s="18">
        <f>EK$37-EK$39</f>
        <v/>
      </c>
      <c r="EL41" s="18">
        <f>EL$37-EL$39</f>
        <v/>
      </c>
      <c r="EM41" s="18">
        <f>EM$37-EM$39</f>
        <v/>
      </c>
      <c r="EN41" s="18">
        <f>EN$37-EN$39</f>
        <v/>
      </c>
      <c r="EO41" s="18">
        <f>EO$37-EO$39</f>
        <v/>
      </c>
      <c r="EP41" s="18">
        <f>EP$37-EP$39</f>
        <v/>
      </c>
      <c r="EQ41" s="18">
        <f>EQ$37-EQ$39</f>
        <v/>
      </c>
      <c r="ER41" s="18">
        <f>ER$37-ER$39</f>
        <v/>
      </c>
      <c r="ES41" s="18">
        <f>ES$37-ES$39</f>
        <v/>
      </c>
      <c r="ET41" s="18">
        <f>ET$37-ET$39</f>
        <v/>
      </c>
      <c r="EU41" s="18">
        <f>EU$37-EU$39</f>
        <v/>
      </c>
      <c r="EV41" s="18">
        <f>EV$37-EV$39</f>
        <v/>
      </c>
      <c r="EW41" s="18">
        <f>EW$37-EW$39</f>
        <v/>
      </c>
      <c r="EX41" s="18">
        <f>EX$37-EX$39</f>
        <v/>
      </c>
      <c r="EY41" s="18">
        <f>EY$37-EY$39</f>
        <v/>
      </c>
      <c r="EZ41" s="18">
        <f>EZ$37-EZ$39</f>
        <v/>
      </c>
      <c r="FA41" s="18">
        <f>FA$37-FA$39</f>
        <v/>
      </c>
      <c r="FB41" s="18">
        <f>FB$37-FB$39</f>
        <v/>
      </c>
      <c r="FC41" s="18">
        <f>FC$37-FC$39</f>
        <v/>
      </c>
      <c r="FD41" s="18">
        <f>FD$37-FD$39</f>
        <v/>
      </c>
      <c r="FE41" s="18">
        <f>FE$37-FE$39</f>
        <v/>
      </c>
      <c r="FF41" s="18">
        <f>FF$37-FF$39</f>
        <v/>
      </c>
      <c r="FG41" s="18">
        <f>FG$37-FG$39</f>
        <v/>
      </c>
      <c r="FH41" s="18">
        <f>FH$37-FH$39</f>
        <v/>
      </c>
      <c r="FI41" s="18">
        <f>FI$37-FI$39</f>
        <v/>
      </c>
      <c r="FJ41" s="18">
        <f>FJ$37-FJ$39</f>
        <v/>
      </c>
      <c r="FK41" s="18">
        <f>FK$37-FK$39</f>
        <v/>
      </c>
      <c r="FL41" s="18">
        <f>FL$37-FL$39</f>
        <v/>
      </c>
      <c r="FM41" s="18">
        <f>FM$37-FM$39</f>
        <v/>
      </c>
      <c r="FN41" s="18">
        <f>FN$37-FN$39</f>
        <v/>
      </c>
      <c r="FO41" s="18">
        <f>FO$37-FO$39</f>
        <v/>
      </c>
      <c r="FP41" s="18">
        <f>FP$37-FP$39</f>
        <v/>
      </c>
      <c r="FQ41" s="18">
        <f>FQ$37-FQ$39</f>
        <v/>
      </c>
      <c r="FR41" s="18">
        <f>FR$37-FR$39</f>
        <v/>
      </c>
      <c r="FS41" s="18">
        <f>FS$37-FS$39</f>
        <v/>
      </c>
      <c r="FT41" s="18">
        <f>FT$37-FT$39</f>
        <v/>
      </c>
      <c r="FU41" s="18">
        <f>FU$37-FU$39</f>
        <v/>
      </c>
      <c r="FV41" s="18">
        <f>FV$37-FV$39</f>
        <v/>
      </c>
      <c r="FW41" s="18">
        <f>FW$37-FW$39</f>
        <v/>
      </c>
      <c r="FX41" s="18">
        <f>FX$37-FX$39</f>
        <v/>
      </c>
      <c r="FY41" s="18">
        <f>FY$37-FY$39</f>
        <v/>
      </c>
      <c r="FZ41" s="18">
        <f>FZ$37-FZ$39</f>
        <v/>
      </c>
      <c r="GA41" s="18">
        <f>GA$37-GA$39</f>
        <v/>
      </c>
      <c r="GB41" s="18">
        <f>GB$37-GB$39</f>
        <v/>
      </c>
      <c r="GC41" s="18">
        <f>GC$37-GC$39</f>
        <v/>
      </c>
      <c r="GD41" s="18">
        <f>GD$37-GD$39</f>
        <v/>
      </c>
      <c r="GE41" s="18">
        <f>GE$37-GE$39</f>
        <v/>
      </c>
      <c r="GF41" s="18">
        <f>GF$37-GF$39</f>
        <v/>
      </c>
      <c r="GG41" s="18">
        <f>GG$37-GG$39</f>
        <v/>
      </c>
      <c r="GH41" s="18">
        <f>GH$37-GH$39</f>
        <v/>
      </c>
      <c r="GI41" s="18">
        <f>GI$37-GI$39</f>
        <v/>
      </c>
      <c r="GJ41" s="18">
        <f>GJ$37-GJ$39</f>
        <v/>
      </c>
      <c r="GK41" s="18">
        <f>GK$37-GK$39</f>
        <v/>
      </c>
      <c r="GL41" s="18">
        <f>GL$37-GL$39</f>
        <v/>
      </c>
      <c r="GM41" s="18">
        <f>GM$37-GM$39</f>
        <v/>
      </c>
      <c r="GN41" s="18">
        <f>GN$37-GN$39</f>
        <v/>
      </c>
      <c r="GO41" s="18">
        <f>GO$37-GO$39</f>
        <v/>
      </c>
      <c r="GP41" s="18">
        <f>GP$37-GP$39</f>
        <v/>
      </c>
      <c r="GQ41" s="18">
        <f>GQ$37-GQ$39</f>
        <v/>
      </c>
      <c r="GR41" s="18">
        <f>GR$37-GR$39</f>
        <v/>
      </c>
      <c r="GS41" s="18">
        <f>GS$37-GS$39</f>
        <v/>
      </c>
      <c r="GT41" s="18">
        <f>GT$37-GT$39</f>
        <v/>
      </c>
      <c r="GU41" s="18">
        <f>GU$37-GU$39</f>
        <v/>
      </c>
      <c r="GV41" s="18">
        <f>GV$37-GV$39</f>
        <v/>
      </c>
      <c r="GW41" s="18">
        <f>GW$37-GW$39</f>
        <v/>
      </c>
      <c r="GX41" s="18">
        <f>GX$37-GX$39</f>
        <v/>
      </c>
      <c r="GY41" s="18">
        <f>GY$37-GY$39</f>
        <v/>
      </c>
      <c r="GZ41" s="18">
        <f>GZ$37-GZ$39</f>
        <v/>
      </c>
      <c r="HA41" s="18">
        <f>HA$37-HA$39</f>
        <v/>
      </c>
      <c r="HB41" s="18">
        <f>HB$37-HB$39</f>
        <v/>
      </c>
      <c r="HC41" s="18">
        <f>HC$37-HC$39</f>
        <v/>
      </c>
      <c r="HD41" s="18">
        <f>HD$37-HD$39</f>
        <v/>
      </c>
      <c r="HE41" s="18">
        <f>HE$37-HE$39</f>
        <v/>
      </c>
      <c r="HF41" s="18">
        <f>HF$37-HF$39</f>
        <v/>
      </c>
      <c r="HG41" s="18">
        <f>HG$37-HG$39</f>
        <v/>
      </c>
      <c r="HH41" s="18">
        <f>HH$37-HH$39</f>
        <v/>
      </c>
      <c r="HI41" s="18">
        <f>HI$37-HI$39</f>
        <v/>
      </c>
      <c r="HJ41" s="18">
        <f>HJ$37-HJ$39</f>
        <v/>
      </c>
      <c r="HK41" s="18">
        <f>HK$37-HK$39</f>
        <v/>
      </c>
      <c r="HL41" s="18">
        <f>HL$37-HL$39</f>
        <v/>
      </c>
      <c r="HM41" s="18">
        <f>HM$37-HM$39</f>
        <v/>
      </c>
      <c r="HN41" s="18">
        <f>HN$37-HN$39</f>
        <v/>
      </c>
      <c r="HO41" s="18">
        <f>HO$37-HO$39</f>
        <v/>
      </c>
      <c r="HP41" s="18">
        <f>HP$37-HP$39</f>
        <v/>
      </c>
      <c r="HQ41" s="18">
        <f>HQ$37-HQ$39</f>
        <v/>
      </c>
      <c r="HR41" s="18">
        <f>HR$37-HR$39</f>
        <v/>
      </c>
      <c r="HS41" s="18">
        <f>HS$37-HS$39</f>
        <v/>
      </c>
      <c r="HT41" s="18">
        <f>HT$37-HT$39</f>
        <v/>
      </c>
      <c r="HU41" s="18">
        <f>HU$37-HU$39</f>
        <v/>
      </c>
      <c r="HV41" s="18">
        <f>HV$37-HV$39</f>
        <v/>
      </c>
      <c r="HW41" s="18">
        <f>HW$37-HW$39</f>
        <v/>
      </c>
      <c r="HX41" s="18">
        <f>HX$37-HX$39</f>
        <v/>
      </c>
      <c r="HY41" s="18">
        <f>HY$37-HY$39</f>
        <v/>
      </c>
      <c r="HZ41" s="18">
        <f>HZ$37-HZ$39</f>
        <v/>
      </c>
      <c r="IA41" s="18">
        <f>IA$37-IA$39</f>
        <v/>
      </c>
      <c r="IB41" s="18">
        <f>IB$37-IB$39</f>
        <v/>
      </c>
      <c r="IC41" s="18">
        <f>IC$37-IC$39</f>
        <v/>
      </c>
      <c r="ID41" s="18">
        <f>ID$37-ID$39</f>
        <v/>
      </c>
      <c r="IE41" s="18">
        <f>IE$37-IE$39</f>
        <v/>
      </c>
      <c r="IF41" s="18">
        <f>IF$37-IF$39</f>
        <v/>
      </c>
      <c r="IG41" s="18">
        <f>IG$37-IG$39</f>
        <v/>
      </c>
      <c r="IH41" s="18">
        <f>IH$37-IH$39</f>
        <v/>
      </c>
      <c r="II41" s="18">
        <f>II$37-II$39</f>
        <v/>
      </c>
      <c r="IJ41" s="18">
        <f>IJ$37-IJ$39</f>
        <v/>
      </c>
      <c r="IK41" s="18">
        <f>IK$37-IK$39</f>
        <v/>
      </c>
      <c r="IL41" s="18">
        <f>IL$37-IL$39</f>
        <v/>
      </c>
      <c r="IM41" s="18">
        <f>IM$37-IM$39</f>
        <v/>
      </c>
      <c r="IN41" s="18">
        <f>IN$37-IN$39</f>
        <v/>
      </c>
      <c r="IO41" s="18">
        <f>IO$37-IO$39</f>
        <v/>
      </c>
      <c r="IP41" s="18">
        <f>IP$37-IP$39</f>
        <v/>
      </c>
      <c r="IQ41" s="18">
        <f>IQ$37-IQ$39</f>
        <v/>
      </c>
      <c r="IR41" s="18">
        <f>IR$37-IR$39</f>
        <v/>
      </c>
      <c r="IS41" s="18">
        <f>IS$37-IS$39</f>
        <v/>
      </c>
      <c r="IT41" s="18">
        <f>IT$37-IT$39</f>
        <v/>
      </c>
      <c r="IU41" s="18">
        <f>IU$37-IU$39</f>
        <v/>
      </c>
      <c r="IV41" s="18">
        <f>IV$37-IV$39</f>
        <v/>
      </c>
      <c r="IW41" s="18">
        <f>IW$37-IW$39</f>
        <v/>
      </c>
      <c r="IX41" s="18">
        <f>IX$37-IX$39</f>
        <v/>
      </c>
      <c r="IY41" s="18">
        <f>IY$37-IY$39</f>
        <v/>
      </c>
      <c r="IZ41" s="18">
        <f>IZ$37-IZ$39</f>
        <v/>
      </c>
      <c r="JA41" s="18">
        <f>JA$37-JA$39</f>
        <v/>
      </c>
      <c r="JB41" s="18">
        <f>JB$37-JB$39</f>
        <v/>
      </c>
      <c r="JC41" s="18">
        <f>JC$37-JC$39</f>
        <v/>
      </c>
      <c r="JD41" s="18">
        <f>JD$37-JD$39</f>
        <v/>
      </c>
      <c r="JE41" s="18">
        <f>JE$37-JE$39</f>
        <v/>
      </c>
      <c r="JF41" s="18">
        <f>JF$37-JF$39</f>
        <v/>
      </c>
      <c r="JG41" s="18">
        <f>JG$37-JG$39</f>
        <v/>
      </c>
      <c r="JH41" s="18">
        <f>JH$37-JH$39</f>
        <v/>
      </c>
      <c r="JI41" s="18">
        <f>JI$37-JI$39</f>
        <v/>
      </c>
      <c r="JJ41" s="18">
        <f>JJ$37-JJ$39</f>
        <v/>
      </c>
      <c r="JK41" s="18">
        <f>JK$37-JK$39</f>
        <v/>
      </c>
      <c r="JL41" s="18">
        <f>JL$37-JL$39</f>
        <v/>
      </c>
      <c r="JM41" s="18">
        <f>JM$37-JM$39</f>
        <v/>
      </c>
      <c r="JN41" s="18">
        <f>JN$37-JN$39</f>
        <v/>
      </c>
      <c r="JO41" s="18">
        <f>JO$37-JO$39</f>
        <v/>
      </c>
      <c r="JP41" s="18">
        <f>JP$37-JP$39</f>
        <v/>
      </c>
      <c r="JQ41" s="18">
        <f>JQ$37-JQ$39</f>
        <v/>
      </c>
      <c r="JR41" s="18">
        <f>JR$37-JR$39</f>
        <v/>
      </c>
      <c r="JS41" s="18">
        <f>JS$37-JS$39</f>
        <v/>
      </c>
      <c r="JT41" s="18">
        <f>JT$37-JT$39</f>
        <v/>
      </c>
      <c r="JU41" s="18">
        <f>JU$37-JU$39</f>
        <v/>
      </c>
      <c r="JV41" s="18">
        <f>JV$37-JV$39</f>
        <v/>
      </c>
      <c r="JW41" s="18">
        <f>JW$37-JW$39</f>
        <v/>
      </c>
      <c r="JX41" s="18">
        <f>JX$37-JX$39</f>
        <v/>
      </c>
      <c r="JY41" s="18">
        <f>JY$37-JY$39</f>
        <v/>
      </c>
      <c r="JZ41" s="18">
        <f>JZ$37-JZ$39</f>
        <v/>
      </c>
      <c r="KA41" s="18">
        <f>KA$37-KA$39</f>
        <v/>
      </c>
      <c r="KB41" s="18">
        <f>KB$37-KB$39</f>
        <v/>
      </c>
      <c r="KC41" s="18">
        <f>KC$37-KC$39</f>
        <v/>
      </c>
      <c r="KD41" s="18">
        <f>KD$37-KD$39</f>
        <v/>
      </c>
      <c r="KE41" s="18">
        <f>KE$37-KE$39</f>
        <v/>
      </c>
      <c r="KF41" s="18">
        <f>KF$37-KF$39</f>
        <v/>
      </c>
      <c r="KG41" s="18">
        <f>KG$37-KG$39</f>
        <v/>
      </c>
      <c r="KH41" s="18">
        <f>KH$37-KH$39</f>
        <v/>
      </c>
      <c r="KI41" s="18">
        <f>KI$37-KI$39</f>
        <v/>
      </c>
      <c r="KJ41" s="18">
        <f>KJ$37-KJ$39</f>
        <v/>
      </c>
      <c r="KK41" s="18">
        <f>KK$37-KK$39</f>
        <v/>
      </c>
      <c r="KL41" s="18">
        <f>KL$37-KL$39</f>
        <v/>
      </c>
      <c r="KM41" s="18">
        <f>KM$37-KM$39</f>
        <v/>
      </c>
      <c r="KN41" s="18">
        <f>KN$37-KN$39</f>
        <v/>
      </c>
      <c r="KO41" s="18">
        <f>KO$37-KO$39</f>
        <v/>
      </c>
      <c r="KP41" s="18">
        <f>KP$37-KP$39</f>
        <v/>
      </c>
      <c r="KQ41" s="18">
        <f>KQ$37-KQ$39</f>
        <v/>
      </c>
      <c r="KR41" s="18">
        <f>KR$37-KR$39</f>
        <v/>
      </c>
      <c r="KS41" s="18">
        <f>KS$37-KS$39</f>
        <v/>
      </c>
      <c r="KT41" s="18">
        <f>KT$37-KT$39</f>
        <v/>
      </c>
      <c r="KU41" s="18">
        <f>KU$37-KU$39</f>
        <v/>
      </c>
      <c r="KV41" s="18">
        <f>KV$37-KV$39</f>
        <v/>
      </c>
      <c r="KW41" s="18">
        <f>KW$37-KW$39</f>
        <v/>
      </c>
      <c r="KX41" s="18">
        <f>KX$37-KX$39</f>
        <v/>
      </c>
      <c r="KY41" s="18">
        <f>KY$37-KY$39</f>
        <v/>
      </c>
      <c r="KZ41" s="18">
        <f>KZ$37-KZ$39</f>
        <v/>
      </c>
      <c r="LA41" s="18">
        <f>LA$37-LA$39</f>
        <v/>
      </c>
      <c r="LB41" s="18">
        <f>LB$37-LB$39</f>
        <v/>
      </c>
      <c r="LC41" s="18">
        <f>LC$37-LC$39</f>
        <v/>
      </c>
      <c r="LD41" s="18">
        <f>LD$37-LD$39</f>
        <v/>
      </c>
      <c r="LE41" s="18">
        <f>LE$37-LE$39</f>
        <v/>
      </c>
      <c r="LF41" s="18">
        <f>LF$37-LF$39</f>
        <v/>
      </c>
      <c r="LG41" s="18">
        <f>LG$37-LG$39</f>
        <v/>
      </c>
      <c r="LH41" s="18">
        <f>LH$37-LH$39</f>
        <v/>
      </c>
      <c r="LI41" s="18">
        <f>LI$37-LI$39</f>
        <v/>
      </c>
      <c r="LJ41" s="18">
        <f>LJ$37-LJ$39</f>
        <v/>
      </c>
      <c r="LK41" s="18">
        <f>LK$37-LK$39</f>
        <v/>
      </c>
      <c r="LL41" s="18">
        <f>LL$37-LL$39</f>
        <v/>
      </c>
      <c r="LM41" s="18">
        <f>LM$37-LM$39</f>
        <v/>
      </c>
      <c r="LN41" s="18">
        <f>LN$37-LN$39</f>
        <v/>
      </c>
      <c r="LO41" s="18">
        <f>LO$37-LO$39</f>
        <v/>
      </c>
      <c r="LP41" s="18">
        <f>LP$37-LP$39</f>
        <v/>
      </c>
      <c r="LQ41" s="18">
        <f>LQ$37-LQ$39</f>
        <v/>
      </c>
      <c r="LR41" s="18">
        <f>LR$37-LR$39</f>
        <v/>
      </c>
      <c r="LS41" s="18">
        <f>LS$37-LS$39</f>
        <v/>
      </c>
      <c r="LT41" s="18">
        <f>LT$37-LT$39</f>
        <v/>
      </c>
      <c r="LU41" s="18">
        <f>LU$37-LU$39</f>
        <v/>
      </c>
      <c r="LV41" s="18">
        <f>LV$37-LV$39</f>
        <v/>
      </c>
      <c r="LW41" s="18">
        <f>LW$37-LW$39</f>
        <v/>
      </c>
      <c r="LX41" s="18">
        <f>LX$37-LX$39</f>
        <v/>
      </c>
      <c r="LY41" s="18">
        <f>LY$37-LY$39</f>
        <v/>
      </c>
      <c r="LZ41" s="18">
        <f>LZ$37-LZ$39</f>
        <v/>
      </c>
      <c r="MA41" s="18">
        <f>MA$37-MA$39</f>
        <v/>
      </c>
      <c r="MB41" s="18">
        <f>MB$37-MB$39</f>
        <v/>
      </c>
      <c r="MC41" s="18">
        <f>MC$37-MC$39</f>
        <v/>
      </c>
      <c r="MD41" s="18">
        <f>MD$37-MD$39</f>
        <v/>
      </c>
      <c r="ME41" s="18">
        <f>ME$37-ME$39</f>
        <v/>
      </c>
      <c r="MF41" s="18">
        <f>MF$37-MF$39</f>
        <v/>
      </c>
      <c r="MG41" s="18">
        <f>MG$37-MG$39</f>
        <v/>
      </c>
      <c r="MH41" s="18">
        <f>MH$37-MH$39</f>
        <v/>
      </c>
      <c r="MI41" s="18">
        <f>MI$37-MI$39</f>
        <v/>
      </c>
      <c r="MJ41" s="18">
        <f>MJ$37-MJ$39</f>
        <v/>
      </c>
      <c r="MK41" s="18">
        <f>MK$37-MK$39</f>
        <v/>
      </c>
      <c r="ML41" s="18">
        <f>ML$37-ML$39</f>
        <v/>
      </c>
      <c r="MM41" s="18">
        <f>MM$37-MM$39</f>
        <v/>
      </c>
      <c r="MN41" s="18">
        <f>MN$37-MN$39</f>
        <v/>
      </c>
      <c r="MO41" s="18">
        <f>MO$37-MO$39</f>
        <v/>
      </c>
      <c r="MP41" s="18">
        <f>MP$37-MP$39</f>
        <v/>
      </c>
      <c r="MQ41" s="18">
        <f>MQ$37-MQ$39</f>
        <v/>
      </c>
      <c r="MR41" s="18">
        <f>MR$37-MR$39</f>
        <v/>
      </c>
      <c r="MS41" s="18">
        <f>MS$37-MS$39</f>
        <v/>
      </c>
      <c r="MT41" s="18">
        <f>MT$37-MT$39</f>
        <v/>
      </c>
      <c r="MU41" s="18">
        <f>MU$37-MU$39</f>
        <v/>
      </c>
      <c r="MV41" s="18">
        <f>MV$37-MV$39</f>
        <v/>
      </c>
      <c r="MW41" s="18">
        <f>MW$37-MW$39</f>
        <v/>
      </c>
      <c r="MX41" s="18">
        <f>MX$37-MX$39</f>
        <v/>
      </c>
      <c r="MY41" s="18">
        <f>MY$37-MY$39</f>
        <v/>
      </c>
      <c r="MZ41" s="18">
        <f>MZ$37-MZ$39</f>
        <v/>
      </c>
      <c r="NA41" s="18">
        <f>NA$37-NA$39</f>
        <v/>
      </c>
      <c r="NB41" s="18">
        <f>NB$37-NB$39</f>
        <v/>
      </c>
      <c r="NC41" s="18">
        <f>NC$37-NC$39</f>
        <v/>
      </c>
      <c r="ND41" s="18">
        <f>ND$37-ND$39</f>
        <v/>
      </c>
      <c r="NE41" s="18">
        <f>NE$37-NE$39</f>
        <v/>
      </c>
      <c r="NF41" s="18">
        <f>NF$37-NF$39</f>
        <v/>
      </c>
      <c r="NG41" s="18">
        <f>NG$37-NG$39</f>
        <v/>
      </c>
      <c r="NH41" s="18">
        <f>NH$37-NH$39</f>
        <v/>
      </c>
      <c r="NI41" s="18">
        <f>NI$37-NI$39</f>
        <v/>
      </c>
      <c r="NJ41" s="18">
        <f>NJ$37-NJ$39</f>
        <v/>
      </c>
      <c r="NK41" s="18">
        <f>NK$37-NK$39</f>
        <v/>
      </c>
    </row>
    <row r="42">
      <c r="A42" s="5" t="inlineStr">
        <is>
          <t>Cumulative Op CF (lease-up)</t>
        </is>
      </c>
      <c r="C42" s="43" t="n"/>
      <c r="D42" s="18">
        <f>IF(1&lt;DeliverStart,0,0+D$41)</f>
        <v/>
      </c>
      <c r="E42" s="18">
        <f>IF(2&lt;DeliverStart,0,D$42+E$41)</f>
        <v/>
      </c>
      <c r="F42" s="18">
        <f>IF(3&lt;DeliverStart,0,E$42+F$41)</f>
        <v/>
      </c>
      <c r="G42" s="18">
        <f>IF(4&lt;DeliverStart,0,F$42+G$41)</f>
        <v/>
      </c>
      <c r="H42" s="18">
        <f>IF(5&lt;DeliverStart,0,G$42+H$41)</f>
        <v/>
      </c>
      <c r="I42" s="18">
        <f>IF(6&lt;DeliverStart,0,H$42+I$41)</f>
        <v/>
      </c>
      <c r="J42" s="18">
        <f>IF(7&lt;DeliverStart,0,I$42+J$41)</f>
        <v/>
      </c>
      <c r="K42" s="18">
        <f>IF(8&lt;DeliverStart,0,J$42+K$41)</f>
        <v/>
      </c>
      <c r="L42" s="18">
        <f>IF(9&lt;DeliverStart,0,K$42+L$41)</f>
        <v/>
      </c>
      <c r="M42" s="18">
        <f>IF(10&lt;DeliverStart,0,L$42+M$41)</f>
        <v/>
      </c>
      <c r="N42" s="18">
        <f>IF(11&lt;DeliverStart,0,M$42+N$41)</f>
        <v/>
      </c>
      <c r="O42" s="18">
        <f>IF(12&lt;DeliverStart,0,N$42+O$41)</f>
        <v/>
      </c>
      <c r="P42" s="18">
        <f>IF(13&lt;DeliverStart,0,O$42+P$41)</f>
        <v/>
      </c>
      <c r="Q42" s="18">
        <f>IF(14&lt;DeliverStart,0,P$42+Q$41)</f>
        <v/>
      </c>
      <c r="R42" s="18">
        <f>IF(15&lt;DeliverStart,0,Q$42+R$41)</f>
        <v/>
      </c>
      <c r="S42" s="18">
        <f>IF(16&lt;DeliverStart,0,R$42+S$41)</f>
        <v/>
      </c>
      <c r="T42" s="18">
        <f>IF(17&lt;DeliverStart,0,S$42+T$41)</f>
        <v/>
      </c>
      <c r="U42" s="18">
        <f>IF(18&lt;DeliverStart,0,T$42+U$41)</f>
        <v/>
      </c>
      <c r="V42" s="18">
        <f>IF(19&lt;DeliverStart,0,U$42+V$41)</f>
        <v/>
      </c>
      <c r="W42" s="18">
        <f>IF(20&lt;DeliverStart,0,V$42+W$41)</f>
        <v/>
      </c>
      <c r="X42" s="18">
        <f>IF(21&lt;DeliverStart,0,W$42+X$41)</f>
        <v/>
      </c>
      <c r="Y42" s="18">
        <f>IF(22&lt;DeliverStart,0,X$42+Y$41)</f>
        <v/>
      </c>
      <c r="Z42" s="18">
        <f>IF(23&lt;DeliverStart,0,Y$42+Z$41)</f>
        <v/>
      </c>
      <c r="AA42" s="18">
        <f>IF(24&lt;DeliverStart,0,Z$42+AA$41)</f>
        <v/>
      </c>
      <c r="AB42" s="18">
        <f>IF(25&lt;DeliverStart,0,AA$42+AB$41)</f>
        <v/>
      </c>
      <c r="AC42" s="18">
        <f>IF(26&lt;DeliverStart,0,AB$42+AC$41)</f>
        <v/>
      </c>
      <c r="AD42" s="18">
        <f>IF(27&lt;DeliverStart,0,AC$42+AD$41)</f>
        <v/>
      </c>
      <c r="AE42" s="18">
        <f>IF(28&lt;DeliverStart,0,AD$42+AE$41)</f>
        <v/>
      </c>
      <c r="AF42" s="18">
        <f>IF(29&lt;DeliverStart,0,AE$42+AF$41)</f>
        <v/>
      </c>
      <c r="AG42" s="18">
        <f>IF(30&lt;DeliverStart,0,AF$42+AG$41)</f>
        <v/>
      </c>
      <c r="AH42" s="18">
        <f>IF(31&lt;DeliverStart,0,AG$42+AH$41)</f>
        <v/>
      </c>
      <c r="AI42" s="18">
        <f>IF(32&lt;DeliverStart,0,AH$42+AI$41)</f>
        <v/>
      </c>
      <c r="AJ42" s="18">
        <f>IF(33&lt;DeliverStart,0,AI$42+AJ$41)</f>
        <v/>
      </c>
      <c r="AK42" s="18">
        <f>IF(34&lt;DeliverStart,0,AJ$42+AK$41)</f>
        <v/>
      </c>
      <c r="AL42" s="18">
        <f>IF(35&lt;DeliverStart,0,AK$42+AL$41)</f>
        <v/>
      </c>
      <c r="AM42" s="18">
        <f>IF(36&lt;DeliverStart,0,AL$42+AM$41)</f>
        <v/>
      </c>
      <c r="AN42" s="18">
        <f>IF(37&lt;DeliverStart,0,AM$42+AN$41)</f>
        <v/>
      </c>
      <c r="AO42" s="18">
        <f>IF(38&lt;DeliverStart,0,AN$42+AO$41)</f>
        <v/>
      </c>
      <c r="AP42" s="18">
        <f>IF(39&lt;DeliverStart,0,AO$42+AP$41)</f>
        <v/>
      </c>
      <c r="AQ42" s="18">
        <f>IF(40&lt;DeliverStart,0,AP$42+AQ$41)</f>
        <v/>
      </c>
      <c r="AR42" s="18">
        <f>IF(41&lt;DeliverStart,0,AQ$42+AR$41)</f>
        <v/>
      </c>
      <c r="AS42" s="18">
        <f>IF(42&lt;DeliverStart,0,AR$42+AS$41)</f>
        <v/>
      </c>
      <c r="AT42" s="18">
        <f>IF(43&lt;DeliverStart,0,AS$42+AT$41)</f>
        <v/>
      </c>
      <c r="AU42" s="18">
        <f>IF(44&lt;DeliverStart,0,AT$42+AU$41)</f>
        <v/>
      </c>
      <c r="AV42" s="18">
        <f>IF(45&lt;DeliverStart,0,AU$42+AV$41)</f>
        <v/>
      </c>
      <c r="AW42" s="18">
        <f>IF(46&lt;DeliverStart,0,AV$42+AW$41)</f>
        <v/>
      </c>
      <c r="AX42" s="18">
        <f>IF(47&lt;DeliverStart,0,AW$42+AX$41)</f>
        <v/>
      </c>
      <c r="AY42" s="18">
        <f>IF(48&lt;DeliverStart,0,AX$42+AY$41)</f>
        <v/>
      </c>
      <c r="AZ42" s="18">
        <f>IF(49&lt;DeliverStart,0,AY$42+AZ$41)</f>
        <v/>
      </c>
      <c r="BA42" s="18">
        <f>IF(50&lt;DeliverStart,0,AZ$42+BA$41)</f>
        <v/>
      </c>
      <c r="BB42" s="18">
        <f>IF(51&lt;DeliverStart,0,BA$42+BB$41)</f>
        <v/>
      </c>
      <c r="BC42" s="18">
        <f>IF(52&lt;DeliverStart,0,BB$42+BC$41)</f>
        <v/>
      </c>
      <c r="BD42" s="18">
        <f>IF(53&lt;DeliverStart,0,BC$42+BD$41)</f>
        <v/>
      </c>
      <c r="BE42" s="18">
        <f>IF(54&lt;DeliverStart,0,BD$42+BE$41)</f>
        <v/>
      </c>
      <c r="BF42" s="18">
        <f>IF(55&lt;DeliverStart,0,BE$42+BF$41)</f>
        <v/>
      </c>
      <c r="BG42" s="18">
        <f>IF(56&lt;DeliverStart,0,BF$42+BG$41)</f>
        <v/>
      </c>
      <c r="BH42" s="18">
        <f>IF(57&lt;DeliverStart,0,BG$42+BH$41)</f>
        <v/>
      </c>
      <c r="BI42" s="18">
        <f>IF(58&lt;DeliverStart,0,BH$42+BI$41)</f>
        <v/>
      </c>
      <c r="BJ42" s="18">
        <f>IF(59&lt;DeliverStart,0,BI$42+BJ$41)</f>
        <v/>
      </c>
      <c r="BK42" s="18">
        <f>IF(60&lt;DeliverStart,0,BJ$42+BK$41)</f>
        <v/>
      </c>
      <c r="BL42" s="18">
        <f>IF(61&lt;DeliverStart,0,BK$42+BL$41)</f>
        <v/>
      </c>
      <c r="BM42" s="18">
        <f>IF(62&lt;DeliverStart,0,BL$42+BM$41)</f>
        <v/>
      </c>
      <c r="BN42" s="18">
        <f>IF(63&lt;DeliverStart,0,BM$42+BN$41)</f>
        <v/>
      </c>
      <c r="BO42" s="18">
        <f>IF(64&lt;DeliverStart,0,BN$42+BO$41)</f>
        <v/>
      </c>
      <c r="BP42" s="18">
        <f>IF(65&lt;DeliverStart,0,BO$42+BP$41)</f>
        <v/>
      </c>
      <c r="BQ42" s="18">
        <f>IF(66&lt;DeliverStart,0,BP$42+BQ$41)</f>
        <v/>
      </c>
      <c r="BR42" s="18">
        <f>IF(67&lt;DeliverStart,0,BQ$42+BR$41)</f>
        <v/>
      </c>
      <c r="BS42" s="18">
        <f>IF(68&lt;DeliverStart,0,BR$42+BS$41)</f>
        <v/>
      </c>
      <c r="BT42" s="18">
        <f>IF(69&lt;DeliverStart,0,BS$42+BT$41)</f>
        <v/>
      </c>
      <c r="BU42" s="18">
        <f>IF(70&lt;DeliverStart,0,BT$42+BU$41)</f>
        <v/>
      </c>
      <c r="BV42" s="18">
        <f>IF(71&lt;DeliverStart,0,BU$42+BV$41)</f>
        <v/>
      </c>
      <c r="BW42" s="18">
        <f>IF(72&lt;DeliverStart,0,BV$42+BW$41)</f>
        <v/>
      </c>
      <c r="BX42" s="18">
        <f>IF(73&lt;DeliverStart,0,BW$42+BX$41)</f>
        <v/>
      </c>
      <c r="BY42" s="18">
        <f>IF(74&lt;DeliverStart,0,BX$42+BY$41)</f>
        <v/>
      </c>
      <c r="BZ42" s="18">
        <f>IF(75&lt;DeliverStart,0,BY$42+BZ$41)</f>
        <v/>
      </c>
      <c r="CA42" s="18">
        <f>IF(76&lt;DeliverStart,0,BZ$42+CA$41)</f>
        <v/>
      </c>
      <c r="CB42" s="18">
        <f>IF(77&lt;DeliverStart,0,CA$42+CB$41)</f>
        <v/>
      </c>
      <c r="CC42" s="18">
        <f>IF(78&lt;DeliverStart,0,CB$42+CC$41)</f>
        <v/>
      </c>
      <c r="CD42" s="18">
        <f>IF(79&lt;DeliverStart,0,CC$42+CD$41)</f>
        <v/>
      </c>
      <c r="CE42" s="18">
        <f>IF(80&lt;DeliverStart,0,CD$42+CE$41)</f>
        <v/>
      </c>
      <c r="CF42" s="18">
        <f>IF(81&lt;DeliverStart,0,CE$42+CF$41)</f>
        <v/>
      </c>
      <c r="CG42" s="18">
        <f>IF(82&lt;DeliverStart,0,CF$42+CG$41)</f>
        <v/>
      </c>
      <c r="CH42" s="18">
        <f>IF(83&lt;DeliverStart,0,CG$42+CH$41)</f>
        <v/>
      </c>
      <c r="CI42" s="18">
        <f>IF(84&lt;DeliverStart,0,CH$42+CI$41)</f>
        <v/>
      </c>
      <c r="CJ42" s="18">
        <f>IF(85&lt;DeliverStart,0,CI$42+CJ$41)</f>
        <v/>
      </c>
      <c r="CK42" s="18">
        <f>IF(86&lt;DeliverStart,0,CJ$42+CK$41)</f>
        <v/>
      </c>
      <c r="CL42" s="18">
        <f>IF(87&lt;DeliverStart,0,CK$42+CL$41)</f>
        <v/>
      </c>
      <c r="CM42" s="18">
        <f>IF(88&lt;DeliverStart,0,CL$42+CM$41)</f>
        <v/>
      </c>
      <c r="CN42" s="18">
        <f>IF(89&lt;DeliverStart,0,CM$42+CN$41)</f>
        <v/>
      </c>
      <c r="CO42" s="18">
        <f>IF(90&lt;DeliverStart,0,CN$42+CO$41)</f>
        <v/>
      </c>
      <c r="CP42" s="18">
        <f>IF(91&lt;DeliverStart,0,CO$42+CP$41)</f>
        <v/>
      </c>
      <c r="CQ42" s="18">
        <f>IF(92&lt;DeliverStart,0,CP$42+CQ$41)</f>
        <v/>
      </c>
      <c r="CR42" s="18">
        <f>IF(93&lt;DeliverStart,0,CQ$42+CR$41)</f>
        <v/>
      </c>
      <c r="CS42" s="18">
        <f>IF(94&lt;DeliverStart,0,CR$42+CS$41)</f>
        <v/>
      </c>
      <c r="CT42" s="18">
        <f>IF(95&lt;DeliverStart,0,CS$42+CT$41)</f>
        <v/>
      </c>
      <c r="CU42" s="18">
        <f>IF(96&lt;DeliverStart,0,CT$42+CU$41)</f>
        <v/>
      </c>
      <c r="CV42" s="18">
        <f>IF(97&lt;DeliverStart,0,CU$42+CV$41)</f>
        <v/>
      </c>
      <c r="CW42" s="18">
        <f>IF(98&lt;DeliverStart,0,CV$42+CW$41)</f>
        <v/>
      </c>
      <c r="CX42" s="18">
        <f>IF(99&lt;DeliverStart,0,CW$42+CX$41)</f>
        <v/>
      </c>
      <c r="CY42" s="18">
        <f>IF(100&lt;DeliverStart,0,CX$42+CY$41)</f>
        <v/>
      </c>
      <c r="CZ42" s="18">
        <f>IF(101&lt;DeliverStart,0,CY$42+CZ$41)</f>
        <v/>
      </c>
      <c r="DA42" s="18">
        <f>IF(102&lt;DeliverStart,0,CZ$42+DA$41)</f>
        <v/>
      </c>
      <c r="DB42" s="18">
        <f>IF(103&lt;DeliverStart,0,DA$42+DB$41)</f>
        <v/>
      </c>
      <c r="DC42" s="18">
        <f>IF(104&lt;DeliverStart,0,DB$42+DC$41)</f>
        <v/>
      </c>
      <c r="DD42" s="18">
        <f>IF(105&lt;DeliverStart,0,DC$42+DD$41)</f>
        <v/>
      </c>
      <c r="DE42" s="18">
        <f>IF(106&lt;DeliverStart,0,DD$42+DE$41)</f>
        <v/>
      </c>
      <c r="DF42" s="18">
        <f>IF(107&lt;DeliverStart,0,DE$42+DF$41)</f>
        <v/>
      </c>
      <c r="DG42" s="18">
        <f>IF(108&lt;DeliverStart,0,DF$42+DG$41)</f>
        <v/>
      </c>
      <c r="DH42" s="18">
        <f>IF(109&lt;DeliverStart,0,DG$42+DH$41)</f>
        <v/>
      </c>
      <c r="DI42" s="18">
        <f>IF(110&lt;DeliverStart,0,DH$42+DI$41)</f>
        <v/>
      </c>
      <c r="DJ42" s="18">
        <f>IF(111&lt;DeliverStart,0,DI$42+DJ$41)</f>
        <v/>
      </c>
      <c r="DK42" s="18">
        <f>IF(112&lt;DeliverStart,0,DJ$42+DK$41)</f>
        <v/>
      </c>
      <c r="DL42" s="18">
        <f>IF(113&lt;DeliverStart,0,DK$42+DL$41)</f>
        <v/>
      </c>
      <c r="DM42" s="18">
        <f>IF(114&lt;DeliverStart,0,DL$42+DM$41)</f>
        <v/>
      </c>
      <c r="DN42" s="18">
        <f>IF(115&lt;DeliverStart,0,DM$42+DN$41)</f>
        <v/>
      </c>
      <c r="DO42" s="18">
        <f>IF(116&lt;DeliverStart,0,DN$42+DO$41)</f>
        <v/>
      </c>
      <c r="DP42" s="18">
        <f>IF(117&lt;DeliverStart,0,DO$42+DP$41)</f>
        <v/>
      </c>
      <c r="DQ42" s="18">
        <f>IF(118&lt;DeliverStart,0,DP$42+DQ$41)</f>
        <v/>
      </c>
      <c r="DR42" s="18">
        <f>IF(119&lt;DeliverStart,0,DQ$42+DR$41)</f>
        <v/>
      </c>
      <c r="DS42" s="18">
        <f>IF(120&lt;DeliverStart,0,DR$42+DS$41)</f>
        <v/>
      </c>
      <c r="DT42" s="18">
        <f>IF(121&lt;DeliverStart,0,DS$42+DT$41)</f>
        <v/>
      </c>
      <c r="DU42" s="18">
        <f>IF(122&lt;DeliverStart,0,DT$42+DU$41)</f>
        <v/>
      </c>
      <c r="DV42" s="18">
        <f>IF(123&lt;DeliverStart,0,DU$42+DV$41)</f>
        <v/>
      </c>
      <c r="DW42" s="18">
        <f>IF(124&lt;DeliverStart,0,DV$42+DW$41)</f>
        <v/>
      </c>
      <c r="DX42" s="18">
        <f>IF(125&lt;DeliverStart,0,DW$42+DX$41)</f>
        <v/>
      </c>
      <c r="DY42" s="18">
        <f>IF(126&lt;DeliverStart,0,DX$42+DY$41)</f>
        <v/>
      </c>
      <c r="DZ42" s="18">
        <f>IF(127&lt;DeliverStart,0,DY$42+DZ$41)</f>
        <v/>
      </c>
      <c r="EA42" s="18">
        <f>IF(128&lt;DeliverStart,0,DZ$42+EA$41)</f>
        <v/>
      </c>
      <c r="EB42" s="18">
        <f>IF(129&lt;DeliverStart,0,EA$42+EB$41)</f>
        <v/>
      </c>
      <c r="EC42" s="18">
        <f>IF(130&lt;DeliverStart,0,EB$42+EC$41)</f>
        <v/>
      </c>
      <c r="ED42" s="18">
        <f>IF(131&lt;DeliverStart,0,EC$42+ED$41)</f>
        <v/>
      </c>
      <c r="EE42" s="18">
        <f>IF(132&lt;DeliverStart,0,ED$42+EE$41)</f>
        <v/>
      </c>
      <c r="EF42" s="18">
        <f>IF(133&lt;DeliverStart,0,EE$42+EF$41)</f>
        <v/>
      </c>
      <c r="EG42" s="18">
        <f>IF(134&lt;DeliverStart,0,EF$42+EG$41)</f>
        <v/>
      </c>
      <c r="EH42" s="18">
        <f>IF(135&lt;DeliverStart,0,EG$42+EH$41)</f>
        <v/>
      </c>
      <c r="EI42" s="18">
        <f>IF(136&lt;DeliverStart,0,EH$42+EI$41)</f>
        <v/>
      </c>
      <c r="EJ42" s="18">
        <f>IF(137&lt;DeliverStart,0,EI$42+EJ$41)</f>
        <v/>
      </c>
      <c r="EK42" s="18">
        <f>IF(138&lt;DeliverStart,0,EJ$42+EK$41)</f>
        <v/>
      </c>
      <c r="EL42" s="18">
        <f>IF(139&lt;DeliverStart,0,EK$42+EL$41)</f>
        <v/>
      </c>
      <c r="EM42" s="18">
        <f>IF(140&lt;DeliverStart,0,EL$42+EM$41)</f>
        <v/>
      </c>
      <c r="EN42" s="18">
        <f>IF(141&lt;DeliverStart,0,EM$42+EN$41)</f>
        <v/>
      </c>
      <c r="EO42" s="18">
        <f>IF(142&lt;DeliverStart,0,EN$42+EO$41)</f>
        <v/>
      </c>
      <c r="EP42" s="18">
        <f>IF(143&lt;DeliverStart,0,EO$42+EP$41)</f>
        <v/>
      </c>
      <c r="EQ42" s="18">
        <f>IF(144&lt;DeliverStart,0,EP$42+EQ$41)</f>
        <v/>
      </c>
      <c r="ER42" s="18">
        <f>IF(145&lt;DeliverStart,0,EQ$42+ER$41)</f>
        <v/>
      </c>
      <c r="ES42" s="18">
        <f>IF(146&lt;DeliverStart,0,ER$42+ES$41)</f>
        <v/>
      </c>
      <c r="ET42" s="18">
        <f>IF(147&lt;DeliverStart,0,ES$42+ET$41)</f>
        <v/>
      </c>
      <c r="EU42" s="18">
        <f>IF(148&lt;DeliverStart,0,ET$42+EU$41)</f>
        <v/>
      </c>
      <c r="EV42" s="18">
        <f>IF(149&lt;DeliverStart,0,EU$42+EV$41)</f>
        <v/>
      </c>
      <c r="EW42" s="18">
        <f>IF(150&lt;DeliverStart,0,EV$42+EW$41)</f>
        <v/>
      </c>
      <c r="EX42" s="18">
        <f>IF(151&lt;DeliverStart,0,EW$42+EX$41)</f>
        <v/>
      </c>
      <c r="EY42" s="18">
        <f>IF(152&lt;DeliverStart,0,EX$42+EY$41)</f>
        <v/>
      </c>
      <c r="EZ42" s="18">
        <f>IF(153&lt;DeliverStart,0,EY$42+EZ$41)</f>
        <v/>
      </c>
      <c r="FA42" s="18">
        <f>IF(154&lt;DeliverStart,0,EZ$42+FA$41)</f>
        <v/>
      </c>
      <c r="FB42" s="18">
        <f>IF(155&lt;DeliverStart,0,FA$42+FB$41)</f>
        <v/>
      </c>
      <c r="FC42" s="18">
        <f>IF(156&lt;DeliverStart,0,FB$42+FC$41)</f>
        <v/>
      </c>
      <c r="FD42" s="18">
        <f>IF(157&lt;DeliverStart,0,FC$42+FD$41)</f>
        <v/>
      </c>
      <c r="FE42" s="18">
        <f>IF(158&lt;DeliverStart,0,FD$42+FE$41)</f>
        <v/>
      </c>
      <c r="FF42" s="18">
        <f>IF(159&lt;DeliverStart,0,FE$42+FF$41)</f>
        <v/>
      </c>
      <c r="FG42" s="18">
        <f>IF(160&lt;DeliverStart,0,FF$42+FG$41)</f>
        <v/>
      </c>
      <c r="FH42" s="18">
        <f>IF(161&lt;DeliverStart,0,FG$42+FH$41)</f>
        <v/>
      </c>
      <c r="FI42" s="18">
        <f>IF(162&lt;DeliverStart,0,FH$42+FI$41)</f>
        <v/>
      </c>
      <c r="FJ42" s="18">
        <f>IF(163&lt;DeliverStart,0,FI$42+FJ$41)</f>
        <v/>
      </c>
      <c r="FK42" s="18">
        <f>IF(164&lt;DeliverStart,0,FJ$42+FK$41)</f>
        <v/>
      </c>
      <c r="FL42" s="18">
        <f>IF(165&lt;DeliverStart,0,FK$42+FL$41)</f>
        <v/>
      </c>
      <c r="FM42" s="18">
        <f>IF(166&lt;DeliverStart,0,FL$42+FM$41)</f>
        <v/>
      </c>
      <c r="FN42" s="18">
        <f>IF(167&lt;DeliverStart,0,FM$42+FN$41)</f>
        <v/>
      </c>
      <c r="FO42" s="18">
        <f>IF(168&lt;DeliverStart,0,FN$42+FO$41)</f>
        <v/>
      </c>
      <c r="FP42" s="18">
        <f>IF(169&lt;DeliverStart,0,FO$42+FP$41)</f>
        <v/>
      </c>
      <c r="FQ42" s="18">
        <f>IF(170&lt;DeliverStart,0,FP$42+FQ$41)</f>
        <v/>
      </c>
      <c r="FR42" s="18">
        <f>IF(171&lt;DeliverStart,0,FQ$42+FR$41)</f>
        <v/>
      </c>
      <c r="FS42" s="18">
        <f>IF(172&lt;DeliverStart,0,FR$42+FS$41)</f>
        <v/>
      </c>
      <c r="FT42" s="18">
        <f>IF(173&lt;DeliverStart,0,FS$42+FT$41)</f>
        <v/>
      </c>
      <c r="FU42" s="18">
        <f>IF(174&lt;DeliverStart,0,FT$42+FU$41)</f>
        <v/>
      </c>
      <c r="FV42" s="18">
        <f>IF(175&lt;DeliverStart,0,FU$42+FV$41)</f>
        <v/>
      </c>
      <c r="FW42" s="18">
        <f>IF(176&lt;DeliverStart,0,FV$42+FW$41)</f>
        <v/>
      </c>
      <c r="FX42" s="18">
        <f>IF(177&lt;DeliverStart,0,FW$42+FX$41)</f>
        <v/>
      </c>
      <c r="FY42" s="18">
        <f>IF(178&lt;DeliverStart,0,FX$42+FY$41)</f>
        <v/>
      </c>
      <c r="FZ42" s="18">
        <f>IF(179&lt;DeliverStart,0,FY$42+FZ$41)</f>
        <v/>
      </c>
      <c r="GA42" s="18">
        <f>IF(180&lt;DeliverStart,0,FZ$42+GA$41)</f>
        <v/>
      </c>
      <c r="GB42" s="18">
        <f>IF(181&lt;DeliverStart,0,GA$42+GB$41)</f>
        <v/>
      </c>
      <c r="GC42" s="18">
        <f>IF(182&lt;DeliverStart,0,GB$42+GC$41)</f>
        <v/>
      </c>
      <c r="GD42" s="18">
        <f>IF(183&lt;DeliverStart,0,GC$42+GD$41)</f>
        <v/>
      </c>
      <c r="GE42" s="18">
        <f>IF(184&lt;DeliverStart,0,GD$42+GE$41)</f>
        <v/>
      </c>
      <c r="GF42" s="18">
        <f>IF(185&lt;DeliverStart,0,GE$42+GF$41)</f>
        <v/>
      </c>
      <c r="GG42" s="18">
        <f>IF(186&lt;DeliverStart,0,GF$42+GG$41)</f>
        <v/>
      </c>
      <c r="GH42" s="18">
        <f>IF(187&lt;DeliverStart,0,GG$42+GH$41)</f>
        <v/>
      </c>
      <c r="GI42" s="18">
        <f>IF(188&lt;DeliverStart,0,GH$42+GI$41)</f>
        <v/>
      </c>
      <c r="GJ42" s="18">
        <f>IF(189&lt;DeliverStart,0,GI$42+GJ$41)</f>
        <v/>
      </c>
      <c r="GK42" s="18">
        <f>IF(190&lt;DeliverStart,0,GJ$42+GK$41)</f>
        <v/>
      </c>
      <c r="GL42" s="18">
        <f>IF(191&lt;DeliverStart,0,GK$42+GL$41)</f>
        <v/>
      </c>
      <c r="GM42" s="18">
        <f>IF(192&lt;DeliverStart,0,GL$42+GM$41)</f>
        <v/>
      </c>
      <c r="GN42" s="18">
        <f>IF(193&lt;DeliverStart,0,GM$42+GN$41)</f>
        <v/>
      </c>
      <c r="GO42" s="18">
        <f>IF(194&lt;DeliverStart,0,GN$42+GO$41)</f>
        <v/>
      </c>
      <c r="GP42" s="18">
        <f>IF(195&lt;DeliverStart,0,GO$42+GP$41)</f>
        <v/>
      </c>
      <c r="GQ42" s="18">
        <f>IF(196&lt;DeliverStart,0,GP$42+GQ$41)</f>
        <v/>
      </c>
      <c r="GR42" s="18">
        <f>IF(197&lt;DeliverStart,0,GQ$42+GR$41)</f>
        <v/>
      </c>
      <c r="GS42" s="18">
        <f>IF(198&lt;DeliverStart,0,GR$42+GS$41)</f>
        <v/>
      </c>
      <c r="GT42" s="18">
        <f>IF(199&lt;DeliverStart,0,GS$42+GT$41)</f>
        <v/>
      </c>
      <c r="GU42" s="18">
        <f>IF(200&lt;DeliverStart,0,GT$42+GU$41)</f>
        <v/>
      </c>
      <c r="GV42" s="18">
        <f>IF(201&lt;DeliverStart,0,GU$42+GV$41)</f>
        <v/>
      </c>
      <c r="GW42" s="18">
        <f>IF(202&lt;DeliverStart,0,GV$42+GW$41)</f>
        <v/>
      </c>
      <c r="GX42" s="18">
        <f>IF(203&lt;DeliverStart,0,GW$42+GX$41)</f>
        <v/>
      </c>
      <c r="GY42" s="18">
        <f>IF(204&lt;DeliverStart,0,GX$42+GY$41)</f>
        <v/>
      </c>
      <c r="GZ42" s="18">
        <f>IF(205&lt;DeliverStart,0,GY$42+GZ$41)</f>
        <v/>
      </c>
      <c r="HA42" s="18">
        <f>IF(206&lt;DeliverStart,0,GZ$42+HA$41)</f>
        <v/>
      </c>
      <c r="HB42" s="18">
        <f>IF(207&lt;DeliverStart,0,HA$42+HB$41)</f>
        <v/>
      </c>
      <c r="HC42" s="18">
        <f>IF(208&lt;DeliverStart,0,HB$42+HC$41)</f>
        <v/>
      </c>
      <c r="HD42" s="18">
        <f>IF(209&lt;DeliverStart,0,HC$42+HD$41)</f>
        <v/>
      </c>
      <c r="HE42" s="18">
        <f>IF(210&lt;DeliverStart,0,HD$42+HE$41)</f>
        <v/>
      </c>
      <c r="HF42" s="18">
        <f>IF(211&lt;DeliverStart,0,HE$42+HF$41)</f>
        <v/>
      </c>
      <c r="HG42" s="18">
        <f>IF(212&lt;DeliverStart,0,HF$42+HG$41)</f>
        <v/>
      </c>
      <c r="HH42" s="18">
        <f>IF(213&lt;DeliverStart,0,HG$42+HH$41)</f>
        <v/>
      </c>
      <c r="HI42" s="18">
        <f>IF(214&lt;DeliverStart,0,HH$42+HI$41)</f>
        <v/>
      </c>
      <c r="HJ42" s="18">
        <f>IF(215&lt;DeliverStart,0,HI$42+HJ$41)</f>
        <v/>
      </c>
      <c r="HK42" s="18">
        <f>IF(216&lt;DeliverStart,0,HJ$42+HK$41)</f>
        <v/>
      </c>
      <c r="HL42" s="18">
        <f>IF(217&lt;DeliverStart,0,HK$42+HL$41)</f>
        <v/>
      </c>
      <c r="HM42" s="18">
        <f>IF(218&lt;DeliverStart,0,HL$42+HM$41)</f>
        <v/>
      </c>
      <c r="HN42" s="18">
        <f>IF(219&lt;DeliverStart,0,HM$42+HN$41)</f>
        <v/>
      </c>
      <c r="HO42" s="18">
        <f>IF(220&lt;DeliverStart,0,HN$42+HO$41)</f>
        <v/>
      </c>
      <c r="HP42" s="18">
        <f>IF(221&lt;DeliverStart,0,HO$42+HP$41)</f>
        <v/>
      </c>
      <c r="HQ42" s="18">
        <f>IF(222&lt;DeliverStart,0,HP$42+HQ$41)</f>
        <v/>
      </c>
      <c r="HR42" s="18">
        <f>IF(223&lt;DeliverStart,0,HQ$42+HR$41)</f>
        <v/>
      </c>
      <c r="HS42" s="18">
        <f>IF(224&lt;DeliverStart,0,HR$42+HS$41)</f>
        <v/>
      </c>
      <c r="HT42" s="18">
        <f>IF(225&lt;DeliverStart,0,HS$42+HT$41)</f>
        <v/>
      </c>
      <c r="HU42" s="18">
        <f>IF(226&lt;DeliverStart,0,HT$42+HU$41)</f>
        <v/>
      </c>
      <c r="HV42" s="18">
        <f>IF(227&lt;DeliverStart,0,HU$42+HV$41)</f>
        <v/>
      </c>
      <c r="HW42" s="18">
        <f>IF(228&lt;DeliverStart,0,HV$42+HW$41)</f>
        <v/>
      </c>
      <c r="HX42" s="18">
        <f>IF(229&lt;DeliverStart,0,HW$42+HX$41)</f>
        <v/>
      </c>
      <c r="HY42" s="18">
        <f>IF(230&lt;DeliverStart,0,HX$42+HY$41)</f>
        <v/>
      </c>
      <c r="HZ42" s="18">
        <f>IF(231&lt;DeliverStart,0,HY$42+HZ$41)</f>
        <v/>
      </c>
      <c r="IA42" s="18">
        <f>IF(232&lt;DeliverStart,0,HZ$42+IA$41)</f>
        <v/>
      </c>
      <c r="IB42" s="18">
        <f>IF(233&lt;DeliverStart,0,IA$42+IB$41)</f>
        <v/>
      </c>
      <c r="IC42" s="18">
        <f>IF(234&lt;DeliverStart,0,IB$42+IC$41)</f>
        <v/>
      </c>
      <c r="ID42" s="18">
        <f>IF(235&lt;DeliverStart,0,IC$42+ID$41)</f>
        <v/>
      </c>
      <c r="IE42" s="18">
        <f>IF(236&lt;DeliverStart,0,ID$42+IE$41)</f>
        <v/>
      </c>
      <c r="IF42" s="18">
        <f>IF(237&lt;DeliverStart,0,IE$42+IF$41)</f>
        <v/>
      </c>
      <c r="IG42" s="18">
        <f>IF(238&lt;DeliverStart,0,IF$42+IG$41)</f>
        <v/>
      </c>
      <c r="IH42" s="18">
        <f>IF(239&lt;DeliverStart,0,IG$42+IH$41)</f>
        <v/>
      </c>
      <c r="II42" s="18">
        <f>IF(240&lt;DeliverStart,0,IH$42+II$41)</f>
        <v/>
      </c>
      <c r="IJ42" s="18">
        <f>IF(241&lt;DeliverStart,0,II$42+IJ$41)</f>
        <v/>
      </c>
      <c r="IK42" s="18">
        <f>IF(242&lt;DeliverStart,0,IJ$42+IK$41)</f>
        <v/>
      </c>
      <c r="IL42" s="18">
        <f>IF(243&lt;DeliverStart,0,IK$42+IL$41)</f>
        <v/>
      </c>
      <c r="IM42" s="18">
        <f>IF(244&lt;DeliverStart,0,IL$42+IM$41)</f>
        <v/>
      </c>
      <c r="IN42" s="18">
        <f>IF(245&lt;DeliverStart,0,IM$42+IN$41)</f>
        <v/>
      </c>
      <c r="IO42" s="18">
        <f>IF(246&lt;DeliverStart,0,IN$42+IO$41)</f>
        <v/>
      </c>
      <c r="IP42" s="18">
        <f>IF(247&lt;DeliverStart,0,IO$42+IP$41)</f>
        <v/>
      </c>
      <c r="IQ42" s="18">
        <f>IF(248&lt;DeliverStart,0,IP$42+IQ$41)</f>
        <v/>
      </c>
      <c r="IR42" s="18">
        <f>IF(249&lt;DeliverStart,0,IQ$42+IR$41)</f>
        <v/>
      </c>
      <c r="IS42" s="18">
        <f>IF(250&lt;DeliverStart,0,IR$42+IS$41)</f>
        <v/>
      </c>
      <c r="IT42" s="18">
        <f>IF(251&lt;DeliverStart,0,IS$42+IT$41)</f>
        <v/>
      </c>
      <c r="IU42" s="18">
        <f>IF(252&lt;DeliverStart,0,IT$42+IU$41)</f>
        <v/>
      </c>
      <c r="IV42" s="18">
        <f>IF(253&lt;DeliverStart,0,IU$42+IV$41)</f>
        <v/>
      </c>
      <c r="IW42" s="18">
        <f>IF(254&lt;DeliverStart,0,IV$42+IW$41)</f>
        <v/>
      </c>
      <c r="IX42" s="18">
        <f>IF(255&lt;DeliverStart,0,IW$42+IX$41)</f>
        <v/>
      </c>
      <c r="IY42" s="18">
        <f>IF(256&lt;DeliverStart,0,IX$42+IY$41)</f>
        <v/>
      </c>
      <c r="IZ42" s="18">
        <f>IF(257&lt;DeliverStart,0,IY$42+IZ$41)</f>
        <v/>
      </c>
      <c r="JA42" s="18">
        <f>IF(258&lt;DeliverStart,0,IZ$42+JA$41)</f>
        <v/>
      </c>
      <c r="JB42" s="18">
        <f>IF(259&lt;DeliverStart,0,JA$42+JB$41)</f>
        <v/>
      </c>
      <c r="JC42" s="18">
        <f>IF(260&lt;DeliverStart,0,JB$42+JC$41)</f>
        <v/>
      </c>
      <c r="JD42" s="18">
        <f>IF(261&lt;DeliverStart,0,JC$42+JD$41)</f>
        <v/>
      </c>
      <c r="JE42" s="18">
        <f>IF(262&lt;DeliverStart,0,JD$42+JE$41)</f>
        <v/>
      </c>
      <c r="JF42" s="18">
        <f>IF(263&lt;DeliverStart,0,JE$42+JF$41)</f>
        <v/>
      </c>
      <c r="JG42" s="18">
        <f>IF(264&lt;DeliverStart,0,JF$42+JG$41)</f>
        <v/>
      </c>
      <c r="JH42" s="18">
        <f>IF(265&lt;DeliverStart,0,JG$42+JH$41)</f>
        <v/>
      </c>
      <c r="JI42" s="18">
        <f>IF(266&lt;DeliverStart,0,JH$42+JI$41)</f>
        <v/>
      </c>
      <c r="JJ42" s="18">
        <f>IF(267&lt;DeliverStart,0,JI$42+JJ$41)</f>
        <v/>
      </c>
      <c r="JK42" s="18">
        <f>IF(268&lt;DeliverStart,0,JJ$42+JK$41)</f>
        <v/>
      </c>
      <c r="JL42" s="18">
        <f>IF(269&lt;DeliverStart,0,JK$42+JL$41)</f>
        <v/>
      </c>
      <c r="JM42" s="18">
        <f>IF(270&lt;DeliverStart,0,JL$42+JM$41)</f>
        <v/>
      </c>
      <c r="JN42" s="18">
        <f>IF(271&lt;DeliverStart,0,JM$42+JN$41)</f>
        <v/>
      </c>
      <c r="JO42" s="18">
        <f>IF(272&lt;DeliverStart,0,JN$42+JO$41)</f>
        <v/>
      </c>
      <c r="JP42" s="18">
        <f>IF(273&lt;DeliverStart,0,JO$42+JP$41)</f>
        <v/>
      </c>
      <c r="JQ42" s="18">
        <f>IF(274&lt;DeliverStart,0,JP$42+JQ$41)</f>
        <v/>
      </c>
      <c r="JR42" s="18">
        <f>IF(275&lt;DeliverStart,0,JQ$42+JR$41)</f>
        <v/>
      </c>
      <c r="JS42" s="18">
        <f>IF(276&lt;DeliverStart,0,JR$42+JS$41)</f>
        <v/>
      </c>
      <c r="JT42" s="18">
        <f>IF(277&lt;DeliverStart,0,JS$42+JT$41)</f>
        <v/>
      </c>
      <c r="JU42" s="18">
        <f>IF(278&lt;DeliverStart,0,JT$42+JU$41)</f>
        <v/>
      </c>
      <c r="JV42" s="18">
        <f>IF(279&lt;DeliverStart,0,JU$42+JV$41)</f>
        <v/>
      </c>
      <c r="JW42" s="18">
        <f>IF(280&lt;DeliverStart,0,JV$42+JW$41)</f>
        <v/>
      </c>
      <c r="JX42" s="18">
        <f>IF(281&lt;DeliverStart,0,JW$42+JX$41)</f>
        <v/>
      </c>
      <c r="JY42" s="18">
        <f>IF(282&lt;DeliverStart,0,JX$42+JY$41)</f>
        <v/>
      </c>
      <c r="JZ42" s="18">
        <f>IF(283&lt;DeliverStart,0,JY$42+JZ$41)</f>
        <v/>
      </c>
      <c r="KA42" s="18">
        <f>IF(284&lt;DeliverStart,0,JZ$42+KA$41)</f>
        <v/>
      </c>
      <c r="KB42" s="18">
        <f>IF(285&lt;DeliverStart,0,KA$42+KB$41)</f>
        <v/>
      </c>
      <c r="KC42" s="18">
        <f>IF(286&lt;DeliverStart,0,KB$42+KC$41)</f>
        <v/>
      </c>
      <c r="KD42" s="18">
        <f>IF(287&lt;DeliverStart,0,KC$42+KD$41)</f>
        <v/>
      </c>
      <c r="KE42" s="18">
        <f>IF(288&lt;DeliverStart,0,KD$42+KE$41)</f>
        <v/>
      </c>
      <c r="KF42" s="18">
        <f>IF(289&lt;DeliverStart,0,KE$42+KF$41)</f>
        <v/>
      </c>
      <c r="KG42" s="18">
        <f>IF(290&lt;DeliverStart,0,KF$42+KG$41)</f>
        <v/>
      </c>
      <c r="KH42" s="18">
        <f>IF(291&lt;DeliverStart,0,KG$42+KH$41)</f>
        <v/>
      </c>
      <c r="KI42" s="18">
        <f>IF(292&lt;DeliverStart,0,KH$42+KI$41)</f>
        <v/>
      </c>
      <c r="KJ42" s="18">
        <f>IF(293&lt;DeliverStart,0,KI$42+KJ$41)</f>
        <v/>
      </c>
      <c r="KK42" s="18">
        <f>IF(294&lt;DeliverStart,0,KJ$42+KK$41)</f>
        <v/>
      </c>
      <c r="KL42" s="18">
        <f>IF(295&lt;DeliverStart,0,KK$42+KL$41)</f>
        <v/>
      </c>
      <c r="KM42" s="18">
        <f>IF(296&lt;DeliverStart,0,KL$42+KM$41)</f>
        <v/>
      </c>
      <c r="KN42" s="18">
        <f>IF(297&lt;DeliverStart,0,KM$42+KN$41)</f>
        <v/>
      </c>
      <c r="KO42" s="18">
        <f>IF(298&lt;DeliverStart,0,KN$42+KO$41)</f>
        <v/>
      </c>
      <c r="KP42" s="18">
        <f>IF(299&lt;DeliverStart,0,KO$42+KP$41)</f>
        <v/>
      </c>
      <c r="KQ42" s="18">
        <f>IF(300&lt;DeliverStart,0,KP$42+KQ$41)</f>
        <v/>
      </c>
      <c r="KR42" s="18">
        <f>IF(301&lt;DeliverStart,0,KQ$42+KR$41)</f>
        <v/>
      </c>
      <c r="KS42" s="18">
        <f>IF(302&lt;DeliverStart,0,KR$42+KS$41)</f>
        <v/>
      </c>
      <c r="KT42" s="18">
        <f>IF(303&lt;DeliverStart,0,KS$42+KT$41)</f>
        <v/>
      </c>
      <c r="KU42" s="18">
        <f>IF(304&lt;DeliverStart,0,KT$42+KU$41)</f>
        <v/>
      </c>
      <c r="KV42" s="18">
        <f>IF(305&lt;DeliverStart,0,KU$42+KV$41)</f>
        <v/>
      </c>
      <c r="KW42" s="18">
        <f>IF(306&lt;DeliverStart,0,KV$42+KW$41)</f>
        <v/>
      </c>
      <c r="KX42" s="18">
        <f>IF(307&lt;DeliverStart,0,KW$42+KX$41)</f>
        <v/>
      </c>
      <c r="KY42" s="18">
        <f>IF(308&lt;DeliverStart,0,KX$42+KY$41)</f>
        <v/>
      </c>
      <c r="KZ42" s="18">
        <f>IF(309&lt;DeliverStart,0,KY$42+KZ$41)</f>
        <v/>
      </c>
      <c r="LA42" s="18">
        <f>IF(310&lt;DeliverStart,0,KZ$42+LA$41)</f>
        <v/>
      </c>
      <c r="LB42" s="18">
        <f>IF(311&lt;DeliverStart,0,LA$42+LB$41)</f>
        <v/>
      </c>
      <c r="LC42" s="18">
        <f>IF(312&lt;DeliverStart,0,LB$42+LC$41)</f>
        <v/>
      </c>
      <c r="LD42" s="18">
        <f>IF(313&lt;DeliverStart,0,LC$42+LD$41)</f>
        <v/>
      </c>
      <c r="LE42" s="18">
        <f>IF(314&lt;DeliverStart,0,LD$42+LE$41)</f>
        <v/>
      </c>
      <c r="LF42" s="18">
        <f>IF(315&lt;DeliverStart,0,LE$42+LF$41)</f>
        <v/>
      </c>
      <c r="LG42" s="18">
        <f>IF(316&lt;DeliverStart,0,LF$42+LG$41)</f>
        <v/>
      </c>
      <c r="LH42" s="18">
        <f>IF(317&lt;DeliverStart,0,LG$42+LH$41)</f>
        <v/>
      </c>
      <c r="LI42" s="18">
        <f>IF(318&lt;DeliverStart,0,LH$42+LI$41)</f>
        <v/>
      </c>
      <c r="LJ42" s="18">
        <f>IF(319&lt;DeliverStart,0,LI$42+LJ$41)</f>
        <v/>
      </c>
      <c r="LK42" s="18">
        <f>IF(320&lt;DeliverStart,0,LJ$42+LK$41)</f>
        <v/>
      </c>
      <c r="LL42" s="18">
        <f>IF(321&lt;DeliverStart,0,LK$42+LL$41)</f>
        <v/>
      </c>
      <c r="LM42" s="18">
        <f>IF(322&lt;DeliverStart,0,LL$42+LM$41)</f>
        <v/>
      </c>
      <c r="LN42" s="18">
        <f>IF(323&lt;DeliverStart,0,LM$42+LN$41)</f>
        <v/>
      </c>
      <c r="LO42" s="18">
        <f>IF(324&lt;DeliverStart,0,LN$42+LO$41)</f>
        <v/>
      </c>
      <c r="LP42" s="18">
        <f>IF(325&lt;DeliverStart,0,LO$42+LP$41)</f>
        <v/>
      </c>
      <c r="LQ42" s="18">
        <f>IF(326&lt;DeliverStart,0,LP$42+LQ$41)</f>
        <v/>
      </c>
      <c r="LR42" s="18">
        <f>IF(327&lt;DeliverStart,0,LQ$42+LR$41)</f>
        <v/>
      </c>
      <c r="LS42" s="18">
        <f>IF(328&lt;DeliverStart,0,LR$42+LS$41)</f>
        <v/>
      </c>
      <c r="LT42" s="18">
        <f>IF(329&lt;DeliverStart,0,LS$42+LT$41)</f>
        <v/>
      </c>
      <c r="LU42" s="18">
        <f>IF(330&lt;DeliverStart,0,LT$42+LU$41)</f>
        <v/>
      </c>
      <c r="LV42" s="18">
        <f>IF(331&lt;DeliverStart,0,LU$42+LV$41)</f>
        <v/>
      </c>
      <c r="LW42" s="18">
        <f>IF(332&lt;DeliverStart,0,LV$42+LW$41)</f>
        <v/>
      </c>
      <c r="LX42" s="18">
        <f>IF(333&lt;DeliverStart,0,LW$42+LX$41)</f>
        <v/>
      </c>
      <c r="LY42" s="18">
        <f>IF(334&lt;DeliverStart,0,LX$42+LY$41)</f>
        <v/>
      </c>
      <c r="LZ42" s="18">
        <f>IF(335&lt;DeliverStart,0,LY$42+LZ$41)</f>
        <v/>
      </c>
      <c r="MA42" s="18">
        <f>IF(336&lt;DeliverStart,0,LZ$42+MA$41)</f>
        <v/>
      </c>
      <c r="MB42" s="18">
        <f>IF(337&lt;DeliverStart,0,MA$42+MB$41)</f>
        <v/>
      </c>
      <c r="MC42" s="18">
        <f>IF(338&lt;DeliverStart,0,MB$42+MC$41)</f>
        <v/>
      </c>
      <c r="MD42" s="18">
        <f>IF(339&lt;DeliverStart,0,MC$42+MD$41)</f>
        <v/>
      </c>
      <c r="ME42" s="18">
        <f>IF(340&lt;DeliverStart,0,MD$42+ME$41)</f>
        <v/>
      </c>
      <c r="MF42" s="18">
        <f>IF(341&lt;DeliverStart,0,ME$42+MF$41)</f>
        <v/>
      </c>
      <c r="MG42" s="18">
        <f>IF(342&lt;DeliverStart,0,MF$42+MG$41)</f>
        <v/>
      </c>
      <c r="MH42" s="18">
        <f>IF(343&lt;DeliverStart,0,MG$42+MH$41)</f>
        <v/>
      </c>
      <c r="MI42" s="18">
        <f>IF(344&lt;DeliverStart,0,MH$42+MI$41)</f>
        <v/>
      </c>
      <c r="MJ42" s="18">
        <f>IF(345&lt;DeliverStart,0,MI$42+MJ$41)</f>
        <v/>
      </c>
      <c r="MK42" s="18">
        <f>IF(346&lt;DeliverStart,0,MJ$42+MK$41)</f>
        <v/>
      </c>
      <c r="ML42" s="18">
        <f>IF(347&lt;DeliverStart,0,MK$42+ML$41)</f>
        <v/>
      </c>
      <c r="MM42" s="18">
        <f>IF(348&lt;DeliverStart,0,ML$42+MM$41)</f>
        <v/>
      </c>
      <c r="MN42" s="18">
        <f>IF(349&lt;DeliverStart,0,MM$42+MN$41)</f>
        <v/>
      </c>
      <c r="MO42" s="18">
        <f>IF(350&lt;DeliverStart,0,MN$42+MO$41)</f>
        <v/>
      </c>
      <c r="MP42" s="18">
        <f>IF(351&lt;DeliverStart,0,MO$42+MP$41)</f>
        <v/>
      </c>
      <c r="MQ42" s="18">
        <f>IF(352&lt;DeliverStart,0,MP$42+MQ$41)</f>
        <v/>
      </c>
      <c r="MR42" s="18">
        <f>IF(353&lt;DeliverStart,0,MQ$42+MR$41)</f>
        <v/>
      </c>
      <c r="MS42" s="18">
        <f>IF(354&lt;DeliverStart,0,MR$42+MS$41)</f>
        <v/>
      </c>
      <c r="MT42" s="18">
        <f>IF(355&lt;DeliverStart,0,MS$42+MT$41)</f>
        <v/>
      </c>
      <c r="MU42" s="18">
        <f>IF(356&lt;DeliverStart,0,MT$42+MU$41)</f>
        <v/>
      </c>
      <c r="MV42" s="18">
        <f>IF(357&lt;DeliverStart,0,MU$42+MV$41)</f>
        <v/>
      </c>
      <c r="MW42" s="18">
        <f>IF(358&lt;DeliverStart,0,MV$42+MW$41)</f>
        <v/>
      </c>
      <c r="MX42" s="18">
        <f>IF(359&lt;DeliverStart,0,MW$42+MX$41)</f>
        <v/>
      </c>
      <c r="MY42" s="18">
        <f>IF(360&lt;DeliverStart,0,MX$42+MY$41)</f>
        <v/>
      </c>
      <c r="MZ42" s="18">
        <f>IF(361&lt;DeliverStart,0,MY$42+MZ$41)</f>
        <v/>
      </c>
      <c r="NA42" s="18">
        <f>IF(362&lt;DeliverStart,0,MZ$42+NA$41)</f>
        <v/>
      </c>
      <c r="NB42" s="18">
        <f>IF(363&lt;DeliverStart,0,NA$42+NB$41)</f>
        <v/>
      </c>
      <c r="NC42" s="18">
        <f>IF(364&lt;DeliverStart,0,NB$42+NC$41)</f>
        <v/>
      </c>
      <c r="ND42" s="18">
        <f>IF(365&lt;DeliverStart,0,NC$42+ND$41)</f>
        <v/>
      </c>
      <c r="NE42" s="18">
        <f>IF(366&lt;DeliverStart,0,ND$42+NE$41)</f>
        <v/>
      </c>
      <c r="NF42" s="18">
        <f>IF(367&lt;DeliverStart,0,NE$42+NF$41)</f>
        <v/>
      </c>
      <c r="NG42" s="18">
        <f>IF(368&lt;DeliverStart,0,NF$42+NG$41)</f>
        <v/>
      </c>
      <c r="NH42" s="18">
        <f>IF(369&lt;DeliverStart,0,NG$42+NH$41)</f>
        <v/>
      </c>
      <c r="NI42" s="18">
        <f>IF(370&lt;DeliverStart,0,NH$42+NI$41)</f>
        <v/>
      </c>
      <c r="NJ42" s="18">
        <f>IF(371&lt;DeliverStart,0,NI$42+NJ$41)</f>
        <v/>
      </c>
      <c r="NK42" s="18">
        <f>IF(372&lt;DeliverStart,0,NJ$42+NK$41)</f>
        <v/>
      </c>
    </row>
    <row r="43">
      <c r="A43" s="5" t="inlineStr">
        <is>
          <t>Unlevered Operating CF (property)</t>
        </is>
      </c>
      <c r="C43" s="41">
        <f>SUM(D43:NK43)</f>
        <v/>
      </c>
      <c r="D43" s="18">
        <f>IF('Timeline'!D$40=1,D$41,0)</f>
        <v/>
      </c>
      <c r="E43" s="18">
        <f>IF('Timeline'!E$40=1,E$41,0)</f>
        <v/>
      </c>
      <c r="F43" s="18">
        <f>IF('Timeline'!F$40=1,F$41,0)</f>
        <v/>
      </c>
      <c r="G43" s="18">
        <f>IF('Timeline'!G$40=1,G$41,0)</f>
        <v/>
      </c>
      <c r="H43" s="18">
        <f>IF('Timeline'!H$40=1,H$41,0)</f>
        <v/>
      </c>
      <c r="I43" s="18">
        <f>IF('Timeline'!I$40=1,I$41,0)</f>
        <v/>
      </c>
      <c r="J43" s="18">
        <f>IF('Timeline'!J$40=1,J$41,0)</f>
        <v/>
      </c>
      <c r="K43" s="18">
        <f>IF('Timeline'!K$40=1,K$41,0)</f>
        <v/>
      </c>
      <c r="L43" s="18">
        <f>IF('Timeline'!L$40=1,L$41,0)</f>
        <v/>
      </c>
      <c r="M43" s="18">
        <f>IF('Timeline'!M$40=1,M$41,0)</f>
        <v/>
      </c>
      <c r="N43" s="18">
        <f>IF('Timeline'!N$40=1,N$41,0)</f>
        <v/>
      </c>
      <c r="O43" s="18">
        <f>IF('Timeline'!O$40=1,O$41,0)</f>
        <v/>
      </c>
      <c r="P43" s="18">
        <f>IF('Timeline'!P$40=1,P$41,0)</f>
        <v/>
      </c>
      <c r="Q43" s="18">
        <f>IF('Timeline'!Q$40=1,Q$41,0)</f>
        <v/>
      </c>
      <c r="R43" s="18">
        <f>IF('Timeline'!R$40=1,R$41,0)</f>
        <v/>
      </c>
      <c r="S43" s="18">
        <f>IF('Timeline'!S$40=1,S$41,0)</f>
        <v/>
      </c>
      <c r="T43" s="18">
        <f>IF('Timeline'!T$40=1,T$41,0)</f>
        <v/>
      </c>
      <c r="U43" s="18">
        <f>IF('Timeline'!U$40=1,U$41,0)</f>
        <v/>
      </c>
      <c r="V43" s="18">
        <f>IF('Timeline'!V$40=1,V$41,0)</f>
        <v/>
      </c>
      <c r="W43" s="18">
        <f>IF('Timeline'!W$40=1,W$41,0)</f>
        <v/>
      </c>
      <c r="X43" s="18">
        <f>IF('Timeline'!X$40=1,X$41,0)</f>
        <v/>
      </c>
      <c r="Y43" s="18">
        <f>IF('Timeline'!Y$40=1,Y$41,0)</f>
        <v/>
      </c>
      <c r="Z43" s="18">
        <f>IF('Timeline'!Z$40=1,Z$41,0)</f>
        <v/>
      </c>
      <c r="AA43" s="18">
        <f>IF('Timeline'!AA$40=1,AA$41,0)</f>
        <v/>
      </c>
      <c r="AB43" s="18">
        <f>IF('Timeline'!AB$40=1,AB$41,0)</f>
        <v/>
      </c>
      <c r="AC43" s="18">
        <f>IF('Timeline'!AC$40=1,AC$41,0)</f>
        <v/>
      </c>
      <c r="AD43" s="18">
        <f>IF('Timeline'!AD$40=1,AD$41,0)</f>
        <v/>
      </c>
      <c r="AE43" s="18">
        <f>IF('Timeline'!AE$40=1,AE$41,0)</f>
        <v/>
      </c>
      <c r="AF43" s="18">
        <f>IF('Timeline'!AF$40=1,AF$41,0)</f>
        <v/>
      </c>
      <c r="AG43" s="18">
        <f>IF('Timeline'!AG$40=1,AG$41,0)</f>
        <v/>
      </c>
      <c r="AH43" s="18">
        <f>IF('Timeline'!AH$40=1,AH$41,0)</f>
        <v/>
      </c>
      <c r="AI43" s="18">
        <f>IF('Timeline'!AI$40=1,AI$41,0)</f>
        <v/>
      </c>
      <c r="AJ43" s="18">
        <f>IF('Timeline'!AJ$40=1,AJ$41,0)</f>
        <v/>
      </c>
      <c r="AK43" s="18">
        <f>IF('Timeline'!AK$40=1,AK$41,0)</f>
        <v/>
      </c>
      <c r="AL43" s="18">
        <f>IF('Timeline'!AL$40=1,AL$41,0)</f>
        <v/>
      </c>
      <c r="AM43" s="18">
        <f>IF('Timeline'!AM$40=1,AM$41,0)</f>
        <v/>
      </c>
      <c r="AN43" s="18">
        <f>IF('Timeline'!AN$40=1,AN$41,0)</f>
        <v/>
      </c>
      <c r="AO43" s="18">
        <f>IF('Timeline'!AO$40=1,AO$41,0)</f>
        <v/>
      </c>
      <c r="AP43" s="18">
        <f>IF('Timeline'!AP$40=1,AP$41,0)</f>
        <v/>
      </c>
      <c r="AQ43" s="18">
        <f>IF('Timeline'!AQ$40=1,AQ$41,0)</f>
        <v/>
      </c>
      <c r="AR43" s="18">
        <f>IF('Timeline'!AR$40=1,AR$41,0)</f>
        <v/>
      </c>
      <c r="AS43" s="18">
        <f>IF('Timeline'!AS$40=1,AS$41,0)</f>
        <v/>
      </c>
      <c r="AT43" s="18">
        <f>IF('Timeline'!AT$40=1,AT$41,0)</f>
        <v/>
      </c>
      <c r="AU43" s="18">
        <f>IF('Timeline'!AU$40=1,AU$41,0)</f>
        <v/>
      </c>
      <c r="AV43" s="18">
        <f>IF('Timeline'!AV$40=1,AV$41,0)</f>
        <v/>
      </c>
      <c r="AW43" s="18">
        <f>IF('Timeline'!AW$40=1,AW$41,0)</f>
        <v/>
      </c>
      <c r="AX43" s="18">
        <f>IF('Timeline'!AX$40=1,AX$41,0)</f>
        <v/>
      </c>
      <c r="AY43" s="18">
        <f>IF('Timeline'!AY$40=1,AY$41,0)</f>
        <v/>
      </c>
      <c r="AZ43" s="18">
        <f>IF('Timeline'!AZ$40=1,AZ$41,0)</f>
        <v/>
      </c>
      <c r="BA43" s="18">
        <f>IF('Timeline'!BA$40=1,BA$41,0)</f>
        <v/>
      </c>
      <c r="BB43" s="18">
        <f>IF('Timeline'!BB$40=1,BB$41,0)</f>
        <v/>
      </c>
      <c r="BC43" s="18">
        <f>IF('Timeline'!BC$40=1,BC$41,0)</f>
        <v/>
      </c>
      <c r="BD43" s="18">
        <f>IF('Timeline'!BD$40=1,BD$41,0)</f>
        <v/>
      </c>
      <c r="BE43" s="18">
        <f>IF('Timeline'!BE$40=1,BE$41,0)</f>
        <v/>
      </c>
      <c r="BF43" s="18">
        <f>IF('Timeline'!BF$40=1,BF$41,0)</f>
        <v/>
      </c>
      <c r="BG43" s="18">
        <f>IF('Timeline'!BG$40=1,BG$41,0)</f>
        <v/>
      </c>
      <c r="BH43" s="18">
        <f>IF('Timeline'!BH$40=1,BH$41,0)</f>
        <v/>
      </c>
      <c r="BI43" s="18">
        <f>IF('Timeline'!BI$40=1,BI$41,0)</f>
        <v/>
      </c>
      <c r="BJ43" s="18">
        <f>IF('Timeline'!BJ$40=1,BJ$41,0)</f>
        <v/>
      </c>
      <c r="BK43" s="18">
        <f>IF('Timeline'!BK$40=1,BK$41,0)</f>
        <v/>
      </c>
      <c r="BL43" s="18">
        <f>IF('Timeline'!BL$40=1,BL$41,0)</f>
        <v/>
      </c>
      <c r="BM43" s="18">
        <f>IF('Timeline'!BM$40=1,BM$41,0)</f>
        <v/>
      </c>
      <c r="BN43" s="18">
        <f>IF('Timeline'!BN$40=1,BN$41,0)</f>
        <v/>
      </c>
      <c r="BO43" s="18">
        <f>IF('Timeline'!BO$40=1,BO$41,0)</f>
        <v/>
      </c>
      <c r="BP43" s="18">
        <f>IF('Timeline'!BP$40=1,BP$41,0)</f>
        <v/>
      </c>
      <c r="BQ43" s="18">
        <f>IF('Timeline'!BQ$40=1,BQ$41,0)</f>
        <v/>
      </c>
      <c r="BR43" s="18">
        <f>IF('Timeline'!BR$40=1,BR$41,0)</f>
        <v/>
      </c>
      <c r="BS43" s="18">
        <f>IF('Timeline'!BS$40=1,BS$41,0)</f>
        <v/>
      </c>
      <c r="BT43" s="18">
        <f>IF('Timeline'!BT$40=1,BT$41,0)</f>
        <v/>
      </c>
      <c r="BU43" s="18">
        <f>IF('Timeline'!BU$40=1,BU$41,0)</f>
        <v/>
      </c>
      <c r="BV43" s="18">
        <f>IF('Timeline'!BV$40=1,BV$41,0)</f>
        <v/>
      </c>
      <c r="BW43" s="18">
        <f>IF('Timeline'!BW$40=1,BW$41,0)</f>
        <v/>
      </c>
      <c r="BX43" s="18">
        <f>IF('Timeline'!BX$40=1,BX$41,0)</f>
        <v/>
      </c>
      <c r="BY43" s="18">
        <f>IF('Timeline'!BY$40=1,BY$41,0)</f>
        <v/>
      </c>
      <c r="BZ43" s="18">
        <f>IF('Timeline'!BZ$40=1,BZ$41,0)</f>
        <v/>
      </c>
      <c r="CA43" s="18">
        <f>IF('Timeline'!CA$40=1,CA$41,0)</f>
        <v/>
      </c>
      <c r="CB43" s="18">
        <f>IF('Timeline'!CB$40=1,CB$41,0)</f>
        <v/>
      </c>
      <c r="CC43" s="18">
        <f>IF('Timeline'!CC$40=1,CC$41,0)</f>
        <v/>
      </c>
      <c r="CD43" s="18">
        <f>IF('Timeline'!CD$40=1,CD$41,0)</f>
        <v/>
      </c>
      <c r="CE43" s="18">
        <f>IF('Timeline'!CE$40=1,CE$41,0)</f>
        <v/>
      </c>
      <c r="CF43" s="18">
        <f>IF('Timeline'!CF$40=1,CF$41,0)</f>
        <v/>
      </c>
      <c r="CG43" s="18">
        <f>IF('Timeline'!CG$40=1,CG$41,0)</f>
        <v/>
      </c>
      <c r="CH43" s="18">
        <f>IF('Timeline'!CH$40=1,CH$41,0)</f>
        <v/>
      </c>
      <c r="CI43" s="18">
        <f>IF('Timeline'!CI$40=1,CI$41,0)</f>
        <v/>
      </c>
      <c r="CJ43" s="18">
        <f>IF('Timeline'!CJ$40=1,CJ$41,0)</f>
        <v/>
      </c>
      <c r="CK43" s="18">
        <f>IF('Timeline'!CK$40=1,CK$41,0)</f>
        <v/>
      </c>
      <c r="CL43" s="18">
        <f>IF('Timeline'!CL$40=1,CL$41,0)</f>
        <v/>
      </c>
      <c r="CM43" s="18">
        <f>IF('Timeline'!CM$40=1,CM$41,0)</f>
        <v/>
      </c>
      <c r="CN43" s="18">
        <f>IF('Timeline'!CN$40=1,CN$41,0)</f>
        <v/>
      </c>
      <c r="CO43" s="18">
        <f>IF('Timeline'!CO$40=1,CO$41,0)</f>
        <v/>
      </c>
      <c r="CP43" s="18">
        <f>IF('Timeline'!CP$40=1,CP$41,0)</f>
        <v/>
      </c>
      <c r="CQ43" s="18">
        <f>IF('Timeline'!CQ$40=1,CQ$41,0)</f>
        <v/>
      </c>
      <c r="CR43" s="18">
        <f>IF('Timeline'!CR$40=1,CR$41,0)</f>
        <v/>
      </c>
      <c r="CS43" s="18">
        <f>IF('Timeline'!CS$40=1,CS$41,0)</f>
        <v/>
      </c>
      <c r="CT43" s="18">
        <f>IF('Timeline'!CT$40=1,CT$41,0)</f>
        <v/>
      </c>
      <c r="CU43" s="18">
        <f>IF('Timeline'!CU$40=1,CU$41,0)</f>
        <v/>
      </c>
      <c r="CV43" s="18">
        <f>IF('Timeline'!CV$40=1,CV$41,0)</f>
        <v/>
      </c>
      <c r="CW43" s="18">
        <f>IF('Timeline'!CW$40=1,CW$41,0)</f>
        <v/>
      </c>
      <c r="CX43" s="18">
        <f>IF('Timeline'!CX$40=1,CX$41,0)</f>
        <v/>
      </c>
      <c r="CY43" s="18">
        <f>IF('Timeline'!CY$40=1,CY$41,0)</f>
        <v/>
      </c>
      <c r="CZ43" s="18">
        <f>IF('Timeline'!CZ$40=1,CZ$41,0)</f>
        <v/>
      </c>
      <c r="DA43" s="18">
        <f>IF('Timeline'!DA$40=1,DA$41,0)</f>
        <v/>
      </c>
      <c r="DB43" s="18">
        <f>IF('Timeline'!DB$40=1,DB$41,0)</f>
        <v/>
      </c>
      <c r="DC43" s="18">
        <f>IF('Timeline'!DC$40=1,DC$41,0)</f>
        <v/>
      </c>
      <c r="DD43" s="18">
        <f>IF('Timeline'!DD$40=1,DD$41,0)</f>
        <v/>
      </c>
      <c r="DE43" s="18">
        <f>IF('Timeline'!DE$40=1,DE$41,0)</f>
        <v/>
      </c>
      <c r="DF43" s="18">
        <f>IF('Timeline'!DF$40=1,DF$41,0)</f>
        <v/>
      </c>
      <c r="DG43" s="18">
        <f>IF('Timeline'!DG$40=1,DG$41,0)</f>
        <v/>
      </c>
      <c r="DH43" s="18">
        <f>IF('Timeline'!DH$40=1,DH$41,0)</f>
        <v/>
      </c>
      <c r="DI43" s="18">
        <f>IF('Timeline'!DI$40=1,DI$41,0)</f>
        <v/>
      </c>
      <c r="DJ43" s="18">
        <f>IF('Timeline'!DJ$40=1,DJ$41,0)</f>
        <v/>
      </c>
      <c r="DK43" s="18">
        <f>IF('Timeline'!DK$40=1,DK$41,0)</f>
        <v/>
      </c>
      <c r="DL43" s="18">
        <f>IF('Timeline'!DL$40=1,DL$41,0)</f>
        <v/>
      </c>
      <c r="DM43" s="18">
        <f>IF('Timeline'!DM$40=1,DM$41,0)</f>
        <v/>
      </c>
      <c r="DN43" s="18">
        <f>IF('Timeline'!DN$40=1,DN$41,0)</f>
        <v/>
      </c>
      <c r="DO43" s="18">
        <f>IF('Timeline'!DO$40=1,DO$41,0)</f>
        <v/>
      </c>
      <c r="DP43" s="18">
        <f>IF('Timeline'!DP$40=1,DP$41,0)</f>
        <v/>
      </c>
      <c r="DQ43" s="18">
        <f>IF('Timeline'!DQ$40=1,DQ$41,0)</f>
        <v/>
      </c>
      <c r="DR43" s="18">
        <f>IF('Timeline'!DR$40=1,DR$41,0)</f>
        <v/>
      </c>
      <c r="DS43" s="18">
        <f>IF('Timeline'!DS$40=1,DS$41,0)</f>
        <v/>
      </c>
      <c r="DT43" s="18">
        <f>IF('Timeline'!DT$40=1,DT$41,0)</f>
        <v/>
      </c>
      <c r="DU43" s="18">
        <f>IF('Timeline'!DU$40=1,DU$41,0)</f>
        <v/>
      </c>
      <c r="DV43" s="18">
        <f>IF('Timeline'!DV$40=1,DV$41,0)</f>
        <v/>
      </c>
      <c r="DW43" s="18">
        <f>IF('Timeline'!DW$40=1,DW$41,0)</f>
        <v/>
      </c>
      <c r="DX43" s="18">
        <f>IF('Timeline'!DX$40=1,DX$41,0)</f>
        <v/>
      </c>
      <c r="DY43" s="18">
        <f>IF('Timeline'!DY$40=1,DY$41,0)</f>
        <v/>
      </c>
      <c r="DZ43" s="18">
        <f>IF('Timeline'!DZ$40=1,DZ$41,0)</f>
        <v/>
      </c>
      <c r="EA43" s="18">
        <f>IF('Timeline'!EA$40=1,EA$41,0)</f>
        <v/>
      </c>
      <c r="EB43" s="18">
        <f>IF('Timeline'!EB$40=1,EB$41,0)</f>
        <v/>
      </c>
      <c r="EC43" s="18">
        <f>IF('Timeline'!EC$40=1,EC$41,0)</f>
        <v/>
      </c>
      <c r="ED43" s="18">
        <f>IF('Timeline'!ED$40=1,ED$41,0)</f>
        <v/>
      </c>
      <c r="EE43" s="18">
        <f>IF('Timeline'!EE$40=1,EE$41,0)</f>
        <v/>
      </c>
      <c r="EF43" s="18">
        <f>IF('Timeline'!EF$40=1,EF$41,0)</f>
        <v/>
      </c>
      <c r="EG43" s="18">
        <f>IF('Timeline'!EG$40=1,EG$41,0)</f>
        <v/>
      </c>
      <c r="EH43" s="18">
        <f>IF('Timeline'!EH$40=1,EH$41,0)</f>
        <v/>
      </c>
      <c r="EI43" s="18">
        <f>IF('Timeline'!EI$40=1,EI$41,0)</f>
        <v/>
      </c>
      <c r="EJ43" s="18">
        <f>IF('Timeline'!EJ$40=1,EJ$41,0)</f>
        <v/>
      </c>
      <c r="EK43" s="18">
        <f>IF('Timeline'!EK$40=1,EK$41,0)</f>
        <v/>
      </c>
      <c r="EL43" s="18">
        <f>IF('Timeline'!EL$40=1,EL$41,0)</f>
        <v/>
      </c>
      <c r="EM43" s="18">
        <f>IF('Timeline'!EM$40=1,EM$41,0)</f>
        <v/>
      </c>
      <c r="EN43" s="18">
        <f>IF('Timeline'!EN$40=1,EN$41,0)</f>
        <v/>
      </c>
      <c r="EO43" s="18">
        <f>IF('Timeline'!EO$40=1,EO$41,0)</f>
        <v/>
      </c>
      <c r="EP43" s="18">
        <f>IF('Timeline'!EP$40=1,EP$41,0)</f>
        <v/>
      </c>
      <c r="EQ43" s="18">
        <f>IF('Timeline'!EQ$40=1,EQ$41,0)</f>
        <v/>
      </c>
      <c r="ER43" s="18">
        <f>IF('Timeline'!ER$40=1,ER$41,0)</f>
        <v/>
      </c>
      <c r="ES43" s="18">
        <f>IF('Timeline'!ES$40=1,ES$41,0)</f>
        <v/>
      </c>
      <c r="ET43" s="18">
        <f>IF('Timeline'!ET$40=1,ET$41,0)</f>
        <v/>
      </c>
      <c r="EU43" s="18">
        <f>IF('Timeline'!EU$40=1,EU$41,0)</f>
        <v/>
      </c>
      <c r="EV43" s="18">
        <f>IF('Timeline'!EV$40=1,EV$41,0)</f>
        <v/>
      </c>
      <c r="EW43" s="18">
        <f>IF('Timeline'!EW$40=1,EW$41,0)</f>
        <v/>
      </c>
      <c r="EX43" s="18">
        <f>IF('Timeline'!EX$40=1,EX$41,0)</f>
        <v/>
      </c>
      <c r="EY43" s="18">
        <f>IF('Timeline'!EY$40=1,EY$41,0)</f>
        <v/>
      </c>
      <c r="EZ43" s="18">
        <f>IF('Timeline'!EZ$40=1,EZ$41,0)</f>
        <v/>
      </c>
      <c r="FA43" s="18">
        <f>IF('Timeline'!FA$40=1,FA$41,0)</f>
        <v/>
      </c>
      <c r="FB43" s="18">
        <f>IF('Timeline'!FB$40=1,FB$41,0)</f>
        <v/>
      </c>
      <c r="FC43" s="18">
        <f>IF('Timeline'!FC$40=1,FC$41,0)</f>
        <v/>
      </c>
      <c r="FD43" s="18">
        <f>IF('Timeline'!FD$40=1,FD$41,0)</f>
        <v/>
      </c>
      <c r="FE43" s="18">
        <f>IF('Timeline'!FE$40=1,FE$41,0)</f>
        <v/>
      </c>
      <c r="FF43" s="18">
        <f>IF('Timeline'!FF$40=1,FF$41,0)</f>
        <v/>
      </c>
      <c r="FG43" s="18">
        <f>IF('Timeline'!FG$40=1,FG$41,0)</f>
        <v/>
      </c>
      <c r="FH43" s="18">
        <f>IF('Timeline'!FH$40=1,FH$41,0)</f>
        <v/>
      </c>
      <c r="FI43" s="18">
        <f>IF('Timeline'!FI$40=1,FI$41,0)</f>
        <v/>
      </c>
      <c r="FJ43" s="18">
        <f>IF('Timeline'!FJ$40=1,FJ$41,0)</f>
        <v/>
      </c>
      <c r="FK43" s="18">
        <f>IF('Timeline'!FK$40=1,FK$41,0)</f>
        <v/>
      </c>
      <c r="FL43" s="18">
        <f>IF('Timeline'!FL$40=1,FL$41,0)</f>
        <v/>
      </c>
      <c r="FM43" s="18">
        <f>IF('Timeline'!FM$40=1,FM$41,0)</f>
        <v/>
      </c>
      <c r="FN43" s="18">
        <f>IF('Timeline'!FN$40=1,FN$41,0)</f>
        <v/>
      </c>
      <c r="FO43" s="18">
        <f>IF('Timeline'!FO$40=1,FO$41,0)</f>
        <v/>
      </c>
      <c r="FP43" s="18">
        <f>IF('Timeline'!FP$40=1,FP$41,0)</f>
        <v/>
      </c>
      <c r="FQ43" s="18">
        <f>IF('Timeline'!FQ$40=1,FQ$41,0)</f>
        <v/>
      </c>
      <c r="FR43" s="18">
        <f>IF('Timeline'!FR$40=1,FR$41,0)</f>
        <v/>
      </c>
      <c r="FS43" s="18">
        <f>IF('Timeline'!FS$40=1,FS$41,0)</f>
        <v/>
      </c>
      <c r="FT43" s="18">
        <f>IF('Timeline'!FT$40=1,FT$41,0)</f>
        <v/>
      </c>
      <c r="FU43" s="18">
        <f>IF('Timeline'!FU$40=1,FU$41,0)</f>
        <v/>
      </c>
      <c r="FV43" s="18">
        <f>IF('Timeline'!FV$40=1,FV$41,0)</f>
        <v/>
      </c>
      <c r="FW43" s="18">
        <f>IF('Timeline'!FW$40=1,FW$41,0)</f>
        <v/>
      </c>
      <c r="FX43" s="18">
        <f>IF('Timeline'!FX$40=1,FX$41,0)</f>
        <v/>
      </c>
      <c r="FY43" s="18">
        <f>IF('Timeline'!FY$40=1,FY$41,0)</f>
        <v/>
      </c>
      <c r="FZ43" s="18">
        <f>IF('Timeline'!FZ$40=1,FZ$41,0)</f>
        <v/>
      </c>
      <c r="GA43" s="18">
        <f>IF('Timeline'!GA$40=1,GA$41,0)</f>
        <v/>
      </c>
      <c r="GB43" s="18">
        <f>IF('Timeline'!GB$40=1,GB$41,0)</f>
        <v/>
      </c>
      <c r="GC43" s="18">
        <f>IF('Timeline'!GC$40=1,GC$41,0)</f>
        <v/>
      </c>
      <c r="GD43" s="18">
        <f>IF('Timeline'!GD$40=1,GD$41,0)</f>
        <v/>
      </c>
      <c r="GE43" s="18">
        <f>IF('Timeline'!GE$40=1,GE$41,0)</f>
        <v/>
      </c>
      <c r="GF43" s="18">
        <f>IF('Timeline'!GF$40=1,GF$41,0)</f>
        <v/>
      </c>
      <c r="GG43" s="18">
        <f>IF('Timeline'!GG$40=1,GG$41,0)</f>
        <v/>
      </c>
      <c r="GH43" s="18">
        <f>IF('Timeline'!GH$40=1,GH$41,0)</f>
        <v/>
      </c>
      <c r="GI43" s="18">
        <f>IF('Timeline'!GI$40=1,GI$41,0)</f>
        <v/>
      </c>
      <c r="GJ43" s="18">
        <f>IF('Timeline'!GJ$40=1,GJ$41,0)</f>
        <v/>
      </c>
      <c r="GK43" s="18">
        <f>IF('Timeline'!GK$40=1,GK$41,0)</f>
        <v/>
      </c>
      <c r="GL43" s="18">
        <f>IF('Timeline'!GL$40=1,GL$41,0)</f>
        <v/>
      </c>
      <c r="GM43" s="18">
        <f>IF('Timeline'!GM$40=1,GM$41,0)</f>
        <v/>
      </c>
      <c r="GN43" s="18">
        <f>IF('Timeline'!GN$40=1,GN$41,0)</f>
        <v/>
      </c>
      <c r="GO43" s="18">
        <f>IF('Timeline'!GO$40=1,GO$41,0)</f>
        <v/>
      </c>
      <c r="GP43" s="18">
        <f>IF('Timeline'!GP$40=1,GP$41,0)</f>
        <v/>
      </c>
      <c r="GQ43" s="18">
        <f>IF('Timeline'!GQ$40=1,GQ$41,0)</f>
        <v/>
      </c>
      <c r="GR43" s="18">
        <f>IF('Timeline'!GR$40=1,GR$41,0)</f>
        <v/>
      </c>
      <c r="GS43" s="18">
        <f>IF('Timeline'!GS$40=1,GS$41,0)</f>
        <v/>
      </c>
      <c r="GT43" s="18">
        <f>IF('Timeline'!GT$40=1,GT$41,0)</f>
        <v/>
      </c>
      <c r="GU43" s="18">
        <f>IF('Timeline'!GU$40=1,GU$41,0)</f>
        <v/>
      </c>
      <c r="GV43" s="18">
        <f>IF('Timeline'!GV$40=1,GV$41,0)</f>
        <v/>
      </c>
      <c r="GW43" s="18">
        <f>IF('Timeline'!GW$40=1,GW$41,0)</f>
        <v/>
      </c>
      <c r="GX43" s="18">
        <f>IF('Timeline'!GX$40=1,GX$41,0)</f>
        <v/>
      </c>
      <c r="GY43" s="18">
        <f>IF('Timeline'!GY$40=1,GY$41,0)</f>
        <v/>
      </c>
      <c r="GZ43" s="18">
        <f>IF('Timeline'!GZ$40=1,GZ$41,0)</f>
        <v/>
      </c>
      <c r="HA43" s="18">
        <f>IF('Timeline'!HA$40=1,HA$41,0)</f>
        <v/>
      </c>
      <c r="HB43" s="18">
        <f>IF('Timeline'!HB$40=1,HB$41,0)</f>
        <v/>
      </c>
      <c r="HC43" s="18">
        <f>IF('Timeline'!HC$40=1,HC$41,0)</f>
        <v/>
      </c>
      <c r="HD43" s="18">
        <f>IF('Timeline'!HD$40=1,HD$41,0)</f>
        <v/>
      </c>
      <c r="HE43" s="18">
        <f>IF('Timeline'!HE$40=1,HE$41,0)</f>
        <v/>
      </c>
      <c r="HF43" s="18">
        <f>IF('Timeline'!HF$40=1,HF$41,0)</f>
        <v/>
      </c>
      <c r="HG43" s="18">
        <f>IF('Timeline'!HG$40=1,HG$41,0)</f>
        <v/>
      </c>
      <c r="HH43" s="18">
        <f>IF('Timeline'!HH$40=1,HH$41,0)</f>
        <v/>
      </c>
      <c r="HI43" s="18">
        <f>IF('Timeline'!HI$40=1,HI$41,0)</f>
        <v/>
      </c>
      <c r="HJ43" s="18">
        <f>IF('Timeline'!HJ$40=1,HJ$41,0)</f>
        <v/>
      </c>
      <c r="HK43" s="18">
        <f>IF('Timeline'!HK$40=1,HK$41,0)</f>
        <v/>
      </c>
      <c r="HL43" s="18">
        <f>IF('Timeline'!HL$40=1,HL$41,0)</f>
        <v/>
      </c>
      <c r="HM43" s="18">
        <f>IF('Timeline'!HM$40=1,HM$41,0)</f>
        <v/>
      </c>
      <c r="HN43" s="18">
        <f>IF('Timeline'!HN$40=1,HN$41,0)</f>
        <v/>
      </c>
      <c r="HO43" s="18">
        <f>IF('Timeline'!HO$40=1,HO$41,0)</f>
        <v/>
      </c>
      <c r="HP43" s="18">
        <f>IF('Timeline'!HP$40=1,HP$41,0)</f>
        <v/>
      </c>
      <c r="HQ43" s="18">
        <f>IF('Timeline'!HQ$40=1,HQ$41,0)</f>
        <v/>
      </c>
      <c r="HR43" s="18">
        <f>IF('Timeline'!HR$40=1,HR$41,0)</f>
        <v/>
      </c>
      <c r="HS43" s="18">
        <f>IF('Timeline'!HS$40=1,HS$41,0)</f>
        <v/>
      </c>
      <c r="HT43" s="18">
        <f>IF('Timeline'!HT$40=1,HT$41,0)</f>
        <v/>
      </c>
      <c r="HU43" s="18">
        <f>IF('Timeline'!HU$40=1,HU$41,0)</f>
        <v/>
      </c>
      <c r="HV43" s="18">
        <f>IF('Timeline'!HV$40=1,HV$41,0)</f>
        <v/>
      </c>
      <c r="HW43" s="18">
        <f>IF('Timeline'!HW$40=1,HW$41,0)</f>
        <v/>
      </c>
      <c r="HX43" s="18">
        <f>IF('Timeline'!HX$40=1,HX$41,0)</f>
        <v/>
      </c>
      <c r="HY43" s="18">
        <f>IF('Timeline'!HY$40=1,HY$41,0)</f>
        <v/>
      </c>
      <c r="HZ43" s="18">
        <f>IF('Timeline'!HZ$40=1,HZ$41,0)</f>
        <v/>
      </c>
      <c r="IA43" s="18">
        <f>IF('Timeline'!IA$40=1,IA$41,0)</f>
        <v/>
      </c>
      <c r="IB43" s="18">
        <f>IF('Timeline'!IB$40=1,IB$41,0)</f>
        <v/>
      </c>
      <c r="IC43" s="18">
        <f>IF('Timeline'!IC$40=1,IC$41,0)</f>
        <v/>
      </c>
      <c r="ID43" s="18">
        <f>IF('Timeline'!ID$40=1,ID$41,0)</f>
        <v/>
      </c>
      <c r="IE43" s="18">
        <f>IF('Timeline'!IE$40=1,IE$41,0)</f>
        <v/>
      </c>
      <c r="IF43" s="18">
        <f>IF('Timeline'!IF$40=1,IF$41,0)</f>
        <v/>
      </c>
      <c r="IG43" s="18">
        <f>IF('Timeline'!IG$40=1,IG$41,0)</f>
        <v/>
      </c>
      <c r="IH43" s="18">
        <f>IF('Timeline'!IH$40=1,IH$41,0)</f>
        <v/>
      </c>
      <c r="II43" s="18">
        <f>IF('Timeline'!II$40=1,II$41,0)</f>
        <v/>
      </c>
      <c r="IJ43" s="18">
        <f>IF('Timeline'!IJ$40=1,IJ$41,0)</f>
        <v/>
      </c>
      <c r="IK43" s="18">
        <f>IF('Timeline'!IK$40=1,IK$41,0)</f>
        <v/>
      </c>
      <c r="IL43" s="18">
        <f>IF('Timeline'!IL$40=1,IL$41,0)</f>
        <v/>
      </c>
      <c r="IM43" s="18">
        <f>IF('Timeline'!IM$40=1,IM$41,0)</f>
        <v/>
      </c>
      <c r="IN43" s="18">
        <f>IF('Timeline'!IN$40=1,IN$41,0)</f>
        <v/>
      </c>
      <c r="IO43" s="18">
        <f>IF('Timeline'!IO$40=1,IO$41,0)</f>
        <v/>
      </c>
      <c r="IP43" s="18">
        <f>IF('Timeline'!IP$40=1,IP$41,0)</f>
        <v/>
      </c>
      <c r="IQ43" s="18">
        <f>IF('Timeline'!IQ$40=1,IQ$41,0)</f>
        <v/>
      </c>
      <c r="IR43" s="18">
        <f>IF('Timeline'!IR$40=1,IR$41,0)</f>
        <v/>
      </c>
      <c r="IS43" s="18">
        <f>IF('Timeline'!IS$40=1,IS$41,0)</f>
        <v/>
      </c>
      <c r="IT43" s="18">
        <f>IF('Timeline'!IT$40=1,IT$41,0)</f>
        <v/>
      </c>
      <c r="IU43" s="18">
        <f>IF('Timeline'!IU$40=1,IU$41,0)</f>
        <v/>
      </c>
      <c r="IV43" s="18">
        <f>IF('Timeline'!IV$40=1,IV$41,0)</f>
        <v/>
      </c>
      <c r="IW43" s="18">
        <f>IF('Timeline'!IW$40=1,IW$41,0)</f>
        <v/>
      </c>
      <c r="IX43" s="18">
        <f>IF('Timeline'!IX$40=1,IX$41,0)</f>
        <v/>
      </c>
      <c r="IY43" s="18">
        <f>IF('Timeline'!IY$40=1,IY$41,0)</f>
        <v/>
      </c>
      <c r="IZ43" s="18">
        <f>IF('Timeline'!IZ$40=1,IZ$41,0)</f>
        <v/>
      </c>
      <c r="JA43" s="18">
        <f>IF('Timeline'!JA$40=1,JA$41,0)</f>
        <v/>
      </c>
      <c r="JB43" s="18">
        <f>IF('Timeline'!JB$40=1,JB$41,0)</f>
        <v/>
      </c>
      <c r="JC43" s="18">
        <f>IF('Timeline'!JC$40=1,JC$41,0)</f>
        <v/>
      </c>
      <c r="JD43" s="18">
        <f>IF('Timeline'!JD$40=1,JD$41,0)</f>
        <v/>
      </c>
      <c r="JE43" s="18">
        <f>IF('Timeline'!JE$40=1,JE$41,0)</f>
        <v/>
      </c>
      <c r="JF43" s="18">
        <f>IF('Timeline'!JF$40=1,JF$41,0)</f>
        <v/>
      </c>
      <c r="JG43" s="18">
        <f>IF('Timeline'!JG$40=1,JG$41,0)</f>
        <v/>
      </c>
      <c r="JH43" s="18">
        <f>IF('Timeline'!JH$40=1,JH$41,0)</f>
        <v/>
      </c>
      <c r="JI43" s="18">
        <f>IF('Timeline'!JI$40=1,JI$41,0)</f>
        <v/>
      </c>
      <c r="JJ43" s="18">
        <f>IF('Timeline'!JJ$40=1,JJ$41,0)</f>
        <v/>
      </c>
      <c r="JK43" s="18">
        <f>IF('Timeline'!JK$40=1,JK$41,0)</f>
        <v/>
      </c>
      <c r="JL43" s="18">
        <f>IF('Timeline'!JL$40=1,JL$41,0)</f>
        <v/>
      </c>
      <c r="JM43" s="18">
        <f>IF('Timeline'!JM$40=1,JM$41,0)</f>
        <v/>
      </c>
      <c r="JN43" s="18">
        <f>IF('Timeline'!JN$40=1,JN$41,0)</f>
        <v/>
      </c>
      <c r="JO43" s="18">
        <f>IF('Timeline'!JO$40=1,JO$41,0)</f>
        <v/>
      </c>
      <c r="JP43" s="18">
        <f>IF('Timeline'!JP$40=1,JP$41,0)</f>
        <v/>
      </c>
      <c r="JQ43" s="18">
        <f>IF('Timeline'!JQ$40=1,JQ$41,0)</f>
        <v/>
      </c>
      <c r="JR43" s="18">
        <f>IF('Timeline'!JR$40=1,JR$41,0)</f>
        <v/>
      </c>
      <c r="JS43" s="18">
        <f>IF('Timeline'!JS$40=1,JS$41,0)</f>
        <v/>
      </c>
      <c r="JT43" s="18">
        <f>IF('Timeline'!JT$40=1,JT$41,0)</f>
        <v/>
      </c>
      <c r="JU43" s="18">
        <f>IF('Timeline'!JU$40=1,JU$41,0)</f>
        <v/>
      </c>
      <c r="JV43" s="18">
        <f>IF('Timeline'!JV$40=1,JV$41,0)</f>
        <v/>
      </c>
      <c r="JW43" s="18">
        <f>IF('Timeline'!JW$40=1,JW$41,0)</f>
        <v/>
      </c>
      <c r="JX43" s="18">
        <f>IF('Timeline'!JX$40=1,JX$41,0)</f>
        <v/>
      </c>
      <c r="JY43" s="18">
        <f>IF('Timeline'!JY$40=1,JY$41,0)</f>
        <v/>
      </c>
      <c r="JZ43" s="18">
        <f>IF('Timeline'!JZ$40=1,JZ$41,0)</f>
        <v/>
      </c>
      <c r="KA43" s="18">
        <f>IF('Timeline'!KA$40=1,KA$41,0)</f>
        <v/>
      </c>
      <c r="KB43" s="18">
        <f>IF('Timeline'!KB$40=1,KB$41,0)</f>
        <v/>
      </c>
      <c r="KC43" s="18">
        <f>IF('Timeline'!KC$40=1,KC$41,0)</f>
        <v/>
      </c>
      <c r="KD43" s="18">
        <f>IF('Timeline'!KD$40=1,KD$41,0)</f>
        <v/>
      </c>
      <c r="KE43" s="18">
        <f>IF('Timeline'!KE$40=1,KE$41,0)</f>
        <v/>
      </c>
      <c r="KF43" s="18">
        <f>IF('Timeline'!KF$40=1,KF$41,0)</f>
        <v/>
      </c>
      <c r="KG43" s="18">
        <f>IF('Timeline'!KG$40=1,KG$41,0)</f>
        <v/>
      </c>
      <c r="KH43" s="18">
        <f>IF('Timeline'!KH$40=1,KH$41,0)</f>
        <v/>
      </c>
      <c r="KI43" s="18">
        <f>IF('Timeline'!KI$40=1,KI$41,0)</f>
        <v/>
      </c>
      <c r="KJ43" s="18">
        <f>IF('Timeline'!KJ$40=1,KJ$41,0)</f>
        <v/>
      </c>
      <c r="KK43" s="18">
        <f>IF('Timeline'!KK$40=1,KK$41,0)</f>
        <v/>
      </c>
      <c r="KL43" s="18">
        <f>IF('Timeline'!KL$40=1,KL$41,0)</f>
        <v/>
      </c>
      <c r="KM43" s="18">
        <f>IF('Timeline'!KM$40=1,KM$41,0)</f>
        <v/>
      </c>
      <c r="KN43" s="18">
        <f>IF('Timeline'!KN$40=1,KN$41,0)</f>
        <v/>
      </c>
      <c r="KO43" s="18">
        <f>IF('Timeline'!KO$40=1,KO$41,0)</f>
        <v/>
      </c>
      <c r="KP43" s="18">
        <f>IF('Timeline'!KP$40=1,KP$41,0)</f>
        <v/>
      </c>
      <c r="KQ43" s="18">
        <f>IF('Timeline'!KQ$40=1,KQ$41,0)</f>
        <v/>
      </c>
      <c r="KR43" s="18">
        <f>IF('Timeline'!KR$40=1,KR$41,0)</f>
        <v/>
      </c>
      <c r="KS43" s="18">
        <f>IF('Timeline'!KS$40=1,KS$41,0)</f>
        <v/>
      </c>
      <c r="KT43" s="18">
        <f>IF('Timeline'!KT$40=1,KT$41,0)</f>
        <v/>
      </c>
      <c r="KU43" s="18">
        <f>IF('Timeline'!KU$40=1,KU$41,0)</f>
        <v/>
      </c>
      <c r="KV43" s="18">
        <f>IF('Timeline'!KV$40=1,KV$41,0)</f>
        <v/>
      </c>
      <c r="KW43" s="18">
        <f>IF('Timeline'!KW$40=1,KW$41,0)</f>
        <v/>
      </c>
      <c r="KX43" s="18">
        <f>IF('Timeline'!KX$40=1,KX$41,0)</f>
        <v/>
      </c>
      <c r="KY43" s="18">
        <f>IF('Timeline'!KY$40=1,KY$41,0)</f>
        <v/>
      </c>
      <c r="KZ43" s="18">
        <f>IF('Timeline'!KZ$40=1,KZ$41,0)</f>
        <v/>
      </c>
      <c r="LA43" s="18">
        <f>IF('Timeline'!LA$40=1,LA$41,0)</f>
        <v/>
      </c>
      <c r="LB43" s="18">
        <f>IF('Timeline'!LB$40=1,LB$41,0)</f>
        <v/>
      </c>
      <c r="LC43" s="18">
        <f>IF('Timeline'!LC$40=1,LC$41,0)</f>
        <v/>
      </c>
      <c r="LD43" s="18">
        <f>IF('Timeline'!LD$40=1,LD$41,0)</f>
        <v/>
      </c>
      <c r="LE43" s="18">
        <f>IF('Timeline'!LE$40=1,LE$41,0)</f>
        <v/>
      </c>
      <c r="LF43" s="18">
        <f>IF('Timeline'!LF$40=1,LF$41,0)</f>
        <v/>
      </c>
      <c r="LG43" s="18">
        <f>IF('Timeline'!LG$40=1,LG$41,0)</f>
        <v/>
      </c>
      <c r="LH43" s="18">
        <f>IF('Timeline'!LH$40=1,LH$41,0)</f>
        <v/>
      </c>
      <c r="LI43" s="18">
        <f>IF('Timeline'!LI$40=1,LI$41,0)</f>
        <v/>
      </c>
      <c r="LJ43" s="18">
        <f>IF('Timeline'!LJ$40=1,LJ$41,0)</f>
        <v/>
      </c>
      <c r="LK43" s="18">
        <f>IF('Timeline'!LK$40=1,LK$41,0)</f>
        <v/>
      </c>
      <c r="LL43" s="18">
        <f>IF('Timeline'!LL$40=1,LL$41,0)</f>
        <v/>
      </c>
      <c r="LM43" s="18">
        <f>IF('Timeline'!LM$40=1,LM$41,0)</f>
        <v/>
      </c>
      <c r="LN43" s="18">
        <f>IF('Timeline'!LN$40=1,LN$41,0)</f>
        <v/>
      </c>
      <c r="LO43" s="18">
        <f>IF('Timeline'!LO$40=1,LO$41,0)</f>
        <v/>
      </c>
      <c r="LP43" s="18">
        <f>IF('Timeline'!LP$40=1,LP$41,0)</f>
        <v/>
      </c>
      <c r="LQ43" s="18">
        <f>IF('Timeline'!LQ$40=1,LQ$41,0)</f>
        <v/>
      </c>
      <c r="LR43" s="18">
        <f>IF('Timeline'!LR$40=1,LR$41,0)</f>
        <v/>
      </c>
      <c r="LS43" s="18">
        <f>IF('Timeline'!LS$40=1,LS$41,0)</f>
        <v/>
      </c>
      <c r="LT43" s="18">
        <f>IF('Timeline'!LT$40=1,LT$41,0)</f>
        <v/>
      </c>
      <c r="LU43" s="18">
        <f>IF('Timeline'!LU$40=1,LU$41,0)</f>
        <v/>
      </c>
      <c r="LV43" s="18">
        <f>IF('Timeline'!LV$40=1,LV$41,0)</f>
        <v/>
      </c>
      <c r="LW43" s="18">
        <f>IF('Timeline'!LW$40=1,LW$41,0)</f>
        <v/>
      </c>
      <c r="LX43" s="18">
        <f>IF('Timeline'!LX$40=1,LX$41,0)</f>
        <v/>
      </c>
      <c r="LY43" s="18">
        <f>IF('Timeline'!LY$40=1,LY$41,0)</f>
        <v/>
      </c>
      <c r="LZ43" s="18">
        <f>IF('Timeline'!LZ$40=1,LZ$41,0)</f>
        <v/>
      </c>
      <c r="MA43" s="18">
        <f>IF('Timeline'!MA$40=1,MA$41,0)</f>
        <v/>
      </c>
      <c r="MB43" s="18">
        <f>IF('Timeline'!MB$40=1,MB$41,0)</f>
        <v/>
      </c>
      <c r="MC43" s="18">
        <f>IF('Timeline'!MC$40=1,MC$41,0)</f>
        <v/>
      </c>
      <c r="MD43" s="18">
        <f>IF('Timeline'!MD$40=1,MD$41,0)</f>
        <v/>
      </c>
      <c r="ME43" s="18">
        <f>IF('Timeline'!ME$40=1,ME$41,0)</f>
        <v/>
      </c>
      <c r="MF43" s="18">
        <f>IF('Timeline'!MF$40=1,MF$41,0)</f>
        <v/>
      </c>
      <c r="MG43" s="18">
        <f>IF('Timeline'!MG$40=1,MG$41,0)</f>
        <v/>
      </c>
      <c r="MH43" s="18">
        <f>IF('Timeline'!MH$40=1,MH$41,0)</f>
        <v/>
      </c>
      <c r="MI43" s="18">
        <f>IF('Timeline'!MI$40=1,MI$41,0)</f>
        <v/>
      </c>
      <c r="MJ43" s="18">
        <f>IF('Timeline'!MJ$40=1,MJ$41,0)</f>
        <v/>
      </c>
      <c r="MK43" s="18">
        <f>IF('Timeline'!MK$40=1,MK$41,0)</f>
        <v/>
      </c>
      <c r="ML43" s="18">
        <f>IF('Timeline'!ML$40=1,ML$41,0)</f>
        <v/>
      </c>
      <c r="MM43" s="18">
        <f>IF('Timeline'!MM$40=1,MM$41,0)</f>
        <v/>
      </c>
      <c r="MN43" s="18">
        <f>IF('Timeline'!MN$40=1,MN$41,0)</f>
        <v/>
      </c>
      <c r="MO43" s="18">
        <f>IF('Timeline'!MO$40=1,MO$41,0)</f>
        <v/>
      </c>
      <c r="MP43" s="18">
        <f>IF('Timeline'!MP$40=1,MP$41,0)</f>
        <v/>
      </c>
      <c r="MQ43" s="18">
        <f>IF('Timeline'!MQ$40=1,MQ$41,0)</f>
        <v/>
      </c>
      <c r="MR43" s="18">
        <f>IF('Timeline'!MR$40=1,MR$41,0)</f>
        <v/>
      </c>
      <c r="MS43" s="18">
        <f>IF('Timeline'!MS$40=1,MS$41,0)</f>
        <v/>
      </c>
      <c r="MT43" s="18">
        <f>IF('Timeline'!MT$40=1,MT$41,0)</f>
        <v/>
      </c>
      <c r="MU43" s="18">
        <f>IF('Timeline'!MU$40=1,MU$41,0)</f>
        <v/>
      </c>
      <c r="MV43" s="18">
        <f>IF('Timeline'!MV$40=1,MV$41,0)</f>
        <v/>
      </c>
      <c r="MW43" s="18">
        <f>IF('Timeline'!MW$40=1,MW$41,0)</f>
        <v/>
      </c>
      <c r="MX43" s="18">
        <f>IF('Timeline'!MX$40=1,MX$41,0)</f>
        <v/>
      </c>
      <c r="MY43" s="18">
        <f>IF('Timeline'!MY$40=1,MY$41,0)</f>
        <v/>
      </c>
      <c r="MZ43" s="18">
        <f>IF('Timeline'!MZ$40=1,MZ$41,0)</f>
        <v/>
      </c>
      <c r="NA43" s="18">
        <f>IF('Timeline'!NA$40=1,NA$41,0)</f>
        <v/>
      </c>
      <c r="NB43" s="18">
        <f>IF('Timeline'!NB$40=1,NB$41,0)</f>
        <v/>
      </c>
      <c r="NC43" s="18">
        <f>IF('Timeline'!NC$40=1,NC$41,0)</f>
        <v/>
      </c>
      <c r="ND43" s="18">
        <f>IF('Timeline'!ND$40=1,ND$41,0)</f>
        <v/>
      </c>
      <c r="NE43" s="18">
        <f>IF('Timeline'!NE$40=1,NE$41,0)</f>
        <v/>
      </c>
      <c r="NF43" s="18">
        <f>IF('Timeline'!NF$40=1,NF$41,0)</f>
        <v/>
      </c>
      <c r="NG43" s="18">
        <f>IF('Timeline'!NG$40=1,NG$41,0)</f>
        <v/>
      </c>
      <c r="NH43" s="18">
        <f>IF('Timeline'!NH$40=1,NH$41,0)</f>
        <v/>
      </c>
      <c r="NI43" s="18">
        <f>IF('Timeline'!NI$40=1,NI$41,0)</f>
        <v/>
      </c>
      <c r="NJ43" s="18">
        <f>IF('Timeline'!NJ$40=1,NJ$41,0)</f>
        <v/>
      </c>
      <c r="NK43" s="18">
        <f>IF('Timeline'!NK$40=1,NK$41,0)</f>
        <v/>
      </c>
    </row>
    <row r="45">
      <c r="A45" s="15" t="inlineStr">
        <is>
          <t>Operating Aggregates &amp; Reserve</t>
        </is>
      </c>
      <c r="B45" s="23" t="n"/>
      <c r="C45" s="23" t="n"/>
    </row>
    <row r="46">
      <c r="A46" s="5" t="inlineStr">
        <is>
          <t>Stabilized NOI (fwd 12mo)</t>
        </is>
      </c>
      <c r="B46" s="30">
        <f>SUM(INDEX(D37:NK37,StabMonth):INDEX(D37:NK37,StabMonth+11))</f>
        <v/>
      </c>
    </row>
    <row r="47">
      <c r="A47" s="5" t="inlineStr">
        <is>
          <t>Year-1 NOI (fwd 12mo from delivery)</t>
        </is>
      </c>
      <c r="B47" s="30">
        <f>SUM(INDEX(D37:NK37,DeliverStart):INDEX(D37:NK37,DeliverStart+11))</f>
        <v/>
      </c>
    </row>
    <row r="48">
      <c r="A48" s="5" t="inlineStr">
        <is>
          <t>Peak Cumulative Lease-Up Shortfall</t>
        </is>
      </c>
      <c r="B48" s="30">
        <f>MIN(0,MIN(INDEX(D42:NK42,DeliverStart):INDEX(D42:NK42,StabMonth)))</f>
        <v/>
      </c>
    </row>
    <row r="49">
      <c r="A49" s="5" t="inlineStr">
        <is>
          <t>Operating Reserve (model-calculated)</t>
        </is>
      </c>
      <c r="B49" s="30">
        <f>MAX(MAX(0,-PeakShort)*OpReserveCoverage,OpReserveMinMonths*INDEX(D36:NK36,StabMonth))</f>
        <v/>
      </c>
    </row>
    <row r="51">
      <c r="A51" s="3" t="inlineStr">
        <is>
          <t>Property Tax Engine</t>
        </is>
      </c>
      <c r="B51" s="4" t="n"/>
      <c r="C51" s="4" t="n"/>
    </row>
    <row r="52">
      <c r="A52" s="5" t="inlineStr">
        <is>
          <t>Effective Tax Rate on Value (operating)</t>
        </is>
      </c>
      <c r="B52" s="54">
        <f>TaxLevyPct*TaxAssessmentPct*TaxValueAdjFactor</f>
        <v/>
      </c>
    </row>
    <row r="53">
      <c r="A53" s="5" t="inlineStr">
        <is>
          <t>Disposition-Period Tax Rate on Value</t>
        </is>
      </c>
      <c r="B53" s="54">
        <f>DispoTaxRatePct</f>
        <v/>
      </c>
    </row>
    <row r="54">
      <c r="A54" s="5" t="inlineStr">
        <is>
          <t>Stabilized Annual Property Tax (fwd 12mo)</t>
        </is>
      </c>
      <c r="B54" s="25">
        <f>SUM(INDEX(D35:NK35,StabMonth):INDEX(D35:NK35,StabMonth+11))</f>
        <v/>
      </c>
    </row>
    <row r="55">
      <c r="A55" s="5" t="inlineStr">
        <is>
          <t>Tax Method (1=value / 0=income)</t>
        </is>
      </c>
      <c r="B55" s="17">
        <f>TaxMethodValue</f>
        <v/>
      </c>
    </row>
    <row r="57">
      <c r="A57" s="15" t="inlineStr">
        <is>
          <t>Long-Term Operating Cash Flow (over hold)</t>
        </is>
      </c>
      <c r="B57" s="23" t="n"/>
      <c r="C57" s="23" t="n"/>
    </row>
    <row r="58">
      <c r="A58" s="5" t="inlineStr">
        <is>
          <t>Σ Operating CF before Debt (property)</t>
        </is>
      </c>
      <c r="B58" s="30">
        <f>'Operating'!$C$41</f>
        <v/>
      </c>
    </row>
    <row r="59">
      <c r="A59" s="5" t="inlineStr">
        <is>
          <t>Σ Unlevered Operating CF (property)</t>
        </is>
      </c>
      <c r="B59" s="30">
        <f>'Operating'!$C$43</f>
        <v/>
      </c>
    </row>
    <row r="60">
      <c r="A60" s="5" t="inlineStr">
        <is>
          <t>Σ NOI over horizon</t>
        </is>
      </c>
      <c r="B60" s="30">
        <f>'Operating'!$C$37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K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Permanent Loan / Refinance Engine</t>
        </is>
      </c>
    </row>
    <row r="3">
      <c r="A3" s="15" t="inlineStr">
        <is>
          <t>Refinance Sizing (min of LTV / Debt Yield / DSCR)</t>
        </is>
      </c>
      <c r="B3" s="23" t="n"/>
      <c r="C3" s="23" t="n"/>
    </row>
    <row r="4">
      <c r="A4" s="5" t="inlineStr">
        <is>
          <t>Refi Forward NOI (12mo)</t>
        </is>
      </c>
      <c r="B4" s="44">
        <f>RefiFlag*SUM(INDEX('Operating'!D$37:'Operating'!NK$37,MAX(1,RefiMonth)):INDEX('Operating'!D$37:'Operating'!NK$37,MAX(1,RefiMonth)+11))</f>
        <v/>
      </c>
    </row>
    <row r="5">
      <c r="A5" s="5" t="inlineStr">
        <is>
          <t>Property Value at Refi</t>
        </is>
      </c>
      <c r="B5" s="44">
        <f>IF(EntryCapRate=0,0,StabNOIrefi/EntryCapRate)</f>
        <v/>
      </c>
    </row>
    <row r="6">
      <c r="A6" s="5" t="inlineStr">
        <is>
          <t>Mortgage Constant (annual)</t>
        </is>
      </c>
      <c r="B6" s="45">
        <f>IF(PermRate=0,12/PermAmortMonths,(PermRate/12)/(1-(1+PermRate/12)^(-PermAmortMonths))*12)</f>
        <v/>
      </c>
    </row>
    <row r="7">
      <c r="A7" s="5" t="inlineStr">
        <is>
          <t>Max Loan by LTV</t>
        </is>
      </c>
      <c r="B7" s="44">
        <f>PermMaxLTV*ValueAtRefi</f>
        <v/>
      </c>
    </row>
    <row r="8">
      <c r="A8" s="5" t="inlineStr">
        <is>
          <t>Max Loan by Debt Yield</t>
        </is>
      </c>
      <c r="B8" s="44">
        <f>IF(PermMinDebtYield=0,0,StabNOIrefi/PermMinDebtYield)</f>
        <v/>
      </c>
    </row>
    <row r="9">
      <c r="A9" s="5" t="inlineStr">
        <is>
          <t>Max Loan by DSCR</t>
        </is>
      </c>
      <c r="B9" s="44">
        <f>IF(MortConst=0,0,StabNOIrefi/(PermMinDSCR*MortConst))</f>
        <v/>
      </c>
    </row>
    <row r="10">
      <c r="A10" s="5" t="inlineStr">
        <is>
          <t>Perm Loan — Max Sized</t>
        </is>
      </c>
      <c r="B10" s="44">
        <f>MIN(MaxLTVperm,MaxDYperm,MaxDSCRperm)</f>
        <v/>
      </c>
    </row>
    <row r="11">
      <c r="A11" s="5" t="inlineStr">
        <is>
          <t>Perm Loan — No-Cash-Out Need</t>
        </is>
      </c>
      <c r="B11" s="44">
        <f>ConPayoffBal/(1-PermPointsPct)</f>
        <v/>
      </c>
    </row>
    <row r="12">
      <c r="A12" s="5" t="inlineStr">
        <is>
          <t>Permanent Loan Amount</t>
        </is>
      </c>
      <c r="B12" s="44">
        <f>RefiFlag*IF(NoCashOut&gt;=1,MIN(PermSized,PermNeedNCO),PermSized)</f>
        <v/>
      </c>
    </row>
    <row r="13">
      <c r="A13" s="5" t="inlineStr">
        <is>
          <t>Permanent Loan Points</t>
        </is>
      </c>
      <c r="B13" s="44">
        <f>PermPointsPct*PermLoan</f>
        <v/>
      </c>
    </row>
    <row r="14">
      <c r="A14" s="5" t="inlineStr">
        <is>
          <t>Net Cash Distribution at Refi</t>
        </is>
      </c>
      <c r="B14" s="44">
        <f>RefiFlag*(PermLoan-ConPayoffBal-PermPoints)</f>
        <v/>
      </c>
    </row>
    <row r="15">
      <c r="A15" s="5" t="inlineStr">
        <is>
          <t>Level Monthly Payment</t>
        </is>
      </c>
      <c r="B15" s="44">
        <f>PermLoan*MortConst/12</f>
        <v/>
      </c>
    </row>
    <row r="17">
      <c r="A17" s="15" t="inlineStr">
        <is>
          <t>Permanent Sizing Tests</t>
        </is>
      </c>
      <c r="B17" s="23" t="n"/>
      <c r="C17" s="23" t="n"/>
    </row>
    <row r="18">
      <c r="A18" s="5" t="inlineStr">
        <is>
          <t>LTV at Loan</t>
        </is>
      </c>
      <c r="B18" s="46">
        <f>IF(ValueAtRefi=0,0,PermLoan/ValueAtRefi)</f>
        <v/>
      </c>
    </row>
    <row r="19">
      <c r="A19" s="5" t="inlineStr">
        <is>
          <t>Debt Yield at Loan</t>
        </is>
      </c>
      <c r="B19" s="46">
        <f>IF(PermLoan=0,0,StabNOIrefi/PermLoan)</f>
        <v/>
      </c>
    </row>
    <row r="20">
      <c r="A20" s="5" t="inlineStr">
        <is>
          <t>DSCR at Loan</t>
        </is>
      </c>
      <c r="B20" s="47">
        <f>IF(PermLoan=0,0,StabNOIrefi/(PermPmt*12))</f>
        <v/>
      </c>
    </row>
    <row r="22">
      <c r="A22" s="3" t="inlineStr">
        <is>
          <t>Monthly Amortization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Monthly Interest Rate</t>
        </is>
      </c>
      <c r="C26" s="48" t="n"/>
      <c r="D26" s="49">
        <f>IF('Timeline'!D$42=1,IF(PermActual360=1,PermRate*D$25/360,PermRate/12),0)</f>
        <v/>
      </c>
      <c r="E26" s="49">
        <f>IF('Timeline'!E$42=1,IF(PermActual360=1,PermRate*E$25/360,PermRate/12),0)</f>
        <v/>
      </c>
      <c r="F26" s="49">
        <f>IF('Timeline'!F$42=1,IF(PermActual360=1,PermRate*F$25/360,PermRate/12),0)</f>
        <v/>
      </c>
      <c r="G26" s="49">
        <f>IF('Timeline'!G$42=1,IF(PermActual360=1,PermRate*G$25/360,PermRate/12),0)</f>
        <v/>
      </c>
      <c r="H26" s="49">
        <f>IF('Timeline'!H$42=1,IF(PermActual360=1,PermRate*H$25/360,PermRate/12),0)</f>
        <v/>
      </c>
      <c r="I26" s="49">
        <f>IF('Timeline'!I$42=1,IF(PermActual360=1,PermRate*I$25/360,PermRate/12),0)</f>
        <v/>
      </c>
      <c r="J26" s="49">
        <f>IF('Timeline'!J$42=1,IF(PermActual360=1,PermRate*J$25/360,PermRate/12),0)</f>
        <v/>
      </c>
      <c r="K26" s="49">
        <f>IF('Timeline'!K$42=1,IF(PermActual360=1,PermRate*K$25/360,PermRate/12),0)</f>
        <v/>
      </c>
      <c r="L26" s="49">
        <f>IF('Timeline'!L$42=1,IF(PermActual360=1,PermRate*L$25/360,PermRate/12),0)</f>
        <v/>
      </c>
      <c r="M26" s="49">
        <f>IF('Timeline'!M$42=1,IF(PermActual360=1,PermRate*M$25/360,PermRate/12),0)</f>
        <v/>
      </c>
      <c r="N26" s="49">
        <f>IF('Timeline'!N$42=1,IF(PermActual360=1,PermRate*N$25/360,PermRate/12),0)</f>
        <v/>
      </c>
      <c r="O26" s="49">
        <f>IF('Timeline'!O$42=1,IF(PermActual360=1,PermRate*O$25/360,PermRate/12),0)</f>
        <v/>
      </c>
      <c r="P26" s="49">
        <f>IF('Timeline'!P$42=1,IF(PermActual360=1,PermRate*P$25/360,PermRate/12),0)</f>
        <v/>
      </c>
      <c r="Q26" s="49">
        <f>IF('Timeline'!Q$42=1,IF(PermActual360=1,PermRate*Q$25/360,PermRate/12),0)</f>
        <v/>
      </c>
      <c r="R26" s="49">
        <f>IF('Timeline'!R$42=1,IF(PermActual360=1,PermRate*R$25/360,PermRate/12),0)</f>
        <v/>
      </c>
      <c r="S26" s="49">
        <f>IF('Timeline'!S$42=1,IF(PermActual360=1,PermRate*S$25/360,PermRate/12),0)</f>
        <v/>
      </c>
      <c r="T26" s="49">
        <f>IF('Timeline'!T$42=1,IF(PermActual360=1,PermRate*T$25/360,PermRate/12),0)</f>
        <v/>
      </c>
      <c r="U26" s="49">
        <f>IF('Timeline'!U$42=1,IF(PermActual360=1,PermRate*U$25/360,PermRate/12),0)</f>
        <v/>
      </c>
      <c r="V26" s="49">
        <f>IF('Timeline'!V$42=1,IF(PermActual360=1,PermRate*V$25/360,PermRate/12),0)</f>
        <v/>
      </c>
      <c r="W26" s="49">
        <f>IF('Timeline'!W$42=1,IF(PermActual360=1,PermRate*W$25/360,PermRate/12),0)</f>
        <v/>
      </c>
      <c r="X26" s="49">
        <f>IF('Timeline'!X$42=1,IF(PermActual360=1,PermRate*X$25/360,PermRate/12),0)</f>
        <v/>
      </c>
      <c r="Y26" s="49">
        <f>IF('Timeline'!Y$42=1,IF(PermActual360=1,PermRate*Y$25/360,PermRate/12),0)</f>
        <v/>
      </c>
      <c r="Z26" s="49">
        <f>IF('Timeline'!Z$42=1,IF(PermActual360=1,PermRate*Z$25/360,PermRate/12),0)</f>
        <v/>
      </c>
      <c r="AA26" s="49">
        <f>IF('Timeline'!AA$42=1,IF(PermActual360=1,PermRate*AA$25/360,PermRate/12),0)</f>
        <v/>
      </c>
      <c r="AB26" s="49">
        <f>IF('Timeline'!AB$42=1,IF(PermActual360=1,PermRate*AB$25/360,PermRate/12),0)</f>
        <v/>
      </c>
      <c r="AC26" s="49">
        <f>IF('Timeline'!AC$42=1,IF(PermActual360=1,PermRate*AC$25/360,PermRate/12),0)</f>
        <v/>
      </c>
      <c r="AD26" s="49">
        <f>IF('Timeline'!AD$42=1,IF(PermActual360=1,PermRate*AD$25/360,PermRate/12),0)</f>
        <v/>
      </c>
      <c r="AE26" s="49">
        <f>IF('Timeline'!AE$42=1,IF(PermActual360=1,PermRate*AE$25/360,PermRate/12),0)</f>
        <v/>
      </c>
      <c r="AF26" s="49">
        <f>IF('Timeline'!AF$42=1,IF(PermActual360=1,PermRate*AF$25/360,PermRate/12),0)</f>
        <v/>
      </c>
      <c r="AG26" s="49">
        <f>IF('Timeline'!AG$42=1,IF(PermActual360=1,PermRate*AG$25/360,PermRate/12),0)</f>
        <v/>
      </c>
      <c r="AH26" s="49">
        <f>IF('Timeline'!AH$42=1,IF(PermActual360=1,PermRate*AH$25/360,PermRate/12),0)</f>
        <v/>
      </c>
      <c r="AI26" s="49">
        <f>IF('Timeline'!AI$42=1,IF(PermActual360=1,PermRate*AI$25/360,PermRate/12),0)</f>
        <v/>
      </c>
      <c r="AJ26" s="49">
        <f>IF('Timeline'!AJ$42=1,IF(PermActual360=1,PermRate*AJ$25/360,PermRate/12),0)</f>
        <v/>
      </c>
      <c r="AK26" s="49">
        <f>IF('Timeline'!AK$42=1,IF(PermActual360=1,PermRate*AK$25/360,PermRate/12),0)</f>
        <v/>
      </c>
      <c r="AL26" s="49">
        <f>IF('Timeline'!AL$42=1,IF(PermActual360=1,PermRate*AL$25/360,PermRate/12),0)</f>
        <v/>
      </c>
      <c r="AM26" s="49">
        <f>IF('Timeline'!AM$42=1,IF(PermActual360=1,PermRate*AM$25/360,PermRate/12),0)</f>
        <v/>
      </c>
      <c r="AN26" s="49">
        <f>IF('Timeline'!AN$42=1,IF(PermActual360=1,PermRate*AN$25/360,PermRate/12),0)</f>
        <v/>
      </c>
      <c r="AO26" s="49">
        <f>IF('Timeline'!AO$42=1,IF(PermActual360=1,PermRate*AO$25/360,PermRate/12),0)</f>
        <v/>
      </c>
      <c r="AP26" s="49">
        <f>IF('Timeline'!AP$42=1,IF(PermActual360=1,PermRate*AP$25/360,PermRate/12),0)</f>
        <v/>
      </c>
      <c r="AQ26" s="49">
        <f>IF('Timeline'!AQ$42=1,IF(PermActual360=1,PermRate*AQ$25/360,PermRate/12),0)</f>
        <v/>
      </c>
      <c r="AR26" s="49">
        <f>IF('Timeline'!AR$42=1,IF(PermActual360=1,PermRate*AR$25/360,PermRate/12),0)</f>
        <v/>
      </c>
      <c r="AS26" s="49">
        <f>IF('Timeline'!AS$42=1,IF(PermActual360=1,PermRate*AS$25/360,PermRate/12),0)</f>
        <v/>
      </c>
      <c r="AT26" s="49">
        <f>IF('Timeline'!AT$42=1,IF(PermActual360=1,PermRate*AT$25/360,PermRate/12),0)</f>
        <v/>
      </c>
      <c r="AU26" s="49">
        <f>IF('Timeline'!AU$42=1,IF(PermActual360=1,PermRate*AU$25/360,PermRate/12),0)</f>
        <v/>
      </c>
      <c r="AV26" s="49">
        <f>IF('Timeline'!AV$42=1,IF(PermActual360=1,PermRate*AV$25/360,PermRate/12),0)</f>
        <v/>
      </c>
      <c r="AW26" s="49">
        <f>IF('Timeline'!AW$42=1,IF(PermActual360=1,PermRate*AW$25/360,PermRate/12),0)</f>
        <v/>
      </c>
      <c r="AX26" s="49">
        <f>IF('Timeline'!AX$42=1,IF(PermActual360=1,PermRate*AX$25/360,PermRate/12),0)</f>
        <v/>
      </c>
      <c r="AY26" s="49">
        <f>IF('Timeline'!AY$42=1,IF(PermActual360=1,PermRate*AY$25/360,PermRate/12),0)</f>
        <v/>
      </c>
      <c r="AZ26" s="49">
        <f>IF('Timeline'!AZ$42=1,IF(PermActual360=1,PermRate*AZ$25/360,PermRate/12),0)</f>
        <v/>
      </c>
      <c r="BA26" s="49">
        <f>IF('Timeline'!BA$42=1,IF(PermActual360=1,PermRate*BA$25/360,PermRate/12),0)</f>
        <v/>
      </c>
      <c r="BB26" s="49">
        <f>IF('Timeline'!BB$42=1,IF(PermActual360=1,PermRate*BB$25/360,PermRate/12),0)</f>
        <v/>
      </c>
      <c r="BC26" s="49">
        <f>IF('Timeline'!BC$42=1,IF(PermActual360=1,PermRate*BC$25/360,PermRate/12),0)</f>
        <v/>
      </c>
      <c r="BD26" s="49">
        <f>IF('Timeline'!BD$42=1,IF(PermActual360=1,PermRate*BD$25/360,PermRate/12),0)</f>
        <v/>
      </c>
      <c r="BE26" s="49">
        <f>IF('Timeline'!BE$42=1,IF(PermActual360=1,PermRate*BE$25/360,PermRate/12),0)</f>
        <v/>
      </c>
      <c r="BF26" s="49">
        <f>IF('Timeline'!BF$42=1,IF(PermActual360=1,PermRate*BF$25/360,PermRate/12),0)</f>
        <v/>
      </c>
      <c r="BG26" s="49">
        <f>IF('Timeline'!BG$42=1,IF(PermActual360=1,PermRate*BG$25/360,PermRate/12),0)</f>
        <v/>
      </c>
      <c r="BH26" s="49">
        <f>IF('Timeline'!BH$42=1,IF(PermActual360=1,PermRate*BH$25/360,PermRate/12),0)</f>
        <v/>
      </c>
      <c r="BI26" s="49">
        <f>IF('Timeline'!BI$42=1,IF(PermActual360=1,PermRate*BI$25/360,PermRate/12),0)</f>
        <v/>
      </c>
      <c r="BJ26" s="49">
        <f>IF('Timeline'!BJ$42=1,IF(PermActual360=1,PermRate*BJ$25/360,PermRate/12),0)</f>
        <v/>
      </c>
      <c r="BK26" s="49">
        <f>IF('Timeline'!BK$42=1,IF(PermActual360=1,PermRate*BK$25/360,PermRate/12),0)</f>
        <v/>
      </c>
      <c r="BL26" s="49">
        <f>IF('Timeline'!BL$42=1,IF(PermActual360=1,PermRate*BL$25/360,PermRate/12),0)</f>
        <v/>
      </c>
      <c r="BM26" s="49">
        <f>IF('Timeline'!BM$42=1,IF(PermActual360=1,PermRate*BM$25/360,PermRate/12),0)</f>
        <v/>
      </c>
      <c r="BN26" s="49">
        <f>IF('Timeline'!BN$42=1,IF(PermActual360=1,PermRate*BN$25/360,PermRate/12),0)</f>
        <v/>
      </c>
      <c r="BO26" s="49">
        <f>IF('Timeline'!BO$42=1,IF(PermActual360=1,PermRate*BO$25/360,PermRate/12),0)</f>
        <v/>
      </c>
      <c r="BP26" s="49">
        <f>IF('Timeline'!BP$42=1,IF(PermActual360=1,PermRate*BP$25/360,PermRate/12),0)</f>
        <v/>
      </c>
      <c r="BQ26" s="49">
        <f>IF('Timeline'!BQ$42=1,IF(PermActual360=1,PermRate*BQ$25/360,PermRate/12),0)</f>
        <v/>
      </c>
      <c r="BR26" s="49">
        <f>IF('Timeline'!BR$42=1,IF(PermActual360=1,PermRate*BR$25/360,PermRate/12),0)</f>
        <v/>
      </c>
      <c r="BS26" s="49">
        <f>IF('Timeline'!BS$42=1,IF(PermActual360=1,PermRate*BS$25/360,PermRate/12),0)</f>
        <v/>
      </c>
      <c r="BT26" s="49">
        <f>IF('Timeline'!BT$42=1,IF(PermActual360=1,PermRate*BT$25/360,PermRate/12),0)</f>
        <v/>
      </c>
      <c r="BU26" s="49">
        <f>IF('Timeline'!BU$42=1,IF(PermActual360=1,PermRate*BU$25/360,PermRate/12),0)</f>
        <v/>
      </c>
      <c r="BV26" s="49">
        <f>IF('Timeline'!BV$42=1,IF(PermActual360=1,PermRate*BV$25/360,PermRate/12),0)</f>
        <v/>
      </c>
      <c r="BW26" s="49">
        <f>IF('Timeline'!BW$42=1,IF(PermActual360=1,PermRate*BW$25/360,PermRate/12),0)</f>
        <v/>
      </c>
      <c r="BX26" s="49">
        <f>IF('Timeline'!BX$42=1,IF(PermActual360=1,PermRate*BX$25/360,PermRate/12),0)</f>
        <v/>
      </c>
      <c r="BY26" s="49">
        <f>IF('Timeline'!BY$42=1,IF(PermActual360=1,PermRate*BY$25/360,PermRate/12),0)</f>
        <v/>
      </c>
      <c r="BZ26" s="49">
        <f>IF('Timeline'!BZ$42=1,IF(PermActual360=1,PermRate*BZ$25/360,PermRate/12),0)</f>
        <v/>
      </c>
      <c r="CA26" s="49">
        <f>IF('Timeline'!CA$42=1,IF(PermActual360=1,PermRate*CA$25/360,PermRate/12),0)</f>
        <v/>
      </c>
      <c r="CB26" s="49">
        <f>IF('Timeline'!CB$42=1,IF(PermActual360=1,PermRate*CB$25/360,PermRate/12),0)</f>
        <v/>
      </c>
      <c r="CC26" s="49">
        <f>IF('Timeline'!CC$42=1,IF(PermActual360=1,PermRate*CC$25/360,PermRate/12),0)</f>
        <v/>
      </c>
      <c r="CD26" s="49">
        <f>IF('Timeline'!CD$42=1,IF(PermActual360=1,PermRate*CD$25/360,PermRate/12),0)</f>
        <v/>
      </c>
      <c r="CE26" s="49">
        <f>IF('Timeline'!CE$42=1,IF(PermActual360=1,PermRate*CE$25/360,PermRate/12),0)</f>
        <v/>
      </c>
      <c r="CF26" s="49">
        <f>IF('Timeline'!CF$42=1,IF(PermActual360=1,PermRate*CF$25/360,PermRate/12),0)</f>
        <v/>
      </c>
      <c r="CG26" s="49">
        <f>IF('Timeline'!CG$42=1,IF(PermActual360=1,PermRate*CG$25/360,PermRate/12),0)</f>
        <v/>
      </c>
      <c r="CH26" s="49">
        <f>IF('Timeline'!CH$42=1,IF(PermActual360=1,PermRate*CH$25/360,PermRate/12),0)</f>
        <v/>
      </c>
      <c r="CI26" s="49">
        <f>IF('Timeline'!CI$42=1,IF(PermActual360=1,PermRate*CI$25/360,PermRate/12),0)</f>
        <v/>
      </c>
      <c r="CJ26" s="49">
        <f>IF('Timeline'!CJ$42=1,IF(PermActual360=1,PermRate*CJ$25/360,PermRate/12),0)</f>
        <v/>
      </c>
      <c r="CK26" s="49">
        <f>IF('Timeline'!CK$42=1,IF(PermActual360=1,PermRate*CK$25/360,PermRate/12),0)</f>
        <v/>
      </c>
      <c r="CL26" s="49">
        <f>IF('Timeline'!CL$42=1,IF(PermActual360=1,PermRate*CL$25/360,PermRate/12),0)</f>
        <v/>
      </c>
      <c r="CM26" s="49">
        <f>IF('Timeline'!CM$42=1,IF(PermActual360=1,PermRate*CM$25/360,PermRate/12),0)</f>
        <v/>
      </c>
      <c r="CN26" s="49">
        <f>IF('Timeline'!CN$42=1,IF(PermActual360=1,PermRate*CN$25/360,PermRate/12),0)</f>
        <v/>
      </c>
      <c r="CO26" s="49">
        <f>IF('Timeline'!CO$42=1,IF(PermActual360=1,PermRate*CO$25/360,PermRate/12),0)</f>
        <v/>
      </c>
      <c r="CP26" s="49">
        <f>IF('Timeline'!CP$42=1,IF(PermActual360=1,PermRate*CP$25/360,PermRate/12),0)</f>
        <v/>
      </c>
      <c r="CQ26" s="49">
        <f>IF('Timeline'!CQ$42=1,IF(PermActual360=1,PermRate*CQ$25/360,PermRate/12),0)</f>
        <v/>
      </c>
      <c r="CR26" s="49">
        <f>IF('Timeline'!CR$42=1,IF(PermActual360=1,PermRate*CR$25/360,PermRate/12),0)</f>
        <v/>
      </c>
      <c r="CS26" s="49">
        <f>IF('Timeline'!CS$42=1,IF(PermActual360=1,PermRate*CS$25/360,PermRate/12),0)</f>
        <v/>
      </c>
      <c r="CT26" s="49">
        <f>IF('Timeline'!CT$42=1,IF(PermActual360=1,PermRate*CT$25/360,PermRate/12),0)</f>
        <v/>
      </c>
      <c r="CU26" s="49">
        <f>IF('Timeline'!CU$42=1,IF(PermActual360=1,PermRate*CU$25/360,PermRate/12),0)</f>
        <v/>
      </c>
      <c r="CV26" s="49">
        <f>IF('Timeline'!CV$42=1,IF(PermActual360=1,PermRate*CV$25/360,PermRate/12),0)</f>
        <v/>
      </c>
      <c r="CW26" s="49">
        <f>IF('Timeline'!CW$42=1,IF(PermActual360=1,PermRate*CW$25/360,PermRate/12),0)</f>
        <v/>
      </c>
      <c r="CX26" s="49">
        <f>IF('Timeline'!CX$42=1,IF(PermActual360=1,PermRate*CX$25/360,PermRate/12),0)</f>
        <v/>
      </c>
      <c r="CY26" s="49">
        <f>IF('Timeline'!CY$42=1,IF(PermActual360=1,PermRate*CY$25/360,PermRate/12),0)</f>
        <v/>
      </c>
      <c r="CZ26" s="49">
        <f>IF('Timeline'!CZ$42=1,IF(PermActual360=1,PermRate*CZ$25/360,PermRate/12),0)</f>
        <v/>
      </c>
      <c r="DA26" s="49">
        <f>IF('Timeline'!DA$42=1,IF(PermActual360=1,PermRate*DA$25/360,PermRate/12),0)</f>
        <v/>
      </c>
      <c r="DB26" s="49">
        <f>IF('Timeline'!DB$42=1,IF(PermActual360=1,PermRate*DB$25/360,PermRate/12),0)</f>
        <v/>
      </c>
      <c r="DC26" s="49">
        <f>IF('Timeline'!DC$42=1,IF(PermActual360=1,PermRate*DC$25/360,PermRate/12),0)</f>
        <v/>
      </c>
      <c r="DD26" s="49">
        <f>IF('Timeline'!DD$42=1,IF(PermActual360=1,PermRate*DD$25/360,PermRate/12),0)</f>
        <v/>
      </c>
      <c r="DE26" s="49">
        <f>IF('Timeline'!DE$42=1,IF(PermActual360=1,PermRate*DE$25/360,PermRate/12),0)</f>
        <v/>
      </c>
      <c r="DF26" s="49">
        <f>IF('Timeline'!DF$42=1,IF(PermActual360=1,PermRate*DF$25/360,PermRate/12),0)</f>
        <v/>
      </c>
      <c r="DG26" s="49">
        <f>IF('Timeline'!DG$42=1,IF(PermActual360=1,PermRate*DG$25/360,PermRate/12),0)</f>
        <v/>
      </c>
      <c r="DH26" s="49">
        <f>IF('Timeline'!DH$42=1,IF(PermActual360=1,PermRate*DH$25/360,PermRate/12),0)</f>
        <v/>
      </c>
      <c r="DI26" s="49">
        <f>IF('Timeline'!DI$42=1,IF(PermActual360=1,PermRate*DI$25/360,PermRate/12),0)</f>
        <v/>
      </c>
      <c r="DJ26" s="49">
        <f>IF('Timeline'!DJ$42=1,IF(PermActual360=1,PermRate*DJ$25/360,PermRate/12),0)</f>
        <v/>
      </c>
      <c r="DK26" s="49">
        <f>IF('Timeline'!DK$42=1,IF(PermActual360=1,PermRate*DK$25/360,PermRate/12),0)</f>
        <v/>
      </c>
      <c r="DL26" s="49">
        <f>IF('Timeline'!DL$42=1,IF(PermActual360=1,PermRate*DL$25/360,PermRate/12),0)</f>
        <v/>
      </c>
      <c r="DM26" s="49">
        <f>IF('Timeline'!DM$42=1,IF(PermActual360=1,PermRate*DM$25/360,PermRate/12),0)</f>
        <v/>
      </c>
      <c r="DN26" s="49">
        <f>IF('Timeline'!DN$42=1,IF(PermActual360=1,PermRate*DN$25/360,PermRate/12),0)</f>
        <v/>
      </c>
      <c r="DO26" s="49">
        <f>IF('Timeline'!DO$42=1,IF(PermActual360=1,PermRate*DO$25/360,PermRate/12),0)</f>
        <v/>
      </c>
      <c r="DP26" s="49">
        <f>IF('Timeline'!DP$42=1,IF(PermActual360=1,PermRate*DP$25/360,PermRate/12),0)</f>
        <v/>
      </c>
      <c r="DQ26" s="49">
        <f>IF('Timeline'!DQ$42=1,IF(PermActual360=1,PermRate*DQ$25/360,PermRate/12),0)</f>
        <v/>
      </c>
      <c r="DR26" s="49">
        <f>IF('Timeline'!DR$42=1,IF(PermActual360=1,PermRate*DR$25/360,PermRate/12),0)</f>
        <v/>
      </c>
      <c r="DS26" s="49">
        <f>IF('Timeline'!DS$42=1,IF(PermActual360=1,PermRate*DS$25/360,PermRate/12),0)</f>
        <v/>
      </c>
      <c r="DT26" s="49">
        <f>IF('Timeline'!DT$42=1,IF(PermActual360=1,PermRate*DT$25/360,PermRate/12),0)</f>
        <v/>
      </c>
      <c r="DU26" s="49">
        <f>IF('Timeline'!DU$42=1,IF(PermActual360=1,PermRate*DU$25/360,PermRate/12),0)</f>
        <v/>
      </c>
      <c r="DV26" s="49">
        <f>IF('Timeline'!DV$42=1,IF(PermActual360=1,PermRate*DV$25/360,PermRate/12),0)</f>
        <v/>
      </c>
      <c r="DW26" s="49">
        <f>IF('Timeline'!DW$42=1,IF(PermActual360=1,PermRate*DW$25/360,PermRate/12),0)</f>
        <v/>
      </c>
      <c r="DX26" s="49">
        <f>IF('Timeline'!DX$42=1,IF(PermActual360=1,PermRate*DX$25/360,PermRate/12),0)</f>
        <v/>
      </c>
      <c r="DY26" s="49">
        <f>IF('Timeline'!DY$42=1,IF(PermActual360=1,PermRate*DY$25/360,PermRate/12),0)</f>
        <v/>
      </c>
      <c r="DZ26" s="49">
        <f>IF('Timeline'!DZ$42=1,IF(PermActual360=1,PermRate*DZ$25/360,PermRate/12),0)</f>
        <v/>
      </c>
      <c r="EA26" s="49">
        <f>IF('Timeline'!EA$42=1,IF(PermActual360=1,PermRate*EA$25/360,PermRate/12),0)</f>
        <v/>
      </c>
      <c r="EB26" s="49">
        <f>IF('Timeline'!EB$42=1,IF(PermActual360=1,PermRate*EB$25/360,PermRate/12),0)</f>
        <v/>
      </c>
      <c r="EC26" s="49">
        <f>IF('Timeline'!EC$42=1,IF(PermActual360=1,PermRate*EC$25/360,PermRate/12),0)</f>
        <v/>
      </c>
      <c r="ED26" s="49">
        <f>IF('Timeline'!ED$42=1,IF(PermActual360=1,PermRate*ED$25/360,PermRate/12),0)</f>
        <v/>
      </c>
      <c r="EE26" s="49">
        <f>IF('Timeline'!EE$42=1,IF(PermActual360=1,PermRate*EE$25/360,PermRate/12),0)</f>
        <v/>
      </c>
      <c r="EF26" s="49">
        <f>IF('Timeline'!EF$42=1,IF(PermActual360=1,PermRate*EF$25/360,PermRate/12),0)</f>
        <v/>
      </c>
      <c r="EG26" s="49">
        <f>IF('Timeline'!EG$42=1,IF(PermActual360=1,PermRate*EG$25/360,PermRate/12),0)</f>
        <v/>
      </c>
      <c r="EH26" s="49">
        <f>IF('Timeline'!EH$42=1,IF(PermActual360=1,PermRate*EH$25/360,PermRate/12),0)</f>
        <v/>
      </c>
      <c r="EI26" s="49">
        <f>IF('Timeline'!EI$42=1,IF(PermActual360=1,PermRate*EI$25/360,PermRate/12),0)</f>
        <v/>
      </c>
      <c r="EJ26" s="49">
        <f>IF('Timeline'!EJ$42=1,IF(PermActual360=1,PermRate*EJ$25/360,PermRate/12),0)</f>
        <v/>
      </c>
      <c r="EK26" s="49">
        <f>IF('Timeline'!EK$42=1,IF(PermActual360=1,PermRate*EK$25/360,PermRate/12),0)</f>
        <v/>
      </c>
      <c r="EL26" s="49">
        <f>IF('Timeline'!EL$42=1,IF(PermActual360=1,PermRate*EL$25/360,PermRate/12),0)</f>
        <v/>
      </c>
      <c r="EM26" s="49">
        <f>IF('Timeline'!EM$42=1,IF(PermActual360=1,PermRate*EM$25/360,PermRate/12),0)</f>
        <v/>
      </c>
      <c r="EN26" s="49">
        <f>IF('Timeline'!EN$42=1,IF(PermActual360=1,PermRate*EN$25/360,PermRate/12),0)</f>
        <v/>
      </c>
      <c r="EO26" s="49">
        <f>IF('Timeline'!EO$42=1,IF(PermActual360=1,PermRate*EO$25/360,PermRate/12),0)</f>
        <v/>
      </c>
      <c r="EP26" s="49">
        <f>IF('Timeline'!EP$42=1,IF(PermActual360=1,PermRate*EP$25/360,PermRate/12),0)</f>
        <v/>
      </c>
      <c r="EQ26" s="49">
        <f>IF('Timeline'!EQ$42=1,IF(PermActual360=1,PermRate*EQ$25/360,PermRate/12),0)</f>
        <v/>
      </c>
      <c r="ER26" s="49">
        <f>IF('Timeline'!ER$42=1,IF(PermActual360=1,PermRate*ER$25/360,PermRate/12),0)</f>
        <v/>
      </c>
      <c r="ES26" s="49">
        <f>IF('Timeline'!ES$42=1,IF(PermActual360=1,PermRate*ES$25/360,PermRate/12),0)</f>
        <v/>
      </c>
      <c r="ET26" s="49">
        <f>IF('Timeline'!ET$42=1,IF(PermActual360=1,PermRate*ET$25/360,PermRate/12),0)</f>
        <v/>
      </c>
      <c r="EU26" s="49">
        <f>IF('Timeline'!EU$42=1,IF(PermActual360=1,PermRate*EU$25/360,PermRate/12),0)</f>
        <v/>
      </c>
      <c r="EV26" s="49">
        <f>IF('Timeline'!EV$42=1,IF(PermActual360=1,PermRate*EV$25/360,PermRate/12),0)</f>
        <v/>
      </c>
      <c r="EW26" s="49">
        <f>IF('Timeline'!EW$42=1,IF(PermActual360=1,PermRate*EW$25/360,PermRate/12),0)</f>
        <v/>
      </c>
      <c r="EX26" s="49">
        <f>IF('Timeline'!EX$42=1,IF(PermActual360=1,PermRate*EX$25/360,PermRate/12),0)</f>
        <v/>
      </c>
      <c r="EY26" s="49">
        <f>IF('Timeline'!EY$42=1,IF(PermActual360=1,PermRate*EY$25/360,PermRate/12),0)</f>
        <v/>
      </c>
      <c r="EZ26" s="49">
        <f>IF('Timeline'!EZ$42=1,IF(PermActual360=1,PermRate*EZ$25/360,PermRate/12),0)</f>
        <v/>
      </c>
      <c r="FA26" s="49">
        <f>IF('Timeline'!FA$42=1,IF(PermActual360=1,PermRate*FA$25/360,PermRate/12),0)</f>
        <v/>
      </c>
      <c r="FB26" s="49">
        <f>IF('Timeline'!FB$42=1,IF(PermActual360=1,PermRate*FB$25/360,PermRate/12),0)</f>
        <v/>
      </c>
      <c r="FC26" s="49">
        <f>IF('Timeline'!FC$42=1,IF(PermActual360=1,PermRate*FC$25/360,PermRate/12),0)</f>
        <v/>
      </c>
      <c r="FD26" s="49">
        <f>IF('Timeline'!FD$42=1,IF(PermActual360=1,PermRate*FD$25/360,PermRate/12),0)</f>
        <v/>
      </c>
      <c r="FE26" s="49">
        <f>IF('Timeline'!FE$42=1,IF(PermActual360=1,PermRate*FE$25/360,PermRate/12),0)</f>
        <v/>
      </c>
      <c r="FF26" s="49">
        <f>IF('Timeline'!FF$42=1,IF(PermActual360=1,PermRate*FF$25/360,PermRate/12),0)</f>
        <v/>
      </c>
      <c r="FG26" s="49">
        <f>IF('Timeline'!FG$42=1,IF(PermActual360=1,PermRate*FG$25/360,PermRate/12),0)</f>
        <v/>
      </c>
      <c r="FH26" s="49">
        <f>IF('Timeline'!FH$42=1,IF(PermActual360=1,PermRate*FH$25/360,PermRate/12),0)</f>
        <v/>
      </c>
      <c r="FI26" s="49">
        <f>IF('Timeline'!FI$42=1,IF(PermActual360=1,PermRate*FI$25/360,PermRate/12),0)</f>
        <v/>
      </c>
      <c r="FJ26" s="49">
        <f>IF('Timeline'!FJ$42=1,IF(PermActual360=1,PermRate*FJ$25/360,PermRate/12),0)</f>
        <v/>
      </c>
      <c r="FK26" s="49">
        <f>IF('Timeline'!FK$42=1,IF(PermActual360=1,PermRate*FK$25/360,PermRate/12),0)</f>
        <v/>
      </c>
      <c r="FL26" s="49">
        <f>IF('Timeline'!FL$42=1,IF(PermActual360=1,PermRate*FL$25/360,PermRate/12),0)</f>
        <v/>
      </c>
      <c r="FM26" s="49">
        <f>IF('Timeline'!FM$42=1,IF(PermActual360=1,PermRate*FM$25/360,PermRate/12),0)</f>
        <v/>
      </c>
      <c r="FN26" s="49">
        <f>IF('Timeline'!FN$42=1,IF(PermActual360=1,PermRate*FN$25/360,PermRate/12),0)</f>
        <v/>
      </c>
      <c r="FO26" s="49">
        <f>IF('Timeline'!FO$42=1,IF(PermActual360=1,PermRate*FO$25/360,PermRate/12),0)</f>
        <v/>
      </c>
      <c r="FP26" s="49">
        <f>IF('Timeline'!FP$42=1,IF(PermActual360=1,PermRate*FP$25/360,PermRate/12),0)</f>
        <v/>
      </c>
      <c r="FQ26" s="49">
        <f>IF('Timeline'!FQ$42=1,IF(PermActual360=1,PermRate*FQ$25/360,PermRate/12),0)</f>
        <v/>
      </c>
      <c r="FR26" s="49">
        <f>IF('Timeline'!FR$42=1,IF(PermActual360=1,PermRate*FR$25/360,PermRate/12),0)</f>
        <v/>
      </c>
      <c r="FS26" s="49">
        <f>IF('Timeline'!FS$42=1,IF(PermActual360=1,PermRate*FS$25/360,PermRate/12),0)</f>
        <v/>
      </c>
      <c r="FT26" s="49">
        <f>IF('Timeline'!FT$42=1,IF(PermActual360=1,PermRate*FT$25/360,PermRate/12),0)</f>
        <v/>
      </c>
      <c r="FU26" s="49">
        <f>IF('Timeline'!FU$42=1,IF(PermActual360=1,PermRate*FU$25/360,PermRate/12),0)</f>
        <v/>
      </c>
      <c r="FV26" s="49">
        <f>IF('Timeline'!FV$42=1,IF(PermActual360=1,PermRate*FV$25/360,PermRate/12),0)</f>
        <v/>
      </c>
      <c r="FW26" s="49">
        <f>IF('Timeline'!FW$42=1,IF(PermActual360=1,PermRate*FW$25/360,PermRate/12),0)</f>
        <v/>
      </c>
      <c r="FX26" s="49">
        <f>IF('Timeline'!FX$42=1,IF(PermActual360=1,PermRate*FX$25/360,PermRate/12),0)</f>
        <v/>
      </c>
      <c r="FY26" s="49">
        <f>IF('Timeline'!FY$42=1,IF(PermActual360=1,PermRate*FY$25/360,PermRate/12),0)</f>
        <v/>
      </c>
      <c r="FZ26" s="49">
        <f>IF('Timeline'!FZ$42=1,IF(PermActual360=1,PermRate*FZ$25/360,PermRate/12),0)</f>
        <v/>
      </c>
      <c r="GA26" s="49">
        <f>IF('Timeline'!GA$42=1,IF(PermActual360=1,PermRate*GA$25/360,PermRate/12),0)</f>
        <v/>
      </c>
      <c r="GB26" s="49">
        <f>IF('Timeline'!GB$42=1,IF(PermActual360=1,PermRate*GB$25/360,PermRate/12),0)</f>
        <v/>
      </c>
      <c r="GC26" s="49">
        <f>IF('Timeline'!GC$42=1,IF(PermActual360=1,PermRate*GC$25/360,PermRate/12),0)</f>
        <v/>
      </c>
      <c r="GD26" s="49">
        <f>IF('Timeline'!GD$42=1,IF(PermActual360=1,PermRate*GD$25/360,PermRate/12),0)</f>
        <v/>
      </c>
      <c r="GE26" s="49">
        <f>IF('Timeline'!GE$42=1,IF(PermActual360=1,PermRate*GE$25/360,PermRate/12),0)</f>
        <v/>
      </c>
      <c r="GF26" s="49">
        <f>IF('Timeline'!GF$42=1,IF(PermActual360=1,PermRate*GF$25/360,PermRate/12),0)</f>
        <v/>
      </c>
      <c r="GG26" s="49">
        <f>IF('Timeline'!GG$42=1,IF(PermActual360=1,PermRate*GG$25/360,PermRate/12),0)</f>
        <v/>
      </c>
      <c r="GH26" s="49">
        <f>IF('Timeline'!GH$42=1,IF(PermActual360=1,PermRate*GH$25/360,PermRate/12),0)</f>
        <v/>
      </c>
      <c r="GI26" s="49">
        <f>IF('Timeline'!GI$42=1,IF(PermActual360=1,PermRate*GI$25/360,PermRate/12),0)</f>
        <v/>
      </c>
      <c r="GJ26" s="49">
        <f>IF('Timeline'!GJ$42=1,IF(PermActual360=1,PermRate*GJ$25/360,PermRate/12),0)</f>
        <v/>
      </c>
      <c r="GK26" s="49">
        <f>IF('Timeline'!GK$42=1,IF(PermActual360=1,PermRate*GK$25/360,PermRate/12),0)</f>
        <v/>
      </c>
      <c r="GL26" s="49">
        <f>IF('Timeline'!GL$42=1,IF(PermActual360=1,PermRate*GL$25/360,PermRate/12),0)</f>
        <v/>
      </c>
      <c r="GM26" s="49">
        <f>IF('Timeline'!GM$42=1,IF(PermActual360=1,PermRate*GM$25/360,PermRate/12),0)</f>
        <v/>
      </c>
      <c r="GN26" s="49">
        <f>IF('Timeline'!GN$42=1,IF(PermActual360=1,PermRate*GN$25/360,PermRate/12),0)</f>
        <v/>
      </c>
      <c r="GO26" s="49">
        <f>IF('Timeline'!GO$42=1,IF(PermActual360=1,PermRate*GO$25/360,PermRate/12),0)</f>
        <v/>
      </c>
      <c r="GP26" s="49">
        <f>IF('Timeline'!GP$42=1,IF(PermActual360=1,PermRate*GP$25/360,PermRate/12),0)</f>
        <v/>
      </c>
      <c r="GQ26" s="49">
        <f>IF('Timeline'!GQ$42=1,IF(PermActual360=1,PermRate*GQ$25/360,PermRate/12),0)</f>
        <v/>
      </c>
      <c r="GR26" s="49">
        <f>IF('Timeline'!GR$42=1,IF(PermActual360=1,PermRate*GR$25/360,PermRate/12),0)</f>
        <v/>
      </c>
      <c r="GS26" s="49">
        <f>IF('Timeline'!GS$42=1,IF(PermActual360=1,PermRate*GS$25/360,PermRate/12),0)</f>
        <v/>
      </c>
      <c r="GT26" s="49">
        <f>IF('Timeline'!GT$42=1,IF(PermActual360=1,PermRate*GT$25/360,PermRate/12),0)</f>
        <v/>
      </c>
      <c r="GU26" s="49">
        <f>IF('Timeline'!GU$42=1,IF(PermActual360=1,PermRate*GU$25/360,PermRate/12),0)</f>
        <v/>
      </c>
      <c r="GV26" s="49">
        <f>IF('Timeline'!GV$42=1,IF(PermActual360=1,PermRate*GV$25/360,PermRate/12),0)</f>
        <v/>
      </c>
      <c r="GW26" s="49">
        <f>IF('Timeline'!GW$42=1,IF(PermActual360=1,PermRate*GW$25/360,PermRate/12),0)</f>
        <v/>
      </c>
      <c r="GX26" s="49">
        <f>IF('Timeline'!GX$42=1,IF(PermActual360=1,PermRate*GX$25/360,PermRate/12),0)</f>
        <v/>
      </c>
      <c r="GY26" s="49">
        <f>IF('Timeline'!GY$42=1,IF(PermActual360=1,PermRate*GY$25/360,PermRate/12),0)</f>
        <v/>
      </c>
      <c r="GZ26" s="49">
        <f>IF('Timeline'!GZ$42=1,IF(PermActual360=1,PermRate*GZ$25/360,PermRate/12),0)</f>
        <v/>
      </c>
      <c r="HA26" s="49">
        <f>IF('Timeline'!HA$42=1,IF(PermActual360=1,PermRate*HA$25/360,PermRate/12),0)</f>
        <v/>
      </c>
      <c r="HB26" s="49">
        <f>IF('Timeline'!HB$42=1,IF(PermActual360=1,PermRate*HB$25/360,PermRate/12),0)</f>
        <v/>
      </c>
      <c r="HC26" s="49">
        <f>IF('Timeline'!HC$42=1,IF(PermActual360=1,PermRate*HC$25/360,PermRate/12),0)</f>
        <v/>
      </c>
      <c r="HD26" s="49">
        <f>IF('Timeline'!HD$42=1,IF(PermActual360=1,PermRate*HD$25/360,PermRate/12),0)</f>
        <v/>
      </c>
      <c r="HE26" s="49">
        <f>IF('Timeline'!HE$42=1,IF(PermActual360=1,PermRate*HE$25/360,PermRate/12),0)</f>
        <v/>
      </c>
      <c r="HF26" s="49">
        <f>IF('Timeline'!HF$42=1,IF(PermActual360=1,PermRate*HF$25/360,PermRate/12),0)</f>
        <v/>
      </c>
      <c r="HG26" s="49">
        <f>IF('Timeline'!HG$42=1,IF(PermActual360=1,PermRate*HG$25/360,PermRate/12),0)</f>
        <v/>
      </c>
      <c r="HH26" s="49">
        <f>IF('Timeline'!HH$42=1,IF(PermActual360=1,PermRate*HH$25/360,PermRate/12),0)</f>
        <v/>
      </c>
      <c r="HI26" s="49">
        <f>IF('Timeline'!HI$42=1,IF(PermActual360=1,PermRate*HI$25/360,PermRate/12),0)</f>
        <v/>
      </c>
      <c r="HJ26" s="49">
        <f>IF('Timeline'!HJ$42=1,IF(PermActual360=1,PermRate*HJ$25/360,PermRate/12),0)</f>
        <v/>
      </c>
      <c r="HK26" s="49">
        <f>IF('Timeline'!HK$42=1,IF(PermActual360=1,PermRate*HK$25/360,PermRate/12),0)</f>
        <v/>
      </c>
      <c r="HL26" s="49">
        <f>IF('Timeline'!HL$42=1,IF(PermActual360=1,PermRate*HL$25/360,PermRate/12),0)</f>
        <v/>
      </c>
      <c r="HM26" s="49">
        <f>IF('Timeline'!HM$42=1,IF(PermActual360=1,PermRate*HM$25/360,PermRate/12),0)</f>
        <v/>
      </c>
      <c r="HN26" s="49">
        <f>IF('Timeline'!HN$42=1,IF(PermActual360=1,PermRate*HN$25/360,PermRate/12),0)</f>
        <v/>
      </c>
      <c r="HO26" s="49">
        <f>IF('Timeline'!HO$42=1,IF(PermActual360=1,PermRate*HO$25/360,PermRate/12),0)</f>
        <v/>
      </c>
      <c r="HP26" s="49">
        <f>IF('Timeline'!HP$42=1,IF(PermActual360=1,PermRate*HP$25/360,PermRate/12),0)</f>
        <v/>
      </c>
      <c r="HQ26" s="49">
        <f>IF('Timeline'!HQ$42=1,IF(PermActual360=1,PermRate*HQ$25/360,PermRate/12),0)</f>
        <v/>
      </c>
      <c r="HR26" s="49">
        <f>IF('Timeline'!HR$42=1,IF(PermActual360=1,PermRate*HR$25/360,PermRate/12),0)</f>
        <v/>
      </c>
      <c r="HS26" s="49">
        <f>IF('Timeline'!HS$42=1,IF(PermActual360=1,PermRate*HS$25/360,PermRate/12),0)</f>
        <v/>
      </c>
      <c r="HT26" s="49">
        <f>IF('Timeline'!HT$42=1,IF(PermActual360=1,PermRate*HT$25/360,PermRate/12),0)</f>
        <v/>
      </c>
      <c r="HU26" s="49">
        <f>IF('Timeline'!HU$42=1,IF(PermActual360=1,PermRate*HU$25/360,PermRate/12),0)</f>
        <v/>
      </c>
      <c r="HV26" s="49">
        <f>IF('Timeline'!HV$42=1,IF(PermActual360=1,PermRate*HV$25/360,PermRate/12),0)</f>
        <v/>
      </c>
      <c r="HW26" s="49">
        <f>IF('Timeline'!HW$42=1,IF(PermActual360=1,PermRate*HW$25/360,PermRate/12),0)</f>
        <v/>
      </c>
      <c r="HX26" s="49">
        <f>IF('Timeline'!HX$42=1,IF(PermActual360=1,PermRate*HX$25/360,PermRate/12),0)</f>
        <v/>
      </c>
      <c r="HY26" s="49">
        <f>IF('Timeline'!HY$42=1,IF(PermActual360=1,PermRate*HY$25/360,PermRate/12),0)</f>
        <v/>
      </c>
      <c r="HZ26" s="49">
        <f>IF('Timeline'!HZ$42=1,IF(PermActual360=1,PermRate*HZ$25/360,PermRate/12),0)</f>
        <v/>
      </c>
      <c r="IA26" s="49">
        <f>IF('Timeline'!IA$42=1,IF(PermActual360=1,PermRate*IA$25/360,PermRate/12),0)</f>
        <v/>
      </c>
      <c r="IB26" s="49">
        <f>IF('Timeline'!IB$42=1,IF(PermActual360=1,PermRate*IB$25/360,PermRate/12),0)</f>
        <v/>
      </c>
      <c r="IC26" s="49">
        <f>IF('Timeline'!IC$42=1,IF(PermActual360=1,PermRate*IC$25/360,PermRate/12),0)</f>
        <v/>
      </c>
      <c r="ID26" s="49">
        <f>IF('Timeline'!ID$42=1,IF(PermActual360=1,PermRate*ID$25/360,PermRate/12),0)</f>
        <v/>
      </c>
      <c r="IE26" s="49">
        <f>IF('Timeline'!IE$42=1,IF(PermActual360=1,PermRate*IE$25/360,PermRate/12),0)</f>
        <v/>
      </c>
      <c r="IF26" s="49">
        <f>IF('Timeline'!IF$42=1,IF(PermActual360=1,PermRate*IF$25/360,PermRate/12),0)</f>
        <v/>
      </c>
      <c r="IG26" s="49">
        <f>IF('Timeline'!IG$42=1,IF(PermActual360=1,PermRate*IG$25/360,PermRate/12),0)</f>
        <v/>
      </c>
      <c r="IH26" s="49">
        <f>IF('Timeline'!IH$42=1,IF(PermActual360=1,PermRate*IH$25/360,PermRate/12),0)</f>
        <v/>
      </c>
      <c r="II26" s="49">
        <f>IF('Timeline'!II$42=1,IF(PermActual360=1,PermRate*II$25/360,PermRate/12),0)</f>
        <v/>
      </c>
      <c r="IJ26" s="49">
        <f>IF('Timeline'!IJ$42=1,IF(PermActual360=1,PermRate*IJ$25/360,PermRate/12),0)</f>
        <v/>
      </c>
      <c r="IK26" s="49">
        <f>IF('Timeline'!IK$42=1,IF(PermActual360=1,PermRate*IK$25/360,PermRate/12),0)</f>
        <v/>
      </c>
      <c r="IL26" s="49">
        <f>IF('Timeline'!IL$42=1,IF(PermActual360=1,PermRate*IL$25/360,PermRate/12),0)</f>
        <v/>
      </c>
      <c r="IM26" s="49">
        <f>IF('Timeline'!IM$42=1,IF(PermActual360=1,PermRate*IM$25/360,PermRate/12),0)</f>
        <v/>
      </c>
      <c r="IN26" s="49">
        <f>IF('Timeline'!IN$42=1,IF(PermActual360=1,PermRate*IN$25/360,PermRate/12),0)</f>
        <v/>
      </c>
      <c r="IO26" s="49">
        <f>IF('Timeline'!IO$42=1,IF(PermActual360=1,PermRate*IO$25/360,PermRate/12),0)</f>
        <v/>
      </c>
      <c r="IP26" s="49">
        <f>IF('Timeline'!IP$42=1,IF(PermActual360=1,PermRate*IP$25/360,PermRate/12),0)</f>
        <v/>
      </c>
      <c r="IQ26" s="49">
        <f>IF('Timeline'!IQ$42=1,IF(PermActual360=1,PermRate*IQ$25/360,PermRate/12),0)</f>
        <v/>
      </c>
      <c r="IR26" s="49">
        <f>IF('Timeline'!IR$42=1,IF(PermActual360=1,PermRate*IR$25/360,PermRate/12),0)</f>
        <v/>
      </c>
      <c r="IS26" s="49">
        <f>IF('Timeline'!IS$42=1,IF(PermActual360=1,PermRate*IS$25/360,PermRate/12),0)</f>
        <v/>
      </c>
      <c r="IT26" s="49">
        <f>IF('Timeline'!IT$42=1,IF(PermActual360=1,PermRate*IT$25/360,PermRate/12),0)</f>
        <v/>
      </c>
      <c r="IU26" s="49">
        <f>IF('Timeline'!IU$42=1,IF(PermActual360=1,PermRate*IU$25/360,PermRate/12),0)</f>
        <v/>
      </c>
      <c r="IV26" s="49">
        <f>IF('Timeline'!IV$42=1,IF(PermActual360=1,PermRate*IV$25/360,PermRate/12),0)</f>
        <v/>
      </c>
      <c r="IW26" s="49">
        <f>IF('Timeline'!IW$42=1,IF(PermActual360=1,PermRate*IW$25/360,PermRate/12),0)</f>
        <v/>
      </c>
      <c r="IX26" s="49">
        <f>IF('Timeline'!IX$42=1,IF(PermActual360=1,PermRate*IX$25/360,PermRate/12),0)</f>
        <v/>
      </c>
      <c r="IY26" s="49">
        <f>IF('Timeline'!IY$42=1,IF(PermActual360=1,PermRate*IY$25/360,PermRate/12),0)</f>
        <v/>
      </c>
      <c r="IZ26" s="49">
        <f>IF('Timeline'!IZ$42=1,IF(PermActual360=1,PermRate*IZ$25/360,PermRate/12),0)</f>
        <v/>
      </c>
      <c r="JA26" s="49">
        <f>IF('Timeline'!JA$42=1,IF(PermActual360=1,PermRate*JA$25/360,PermRate/12),0)</f>
        <v/>
      </c>
      <c r="JB26" s="49">
        <f>IF('Timeline'!JB$42=1,IF(PermActual360=1,PermRate*JB$25/360,PermRate/12),0)</f>
        <v/>
      </c>
      <c r="JC26" s="49">
        <f>IF('Timeline'!JC$42=1,IF(PermActual360=1,PermRate*JC$25/360,PermRate/12),0)</f>
        <v/>
      </c>
      <c r="JD26" s="49">
        <f>IF('Timeline'!JD$42=1,IF(PermActual360=1,PermRate*JD$25/360,PermRate/12),0)</f>
        <v/>
      </c>
      <c r="JE26" s="49">
        <f>IF('Timeline'!JE$42=1,IF(PermActual360=1,PermRate*JE$25/360,PermRate/12),0)</f>
        <v/>
      </c>
      <c r="JF26" s="49">
        <f>IF('Timeline'!JF$42=1,IF(PermActual360=1,PermRate*JF$25/360,PermRate/12),0)</f>
        <v/>
      </c>
      <c r="JG26" s="49">
        <f>IF('Timeline'!JG$42=1,IF(PermActual360=1,PermRate*JG$25/360,PermRate/12),0)</f>
        <v/>
      </c>
      <c r="JH26" s="49">
        <f>IF('Timeline'!JH$42=1,IF(PermActual360=1,PermRate*JH$25/360,PermRate/12),0)</f>
        <v/>
      </c>
      <c r="JI26" s="49">
        <f>IF('Timeline'!JI$42=1,IF(PermActual360=1,PermRate*JI$25/360,PermRate/12),0)</f>
        <v/>
      </c>
      <c r="JJ26" s="49">
        <f>IF('Timeline'!JJ$42=1,IF(PermActual360=1,PermRate*JJ$25/360,PermRate/12),0)</f>
        <v/>
      </c>
      <c r="JK26" s="49">
        <f>IF('Timeline'!JK$42=1,IF(PermActual360=1,PermRate*JK$25/360,PermRate/12),0)</f>
        <v/>
      </c>
      <c r="JL26" s="49">
        <f>IF('Timeline'!JL$42=1,IF(PermActual360=1,PermRate*JL$25/360,PermRate/12),0)</f>
        <v/>
      </c>
      <c r="JM26" s="49">
        <f>IF('Timeline'!JM$42=1,IF(PermActual360=1,PermRate*JM$25/360,PermRate/12),0)</f>
        <v/>
      </c>
      <c r="JN26" s="49">
        <f>IF('Timeline'!JN$42=1,IF(PermActual360=1,PermRate*JN$25/360,PermRate/12),0)</f>
        <v/>
      </c>
      <c r="JO26" s="49">
        <f>IF('Timeline'!JO$42=1,IF(PermActual360=1,PermRate*JO$25/360,PermRate/12),0)</f>
        <v/>
      </c>
      <c r="JP26" s="49">
        <f>IF('Timeline'!JP$42=1,IF(PermActual360=1,PermRate*JP$25/360,PermRate/12),0)</f>
        <v/>
      </c>
      <c r="JQ26" s="49">
        <f>IF('Timeline'!JQ$42=1,IF(PermActual360=1,PermRate*JQ$25/360,PermRate/12),0)</f>
        <v/>
      </c>
      <c r="JR26" s="49">
        <f>IF('Timeline'!JR$42=1,IF(PermActual360=1,PermRate*JR$25/360,PermRate/12),0)</f>
        <v/>
      </c>
      <c r="JS26" s="49">
        <f>IF('Timeline'!JS$42=1,IF(PermActual360=1,PermRate*JS$25/360,PermRate/12),0)</f>
        <v/>
      </c>
      <c r="JT26" s="49">
        <f>IF('Timeline'!JT$42=1,IF(PermActual360=1,PermRate*JT$25/360,PermRate/12),0)</f>
        <v/>
      </c>
      <c r="JU26" s="49">
        <f>IF('Timeline'!JU$42=1,IF(PermActual360=1,PermRate*JU$25/360,PermRate/12),0)</f>
        <v/>
      </c>
      <c r="JV26" s="49">
        <f>IF('Timeline'!JV$42=1,IF(PermActual360=1,PermRate*JV$25/360,PermRate/12),0)</f>
        <v/>
      </c>
      <c r="JW26" s="49">
        <f>IF('Timeline'!JW$42=1,IF(PermActual360=1,PermRate*JW$25/360,PermRate/12),0)</f>
        <v/>
      </c>
      <c r="JX26" s="49">
        <f>IF('Timeline'!JX$42=1,IF(PermActual360=1,PermRate*JX$25/360,PermRate/12),0)</f>
        <v/>
      </c>
      <c r="JY26" s="49">
        <f>IF('Timeline'!JY$42=1,IF(PermActual360=1,PermRate*JY$25/360,PermRate/12),0)</f>
        <v/>
      </c>
      <c r="JZ26" s="49">
        <f>IF('Timeline'!JZ$42=1,IF(PermActual360=1,PermRate*JZ$25/360,PermRate/12),0)</f>
        <v/>
      </c>
      <c r="KA26" s="49">
        <f>IF('Timeline'!KA$42=1,IF(PermActual360=1,PermRate*KA$25/360,PermRate/12),0)</f>
        <v/>
      </c>
      <c r="KB26" s="49">
        <f>IF('Timeline'!KB$42=1,IF(PermActual360=1,PermRate*KB$25/360,PermRate/12),0)</f>
        <v/>
      </c>
      <c r="KC26" s="49">
        <f>IF('Timeline'!KC$42=1,IF(PermActual360=1,PermRate*KC$25/360,PermRate/12),0)</f>
        <v/>
      </c>
      <c r="KD26" s="49">
        <f>IF('Timeline'!KD$42=1,IF(PermActual360=1,PermRate*KD$25/360,PermRate/12),0)</f>
        <v/>
      </c>
      <c r="KE26" s="49">
        <f>IF('Timeline'!KE$42=1,IF(PermActual360=1,PermRate*KE$25/360,PermRate/12),0)</f>
        <v/>
      </c>
      <c r="KF26" s="49">
        <f>IF('Timeline'!KF$42=1,IF(PermActual360=1,PermRate*KF$25/360,PermRate/12),0)</f>
        <v/>
      </c>
      <c r="KG26" s="49">
        <f>IF('Timeline'!KG$42=1,IF(PermActual360=1,PermRate*KG$25/360,PermRate/12),0)</f>
        <v/>
      </c>
      <c r="KH26" s="49">
        <f>IF('Timeline'!KH$42=1,IF(PermActual360=1,PermRate*KH$25/360,PermRate/12),0)</f>
        <v/>
      </c>
      <c r="KI26" s="49">
        <f>IF('Timeline'!KI$42=1,IF(PermActual360=1,PermRate*KI$25/360,PermRate/12),0)</f>
        <v/>
      </c>
      <c r="KJ26" s="49">
        <f>IF('Timeline'!KJ$42=1,IF(PermActual360=1,PermRate*KJ$25/360,PermRate/12),0)</f>
        <v/>
      </c>
      <c r="KK26" s="49">
        <f>IF('Timeline'!KK$42=1,IF(PermActual360=1,PermRate*KK$25/360,PermRate/12),0)</f>
        <v/>
      </c>
      <c r="KL26" s="49">
        <f>IF('Timeline'!KL$42=1,IF(PermActual360=1,PermRate*KL$25/360,PermRate/12),0)</f>
        <v/>
      </c>
      <c r="KM26" s="49">
        <f>IF('Timeline'!KM$42=1,IF(PermActual360=1,PermRate*KM$25/360,PermRate/12),0)</f>
        <v/>
      </c>
      <c r="KN26" s="49">
        <f>IF('Timeline'!KN$42=1,IF(PermActual360=1,PermRate*KN$25/360,PermRate/12),0)</f>
        <v/>
      </c>
      <c r="KO26" s="49">
        <f>IF('Timeline'!KO$42=1,IF(PermActual360=1,PermRate*KO$25/360,PermRate/12),0)</f>
        <v/>
      </c>
      <c r="KP26" s="49">
        <f>IF('Timeline'!KP$42=1,IF(PermActual360=1,PermRate*KP$25/360,PermRate/12),0)</f>
        <v/>
      </c>
      <c r="KQ26" s="49">
        <f>IF('Timeline'!KQ$42=1,IF(PermActual360=1,PermRate*KQ$25/360,PermRate/12),0)</f>
        <v/>
      </c>
      <c r="KR26" s="49">
        <f>IF('Timeline'!KR$42=1,IF(PermActual360=1,PermRate*KR$25/360,PermRate/12),0)</f>
        <v/>
      </c>
      <c r="KS26" s="49">
        <f>IF('Timeline'!KS$42=1,IF(PermActual360=1,PermRate*KS$25/360,PermRate/12),0)</f>
        <v/>
      </c>
      <c r="KT26" s="49">
        <f>IF('Timeline'!KT$42=1,IF(PermActual360=1,PermRate*KT$25/360,PermRate/12),0)</f>
        <v/>
      </c>
      <c r="KU26" s="49">
        <f>IF('Timeline'!KU$42=1,IF(PermActual360=1,PermRate*KU$25/360,PermRate/12),0)</f>
        <v/>
      </c>
      <c r="KV26" s="49">
        <f>IF('Timeline'!KV$42=1,IF(PermActual360=1,PermRate*KV$25/360,PermRate/12),0)</f>
        <v/>
      </c>
      <c r="KW26" s="49">
        <f>IF('Timeline'!KW$42=1,IF(PermActual360=1,PermRate*KW$25/360,PermRate/12),0)</f>
        <v/>
      </c>
      <c r="KX26" s="49">
        <f>IF('Timeline'!KX$42=1,IF(PermActual360=1,PermRate*KX$25/360,PermRate/12),0)</f>
        <v/>
      </c>
      <c r="KY26" s="49">
        <f>IF('Timeline'!KY$42=1,IF(PermActual360=1,PermRate*KY$25/360,PermRate/12),0)</f>
        <v/>
      </c>
      <c r="KZ26" s="49">
        <f>IF('Timeline'!KZ$42=1,IF(PermActual360=1,PermRate*KZ$25/360,PermRate/12),0)</f>
        <v/>
      </c>
      <c r="LA26" s="49">
        <f>IF('Timeline'!LA$42=1,IF(PermActual360=1,PermRate*LA$25/360,PermRate/12),0)</f>
        <v/>
      </c>
      <c r="LB26" s="49">
        <f>IF('Timeline'!LB$42=1,IF(PermActual360=1,PermRate*LB$25/360,PermRate/12),0)</f>
        <v/>
      </c>
      <c r="LC26" s="49">
        <f>IF('Timeline'!LC$42=1,IF(PermActual360=1,PermRate*LC$25/360,PermRate/12),0)</f>
        <v/>
      </c>
      <c r="LD26" s="49">
        <f>IF('Timeline'!LD$42=1,IF(PermActual360=1,PermRate*LD$25/360,PermRate/12),0)</f>
        <v/>
      </c>
      <c r="LE26" s="49">
        <f>IF('Timeline'!LE$42=1,IF(PermActual360=1,PermRate*LE$25/360,PermRate/12),0)</f>
        <v/>
      </c>
      <c r="LF26" s="49">
        <f>IF('Timeline'!LF$42=1,IF(PermActual360=1,PermRate*LF$25/360,PermRate/12),0)</f>
        <v/>
      </c>
      <c r="LG26" s="49">
        <f>IF('Timeline'!LG$42=1,IF(PermActual360=1,PermRate*LG$25/360,PermRate/12),0)</f>
        <v/>
      </c>
      <c r="LH26" s="49">
        <f>IF('Timeline'!LH$42=1,IF(PermActual360=1,PermRate*LH$25/360,PermRate/12),0)</f>
        <v/>
      </c>
      <c r="LI26" s="49">
        <f>IF('Timeline'!LI$42=1,IF(PermActual360=1,PermRate*LI$25/360,PermRate/12),0)</f>
        <v/>
      </c>
      <c r="LJ26" s="49">
        <f>IF('Timeline'!LJ$42=1,IF(PermActual360=1,PermRate*LJ$25/360,PermRate/12),0)</f>
        <v/>
      </c>
      <c r="LK26" s="49">
        <f>IF('Timeline'!LK$42=1,IF(PermActual360=1,PermRate*LK$25/360,PermRate/12),0)</f>
        <v/>
      </c>
      <c r="LL26" s="49">
        <f>IF('Timeline'!LL$42=1,IF(PermActual360=1,PermRate*LL$25/360,PermRate/12),0)</f>
        <v/>
      </c>
      <c r="LM26" s="49">
        <f>IF('Timeline'!LM$42=1,IF(PermActual360=1,PermRate*LM$25/360,PermRate/12),0)</f>
        <v/>
      </c>
      <c r="LN26" s="49">
        <f>IF('Timeline'!LN$42=1,IF(PermActual360=1,PermRate*LN$25/360,PermRate/12),0)</f>
        <v/>
      </c>
      <c r="LO26" s="49">
        <f>IF('Timeline'!LO$42=1,IF(PermActual360=1,PermRate*LO$25/360,PermRate/12),0)</f>
        <v/>
      </c>
      <c r="LP26" s="49">
        <f>IF('Timeline'!LP$42=1,IF(PermActual360=1,PermRate*LP$25/360,PermRate/12),0)</f>
        <v/>
      </c>
      <c r="LQ26" s="49">
        <f>IF('Timeline'!LQ$42=1,IF(PermActual360=1,PermRate*LQ$25/360,PermRate/12),0)</f>
        <v/>
      </c>
      <c r="LR26" s="49">
        <f>IF('Timeline'!LR$42=1,IF(PermActual360=1,PermRate*LR$25/360,PermRate/12),0)</f>
        <v/>
      </c>
      <c r="LS26" s="49">
        <f>IF('Timeline'!LS$42=1,IF(PermActual360=1,PermRate*LS$25/360,PermRate/12),0)</f>
        <v/>
      </c>
      <c r="LT26" s="49">
        <f>IF('Timeline'!LT$42=1,IF(PermActual360=1,PermRate*LT$25/360,PermRate/12),0)</f>
        <v/>
      </c>
      <c r="LU26" s="49">
        <f>IF('Timeline'!LU$42=1,IF(PermActual360=1,PermRate*LU$25/360,PermRate/12),0)</f>
        <v/>
      </c>
      <c r="LV26" s="49">
        <f>IF('Timeline'!LV$42=1,IF(PermActual360=1,PermRate*LV$25/360,PermRate/12),0)</f>
        <v/>
      </c>
      <c r="LW26" s="49">
        <f>IF('Timeline'!LW$42=1,IF(PermActual360=1,PermRate*LW$25/360,PermRate/12),0)</f>
        <v/>
      </c>
      <c r="LX26" s="49">
        <f>IF('Timeline'!LX$42=1,IF(PermActual360=1,PermRate*LX$25/360,PermRate/12),0)</f>
        <v/>
      </c>
      <c r="LY26" s="49">
        <f>IF('Timeline'!LY$42=1,IF(PermActual360=1,PermRate*LY$25/360,PermRate/12),0)</f>
        <v/>
      </c>
      <c r="LZ26" s="49">
        <f>IF('Timeline'!LZ$42=1,IF(PermActual360=1,PermRate*LZ$25/360,PermRate/12),0)</f>
        <v/>
      </c>
      <c r="MA26" s="49">
        <f>IF('Timeline'!MA$42=1,IF(PermActual360=1,PermRate*MA$25/360,PermRate/12),0)</f>
        <v/>
      </c>
      <c r="MB26" s="49">
        <f>IF('Timeline'!MB$42=1,IF(PermActual360=1,PermRate*MB$25/360,PermRate/12),0)</f>
        <v/>
      </c>
      <c r="MC26" s="49">
        <f>IF('Timeline'!MC$42=1,IF(PermActual360=1,PermRate*MC$25/360,PermRate/12),0)</f>
        <v/>
      </c>
      <c r="MD26" s="49">
        <f>IF('Timeline'!MD$42=1,IF(PermActual360=1,PermRate*MD$25/360,PermRate/12),0)</f>
        <v/>
      </c>
      <c r="ME26" s="49">
        <f>IF('Timeline'!ME$42=1,IF(PermActual360=1,PermRate*ME$25/360,PermRate/12),0)</f>
        <v/>
      </c>
      <c r="MF26" s="49">
        <f>IF('Timeline'!MF$42=1,IF(PermActual360=1,PermRate*MF$25/360,PermRate/12),0)</f>
        <v/>
      </c>
      <c r="MG26" s="49">
        <f>IF('Timeline'!MG$42=1,IF(PermActual360=1,PermRate*MG$25/360,PermRate/12),0)</f>
        <v/>
      </c>
      <c r="MH26" s="49">
        <f>IF('Timeline'!MH$42=1,IF(PermActual360=1,PermRate*MH$25/360,PermRate/12),0)</f>
        <v/>
      </c>
      <c r="MI26" s="49">
        <f>IF('Timeline'!MI$42=1,IF(PermActual360=1,PermRate*MI$25/360,PermRate/12),0)</f>
        <v/>
      </c>
      <c r="MJ26" s="49">
        <f>IF('Timeline'!MJ$42=1,IF(PermActual360=1,PermRate*MJ$25/360,PermRate/12),0)</f>
        <v/>
      </c>
      <c r="MK26" s="49">
        <f>IF('Timeline'!MK$42=1,IF(PermActual360=1,PermRate*MK$25/360,PermRate/12),0)</f>
        <v/>
      </c>
      <c r="ML26" s="49">
        <f>IF('Timeline'!ML$42=1,IF(PermActual360=1,PermRate*ML$25/360,PermRate/12),0)</f>
        <v/>
      </c>
      <c r="MM26" s="49">
        <f>IF('Timeline'!MM$42=1,IF(PermActual360=1,PermRate*MM$25/360,PermRate/12),0)</f>
        <v/>
      </c>
      <c r="MN26" s="49">
        <f>IF('Timeline'!MN$42=1,IF(PermActual360=1,PermRate*MN$25/360,PermRate/12),0)</f>
        <v/>
      </c>
      <c r="MO26" s="49">
        <f>IF('Timeline'!MO$42=1,IF(PermActual360=1,PermRate*MO$25/360,PermRate/12),0)</f>
        <v/>
      </c>
      <c r="MP26" s="49">
        <f>IF('Timeline'!MP$42=1,IF(PermActual360=1,PermRate*MP$25/360,PermRate/12),0)</f>
        <v/>
      </c>
      <c r="MQ26" s="49">
        <f>IF('Timeline'!MQ$42=1,IF(PermActual360=1,PermRate*MQ$25/360,PermRate/12),0)</f>
        <v/>
      </c>
      <c r="MR26" s="49">
        <f>IF('Timeline'!MR$42=1,IF(PermActual360=1,PermRate*MR$25/360,PermRate/12),0)</f>
        <v/>
      </c>
      <c r="MS26" s="49">
        <f>IF('Timeline'!MS$42=1,IF(PermActual360=1,PermRate*MS$25/360,PermRate/12),0)</f>
        <v/>
      </c>
      <c r="MT26" s="49">
        <f>IF('Timeline'!MT$42=1,IF(PermActual360=1,PermRate*MT$25/360,PermRate/12),0)</f>
        <v/>
      </c>
      <c r="MU26" s="49">
        <f>IF('Timeline'!MU$42=1,IF(PermActual360=1,PermRate*MU$25/360,PermRate/12),0)</f>
        <v/>
      </c>
      <c r="MV26" s="49">
        <f>IF('Timeline'!MV$42=1,IF(PermActual360=1,PermRate*MV$25/360,PermRate/12),0)</f>
        <v/>
      </c>
      <c r="MW26" s="49">
        <f>IF('Timeline'!MW$42=1,IF(PermActual360=1,PermRate*MW$25/360,PermRate/12),0)</f>
        <v/>
      </c>
      <c r="MX26" s="49">
        <f>IF('Timeline'!MX$42=1,IF(PermActual360=1,PermRate*MX$25/360,PermRate/12),0)</f>
        <v/>
      </c>
      <c r="MY26" s="49">
        <f>IF('Timeline'!MY$42=1,IF(PermActual360=1,PermRate*MY$25/360,PermRate/12),0)</f>
        <v/>
      </c>
      <c r="MZ26" s="49">
        <f>IF('Timeline'!MZ$42=1,IF(PermActual360=1,PermRate*MZ$25/360,PermRate/12),0)</f>
        <v/>
      </c>
      <c r="NA26" s="49">
        <f>IF('Timeline'!NA$42=1,IF(PermActual360=1,PermRate*NA$25/360,PermRate/12),0)</f>
        <v/>
      </c>
      <c r="NB26" s="49">
        <f>IF('Timeline'!NB$42=1,IF(PermActual360=1,PermRate*NB$25/360,PermRate/12),0)</f>
        <v/>
      </c>
      <c r="NC26" s="49">
        <f>IF('Timeline'!NC$42=1,IF(PermActual360=1,PermRate*NC$25/360,PermRate/12),0)</f>
        <v/>
      </c>
      <c r="ND26" s="49">
        <f>IF('Timeline'!ND$42=1,IF(PermActual360=1,PermRate*ND$25/360,PermRate/12),0)</f>
        <v/>
      </c>
      <c r="NE26" s="49">
        <f>IF('Timeline'!NE$42=1,IF(PermActual360=1,PermRate*NE$25/360,PermRate/12),0)</f>
        <v/>
      </c>
      <c r="NF26" s="49">
        <f>IF('Timeline'!NF$42=1,IF(PermActual360=1,PermRate*NF$25/360,PermRate/12),0)</f>
        <v/>
      </c>
      <c r="NG26" s="49">
        <f>IF('Timeline'!NG$42=1,IF(PermActual360=1,PermRate*NG$25/360,PermRate/12),0)</f>
        <v/>
      </c>
      <c r="NH26" s="49">
        <f>IF('Timeline'!NH$42=1,IF(PermActual360=1,PermRate*NH$25/360,PermRate/12),0)</f>
        <v/>
      </c>
      <c r="NI26" s="49">
        <f>IF('Timeline'!NI$42=1,IF(PermActual360=1,PermRate*NI$25/360,PermRate/12),0)</f>
        <v/>
      </c>
      <c r="NJ26" s="49">
        <f>IF('Timeline'!NJ$42=1,IF(PermActual360=1,PermRate*NJ$25/360,PermRate/12),0)</f>
        <v/>
      </c>
      <c r="NK26" s="49">
        <f>IF('Timeline'!NK$42=1,IF(PermActual360=1,PermRate*NK$25/360,PermRate/12),0)</f>
        <v/>
      </c>
    </row>
    <row r="27">
      <c r="A27" s="5" t="inlineStr">
        <is>
          <t>Interest</t>
        </is>
      </c>
      <c r="C27" s="41">
        <f>SUM(D27:NK27)</f>
        <v/>
      </c>
      <c r="D27" s="18">
        <f>D$26*(0)</f>
        <v/>
      </c>
      <c r="E27" s="18">
        <f>E$26*(D$30)</f>
        <v/>
      </c>
      <c r="F27" s="18">
        <f>F$26*(E$30)</f>
        <v/>
      </c>
      <c r="G27" s="18">
        <f>G$26*(F$30)</f>
        <v/>
      </c>
      <c r="H27" s="18">
        <f>H$26*(G$30)</f>
        <v/>
      </c>
      <c r="I27" s="18">
        <f>I$26*(H$30)</f>
        <v/>
      </c>
      <c r="J27" s="18">
        <f>J$26*(I$30)</f>
        <v/>
      </c>
      <c r="K27" s="18">
        <f>K$26*(J$30)</f>
        <v/>
      </c>
      <c r="L27" s="18">
        <f>L$26*(K$30)</f>
        <v/>
      </c>
      <c r="M27" s="18">
        <f>M$26*(L$30)</f>
        <v/>
      </c>
      <c r="N27" s="18">
        <f>N$26*(M$30)</f>
        <v/>
      </c>
      <c r="O27" s="18">
        <f>O$26*(N$30)</f>
        <v/>
      </c>
      <c r="P27" s="18">
        <f>P$26*(O$30)</f>
        <v/>
      </c>
      <c r="Q27" s="18">
        <f>Q$26*(P$30)</f>
        <v/>
      </c>
      <c r="R27" s="18">
        <f>R$26*(Q$30)</f>
        <v/>
      </c>
      <c r="S27" s="18">
        <f>S$26*(R$30)</f>
        <v/>
      </c>
      <c r="T27" s="18">
        <f>T$26*(S$30)</f>
        <v/>
      </c>
      <c r="U27" s="18">
        <f>U$26*(T$30)</f>
        <v/>
      </c>
      <c r="V27" s="18">
        <f>V$26*(U$30)</f>
        <v/>
      </c>
      <c r="W27" s="18">
        <f>W$26*(V$30)</f>
        <v/>
      </c>
      <c r="X27" s="18">
        <f>X$26*(W$30)</f>
        <v/>
      </c>
      <c r="Y27" s="18">
        <f>Y$26*(X$30)</f>
        <v/>
      </c>
      <c r="Z27" s="18">
        <f>Z$26*(Y$30)</f>
        <v/>
      </c>
      <c r="AA27" s="18">
        <f>AA$26*(Z$30)</f>
        <v/>
      </c>
      <c r="AB27" s="18">
        <f>AB$26*(AA$30)</f>
        <v/>
      </c>
      <c r="AC27" s="18">
        <f>AC$26*(AB$30)</f>
        <v/>
      </c>
      <c r="AD27" s="18">
        <f>AD$26*(AC$30)</f>
        <v/>
      </c>
      <c r="AE27" s="18">
        <f>AE$26*(AD$30)</f>
        <v/>
      </c>
      <c r="AF27" s="18">
        <f>AF$26*(AE$30)</f>
        <v/>
      </c>
      <c r="AG27" s="18">
        <f>AG$26*(AF$30)</f>
        <v/>
      </c>
      <c r="AH27" s="18">
        <f>AH$26*(AG$30)</f>
        <v/>
      </c>
      <c r="AI27" s="18">
        <f>AI$26*(AH$30)</f>
        <v/>
      </c>
      <c r="AJ27" s="18">
        <f>AJ$26*(AI$30)</f>
        <v/>
      </c>
      <c r="AK27" s="18">
        <f>AK$26*(AJ$30)</f>
        <v/>
      </c>
      <c r="AL27" s="18">
        <f>AL$26*(AK$30)</f>
        <v/>
      </c>
      <c r="AM27" s="18">
        <f>AM$26*(AL$30)</f>
        <v/>
      </c>
      <c r="AN27" s="18">
        <f>AN$26*(AM$30)</f>
        <v/>
      </c>
      <c r="AO27" s="18">
        <f>AO$26*(AN$30)</f>
        <v/>
      </c>
      <c r="AP27" s="18">
        <f>AP$26*(AO$30)</f>
        <v/>
      </c>
      <c r="AQ27" s="18">
        <f>AQ$26*(AP$30)</f>
        <v/>
      </c>
      <c r="AR27" s="18">
        <f>AR$26*(AQ$30)</f>
        <v/>
      </c>
      <c r="AS27" s="18">
        <f>AS$26*(AR$30)</f>
        <v/>
      </c>
      <c r="AT27" s="18">
        <f>AT$26*(AS$30)</f>
        <v/>
      </c>
      <c r="AU27" s="18">
        <f>AU$26*(AT$30)</f>
        <v/>
      </c>
      <c r="AV27" s="18">
        <f>AV$26*(AU$30)</f>
        <v/>
      </c>
      <c r="AW27" s="18">
        <f>AW$26*(AV$30)</f>
        <v/>
      </c>
      <c r="AX27" s="18">
        <f>AX$26*(AW$30)</f>
        <v/>
      </c>
      <c r="AY27" s="18">
        <f>AY$26*(AX$30)</f>
        <v/>
      </c>
      <c r="AZ27" s="18">
        <f>AZ$26*(AY$30)</f>
        <v/>
      </c>
      <c r="BA27" s="18">
        <f>BA$26*(AZ$30)</f>
        <v/>
      </c>
      <c r="BB27" s="18">
        <f>BB$26*(BA$30)</f>
        <v/>
      </c>
      <c r="BC27" s="18">
        <f>BC$26*(BB$30)</f>
        <v/>
      </c>
      <c r="BD27" s="18">
        <f>BD$26*(BC$30)</f>
        <v/>
      </c>
      <c r="BE27" s="18">
        <f>BE$26*(BD$30)</f>
        <v/>
      </c>
      <c r="BF27" s="18">
        <f>BF$26*(BE$30)</f>
        <v/>
      </c>
      <c r="BG27" s="18">
        <f>BG$26*(BF$30)</f>
        <v/>
      </c>
      <c r="BH27" s="18">
        <f>BH$26*(BG$30)</f>
        <v/>
      </c>
      <c r="BI27" s="18">
        <f>BI$26*(BH$30)</f>
        <v/>
      </c>
      <c r="BJ27" s="18">
        <f>BJ$26*(BI$30)</f>
        <v/>
      </c>
      <c r="BK27" s="18">
        <f>BK$26*(BJ$30)</f>
        <v/>
      </c>
      <c r="BL27" s="18">
        <f>BL$26*(BK$30)</f>
        <v/>
      </c>
      <c r="BM27" s="18">
        <f>BM$26*(BL$30)</f>
        <v/>
      </c>
      <c r="BN27" s="18">
        <f>BN$26*(BM$30)</f>
        <v/>
      </c>
      <c r="BO27" s="18">
        <f>BO$26*(BN$30)</f>
        <v/>
      </c>
      <c r="BP27" s="18">
        <f>BP$26*(BO$30)</f>
        <v/>
      </c>
      <c r="BQ27" s="18">
        <f>BQ$26*(BP$30)</f>
        <v/>
      </c>
      <c r="BR27" s="18">
        <f>BR$26*(BQ$30)</f>
        <v/>
      </c>
      <c r="BS27" s="18">
        <f>BS$26*(BR$30)</f>
        <v/>
      </c>
      <c r="BT27" s="18">
        <f>BT$26*(BS$30)</f>
        <v/>
      </c>
      <c r="BU27" s="18">
        <f>BU$26*(BT$30)</f>
        <v/>
      </c>
      <c r="BV27" s="18">
        <f>BV$26*(BU$30)</f>
        <v/>
      </c>
      <c r="BW27" s="18">
        <f>BW$26*(BV$30)</f>
        <v/>
      </c>
      <c r="BX27" s="18">
        <f>BX$26*(BW$30)</f>
        <v/>
      </c>
      <c r="BY27" s="18">
        <f>BY$26*(BX$30)</f>
        <v/>
      </c>
      <c r="BZ27" s="18">
        <f>BZ$26*(BY$30)</f>
        <v/>
      </c>
      <c r="CA27" s="18">
        <f>CA$26*(BZ$30)</f>
        <v/>
      </c>
      <c r="CB27" s="18">
        <f>CB$26*(CA$30)</f>
        <v/>
      </c>
      <c r="CC27" s="18">
        <f>CC$26*(CB$30)</f>
        <v/>
      </c>
      <c r="CD27" s="18">
        <f>CD$26*(CC$30)</f>
        <v/>
      </c>
      <c r="CE27" s="18">
        <f>CE$26*(CD$30)</f>
        <v/>
      </c>
      <c r="CF27" s="18">
        <f>CF$26*(CE$30)</f>
        <v/>
      </c>
      <c r="CG27" s="18">
        <f>CG$26*(CF$30)</f>
        <v/>
      </c>
      <c r="CH27" s="18">
        <f>CH$26*(CG$30)</f>
        <v/>
      </c>
      <c r="CI27" s="18">
        <f>CI$26*(CH$30)</f>
        <v/>
      </c>
      <c r="CJ27" s="18">
        <f>CJ$26*(CI$30)</f>
        <v/>
      </c>
      <c r="CK27" s="18">
        <f>CK$26*(CJ$30)</f>
        <v/>
      </c>
      <c r="CL27" s="18">
        <f>CL$26*(CK$30)</f>
        <v/>
      </c>
      <c r="CM27" s="18">
        <f>CM$26*(CL$30)</f>
        <v/>
      </c>
      <c r="CN27" s="18">
        <f>CN$26*(CM$30)</f>
        <v/>
      </c>
      <c r="CO27" s="18">
        <f>CO$26*(CN$30)</f>
        <v/>
      </c>
      <c r="CP27" s="18">
        <f>CP$26*(CO$30)</f>
        <v/>
      </c>
      <c r="CQ27" s="18">
        <f>CQ$26*(CP$30)</f>
        <v/>
      </c>
      <c r="CR27" s="18">
        <f>CR$26*(CQ$30)</f>
        <v/>
      </c>
      <c r="CS27" s="18">
        <f>CS$26*(CR$30)</f>
        <v/>
      </c>
      <c r="CT27" s="18">
        <f>CT$26*(CS$30)</f>
        <v/>
      </c>
      <c r="CU27" s="18">
        <f>CU$26*(CT$30)</f>
        <v/>
      </c>
      <c r="CV27" s="18">
        <f>CV$26*(CU$30)</f>
        <v/>
      </c>
      <c r="CW27" s="18">
        <f>CW$26*(CV$30)</f>
        <v/>
      </c>
      <c r="CX27" s="18">
        <f>CX$26*(CW$30)</f>
        <v/>
      </c>
      <c r="CY27" s="18">
        <f>CY$26*(CX$30)</f>
        <v/>
      </c>
      <c r="CZ27" s="18">
        <f>CZ$26*(CY$30)</f>
        <v/>
      </c>
      <c r="DA27" s="18">
        <f>DA$26*(CZ$30)</f>
        <v/>
      </c>
      <c r="DB27" s="18">
        <f>DB$26*(DA$30)</f>
        <v/>
      </c>
      <c r="DC27" s="18">
        <f>DC$26*(DB$30)</f>
        <v/>
      </c>
      <c r="DD27" s="18">
        <f>DD$26*(DC$30)</f>
        <v/>
      </c>
      <c r="DE27" s="18">
        <f>DE$26*(DD$30)</f>
        <v/>
      </c>
      <c r="DF27" s="18">
        <f>DF$26*(DE$30)</f>
        <v/>
      </c>
      <c r="DG27" s="18">
        <f>DG$26*(DF$30)</f>
        <v/>
      </c>
      <c r="DH27" s="18">
        <f>DH$26*(DG$30)</f>
        <v/>
      </c>
      <c r="DI27" s="18">
        <f>DI$26*(DH$30)</f>
        <v/>
      </c>
      <c r="DJ27" s="18">
        <f>DJ$26*(DI$30)</f>
        <v/>
      </c>
      <c r="DK27" s="18">
        <f>DK$26*(DJ$30)</f>
        <v/>
      </c>
      <c r="DL27" s="18">
        <f>DL$26*(DK$30)</f>
        <v/>
      </c>
      <c r="DM27" s="18">
        <f>DM$26*(DL$30)</f>
        <v/>
      </c>
      <c r="DN27" s="18">
        <f>DN$26*(DM$30)</f>
        <v/>
      </c>
      <c r="DO27" s="18">
        <f>DO$26*(DN$30)</f>
        <v/>
      </c>
      <c r="DP27" s="18">
        <f>DP$26*(DO$30)</f>
        <v/>
      </c>
      <c r="DQ27" s="18">
        <f>DQ$26*(DP$30)</f>
        <v/>
      </c>
      <c r="DR27" s="18">
        <f>DR$26*(DQ$30)</f>
        <v/>
      </c>
      <c r="DS27" s="18">
        <f>DS$26*(DR$30)</f>
        <v/>
      </c>
      <c r="DT27" s="18">
        <f>DT$26*(DS$30)</f>
        <v/>
      </c>
      <c r="DU27" s="18">
        <f>DU$26*(DT$30)</f>
        <v/>
      </c>
      <c r="DV27" s="18">
        <f>DV$26*(DU$30)</f>
        <v/>
      </c>
      <c r="DW27" s="18">
        <f>DW$26*(DV$30)</f>
        <v/>
      </c>
      <c r="DX27" s="18">
        <f>DX$26*(DW$30)</f>
        <v/>
      </c>
      <c r="DY27" s="18">
        <f>DY$26*(DX$30)</f>
        <v/>
      </c>
      <c r="DZ27" s="18">
        <f>DZ$26*(DY$30)</f>
        <v/>
      </c>
      <c r="EA27" s="18">
        <f>EA$26*(DZ$30)</f>
        <v/>
      </c>
      <c r="EB27" s="18">
        <f>EB$26*(EA$30)</f>
        <v/>
      </c>
      <c r="EC27" s="18">
        <f>EC$26*(EB$30)</f>
        <v/>
      </c>
      <c r="ED27" s="18">
        <f>ED$26*(EC$30)</f>
        <v/>
      </c>
      <c r="EE27" s="18">
        <f>EE$26*(ED$30)</f>
        <v/>
      </c>
      <c r="EF27" s="18">
        <f>EF$26*(EE$30)</f>
        <v/>
      </c>
      <c r="EG27" s="18">
        <f>EG$26*(EF$30)</f>
        <v/>
      </c>
      <c r="EH27" s="18">
        <f>EH$26*(EG$30)</f>
        <v/>
      </c>
      <c r="EI27" s="18">
        <f>EI$26*(EH$30)</f>
        <v/>
      </c>
      <c r="EJ27" s="18">
        <f>EJ$26*(EI$30)</f>
        <v/>
      </c>
      <c r="EK27" s="18">
        <f>EK$26*(EJ$30)</f>
        <v/>
      </c>
      <c r="EL27" s="18">
        <f>EL$26*(EK$30)</f>
        <v/>
      </c>
      <c r="EM27" s="18">
        <f>EM$26*(EL$30)</f>
        <v/>
      </c>
      <c r="EN27" s="18">
        <f>EN$26*(EM$30)</f>
        <v/>
      </c>
      <c r="EO27" s="18">
        <f>EO$26*(EN$30)</f>
        <v/>
      </c>
      <c r="EP27" s="18">
        <f>EP$26*(EO$30)</f>
        <v/>
      </c>
      <c r="EQ27" s="18">
        <f>EQ$26*(EP$30)</f>
        <v/>
      </c>
      <c r="ER27" s="18">
        <f>ER$26*(EQ$30)</f>
        <v/>
      </c>
      <c r="ES27" s="18">
        <f>ES$26*(ER$30)</f>
        <v/>
      </c>
      <c r="ET27" s="18">
        <f>ET$26*(ES$30)</f>
        <v/>
      </c>
      <c r="EU27" s="18">
        <f>EU$26*(ET$30)</f>
        <v/>
      </c>
      <c r="EV27" s="18">
        <f>EV$26*(EU$30)</f>
        <v/>
      </c>
      <c r="EW27" s="18">
        <f>EW$26*(EV$30)</f>
        <v/>
      </c>
      <c r="EX27" s="18">
        <f>EX$26*(EW$30)</f>
        <v/>
      </c>
      <c r="EY27" s="18">
        <f>EY$26*(EX$30)</f>
        <v/>
      </c>
      <c r="EZ27" s="18">
        <f>EZ$26*(EY$30)</f>
        <v/>
      </c>
      <c r="FA27" s="18">
        <f>FA$26*(EZ$30)</f>
        <v/>
      </c>
      <c r="FB27" s="18">
        <f>FB$26*(FA$30)</f>
        <v/>
      </c>
      <c r="FC27" s="18">
        <f>FC$26*(FB$30)</f>
        <v/>
      </c>
      <c r="FD27" s="18">
        <f>FD$26*(FC$30)</f>
        <v/>
      </c>
      <c r="FE27" s="18">
        <f>FE$26*(FD$30)</f>
        <v/>
      </c>
      <c r="FF27" s="18">
        <f>FF$26*(FE$30)</f>
        <v/>
      </c>
      <c r="FG27" s="18">
        <f>FG$26*(FF$30)</f>
        <v/>
      </c>
      <c r="FH27" s="18">
        <f>FH$26*(FG$30)</f>
        <v/>
      </c>
      <c r="FI27" s="18">
        <f>FI$26*(FH$30)</f>
        <v/>
      </c>
      <c r="FJ27" s="18">
        <f>FJ$26*(FI$30)</f>
        <v/>
      </c>
      <c r="FK27" s="18">
        <f>FK$26*(FJ$30)</f>
        <v/>
      </c>
      <c r="FL27" s="18">
        <f>FL$26*(FK$30)</f>
        <v/>
      </c>
      <c r="FM27" s="18">
        <f>FM$26*(FL$30)</f>
        <v/>
      </c>
      <c r="FN27" s="18">
        <f>FN$26*(FM$30)</f>
        <v/>
      </c>
      <c r="FO27" s="18">
        <f>FO$26*(FN$30)</f>
        <v/>
      </c>
      <c r="FP27" s="18">
        <f>FP$26*(FO$30)</f>
        <v/>
      </c>
      <c r="FQ27" s="18">
        <f>FQ$26*(FP$30)</f>
        <v/>
      </c>
      <c r="FR27" s="18">
        <f>FR$26*(FQ$30)</f>
        <v/>
      </c>
      <c r="FS27" s="18">
        <f>FS$26*(FR$30)</f>
        <v/>
      </c>
      <c r="FT27" s="18">
        <f>FT$26*(FS$30)</f>
        <v/>
      </c>
      <c r="FU27" s="18">
        <f>FU$26*(FT$30)</f>
        <v/>
      </c>
      <c r="FV27" s="18">
        <f>FV$26*(FU$30)</f>
        <v/>
      </c>
      <c r="FW27" s="18">
        <f>FW$26*(FV$30)</f>
        <v/>
      </c>
      <c r="FX27" s="18">
        <f>FX$26*(FW$30)</f>
        <v/>
      </c>
      <c r="FY27" s="18">
        <f>FY$26*(FX$30)</f>
        <v/>
      </c>
      <c r="FZ27" s="18">
        <f>FZ$26*(FY$30)</f>
        <v/>
      </c>
      <c r="GA27" s="18">
        <f>GA$26*(FZ$30)</f>
        <v/>
      </c>
      <c r="GB27" s="18">
        <f>GB$26*(GA$30)</f>
        <v/>
      </c>
      <c r="GC27" s="18">
        <f>GC$26*(GB$30)</f>
        <v/>
      </c>
      <c r="GD27" s="18">
        <f>GD$26*(GC$30)</f>
        <v/>
      </c>
      <c r="GE27" s="18">
        <f>GE$26*(GD$30)</f>
        <v/>
      </c>
      <c r="GF27" s="18">
        <f>GF$26*(GE$30)</f>
        <v/>
      </c>
      <c r="GG27" s="18">
        <f>GG$26*(GF$30)</f>
        <v/>
      </c>
      <c r="GH27" s="18">
        <f>GH$26*(GG$30)</f>
        <v/>
      </c>
      <c r="GI27" s="18">
        <f>GI$26*(GH$30)</f>
        <v/>
      </c>
      <c r="GJ27" s="18">
        <f>GJ$26*(GI$30)</f>
        <v/>
      </c>
      <c r="GK27" s="18">
        <f>GK$26*(GJ$30)</f>
        <v/>
      </c>
      <c r="GL27" s="18">
        <f>GL$26*(GK$30)</f>
        <v/>
      </c>
      <c r="GM27" s="18">
        <f>GM$26*(GL$30)</f>
        <v/>
      </c>
      <c r="GN27" s="18">
        <f>GN$26*(GM$30)</f>
        <v/>
      </c>
      <c r="GO27" s="18">
        <f>GO$26*(GN$30)</f>
        <v/>
      </c>
      <c r="GP27" s="18">
        <f>GP$26*(GO$30)</f>
        <v/>
      </c>
      <c r="GQ27" s="18">
        <f>GQ$26*(GP$30)</f>
        <v/>
      </c>
      <c r="GR27" s="18">
        <f>GR$26*(GQ$30)</f>
        <v/>
      </c>
      <c r="GS27" s="18">
        <f>GS$26*(GR$30)</f>
        <v/>
      </c>
      <c r="GT27" s="18">
        <f>GT$26*(GS$30)</f>
        <v/>
      </c>
      <c r="GU27" s="18">
        <f>GU$26*(GT$30)</f>
        <v/>
      </c>
      <c r="GV27" s="18">
        <f>GV$26*(GU$30)</f>
        <v/>
      </c>
      <c r="GW27" s="18">
        <f>GW$26*(GV$30)</f>
        <v/>
      </c>
      <c r="GX27" s="18">
        <f>GX$26*(GW$30)</f>
        <v/>
      </c>
      <c r="GY27" s="18">
        <f>GY$26*(GX$30)</f>
        <v/>
      </c>
      <c r="GZ27" s="18">
        <f>GZ$26*(GY$30)</f>
        <v/>
      </c>
      <c r="HA27" s="18">
        <f>HA$26*(GZ$30)</f>
        <v/>
      </c>
      <c r="HB27" s="18">
        <f>HB$26*(HA$30)</f>
        <v/>
      </c>
      <c r="HC27" s="18">
        <f>HC$26*(HB$30)</f>
        <v/>
      </c>
      <c r="HD27" s="18">
        <f>HD$26*(HC$30)</f>
        <v/>
      </c>
      <c r="HE27" s="18">
        <f>HE$26*(HD$30)</f>
        <v/>
      </c>
      <c r="HF27" s="18">
        <f>HF$26*(HE$30)</f>
        <v/>
      </c>
      <c r="HG27" s="18">
        <f>HG$26*(HF$30)</f>
        <v/>
      </c>
      <c r="HH27" s="18">
        <f>HH$26*(HG$30)</f>
        <v/>
      </c>
      <c r="HI27" s="18">
        <f>HI$26*(HH$30)</f>
        <v/>
      </c>
      <c r="HJ27" s="18">
        <f>HJ$26*(HI$30)</f>
        <v/>
      </c>
      <c r="HK27" s="18">
        <f>HK$26*(HJ$30)</f>
        <v/>
      </c>
      <c r="HL27" s="18">
        <f>HL$26*(HK$30)</f>
        <v/>
      </c>
      <c r="HM27" s="18">
        <f>HM$26*(HL$30)</f>
        <v/>
      </c>
      <c r="HN27" s="18">
        <f>HN$26*(HM$30)</f>
        <v/>
      </c>
      <c r="HO27" s="18">
        <f>HO$26*(HN$30)</f>
        <v/>
      </c>
      <c r="HP27" s="18">
        <f>HP$26*(HO$30)</f>
        <v/>
      </c>
      <c r="HQ27" s="18">
        <f>HQ$26*(HP$30)</f>
        <v/>
      </c>
      <c r="HR27" s="18">
        <f>HR$26*(HQ$30)</f>
        <v/>
      </c>
      <c r="HS27" s="18">
        <f>HS$26*(HR$30)</f>
        <v/>
      </c>
      <c r="HT27" s="18">
        <f>HT$26*(HS$30)</f>
        <v/>
      </c>
      <c r="HU27" s="18">
        <f>HU$26*(HT$30)</f>
        <v/>
      </c>
      <c r="HV27" s="18">
        <f>HV$26*(HU$30)</f>
        <v/>
      </c>
      <c r="HW27" s="18">
        <f>HW$26*(HV$30)</f>
        <v/>
      </c>
      <c r="HX27" s="18">
        <f>HX$26*(HW$30)</f>
        <v/>
      </c>
      <c r="HY27" s="18">
        <f>HY$26*(HX$30)</f>
        <v/>
      </c>
      <c r="HZ27" s="18">
        <f>HZ$26*(HY$30)</f>
        <v/>
      </c>
      <c r="IA27" s="18">
        <f>IA$26*(HZ$30)</f>
        <v/>
      </c>
      <c r="IB27" s="18">
        <f>IB$26*(IA$30)</f>
        <v/>
      </c>
      <c r="IC27" s="18">
        <f>IC$26*(IB$30)</f>
        <v/>
      </c>
      <c r="ID27" s="18">
        <f>ID$26*(IC$30)</f>
        <v/>
      </c>
      <c r="IE27" s="18">
        <f>IE$26*(ID$30)</f>
        <v/>
      </c>
      <c r="IF27" s="18">
        <f>IF$26*(IE$30)</f>
        <v/>
      </c>
      <c r="IG27" s="18">
        <f>IG$26*(IF$30)</f>
        <v/>
      </c>
      <c r="IH27" s="18">
        <f>IH$26*(IG$30)</f>
        <v/>
      </c>
      <c r="II27" s="18">
        <f>II$26*(IH$30)</f>
        <v/>
      </c>
      <c r="IJ27" s="18">
        <f>IJ$26*(II$30)</f>
        <v/>
      </c>
      <c r="IK27" s="18">
        <f>IK$26*(IJ$30)</f>
        <v/>
      </c>
      <c r="IL27" s="18">
        <f>IL$26*(IK$30)</f>
        <v/>
      </c>
      <c r="IM27" s="18">
        <f>IM$26*(IL$30)</f>
        <v/>
      </c>
      <c r="IN27" s="18">
        <f>IN$26*(IM$30)</f>
        <v/>
      </c>
      <c r="IO27" s="18">
        <f>IO$26*(IN$30)</f>
        <v/>
      </c>
      <c r="IP27" s="18">
        <f>IP$26*(IO$30)</f>
        <v/>
      </c>
      <c r="IQ27" s="18">
        <f>IQ$26*(IP$30)</f>
        <v/>
      </c>
      <c r="IR27" s="18">
        <f>IR$26*(IQ$30)</f>
        <v/>
      </c>
      <c r="IS27" s="18">
        <f>IS$26*(IR$30)</f>
        <v/>
      </c>
      <c r="IT27" s="18">
        <f>IT$26*(IS$30)</f>
        <v/>
      </c>
      <c r="IU27" s="18">
        <f>IU$26*(IT$30)</f>
        <v/>
      </c>
      <c r="IV27" s="18">
        <f>IV$26*(IU$30)</f>
        <v/>
      </c>
      <c r="IW27" s="18">
        <f>IW$26*(IV$30)</f>
        <v/>
      </c>
      <c r="IX27" s="18">
        <f>IX$26*(IW$30)</f>
        <v/>
      </c>
      <c r="IY27" s="18">
        <f>IY$26*(IX$30)</f>
        <v/>
      </c>
      <c r="IZ27" s="18">
        <f>IZ$26*(IY$30)</f>
        <v/>
      </c>
      <c r="JA27" s="18">
        <f>JA$26*(IZ$30)</f>
        <v/>
      </c>
      <c r="JB27" s="18">
        <f>JB$26*(JA$30)</f>
        <v/>
      </c>
      <c r="JC27" s="18">
        <f>JC$26*(JB$30)</f>
        <v/>
      </c>
      <c r="JD27" s="18">
        <f>JD$26*(JC$30)</f>
        <v/>
      </c>
      <c r="JE27" s="18">
        <f>JE$26*(JD$30)</f>
        <v/>
      </c>
      <c r="JF27" s="18">
        <f>JF$26*(JE$30)</f>
        <v/>
      </c>
      <c r="JG27" s="18">
        <f>JG$26*(JF$30)</f>
        <v/>
      </c>
      <c r="JH27" s="18">
        <f>JH$26*(JG$30)</f>
        <v/>
      </c>
      <c r="JI27" s="18">
        <f>JI$26*(JH$30)</f>
        <v/>
      </c>
      <c r="JJ27" s="18">
        <f>JJ$26*(JI$30)</f>
        <v/>
      </c>
      <c r="JK27" s="18">
        <f>JK$26*(JJ$30)</f>
        <v/>
      </c>
      <c r="JL27" s="18">
        <f>JL$26*(JK$30)</f>
        <v/>
      </c>
      <c r="JM27" s="18">
        <f>JM$26*(JL$30)</f>
        <v/>
      </c>
      <c r="JN27" s="18">
        <f>JN$26*(JM$30)</f>
        <v/>
      </c>
      <c r="JO27" s="18">
        <f>JO$26*(JN$30)</f>
        <v/>
      </c>
      <c r="JP27" s="18">
        <f>JP$26*(JO$30)</f>
        <v/>
      </c>
      <c r="JQ27" s="18">
        <f>JQ$26*(JP$30)</f>
        <v/>
      </c>
      <c r="JR27" s="18">
        <f>JR$26*(JQ$30)</f>
        <v/>
      </c>
      <c r="JS27" s="18">
        <f>JS$26*(JR$30)</f>
        <v/>
      </c>
      <c r="JT27" s="18">
        <f>JT$26*(JS$30)</f>
        <v/>
      </c>
      <c r="JU27" s="18">
        <f>JU$26*(JT$30)</f>
        <v/>
      </c>
      <c r="JV27" s="18">
        <f>JV$26*(JU$30)</f>
        <v/>
      </c>
      <c r="JW27" s="18">
        <f>JW$26*(JV$30)</f>
        <v/>
      </c>
      <c r="JX27" s="18">
        <f>JX$26*(JW$30)</f>
        <v/>
      </c>
      <c r="JY27" s="18">
        <f>JY$26*(JX$30)</f>
        <v/>
      </c>
      <c r="JZ27" s="18">
        <f>JZ$26*(JY$30)</f>
        <v/>
      </c>
      <c r="KA27" s="18">
        <f>KA$26*(JZ$30)</f>
        <v/>
      </c>
      <c r="KB27" s="18">
        <f>KB$26*(KA$30)</f>
        <v/>
      </c>
      <c r="KC27" s="18">
        <f>KC$26*(KB$30)</f>
        <v/>
      </c>
      <c r="KD27" s="18">
        <f>KD$26*(KC$30)</f>
        <v/>
      </c>
      <c r="KE27" s="18">
        <f>KE$26*(KD$30)</f>
        <v/>
      </c>
      <c r="KF27" s="18">
        <f>KF$26*(KE$30)</f>
        <v/>
      </c>
      <c r="KG27" s="18">
        <f>KG$26*(KF$30)</f>
        <v/>
      </c>
      <c r="KH27" s="18">
        <f>KH$26*(KG$30)</f>
        <v/>
      </c>
      <c r="KI27" s="18">
        <f>KI$26*(KH$30)</f>
        <v/>
      </c>
      <c r="KJ27" s="18">
        <f>KJ$26*(KI$30)</f>
        <v/>
      </c>
      <c r="KK27" s="18">
        <f>KK$26*(KJ$30)</f>
        <v/>
      </c>
      <c r="KL27" s="18">
        <f>KL$26*(KK$30)</f>
        <v/>
      </c>
      <c r="KM27" s="18">
        <f>KM$26*(KL$30)</f>
        <v/>
      </c>
      <c r="KN27" s="18">
        <f>KN$26*(KM$30)</f>
        <v/>
      </c>
      <c r="KO27" s="18">
        <f>KO$26*(KN$30)</f>
        <v/>
      </c>
      <c r="KP27" s="18">
        <f>KP$26*(KO$30)</f>
        <v/>
      </c>
      <c r="KQ27" s="18">
        <f>KQ$26*(KP$30)</f>
        <v/>
      </c>
      <c r="KR27" s="18">
        <f>KR$26*(KQ$30)</f>
        <v/>
      </c>
      <c r="KS27" s="18">
        <f>KS$26*(KR$30)</f>
        <v/>
      </c>
      <c r="KT27" s="18">
        <f>KT$26*(KS$30)</f>
        <v/>
      </c>
      <c r="KU27" s="18">
        <f>KU$26*(KT$30)</f>
        <v/>
      </c>
      <c r="KV27" s="18">
        <f>KV$26*(KU$30)</f>
        <v/>
      </c>
      <c r="KW27" s="18">
        <f>KW$26*(KV$30)</f>
        <v/>
      </c>
      <c r="KX27" s="18">
        <f>KX$26*(KW$30)</f>
        <v/>
      </c>
      <c r="KY27" s="18">
        <f>KY$26*(KX$30)</f>
        <v/>
      </c>
      <c r="KZ27" s="18">
        <f>KZ$26*(KY$30)</f>
        <v/>
      </c>
      <c r="LA27" s="18">
        <f>LA$26*(KZ$30)</f>
        <v/>
      </c>
      <c r="LB27" s="18">
        <f>LB$26*(LA$30)</f>
        <v/>
      </c>
      <c r="LC27" s="18">
        <f>LC$26*(LB$30)</f>
        <v/>
      </c>
      <c r="LD27" s="18">
        <f>LD$26*(LC$30)</f>
        <v/>
      </c>
      <c r="LE27" s="18">
        <f>LE$26*(LD$30)</f>
        <v/>
      </c>
      <c r="LF27" s="18">
        <f>LF$26*(LE$30)</f>
        <v/>
      </c>
      <c r="LG27" s="18">
        <f>LG$26*(LF$30)</f>
        <v/>
      </c>
      <c r="LH27" s="18">
        <f>LH$26*(LG$30)</f>
        <v/>
      </c>
      <c r="LI27" s="18">
        <f>LI$26*(LH$30)</f>
        <v/>
      </c>
      <c r="LJ27" s="18">
        <f>LJ$26*(LI$30)</f>
        <v/>
      </c>
      <c r="LK27" s="18">
        <f>LK$26*(LJ$30)</f>
        <v/>
      </c>
      <c r="LL27" s="18">
        <f>LL$26*(LK$30)</f>
        <v/>
      </c>
      <c r="LM27" s="18">
        <f>LM$26*(LL$30)</f>
        <v/>
      </c>
      <c r="LN27" s="18">
        <f>LN$26*(LM$30)</f>
        <v/>
      </c>
      <c r="LO27" s="18">
        <f>LO$26*(LN$30)</f>
        <v/>
      </c>
      <c r="LP27" s="18">
        <f>LP$26*(LO$30)</f>
        <v/>
      </c>
      <c r="LQ27" s="18">
        <f>LQ$26*(LP$30)</f>
        <v/>
      </c>
      <c r="LR27" s="18">
        <f>LR$26*(LQ$30)</f>
        <v/>
      </c>
      <c r="LS27" s="18">
        <f>LS$26*(LR$30)</f>
        <v/>
      </c>
      <c r="LT27" s="18">
        <f>LT$26*(LS$30)</f>
        <v/>
      </c>
      <c r="LU27" s="18">
        <f>LU$26*(LT$30)</f>
        <v/>
      </c>
      <c r="LV27" s="18">
        <f>LV$26*(LU$30)</f>
        <v/>
      </c>
      <c r="LW27" s="18">
        <f>LW$26*(LV$30)</f>
        <v/>
      </c>
      <c r="LX27" s="18">
        <f>LX$26*(LW$30)</f>
        <v/>
      </c>
      <c r="LY27" s="18">
        <f>LY$26*(LX$30)</f>
        <v/>
      </c>
      <c r="LZ27" s="18">
        <f>LZ$26*(LY$30)</f>
        <v/>
      </c>
      <c r="MA27" s="18">
        <f>MA$26*(LZ$30)</f>
        <v/>
      </c>
      <c r="MB27" s="18">
        <f>MB$26*(MA$30)</f>
        <v/>
      </c>
      <c r="MC27" s="18">
        <f>MC$26*(MB$30)</f>
        <v/>
      </c>
      <c r="MD27" s="18">
        <f>MD$26*(MC$30)</f>
        <v/>
      </c>
      <c r="ME27" s="18">
        <f>ME$26*(MD$30)</f>
        <v/>
      </c>
      <c r="MF27" s="18">
        <f>MF$26*(ME$30)</f>
        <v/>
      </c>
      <c r="MG27" s="18">
        <f>MG$26*(MF$30)</f>
        <v/>
      </c>
      <c r="MH27" s="18">
        <f>MH$26*(MG$30)</f>
        <v/>
      </c>
      <c r="MI27" s="18">
        <f>MI$26*(MH$30)</f>
        <v/>
      </c>
      <c r="MJ27" s="18">
        <f>MJ$26*(MI$30)</f>
        <v/>
      </c>
      <c r="MK27" s="18">
        <f>MK$26*(MJ$30)</f>
        <v/>
      </c>
      <c r="ML27" s="18">
        <f>ML$26*(MK$30)</f>
        <v/>
      </c>
      <c r="MM27" s="18">
        <f>MM$26*(ML$30)</f>
        <v/>
      </c>
      <c r="MN27" s="18">
        <f>MN$26*(MM$30)</f>
        <v/>
      </c>
      <c r="MO27" s="18">
        <f>MO$26*(MN$30)</f>
        <v/>
      </c>
      <c r="MP27" s="18">
        <f>MP$26*(MO$30)</f>
        <v/>
      </c>
      <c r="MQ27" s="18">
        <f>MQ$26*(MP$30)</f>
        <v/>
      </c>
      <c r="MR27" s="18">
        <f>MR$26*(MQ$30)</f>
        <v/>
      </c>
      <c r="MS27" s="18">
        <f>MS$26*(MR$30)</f>
        <v/>
      </c>
      <c r="MT27" s="18">
        <f>MT$26*(MS$30)</f>
        <v/>
      </c>
      <c r="MU27" s="18">
        <f>MU$26*(MT$30)</f>
        <v/>
      </c>
      <c r="MV27" s="18">
        <f>MV$26*(MU$30)</f>
        <v/>
      </c>
      <c r="MW27" s="18">
        <f>MW$26*(MV$30)</f>
        <v/>
      </c>
      <c r="MX27" s="18">
        <f>MX$26*(MW$30)</f>
        <v/>
      </c>
      <c r="MY27" s="18">
        <f>MY$26*(MX$30)</f>
        <v/>
      </c>
      <c r="MZ27" s="18">
        <f>MZ$26*(MY$30)</f>
        <v/>
      </c>
      <c r="NA27" s="18">
        <f>NA$26*(MZ$30)</f>
        <v/>
      </c>
      <c r="NB27" s="18">
        <f>NB$26*(NA$30)</f>
        <v/>
      </c>
      <c r="NC27" s="18">
        <f>NC$26*(NB$30)</f>
        <v/>
      </c>
      <c r="ND27" s="18">
        <f>ND$26*(NC$30)</f>
        <v/>
      </c>
      <c r="NE27" s="18">
        <f>NE$26*(ND$30)</f>
        <v/>
      </c>
      <c r="NF27" s="18">
        <f>NF$26*(NE$30)</f>
        <v/>
      </c>
      <c r="NG27" s="18">
        <f>NG$26*(NF$30)</f>
        <v/>
      </c>
      <c r="NH27" s="18">
        <f>NH$26*(NG$30)</f>
        <v/>
      </c>
      <c r="NI27" s="18">
        <f>NI$26*(NH$30)</f>
        <v/>
      </c>
      <c r="NJ27" s="18">
        <f>NJ$26*(NI$30)</f>
        <v/>
      </c>
      <c r="NK27" s="18">
        <f>NK$26*(NJ$30)</f>
        <v/>
      </c>
    </row>
    <row r="28">
      <c r="A28" s="5" t="inlineStr">
        <is>
          <t>Principal</t>
        </is>
      </c>
      <c r="C28" s="41">
        <f>SUM(D28:NK28)</f>
        <v/>
      </c>
      <c r="D28" s="18">
        <f>IF(OR(1&lt;=RefiMonth+PermIOMonths,'Timeline'!D$42=0),0,MIN(0,PermPmt-D$27))</f>
        <v/>
      </c>
      <c r="E28" s="18">
        <f>IF(OR(2&lt;=RefiMonth+PermIOMonths,'Timeline'!E$42=0),0,MIN(D$30,PermPmt-E$27))</f>
        <v/>
      </c>
      <c r="F28" s="18">
        <f>IF(OR(3&lt;=RefiMonth+PermIOMonths,'Timeline'!F$42=0),0,MIN(E$30,PermPmt-F$27))</f>
        <v/>
      </c>
      <c r="G28" s="18">
        <f>IF(OR(4&lt;=RefiMonth+PermIOMonths,'Timeline'!G$42=0),0,MIN(F$30,PermPmt-G$27))</f>
        <v/>
      </c>
      <c r="H28" s="18">
        <f>IF(OR(5&lt;=RefiMonth+PermIOMonths,'Timeline'!H$42=0),0,MIN(G$30,PermPmt-H$27))</f>
        <v/>
      </c>
      <c r="I28" s="18">
        <f>IF(OR(6&lt;=RefiMonth+PermIOMonths,'Timeline'!I$42=0),0,MIN(H$30,PermPmt-I$27))</f>
        <v/>
      </c>
      <c r="J28" s="18">
        <f>IF(OR(7&lt;=RefiMonth+PermIOMonths,'Timeline'!J$42=0),0,MIN(I$30,PermPmt-J$27))</f>
        <v/>
      </c>
      <c r="K28" s="18">
        <f>IF(OR(8&lt;=RefiMonth+PermIOMonths,'Timeline'!K$42=0),0,MIN(J$30,PermPmt-K$27))</f>
        <v/>
      </c>
      <c r="L28" s="18">
        <f>IF(OR(9&lt;=RefiMonth+PermIOMonths,'Timeline'!L$42=0),0,MIN(K$30,PermPmt-L$27))</f>
        <v/>
      </c>
      <c r="M28" s="18">
        <f>IF(OR(10&lt;=RefiMonth+PermIOMonths,'Timeline'!M$42=0),0,MIN(L$30,PermPmt-M$27))</f>
        <v/>
      </c>
      <c r="N28" s="18">
        <f>IF(OR(11&lt;=RefiMonth+PermIOMonths,'Timeline'!N$42=0),0,MIN(M$30,PermPmt-N$27))</f>
        <v/>
      </c>
      <c r="O28" s="18">
        <f>IF(OR(12&lt;=RefiMonth+PermIOMonths,'Timeline'!O$42=0),0,MIN(N$30,PermPmt-O$27))</f>
        <v/>
      </c>
      <c r="P28" s="18">
        <f>IF(OR(13&lt;=RefiMonth+PermIOMonths,'Timeline'!P$42=0),0,MIN(O$30,PermPmt-P$27))</f>
        <v/>
      </c>
      <c r="Q28" s="18">
        <f>IF(OR(14&lt;=RefiMonth+PermIOMonths,'Timeline'!Q$42=0),0,MIN(P$30,PermPmt-Q$27))</f>
        <v/>
      </c>
      <c r="R28" s="18">
        <f>IF(OR(15&lt;=RefiMonth+PermIOMonths,'Timeline'!R$42=0),0,MIN(Q$30,PermPmt-R$27))</f>
        <v/>
      </c>
      <c r="S28" s="18">
        <f>IF(OR(16&lt;=RefiMonth+PermIOMonths,'Timeline'!S$42=0),0,MIN(R$30,PermPmt-S$27))</f>
        <v/>
      </c>
      <c r="T28" s="18">
        <f>IF(OR(17&lt;=RefiMonth+PermIOMonths,'Timeline'!T$42=0),0,MIN(S$30,PermPmt-T$27))</f>
        <v/>
      </c>
      <c r="U28" s="18">
        <f>IF(OR(18&lt;=RefiMonth+PermIOMonths,'Timeline'!U$42=0),0,MIN(T$30,PermPmt-U$27))</f>
        <v/>
      </c>
      <c r="V28" s="18">
        <f>IF(OR(19&lt;=RefiMonth+PermIOMonths,'Timeline'!V$42=0),0,MIN(U$30,PermPmt-V$27))</f>
        <v/>
      </c>
      <c r="W28" s="18">
        <f>IF(OR(20&lt;=RefiMonth+PermIOMonths,'Timeline'!W$42=0),0,MIN(V$30,PermPmt-W$27))</f>
        <v/>
      </c>
      <c r="X28" s="18">
        <f>IF(OR(21&lt;=RefiMonth+PermIOMonths,'Timeline'!X$42=0),0,MIN(W$30,PermPmt-X$27))</f>
        <v/>
      </c>
      <c r="Y28" s="18">
        <f>IF(OR(22&lt;=RefiMonth+PermIOMonths,'Timeline'!Y$42=0),0,MIN(X$30,PermPmt-Y$27))</f>
        <v/>
      </c>
      <c r="Z28" s="18">
        <f>IF(OR(23&lt;=RefiMonth+PermIOMonths,'Timeline'!Z$42=0),0,MIN(Y$30,PermPmt-Z$27))</f>
        <v/>
      </c>
      <c r="AA28" s="18">
        <f>IF(OR(24&lt;=RefiMonth+PermIOMonths,'Timeline'!AA$42=0),0,MIN(Z$30,PermPmt-AA$27))</f>
        <v/>
      </c>
      <c r="AB28" s="18">
        <f>IF(OR(25&lt;=RefiMonth+PermIOMonths,'Timeline'!AB$42=0),0,MIN(AA$30,PermPmt-AB$27))</f>
        <v/>
      </c>
      <c r="AC28" s="18">
        <f>IF(OR(26&lt;=RefiMonth+PermIOMonths,'Timeline'!AC$42=0),0,MIN(AB$30,PermPmt-AC$27))</f>
        <v/>
      </c>
      <c r="AD28" s="18">
        <f>IF(OR(27&lt;=RefiMonth+PermIOMonths,'Timeline'!AD$42=0),0,MIN(AC$30,PermPmt-AD$27))</f>
        <v/>
      </c>
      <c r="AE28" s="18">
        <f>IF(OR(28&lt;=RefiMonth+PermIOMonths,'Timeline'!AE$42=0),0,MIN(AD$30,PermPmt-AE$27))</f>
        <v/>
      </c>
      <c r="AF28" s="18">
        <f>IF(OR(29&lt;=RefiMonth+PermIOMonths,'Timeline'!AF$42=0),0,MIN(AE$30,PermPmt-AF$27))</f>
        <v/>
      </c>
      <c r="AG28" s="18">
        <f>IF(OR(30&lt;=RefiMonth+PermIOMonths,'Timeline'!AG$42=0),0,MIN(AF$30,PermPmt-AG$27))</f>
        <v/>
      </c>
      <c r="AH28" s="18">
        <f>IF(OR(31&lt;=RefiMonth+PermIOMonths,'Timeline'!AH$42=0),0,MIN(AG$30,PermPmt-AH$27))</f>
        <v/>
      </c>
      <c r="AI28" s="18">
        <f>IF(OR(32&lt;=RefiMonth+PermIOMonths,'Timeline'!AI$42=0),0,MIN(AH$30,PermPmt-AI$27))</f>
        <v/>
      </c>
      <c r="AJ28" s="18">
        <f>IF(OR(33&lt;=RefiMonth+PermIOMonths,'Timeline'!AJ$42=0),0,MIN(AI$30,PermPmt-AJ$27))</f>
        <v/>
      </c>
      <c r="AK28" s="18">
        <f>IF(OR(34&lt;=RefiMonth+PermIOMonths,'Timeline'!AK$42=0),0,MIN(AJ$30,PermPmt-AK$27))</f>
        <v/>
      </c>
      <c r="AL28" s="18">
        <f>IF(OR(35&lt;=RefiMonth+PermIOMonths,'Timeline'!AL$42=0),0,MIN(AK$30,PermPmt-AL$27))</f>
        <v/>
      </c>
      <c r="AM28" s="18">
        <f>IF(OR(36&lt;=RefiMonth+PermIOMonths,'Timeline'!AM$42=0),0,MIN(AL$30,PermPmt-AM$27))</f>
        <v/>
      </c>
      <c r="AN28" s="18">
        <f>IF(OR(37&lt;=RefiMonth+PermIOMonths,'Timeline'!AN$42=0),0,MIN(AM$30,PermPmt-AN$27))</f>
        <v/>
      </c>
      <c r="AO28" s="18">
        <f>IF(OR(38&lt;=RefiMonth+PermIOMonths,'Timeline'!AO$42=0),0,MIN(AN$30,PermPmt-AO$27))</f>
        <v/>
      </c>
      <c r="AP28" s="18">
        <f>IF(OR(39&lt;=RefiMonth+PermIOMonths,'Timeline'!AP$42=0),0,MIN(AO$30,PermPmt-AP$27))</f>
        <v/>
      </c>
      <c r="AQ28" s="18">
        <f>IF(OR(40&lt;=RefiMonth+PermIOMonths,'Timeline'!AQ$42=0),0,MIN(AP$30,PermPmt-AQ$27))</f>
        <v/>
      </c>
      <c r="AR28" s="18">
        <f>IF(OR(41&lt;=RefiMonth+PermIOMonths,'Timeline'!AR$42=0),0,MIN(AQ$30,PermPmt-AR$27))</f>
        <v/>
      </c>
      <c r="AS28" s="18">
        <f>IF(OR(42&lt;=RefiMonth+PermIOMonths,'Timeline'!AS$42=0),0,MIN(AR$30,PermPmt-AS$27))</f>
        <v/>
      </c>
      <c r="AT28" s="18">
        <f>IF(OR(43&lt;=RefiMonth+PermIOMonths,'Timeline'!AT$42=0),0,MIN(AS$30,PermPmt-AT$27))</f>
        <v/>
      </c>
      <c r="AU28" s="18">
        <f>IF(OR(44&lt;=RefiMonth+PermIOMonths,'Timeline'!AU$42=0),0,MIN(AT$30,PermPmt-AU$27))</f>
        <v/>
      </c>
      <c r="AV28" s="18">
        <f>IF(OR(45&lt;=RefiMonth+PermIOMonths,'Timeline'!AV$42=0),0,MIN(AU$30,PermPmt-AV$27))</f>
        <v/>
      </c>
      <c r="AW28" s="18">
        <f>IF(OR(46&lt;=RefiMonth+PermIOMonths,'Timeline'!AW$42=0),0,MIN(AV$30,PermPmt-AW$27))</f>
        <v/>
      </c>
      <c r="AX28" s="18">
        <f>IF(OR(47&lt;=RefiMonth+PermIOMonths,'Timeline'!AX$42=0),0,MIN(AW$30,PermPmt-AX$27))</f>
        <v/>
      </c>
      <c r="AY28" s="18">
        <f>IF(OR(48&lt;=RefiMonth+PermIOMonths,'Timeline'!AY$42=0),0,MIN(AX$30,PermPmt-AY$27))</f>
        <v/>
      </c>
      <c r="AZ28" s="18">
        <f>IF(OR(49&lt;=RefiMonth+PermIOMonths,'Timeline'!AZ$42=0),0,MIN(AY$30,PermPmt-AZ$27))</f>
        <v/>
      </c>
      <c r="BA28" s="18">
        <f>IF(OR(50&lt;=RefiMonth+PermIOMonths,'Timeline'!BA$42=0),0,MIN(AZ$30,PermPmt-BA$27))</f>
        <v/>
      </c>
      <c r="BB28" s="18">
        <f>IF(OR(51&lt;=RefiMonth+PermIOMonths,'Timeline'!BB$42=0),0,MIN(BA$30,PermPmt-BB$27))</f>
        <v/>
      </c>
      <c r="BC28" s="18">
        <f>IF(OR(52&lt;=RefiMonth+PermIOMonths,'Timeline'!BC$42=0),0,MIN(BB$30,PermPmt-BC$27))</f>
        <v/>
      </c>
      <c r="BD28" s="18">
        <f>IF(OR(53&lt;=RefiMonth+PermIOMonths,'Timeline'!BD$42=0),0,MIN(BC$30,PermPmt-BD$27))</f>
        <v/>
      </c>
      <c r="BE28" s="18">
        <f>IF(OR(54&lt;=RefiMonth+PermIOMonths,'Timeline'!BE$42=0),0,MIN(BD$30,PermPmt-BE$27))</f>
        <v/>
      </c>
      <c r="BF28" s="18">
        <f>IF(OR(55&lt;=RefiMonth+PermIOMonths,'Timeline'!BF$42=0),0,MIN(BE$30,PermPmt-BF$27))</f>
        <v/>
      </c>
      <c r="BG28" s="18">
        <f>IF(OR(56&lt;=RefiMonth+PermIOMonths,'Timeline'!BG$42=0),0,MIN(BF$30,PermPmt-BG$27))</f>
        <v/>
      </c>
      <c r="BH28" s="18">
        <f>IF(OR(57&lt;=RefiMonth+PermIOMonths,'Timeline'!BH$42=0),0,MIN(BG$30,PermPmt-BH$27))</f>
        <v/>
      </c>
      <c r="BI28" s="18">
        <f>IF(OR(58&lt;=RefiMonth+PermIOMonths,'Timeline'!BI$42=0),0,MIN(BH$30,PermPmt-BI$27))</f>
        <v/>
      </c>
      <c r="BJ28" s="18">
        <f>IF(OR(59&lt;=RefiMonth+PermIOMonths,'Timeline'!BJ$42=0),0,MIN(BI$30,PermPmt-BJ$27))</f>
        <v/>
      </c>
      <c r="BK28" s="18">
        <f>IF(OR(60&lt;=RefiMonth+PermIOMonths,'Timeline'!BK$42=0),0,MIN(BJ$30,PermPmt-BK$27))</f>
        <v/>
      </c>
      <c r="BL28" s="18">
        <f>IF(OR(61&lt;=RefiMonth+PermIOMonths,'Timeline'!BL$42=0),0,MIN(BK$30,PermPmt-BL$27))</f>
        <v/>
      </c>
      <c r="BM28" s="18">
        <f>IF(OR(62&lt;=RefiMonth+PermIOMonths,'Timeline'!BM$42=0),0,MIN(BL$30,PermPmt-BM$27))</f>
        <v/>
      </c>
      <c r="BN28" s="18">
        <f>IF(OR(63&lt;=RefiMonth+PermIOMonths,'Timeline'!BN$42=0),0,MIN(BM$30,PermPmt-BN$27))</f>
        <v/>
      </c>
      <c r="BO28" s="18">
        <f>IF(OR(64&lt;=RefiMonth+PermIOMonths,'Timeline'!BO$42=0),0,MIN(BN$30,PermPmt-BO$27))</f>
        <v/>
      </c>
      <c r="BP28" s="18">
        <f>IF(OR(65&lt;=RefiMonth+PermIOMonths,'Timeline'!BP$42=0),0,MIN(BO$30,PermPmt-BP$27))</f>
        <v/>
      </c>
      <c r="BQ28" s="18">
        <f>IF(OR(66&lt;=RefiMonth+PermIOMonths,'Timeline'!BQ$42=0),0,MIN(BP$30,PermPmt-BQ$27))</f>
        <v/>
      </c>
      <c r="BR28" s="18">
        <f>IF(OR(67&lt;=RefiMonth+PermIOMonths,'Timeline'!BR$42=0),0,MIN(BQ$30,PermPmt-BR$27))</f>
        <v/>
      </c>
      <c r="BS28" s="18">
        <f>IF(OR(68&lt;=RefiMonth+PermIOMonths,'Timeline'!BS$42=0),0,MIN(BR$30,PermPmt-BS$27))</f>
        <v/>
      </c>
      <c r="BT28" s="18">
        <f>IF(OR(69&lt;=RefiMonth+PermIOMonths,'Timeline'!BT$42=0),0,MIN(BS$30,PermPmt-BT$27))</f>
        <v/>
      </c>
      <c r="BU28" s="18">
        <f>IF(OR(70&lt;=RefiMonth+PermIOMonths,'Timeline'!BU$42=0),0,MIN(BT$30,PermPmt-BU$27))</f>
        <v/>
      </c>
      <c r="BV28" s="18">
        <f>IF(OR(71&lt;=RefiMonth+PermIOMonths,'Timeline'!BV$42=0),0,MIN(BU$30,PermPmt-BV$27))</f>
        <v/>
      </c>
      <c r="BW28" s="18">
        <f>IF(OR(72&lt;=RefiMonth+PermIOMonths,'Timeline'!BW$42=0),0,MIN(BV$30,PermPmt-BW$27))</f>
        <v/>
      </c>
      <c r="BX28" s="18">
        <f>IF(OR(73&lt;=RefiMonth+PermIOMonths,'Timeline'!BX$42=0),0,MIN(BW$30,PermPmt-BX$27))</f>
        <v/>
      </c>
      <c r="BY28" s="18">
        <f>IF(OR(74&lt;=RefiMonth+PermIOMonths,'Timeline'!BY$42=0),0,MIN(BX$30,PermPmt-BY$27))</f>
        <v/>
      </c>
      <c r="BZ28" s="18">
        <f>IF(OR(75&lt;=RefiMonth+PermIOMonths,'Timeline'!BZ$42=0),0,MIN(BY$30,PermPmt-BZ$27))</f>
        <v/>
      </c>
      <c r="CA28" s="18">
        <f>IF(OR(76&lt;=RefiMonth+PermIOMonths,'Timeline'!CA$42=0),0,MIN(BZ$30,PermPmt-CA$27))</f>
        <v/>
      </c>
      <c r="CB28" s="18">
        <f>IF(OR(77&lt;=RefiMonth+PermIOMonths,'Timeline'!CB$42=0),0,MIN(CA$30,PermPmt-CB$27))</f>
        <v/>
      </c>
      <c r="CC28" s="18">
        <f>IF(OR(78&lt;=RefiMonth+PermIOMonths,'Timeline'!CC$42=0),0,MIN(CB$30,PermPmt-CC$27))</f>
        <v/>
      </c>
      <c r="CD28" s="18">
        <f>IF(OR(79&lt;=RefiMonth+PermIOMonths,'Timeline'!CD$42=0),0,MIN(CC$30,PermPmt-CD$27))</f>
        <v/>
      </c>
      <c r="CE28" s="18">
        <f>IF(OR(80&lt;=RefiMonth+PermIOMonths,'Timeline'!CE$42=0),0,MIN(CD$30,PermPmt-CE$27))</f>
        <v/>
      </c>
      <c r="CF28" s="18">
        <f>IF(OR(81&lt;=RefiMonth+PermIOMonths,'Timeline'!CF$42=0),0,MIN(CE$30,PermPmt-CF$27))</f>
        <v/>
      </c>
      <c r="CG28" s="18">
        <f>IF(OR(82&lt;=RefiMonth+PermIOMonths,'Timeline'!CG$42=0),0,MIN(CF$30,PermPmt-CG$27))</f>
        <v/>
      </c>
      <c r="CH28" s="18">
        <f>IF(OR(83&lt;=RefiMonth+PermIOMonths,'Timeline'!CH$42=0),0,MIN(CG$30,PermPmt-CH$27))</f>
        <v/>
      </c>
      <c r="CI28" s="18">
        <f>IF(OR(84&lt;=RefiMonth+PermIOMonths,'Timeline'!CI$42=0),0,MIN(CH$30,PermPmt-CI$27))</f>
        <v/>
      </c>
      <c r="CJ28" s="18">
        <f>IF(OR(85&lt;=RefiMonth+PermIOMonths,'Timeline'!CJ$42=0),0,MIN(CI$30,PermPmt-CJ$27))</f>
        <v/>
      </c>
      <c r="CK28" s="18">
        <f>IF(OR(86&lt;=RefiMonth+PermIOMonths,'Timeline'!CK$42=0),0,MIN(CJ$30,PermPmt-CK$27))</f>
        <v/>
      </c>
      <c r="CL28" s="18">
        <f>IF(OR(87&lt;=RefiMonth+PermIOMonths,'Timeline'!CL$42=0),0,MIN(CK$30,PermPmt-CL$27))</f>
        <v/>
      </c>
      <c r="CM28" s="18">
        <f>IF(OR(88&lt;=RefiMonth+PermIOMonths,'Timeline'!CM$42=0),0,MIN(CL$30,PermPmt-CM$27))</f>
        <v/>
      </c>
      <c r="CN28" s="18">
        <f>IF(OR(89&lt;=RefiMonth+PermIOMonths,'Timeline'!CN$42=0),0,MIN(CM$30,PermPmt-CN$27))</f>
        <v/>
      </c>
      <c r="CO28" s="18">
        <f>IF(OR(90&lt;=RefiMonth+PermIOMonths,'Timeline'!CO$42=0),0,MIN(CN$30,PermPmt-CO$27))</f>
        <v/>
      </c>
      <c r="CP28" s="18">
        <f>IF(OR(91&lt;=RefiMonth+PermIOMonths,'Timeline'!CP$42=0),0,MIN(CO$30,PermPmt-CP$27))</f>
        <v/>
      </c>
      <c r="CQ28" s="18">
        <f>IF(OR(92&lt;=RefiMonth+PermIOMonths,'Timeline'!CQ$42=0),0,MIN(CP$30,PermPmt-CQ$27))</f>
        <v/>
      </c>
      <c r="CR28" s="18">
        <f>IF(OR(93&lt;=RefiMonth+PermIOMonths,'Timeline'!CR$42=0),0,MIN(CQ$30,PermPmt-CR$27))</f>
        <v/>
      </c>
      <c r="CS28" s="18">
        <f>IF(OR(94&lt;=RefiMonth+PermIOMonths,'Timeline'!CS$42=0),0,MIN(CR$30,PermPmt-CS$27))</f>
        <v/>
      </c>
      <c r="CT28" s="18">
        <f>IF(OR(95&lt;=RefiMonth+PermIOMonths,'Timeline'!CT$42=0),0,MIN(CS$30,PermPmt-CT$27))</f>
        <v/>
      </c>
      <c r="CU28" s="18">
        <f>IF(OR(96&lt;=RefiMonth+PermIOMonths,'Timeline'!CU$42=0),0,MIN(CT$30,PermPmt-CU$27))</f>
        <v/>
      </c>
      <c r="CV28" s="18">
        <f>IF(OR(97&lt;=RefiMonth+PermIOMonths,'Timeline'!CV$42=0),0,MIN(CU$30,PermPmt-CV$27))</f>
        <v/>
      </c>
      <c r="CW28" s="18">
        <f>IF(OR(98&lt;=RefiMonth+PermIOMonths,'Timeline'!CW$42=0),0,MIN(CV$30,PermPmt-CW$27))</f>
        <v/>
      </c>
      <c r="CX28" s="18">
        <f>IF(OR(99&lt;=RefiMonth+PermIOMonths,'Timeline'!CX$42=0),0,MIN(CW$30,PermPmt-CX$27))</f>
        <v/>
      </c>
      <c r="CY28" s="18">
        <f>IF(OR(100&lt;=RefiMonth+PermIOMonths,'Timeline'!CY$42=0),0,MIN(CX$30,PermPmt-CY$27))</f>
        <v/>
      </c>
      <c r="CZ28" s="18">
        <f>IF(OR(101&lt;=RefiMonth+PermIOMonths,'Timeline'!CZ$42=0),0,MIN(CY$30,PermPmt-CZ$27))</f>
        <v/>
      </c>
      <c r="DA28" s="18">
        <f>IF(OR(102&lt;=RefiMonth+PermIOMonths,'Timeline'!DA$42=0),0,MIN(CZ$30,PermPmt-DA$27))</f>
        <v/>
      </c>
      <c r="DB28" s="18">
        <f>IF(OR(103&lt;=RefiMonth+PermIOMonths,'Timeline'!DB$42=0),0,MIN(DA$30,PermPmt-DB$27))</f>
        <v/>
      </c>
      <c r="DC28" s="18">
        <f>IF(OR(104&lt;=RefiMonth+PermIOMonths,'Timeline'!DC$42=0),0,MIN(DB$30,PermPmt-DC$27))</f>
        <v/>
      </c>
      <c r="DD28" s="18">
        <f>IF(OR(105&lt;=RefiMonth+PermIOMonths,'Timeline'!DD$42=0),0,MIN(DC$30,PermPmt-DD$27))</f>
        <v/>
      </c>
      <c r="DE28" s="18">
        <f>IF(OR(106&lt;=RefiMonth+PermIOMonths,'Timeline'!DE$42=0),0,MIN(DD$30,PermPmt-DE$27))</f>
        <v/>
      </c>
      <c r="DF28" s="18">
        <f>IF(OR(107&lt;=RefiMonth+PermIOMonths,'Timeline'!DF$42=0),0,MIN(DE$30,PermPmt-DF$27))</f>
        <v/>
      </c>
      <c r="DG28" s="18">
        <f>IF(OR(108&lt;=RefiMonth+PermIOMonths,'Timeline'!DG$42=0),0,MIN(DF$30,PermPmt-DG$27))</f>
        <v/>
      </c>
      <c r="DH28" s="18">
        <f>IF(OR(109&lt;=RefiMonth+PermIOMonths,'Timeline'!DH$42=0),0,MIN(DG$30,PermPmt-DH$27))</f>
        <v/>
      </c>
      <c r="DI28" s="18">
        <f>IF(OR(110&lt;=RefiMonth+PermIOMonths,'Timeline'!DI$42=0),0,MIN(DH$30,PermPmt-DI$27))</f>
        <v/>
      </c>
      <c r="DJ28" s="18">
        <f>IF(OR(111&lt;=RefiMonth+PermIOMonths,'Timeline'!DJ$42=0),0,MIN(DI$30,PermPmt-DJ$27))</f>
        <v/>
      </c>
      <c r="DK28" s="18">
        <f>IF(OR(112&lt;=RefiMonth+PermIOMonths,'Timeline'!DK$42=0),0,MIN(DJ$30,PermPmt-DK$27))</f>
        <v/>
      </c>
      <c r="DL28" s="18">
        <f>IF(OR(113&lt;=RefiMonth+PermIOMonths,'Timeline'!DL$42=0),0,MIN(DK$30,PermPmt-DL$27))</f>
        <v/>
      </c>
      <c r="DM28" s="18">
        <f>IF(OR(114&lt;=RefiMonth+PermIOMonths,'Timeline'!DM$42=0),0,MIN(DL$30,PermPmt-DM$27))</f>
        <v/>
      </c>
      <c r="DN28" s="18">
        <f>IF(OR(115&lt;=RefiMonth+PermIOMonths,'Timeline'!DN$42=0),0,MIN(DM$30,PermPmt-DN$27))</f>
        <v/>
      </c>
      <c r="DO28" s="18">
        <f>IF(OR(116&lt;=RefiMonth+PermIOMonths,'Timeline'!DO$42=0),0,MIN(DN$30,PermPmt-DO$27))</f>
        <v/>
      </c>
      <c r="DP28" s="18">
        <f>IF(OR(117&lt;=RefiMonth+PermIOMonths,'Timeline'!DP$42=0),0,MIN(DO$30,PermPmt-DP$27))</f>
        <v/>
      </c>
      <c r="DQ28" s="18">
        <f>IF(OR(118&lt;=RefiMonth+PermIOMonths,'Timeline'!DQ$42=0),0,MIN(DP$30,PermPmt-DQ$27))</f>
        <v/>
      </c>
      <c r="DR28" s="18">
        <f>IF(OR(119&lt;=RefiMonth+PermIOMonths,'Timeline'!DR$42=0),0,MIN(DQ$30,PermPmt-DR$27))</f>
        <v/>
      </c>
      <c r="DS28" s="18">
        <f>IF(OR(120&lt;=RefiMonth+PermIOMonths,'Timeline'!DS$42=0),0,MIN(DR$30,PermPmt-DS$27))</f>
        <v/>
      </c>
      <c r="DT28" s="18">
        <f>IF(OR(121&lt;=RefiMonth+PermIOMonths,'Timeline'!DT$42=0),0,MIN(DS$30,PermPmt-DT$27))</f>
        <v/>
      </c>
      <c r="DU28" s="18">
        <f>IF(OR(122&lt;=RefiMonth+PermIOMonths,'Timeline'!DU$42=0),0,MIN(DT$30,PermPmt-DU$27))</f>
        <v/>
      </c>
      <c r="DV28" s="18">
        <f>IF(OR(123&lt;=RefiMonth+PermIOMonths,'Timeline'!DV$42=0),0,MIN(DU$30,PermPmt-DV$27))</f>
        <v/>
      </c>
      <c r="DW28" s="18">
        <f>IF(OR(124&lt;=RefiMonth+PermIOMonths,'Timeline'!DW$42=0),0,MIN(DV$30,PermPmt-DW$27))</f>
        <v/>
      </c>
      <c r="DX28" s="18">
        <f>IF(OR(125&lt;=RefiMonth+PermIOMonths,'Timeline'!DX$42=0),0,MIN(DW$30,PermPmt-DX$27))</f>
        <v/>
      </c>
      <c r="DY28" s="18">
        <f>IF(OR(126&lt;=RefiMonth+PermIOMonths,'Timeline'!DY$42=0),0,MIN(DX$30,PermPmt-DY$27))</f>
        <v/>
      </c>
      <c r="DZ28" s="18">
        <f>IF(OR(127&lt;=RefiMonth+PermIOMonths,'Timeline'!DZ$42=0),0,MIN(DY$30,PermPmt-DZ$27))</f>
        <v/>
      </c>
      <c r="EA28" s="18">
        <f>IF(OR(128&lt;=RefiMonth+PermIOMonths,'Timeline'!EA$42=0),0,MIN(DZ$30,PermPmt-EA$27))</f>
        <v/>
      </c>
      <c r="EB28" s="18">
        <f>IF(OR(129&lt;=RefiMonth+PermIOMonths,'Timeline'!EB$42=0),0,MIN(EA$30,PermPmt-EB$27))</f>
        <v/>
      </c>
      <c r="EC28" s="18">
        <f>IF(OR(130&lt;=RefiMonth+PermIOMonths,'Timeline'!EC$42=0),0,MIN(EB$30,PermPmt-EC$27))</f>
        <v/>
      </c>
      <c r="ED28" s="18">
        <f>IF(OR(131&lt;=RefiMonth+PermIOMonths,'Timeline'!ED$42=0),0,MIN(EC$30,PermPmt-ED$27))</f>
        <v/>
      </c>
      <c r="EE28" s="18">
        <f>IF(OR(132&lt;=RefiMonth+PermIOMonths,'Timeline'!EE$42=0),0,MIN(ED$30,PermPmt-EE$27))</f>
        <v/>
      </c>
      <c r="EF28" s="18">
        <f>IF(OR(133&lt;=RefiMonth+PermIOMonths,'Timeline'!EF$42=0),0,MIN(EE$30,PermPmt-EF$27))</f>
        <v/>
      </c>
      <c r="EG28" s="18">
        <f>IF(OR(134&lt;=RefiMonth+PermIOMonths,'Timeline'!EG$42=0),0,MIN(EF$30,PermPmt-EG$27))</f>
        <v/>
      </c>
      <c r="EH28" s="18">
        <f>IF(OR(135&lt;=RefiMonth+PermIOMonths,'Timeline'!EH$42=0),0,MIN(EG$30,PermPmt-EH$27))</f>
        <v/>
      </c>
      <c r="EI28" s="18">
        <f>IF(OR(136&lt;=RefiMonth+PermIOMonths,'Timeline'!EI$42=0),0,MIN(EH$30,PermPmt-EI$27))</f>
        <v/>
      </c>
      <c r="EJ28" s="18">
        <f>IF(OR(137&lt;=RefiMonth+PermIOMonths,'Timeline'!EJ$42=0),0,MIN(EI$30,PermPmt-EJ$27))</f>
        <v/>
      </c>
      <c r="EK28" s="18">
        <f>IF(OR(138&lt;=RefiMonth+PermIOMonths,'Timeline'!EK$42=0),0,MIN(EJ$30,PermPmt-EK$27))</f>
        <v/>
      </c>
      <c r="EL28" s="18">
        <f>IF(OR(139&lt;=RefiMonth+PermIOMonths,'Timeline'!EL$42=0),0,MIN(EK$30,PermPmt-EL$27))</f>
        <v/>
      </c>
      <c r="EM28" s="18">
        <f>IF(OR(140&lt;=RefiMonth+PermIOMonths,'Timeline'!EM$42=0),0,MIN(EL$30,PermPmt-EM$27))</f>
        <v/>
      </c>
      <c r="EN28" s="18">
        <f>IF(OR(141&lt;=RefiMonth+PermIOMonths,'Timeline'!EN$42=0),0,MIN(EM$30,PermPmt-EN$27))</f>
        <v/>
      </c>
      <c r="EO28" s="18">
        <f>IF(OR(142&lt;=RefiMonth+PermIOMonths,'Timeline'!EO$42=0),0,MIN(EN$30,PermPmt-EO$27))</f>
        <v/>
      </c>
      <c r="EP28" s="18">
        <f>IF(OR(143&lt;=RefiMonth+PermIOMonths,'Timeline'!EP$42=0),0,MIN(EO$30,PermPmt-EP$27))</f>
        <v/>
      </c>
      <c r="EQ28" s="18">
        <f>IF(OR(144&lt;=RefiMonth+PermIOMonths,'Timeline'!EQ$42=0),0,MIN(EP$30,PermPmt-EQ$27))</f>
        <v/>
      </c>
      <c r="ER28" s="18">
        <f>IF(OR(145&lt;=RefiMonth+PermIOMonths,'Timeline'!ER$42=0),0,MIN(EQ$30,PermPmt-ER$27))</f>
        <v/>
      </c>
      <c r="ES28" s="18">
        <f>IF(OR(146&lt;=RefiMonth+PermIOMonths,'Timeline'!ES$42=0),0,MIN(ER$30,PermPmt-ES$27))</f>
        <v/>
      </c>
      <c r="ET28" s="18">
        <f>IF(OR(147&lt;=RefiMonth+PermIOMonths,'Timeline'!ET$42=0),0,MIN(ES$30,PermPmt-ET$27))</f>
        <v/>
      </c>
      <c r="EU28" s="18">
        <f>IF(OR(148&lt;=RefiMonth+PermIOMonths,'Timeline'!EU$42=0),0,MIN(ET$30,PermPmt-EU$27))</f>
        <v/>
      </c>
      <c r="EV28" s="18">
        <f>IF(OR(149&lt;=RefiMonth+PermIOMonths,'Timeline'!EV$42=0),0,MIN(EU$30,PermPmt-EV$27))</f>
        <v/>
      </c>
      <c r="EW28" s="18">
        <f>IF(OR(150&lt;=RefiMonth+PermIOMonths,'Timeline'!EW$42=0),0,MIN(EV$30,PermPmt-EW$27))</f>
        <v/>
      </c>
      <c r="EX28" s="18">
        <f>IF(OR(151&lt;=RefiMonth+PermIOMonths,'Timeline'!EX$42=0),0,MIN(EW$30,PermPmt-EX$27))</f>
        <v/>
      </c>
      <c r="EY28" s="18">
        <f>IF(OR(152&lt;=RefiMonth+PermIOMonths,'Timeline'!EY$42=0),0,MIN(EX$30,PermPmt-EY$27))</f>
        <v/>
      </c>
      <c r="EZ28" s="18">
        <f>IF(OR(153&lt;=RefiMonth+PermIOMonths,'Timeline'!EZ$42=0),0,MIN(EY$30,PermPmt-EZ$27))</f>
        <v/>
      </c>
      <c r="FA28" s="18">
        <f>IF(OR(154&lt;=RefiMonth+PermIOMonths,'Timeline'!FA$42=0),0,MIN(EZ$30,PermPmt-FA$27))</f>
        <v/>
      </c>
      <c r="FB28" s="18">
        <f>IF(OR(155&lt;=RefiMonth+PermIOMonths,'Timeline'!FB$42=0),0,MIN(FA$30,PermPmt-FB$27))</f>
        <v/>
      </c>
      <c r="FC28" s="18">
        <f>IF(OR(156&lt;=RefiMonth+PermIOMonths,'Timeline'!FC$42=0),0,MIN(FB$30,PermPmt-FC$27))</f>
        <v/>
      </c>
      <c r="FD28" s="18">
        <f>IF(OR(157&lt;=RefiMonth+PermIOMonths,'Timeline'!FD$42=0),0,MIN(FC$30,PermPmt-FD$27))</f>
        <v/>
      </c>
      <c r="FE28" s="18">
        <f>IF(OR(158&lt;=RefiMonth+PermIOMonths,'Timeline'!FE$42=0),0,MIN(FD$30,PermPmt-FE$27))</f>
        <v/>
      </c>
      <c r="FF28" s="18">
        <f>IF(OR(159&lt;=RefiMonth+PermIOMonths,'Timeline'!FF$42=0),0,MIN(FE$30,PermPmt-FF$27))</f>
        <v/>
      </c>
      <c r="FG28" s="18">
        <f>IF(OR(160&lt;=RefiMonth+PermIOMonths,'Timeline'!FG$42=0),0,MIN(FF$30,PermPmt-FG$27))</f>
        <v/>
      </c>
      <c r="FH28" s="18">
        <f>IF(OR(161&lt;=RefiMonth+PermIOMonths,'Timeline'!FH$42=0),0,MIN(FG$30,PermPmt-FH$27))</f>
        <v/>
      </c>
      <c r="FI28" s="18">
        <f>IF(OR(162&lt;=RefiMonth+PermIOMonths,'Timeline'!FI$42=0),0,MIN(FH$30,PermPmt-FI$27))</f>
        <v/>
      </c>
      <c r="FJ28" s="18">
        <f>IF(OR(163&lt;=RefiMonth+PermIOMonths,'Timeline'!FJ$42=0),0,MIN(FI$30,PermPmt-FJ$27))</f>
        <v/>
      </c>
      <c r="FK28" s="18">
        <f>IF(OR(164&lt;=RefiMonth+PermIOMonths,'Timeline'!FK$42=0),0,MIN(FJ$30,PermPmt-FK$27))</f>
        <v/>
      </c>
      <c r="FL28" s="18">
        <f>IF(OR(165&lt;=RefiMonth+PermIOMonths,'Timeline'!FL$42=0),0,MIN(FK$30,PermPmt-FL$27))</f>
        <v/>
      </c>
      <c r="FM28" s="18">
        <f>IF(OR(166&lt;=RefiMonth+PermIOMonths,'Timeline'!FM$42=0),0,MIN(FL$30,PermPmt-FM$27))</f>
        <v/>
      </c>
      <c r="FN28" s="18">
        <f>IF(OR(167&lt;=RefiMonth+PermIOMonths,'Timeline'!FN$42=0),0,MIN(FM$30,PermPmt-FN$27))</f>
        <v/>
      </c>
      <c r="FO28" s="18">
        <f>IF(OR(168&lt;=RefiMonth+PermIOMonths,'Timeline'!FO$42=0),0,MIN(FN$30,PermPmt-FO$27))</f>
        <v/>
      </c>
      <c r="FP28" s="18">
        <f>IF(OR(169&lt;=RefiMonth+PermIOMonths,'Timeline'!FP$42=0),0,MIN(FO$30,PermPmt-FP$27))</f>
        <v/>
      </c>
      <c r="FQ28" s="18">
        <f>IF(OR(170&lt;=RefiMonth+PermIOMonths,'Timeline'!FQ$42=0),0,MIN(FP$30,PermPmt-FQ$27))</f>
        <v/>
      </c>
      <c r="FR28" s="18">
        <f>IF(OR(171&lt;=RefiMonth+PermIOMonths,'Timeline'!FR$42=0),0,MIN(FQ$30,PermPmt-FR$27))</f>
        <v/>
      </c>
      <c r="FS28" s="18">
        <f>IF(OR(172&lt;=RefiMonth+PermIOMonths,'Timeline'!FS$42=0),0,MIN(FR$30,PermPmt-FS$27))</f>
        <v/>
      </c>
      <c r="FT28" s="18">
        <f>IF(OR(173&lt;=RefiMonth+PermIOMonths,'Timeline'!FT$42=0),0,MIN(FS$30,PermPmt-FT$27))</f>
        <v/>
      </c>
      <c r="FU28" s="18">
        <f>IF(OR(174&lt;=RefiMonth+PermIOMonths,'Timeline'!FU$42=0),0,MIN(FT$30,PermPmt-FU$27))</f>
        <v/>
      </c>
      <c r="FV28" s="18">
        <f>IF(OR(175&lt;=RefiMonth+PermIOMonths,'Timeline'!FV$42=0),0,MIN(FU$30,PermPmt-FV$27))</f>
        <v/>
      </c>
      <c r="FW28" s="18">
        <f>IF(OR(176&lt;=RefiMonth+PermIOMonths,'Timeline'!FW$42=0),0,MIN(FV$30,PermPmt-FW$27))</f>
        <v/>
      </c>
      <c r="FX28" s="18">
        <f>IF(OR(177&lt;=RefiMonth+PermIOMonths,'Timeline'!FX$42=0),0,MIN(FW$30,PermPmt-FX$27))</f>
        <v/>
      </c>
      <c r="FY28" s="18">
        <f>IF(OR(178&lt;=RefiMonth+PermIOMonths,'Timeline'!FY$42=0),0,MIN(FX$30,PermPmt-FY$27))</f>
        <v/>
      </c>
      <c r="FZ28" s="18">
        <f>IF(OR(179&lt;=RefiMonth+PermIOMonths,'Timeline'!FZ$42=0),0,MIN(FY$30,PermPmt-FZ$27))</f>
        <v/>
      </c>
      <c r="GA28" s="18">
        <f>IF(OR(180&lt;=RefiMonth+PermIOMonths,'Timeline'!GA$42=0),0,MIN(FZ$30,PermPmt-GA$27))</f>
        <v/>
      </c>
      <c r="GB28" s="18">
        <f>IF(OR(181&lt;=RefiMonth+PermIOMonths,'Timeline'!GB$42=0),0,MIN(GA$30,PermPmt-GB$27))</f>
        <v/>
      </c>
      <c r="GC28" s="18">
        <f>IF(OR(182&lt;=RefiMonth+PermIOMonths,'Timeline'!GC$42=0),0,MIN(GB$30,PermPmt-GC$27))</f>
        <v/>
      </c>
      <c r="GD28" s="18">
        <f>IF(OR(183&lt;=RefiMonth+PermIOMonths,'Timeline'!GD$42=0),0,MIN(GC$30,PermPmt-GD$27))</f>
        <v/>
      </c>
      <c r="GE28" s="18">
        <f>IF(OR(184&lt;=RefiMonth+PermIOMonths,'Timeline'!GE$42=0),0,MIN(GD$30,PermPmt-GE$27))</f>
        <v/>
      </c>
      <c r="GF28" s="18">
        <f>IF(OR(185&lt;=RefiMonth+PermIOMonths,'Timeline'!GF$42=0),0,MIN(GE$30,PermPmt-GF$27))</f>
        <v/>
      </c>
      <c r="GG28" s="18">
        <f>IF(OR(186&lt;=RefiMonth+PermIOMonths,'Timeline'!GG$42=0),0,MIN(GF$30,PermPmt-GG$27))</f>
        <v/>
      </c>
      <c r="GH28" s="18">
        <f>IF(OR(187&lt;=RefiMonth+PermIOMonths,'Timeline'!GH$42=0),0,MIN(GG$30,PermPmt-GH$27))</f>
        <v/>
      </c>
      <c r="GI28" s="18">
        <f>IF(OR(188&lt;=RefiMonth+PermIOMonths,'Timeline'!GI$42=0),0,MIN(GH$30,PermPmt-GI$27))</f>
        <v/>
      </c>
      <c r="GJ28" s="18">
        <f>IF(OR(189&lt;=RefiMonth+PermIOMonths,'Timeline'!GJ$42=0),0,MIN(GI$30,PermPmt-GJ$27))</f>
        <v/>
      </c>
      <c r="GK28" s="18">
        <f>IF(OR(190&lt;=RefiMonth+PermIOMonths,'Timeline'!GK$42=0),0,MIN(GJ$30,PermPmt-GK$27))</f>
        <v/>
      </c>
      <c r="GL28" s="18">
        <f>IF(OR(191&lt;=RefiMonth+PermIOMonths,'Timeline'!GL$42=0),0,MIN(GK$30,PermPmt-GL$27))</f>
        <v/>
      </c>
      <c r="GM28" s="18">
        <f>IF(OR(192&lt;=RefiMonth+PermIOMonths,'Timeline'!GM$42=0),0,MIN(GL$30,PermPmt-GM$27))</f>
        <v/>
      </c>
      <c r="GN28" s="18">
        <f>IF(OR(193&lt;=RefiMonth+PermIOMonths,'Timeline'!GN$42=0),0,MIN(GM$30,PermPmt-GN$27))</f>
        <v/>
      </c>
      <c r="GO28" s="18">
        <f>IF(OR(194&lt;=RefiMonth+PermIOMonths,'Timeline'!GO$42=0),0,MIN(GN$30,PermPmt-GO$27))</f>
        <v/>
      </c>
      <c r="GP28" s="18">
        <f>IF(OR(195&lt;=RefiMonth+PermIOMonths,'Timeline'!GP$42=0),0,MIN(GO$30,PermPmt-GP$27))</f>
        <v/>
      </c>
      <c r="GQ28" s="18">
        <f>IF(OR(196&lt;=RefiMonth+PermIOMonths,'Timeline'!GQ$42=0),0,MIN(GP$30,PermPmt-GQ$27))</f>
        <v/>
      </c>
      <c r="GR28" s="18">
        <f>IF(OR(197&lt;=RefiMonth+PermIOMonths,'Timeline'!GR$42=0),0,MIN(GQ$30,PermPmt-GR$27))</f>
        <v/>
      </c>
      <c r="GS28" s="18">
        <f>IF(OR(198&lt;=RefiMonth+PermIOMonths,'Timeline'!GS$42=0),0,MIN(GR$30,PermPmt-GS$27))</f>
        <v/>
      </c>
      <c r="GT28" s="18">
        <f>IF(OR(199&lt;=RefiMonth+PermIOMonths,'Timeline'!GT$42=0),0,MIN(GS$30,PermPmt-GT$27))</f>
        <v/>
      </c>
      <c r="GU28" s="18">
        <f>IF(OR(200&lt;=RefiMonth+PermIOMonths,'Timeline'!GU$42=0),0,MIN(GT$30,PermPmt-GU$27))</f>
        <v/>
      </c>
      <c r="GV28" s="18">
        <f>IF(OR(201&lt;=RefiMonth+PermIOMonths,'Timeline'!GV$42=0),0,MIN(GU$30,PermPmt-GV$27))</f>
        <v/>
      </c>
      <c r="GW28" s="18">
        <f>IF(OR(202&lt;=RefiMonth+PermIOMonths,'Timeline'!GW$42=0),0,MIN(GV$30,PermPmt-GW$27))</f>
        <v/>
      </c>
      <c r="GX28" s="18">
        <f>IF(OR(203&lt;=RefiMonth+PermIOMonths,'Timeline'!GX$42=0),0,MIN(GW$30,PermPmt-GX$27))</f>
        <v/>
      </c>
      <c r="GY28" s="18">
        <f>IF(OR(204&lt;=RefiMonth+PermIOMonths,'Timeline'!GY$42=0),0,MIN(GX$30,PermPmt-GY$27))</f>
        <v/>
      </c>
      <c r="GZ28" s="18">
        <f>IF(OR(205&lt;=RefiMonth+PermIOMonths,'Timeline'!GZ$42=0),0,MIN(GY$30,PermPmt-GZ$27))</f>
        <v/>
      </c>
      <c r="HA28" s="18">
        <f>IF(OR(206&lt;=RefiMonth+PermIOMonths,'Timeline'!HA$42=0),0,MIN(GZ$30,PermPmt-HA$27))</f>
        <v/>
      </c>
      <c r="HB28" s="18">
        <f>IF(OR(207&lt;=RefiMonth+PermIOMonths,'Timeline'!HB$42=0),0,MIN(HA$30,PermPmt-HB$27))</f>
        <v/>
      </c>
      <c r="HC28" s="18">
        <f>IF(OR(208&lt;=RefiMonth+PermIOMonths,'Timeline'!HC$42=0),0,MIN(HB$30,PermPmt-HC$27))</f>
        <v/>
      </c>
      <c r="HD28" s="18">
        <f>IF(OR(209&lt;=RefiMonth+PermIOMonths,'Timeline'!HD$42=0),0,MIN(HC$30,PermPmt-HD$27))</f>
        <v/>
      </c>
      <c r="HE28" s="18">
        <f>IF(OR(210&lt;=RefiMonth+PermIOMonths,'Timeline'!HE$42=0),0,MIN(HD$30,PermPmt-HE$27))</f>
        <v/>
      </c>
      <c r="HF28" s="18">
        <f>IF(OR(211&lt;=RefiMonth+PermIOMonths,'Timeline'!HF$42=0),0,MIN(HE$30,PermPmt-HF$27))</f>
        <v/>
      </c>
      <c r="HG28" s="18">
        <f>IF(OR(212&lt;=RefiMonth+PermIOMonths,'Timeline'!HG$42=0),0,MIN(HF$30,PermPmt-HG$27))</f>
        <v/>
      </c>
      <c r="HH28" s="18">
        <f>IF(OR(213&lt;=RefiMonth+PermIOMonths,'Timeline'!HH$42=0),0,MIN(HG$30,PermPmt-HH$27))</f>
        <v/>
      </c>
      <c r="HI28" s="18">
        <f>IF(OR(214&lt;=RefiMonth+PermIOMonths,'Timeline'!HI$42=0),0,MIN(HH$30,PermPmt-HI$27))</f>
        <v/>
      </c>
      <c r="HJ28" s="18">
        <f>IF(OR(215&lt;=RefiMonth+PermIOMonths,'Timeline'!HJ$42=0),0,MIN(HI$30,PermPmt-HJ$27))</f>
        <v/>
      </c>
      <c r="HK28" s="18">
        <f>IF(OR(216&lt;=RefiMonth+PermIOMonths,'Timeline'!HK$42=0),0,MIN(HJ$30,PermPmt-HK$27))</f>
        <v/>
      </c>
      <c r="HL28" s="18">
        <f>IF(OR(217&lt;=RefiMonth+PermIOMonths,'Timeline'!HL$42=0),0,MIN(HK$30,PermPmt-HL$27))</f>
        <v/>
      </c>
      <c r="HM28" s="18">
        <f>IF(OR(218&lt;=RefiMonth+PermIOMonths,'Timeline'!HM$42=0),0,MIN(HL$30,PermPmt-HM$27))</f>
        <v/>
      </c>
      <c r="HN28" s="18">
        <f>IF(OR(219&lt;=RefiMonth+PermIOMonths,'Timeline'!HN$42=0),0,MIN(HM$30,PermPmt-HN$27))</f>
        <v/>
      </c>
      <c r="HO28" s="18">
        <f>IF(OR(220&lt;=RefiMonth+PermIOMonths,'Timeline'!HO$42=0),0,MIN(HN$30,PermPmt-HO$27))</f>
        <v/>
      </c>
      <c r="HP28" s="18">
        <f>IF(OR(221&lt;=RefiMonth+PermIOMonths,'Timeline'!HP$42=0),0,MIN(HO$30,PermPmt-HP$27))</f>
        <v/>
      </c>
      <c r="HQ28" s="18">
        <f>IF(OR(222&lt;=RefiMonth+PermIOMonths,'Timeline'!HQ$42=0),0,MIN(HP$30,PermPmt-HQ$27))</f>
        <v/>
      </c>
      <c r="HR28" s="18">
        <f>IF(OR(223&lt;=RefiMonth+PermIOMonths,'Timeline'!HR$42=0),0,MIN(HQ$30,PermPmt-HR$27))</f>
        <v/>
      </c>
      <c r="HS28" s="18">
        <f>IF(OR(224&lt;=RefiMonth+PermIOMonths,'Timeline'!HS$42=0),0,MIN(HR$30,PermPmt-HS$27))</f>
        <v/>
      </c>
      <c r="HT28" s="18">
        <f>IF(OR(225&lt;=RefiMonth+PermIOMonths,'Timeline'!HT$42=0),0,MIN(HS$30,PermPmt-HT$27))</f>
        <v/>
      </c>
      <c r="HU28" s="18">
        <f>IF(OR(226&lt;=RefiMonth+PermIOMonths,'Timeline'!HU$42=0),0,MIN(HT$30,PermPmt-HU$27))</f>
        <v/>
      </c>
      <c r="HV28" s="18">
        <f>IF(OR(227&lt;=RefiMonth+PermIOMonths,'Timeline'!HV$42=0),0,MIN(HU$30,PermPmt-HV$27))</f>
        <v/>
      </c>
      <c r="HW28" s="18">
        <f>IF(OR(228&lt;=RefiMonth+PermIOMonths,'Timeline'!HW$42=0),0,MIN(HV$30,PermPmt-HW$27))</f>
        <v/>
      </c>
      <c r="HX28" s="18">
        <f>IF(OR(229&lt;=RefiMonth+PermIOMonths,'Timeline'!HX$42=0),0,MIN(HW$30,PermPmt-HX$27))</f>
        <v/>
      </c>
      <c r="HY28" s="18">
        <f>IF(OR(230&lt;=RefiMonth+PermIOMonths,'Timeline'!HY$42=0),0,MIN(HX$30,PermPmt-HY$27))</f>
        <v/>
      </c>
      <c r="HZ28" s="18">
        <f>IF(OR(231&lt;=RefiMonth+PermIOMonths,'Timeline'!HZ$42=0),0,MIN(HY$30,PermPmt-HZ$27))</f>
        <v/>
      </c>
      <c r="IA28" s="18">
        <f>IF(OR(232&lt;=RefiMonth+PermIOMonths,'Timeline'!IA$42=0),0,MIN(HZ$30,PermPmt-IA$27))</f>
        <v/>
      </c>
      <c r="IB28" s="18">
        <f>IF(OR(233&lt;=RefiMonth+PermIOMonths,'Timeline'!IB$42=0),0,MIN(IA$30,PermPmt-IB$27))</f>
        <v/>
      </c>
      <c r="IC28" s="18">
        <f>IF(OR(234&lt;=RefiMonth+PermIOMonths,'Timeline'!IC$42=0),0,MIN(IB$30,PermPmt-IC$27))</f>
        <v/>
      </c>
      <c r="ID28" s="18">
        <f>IF(OR(235&lt;=RefiMonth+PermIOMonths,'Timeline'!ID$42=0),0,MIN(IC$30,PermPmt-ID$27))</f>
        <v/>
      </c>
      <c r="IE28" s="18">
        <f>IF(OR(236&lt;=RefiMonth+PermIOMonths,'Timeline'!IE$42=0),0,MIN(ID$30,PermPmt-IE$27))</f>
        <v/>
      </c>
      <c r="IF28" s="18">
        <f>IF(OR(237&lt;=RefiMonth+PermIOMonths,'Timeline'!IF$42=0),0,MIN(IE$30,PermPmt-IF$27))</f>
        <v/>
      </c>
      <c r="IG28" s="18">
        <f>IF(OR(238&lt;=RefiMonth+PermIOMonths,'Timeline'!IG$42=0),0,MIN(IF$30,PermPmt-IG$27))</f>
        <v/>
      </c>
      <c r="IH28" s="18">
        <f>IF(OR(239&lt;=RefiMonth+PermIOMonths,'Timeline'!IH$42=0),0,MIN(IG$30,PermPmt-IH$27))</f>
        <v/>
      </c>
      <c r="II28" s="18">
        <f>IF(OR(240&lt;=RefiMonth+PermIOMonths,'Timeline'!II$42=0),0,MIN(IH$30,PermPmt-II$27))</f>
        <v/>
      </c>
      <c r="IJ28" s="18">
        <f>IF(OR(241&lt;=RefiMonth+PermIOMonths,'Timeline'!IJ$42=0),0,MIN(II$30,PermPmt-IJ$27))</f>
        <v/>
      </c>
      <c r="IK28" s="18">
        <f>IF(OR(242&lt;=RefiMonth+PermIOMonths,'Timeline'!IK$42=0),0,MIN(IJ$30,PermPmt-IK$27))</f>
        <v/>
      </c>
      <c r="IL28" s="18">
        <f>IF(OR(243&lt;=RefiMonth+PermIOMonths,'Timeline'!IL$42=0),0,MIN(IK$30,PermPmt-IL$27))</f>
        <v/>
      </c>
      <c r="IM28" s="18">
        <f>IF(OR(244&lt;=RefiMonth+PermIOMonths,'Timeline'!IM$42=0),0,MIN(IL$30,PermPmt-IM$27))</f>
        <v/>
      </c>
      <c r="IN28" s="18">
        <f>IF(OR(245&lt;=RefiMonth+PermIOMonths,'Timeline'!IN$42=0),0,MIN(IM$30,PermPmt-IN$27))</f>
        <v/>
      </c>
      <c r="IO28" s="18">
        <f>IF(OR(246&lt;=RefiMonth+PermIOMonths,'Timeline'!IO$42=0),0,MIN(IN$30,PermPmt-IO$27))</f>
        <v/>
      </c>
      <c r="IP28" s="18">
        <f>IF(OR(247&lt;=RefiMonth+PermIOMonths,'Timeline'!IP$42=0),0,MIN(IO$30,PermPmt-IP$27))</f>
        <v/>
      </c>
      <c r="IQ28" s="18">
        <f>IF(OR(248&lt;=RefiMonth+PermIOMonths,'Timeline'!IQ$42=0),0,MIN(IP$30,PermPmt-IQ$27))</f>
        <v/>
      </c>
      <c r="IR28" s="18">
        <f>IF(OR(249&lt;=RefiMonth+PermIOMonths,'Timeline'!IR$42=0),0,MIN(IQ$30,PermPmt-IR$27))</f>
        <v/>
      </c>
      <c r="IS28" s="18">
        <f>IF(OR(250&lt;=RefiMonth+PermIOMonths,'Timeline'!IS$42=0),0,MIN(IR$30,PermPmt-IS$27))</f>
        <v/>
      </c>
      <c r="IT28" s="18">
        <f>IF(OR(251&lt;=RefiMonth+PermIOMonths,'Timeline'!IT$42=0),0,MIN(IS$30,PermPmt-IT$27))</f>
        <v/>
      </c>
      <c r="IU28" s="18">
        <f>IF(OR(252&lt;=RefiMonth+PermIOMonths,'Timeline'!IU$42=0),0,MIN(IT$30,PermPmt-IU$27))</f>
        <v/>
      </c>
      <c r="IV28" s="18">
        <f>IF(OR(253&lt;=RefiMonth+PermIOMonths,'Timeline'!IV$42=0),0,MIN(IU$30,PermPmt-IV$27))</f>
        <v/>
      </c>
      <c r="IW28" s="18">
        <f>IF(OR(254&lt;=RefiMonth+PermIOMonths,'Timeline'!IW$42=0),0,MIN(IV$30,PermPmt-IW$27))</f>
        <v/>
      </c>
      <c r="IX28" s="18">
        <f>IF(OR(255&lt;=RefiMonth+PermIOMonths,'Timeline'!IX$42=0),0,MIN(IW$30,PermPmt-IX$27))</f>
        <v/>
      </c>
      <c r="IY28" s="18">
        <f>IF(OR(256&lt;=RefiMonth+PermIOMonths,'Timeline'!IY$42=0),0,MIN(IX$30,PermPmt-IY$27))</f>
        <v/>
      </c>
      <c r="IZ28" s="18">
        <f>IF(OR(257&lt;=RefiMonth+PermIOMonths,'Timeline'!IZ$42=0),0,MIN(IY$30,PermPmt-IZ$27))</f>
        <v/>
      </c>
      <c r="JA28" s="18">
        <f>IF(OR(258&lt;=RefiMonth+PermIOMonths,'Timeline'!JA$42=0),0,MIN(IZ$30,PermPmt-JA$27))</f>
        <v/>
      </c>
      <c r="JB28" s="18">
        <f>IF(OR(259&lt;=RefiMonth+PermIOMonths,'Timeline'!JB$42=0),0,MIN(JA$30,PermPmt-JB$27))</f>
        <v/>
      </c>
      <c r="JC28" s="18">
        <f>IF(OR(260&lt;=RefiMonth+PermIOMonths,'Timeline'!JC$42=0),0,MIN(JB$30,PermPmt-JC$27))</f>
        <v/>
      </c>
      <c r="JD28" s="18">
        <f>IF(OR(261&lt;=RefiMonth+PermIOMonths,'Timeline'!JD$42=0),0,MIN(JC$30,PermPmt-JD$27))</f>
        <v/>
      </c>
      <c r="JE28" s="18">
        <f>IF(OR(262&lt;=RefiMonth+PermIOMonths,'Timeline'!JE$42=0),0,MIN(JD$30,PermPmt-JE$27))</f>
        <v/>
      </c>
      <c r="JF28" s="18">
        <f>IF(OR(263&lt;=RefiMonth+PermIOMonths,'Timeline'!JF$42=0),0,MIN(JE$30,PermPmt-JF$27))</f>
        <v/>
      </c>
      <c r="JG28" s="18">
        <f>IF(OR(264&lt;=RefiMonth+PermIOMonths,'Timeline'!JG$42=0),0,MIN(JF$30,PermPmt-JG$27))</f>
        <v/>
      </c>
      <c r="JH28" s="18">
        <f>IF(OR(265&lt;=RefiMonth+PermIOMonths,'Timeline'!JH$42=0),0,MIN(JG$30,PermPmt-JH$27))</f>
        <v/>
      </c>
      <c r="JI28" s="18">
        <f>IF(OR(266&lt;=RefiMonth+PermIOMonths,'Timeline'!JI$42=0),0,MIN(JH$30,PermPmt-JI$27))</f>
        <v/>
      </c>
      <c r="JJ28" s="18">
        <f>IF(OR(267&lt;=RefiMonth+PermIOMonths,'Timeline'!JJ$42=0),0,MIN(JI$30,PermPmt-JJ$27))</f>
        <v/>
      </c>
      <c r="JK28" s="18">
        <f>IF(OR(268&lt;=RefiMonth+PermIOMonths,'Timeline'!JK$42=0),0,MIN(JJ$30,PermPmt-JK$27))</f>
        <v/>
      </c>
      <c r="JL28" s="18">
        <f>IF(OR(269&lt;=RefiMonth+PermIOMonths,'Timeline'!JL$42=0),0,MIN(JK$30,PermPmt-JL$27))</f>
        <v/>
      </c>
      <c r="JM28" s="18">
        <f>IF(OR(270&lt;=RefiMonth+PermIOMonths,'Timeline'!JM$42=0),0,MIN(JL$30,PermPmt-JM$27))</f>
        <v/>
      </c>
      <c r="JN28" s="18">
        <f>IF(OR(271&lt;=RefiMonth+PermIOMonths,'Timeline'!JN$42=0),0,MIN(JM$30,PermPmt-JN$27))</f>
        <v/>
      </c>
      <c r="JO28" s="18">
        <f>IF(OR(272&lt;=RefiMonth+PermIOMonths,'Timeline'!JO$42=0),0,MIN(JN$30,PermPmt-JO$27))</f>
        <v/>
      </c>
      <c r="JP28" s="18">
        <f>IF(OR(273&lt;=RefiMonth+PermIOMonths,'Timeline'!JP$42=0),0,MIN(JO$30,PermPmt-JP$27))</f>
        <v/>
      </c>
      <c r="JQ28" s="18">
        <f>IF(OR(274&lt;=RefiMonth+PermIOMonths,'Timeline'!JQ$42=0),0,MIN(JP$30,PermPmt-JQ$27))</f>
        <v/>
      </c>
      <c r="JR28" s="18">
        <f>IF(OR(275&lt;=RefiMonth+PermIOMonths,'Timeline'!JR$42=0),0,MIN(JQ$30,PermPmt-JR$27))</f>
        <v/>
      </c>
      <c r="JS28" s="18">
        <f>IF(OR(276&lt;=RefiMonth+PermIOMonths,'Timeline'!JS$42=0),0,MIN(JR$30,PermPmt-JS$27))</f>
        <v/>
      </c>
      <c r="JT28" s="18">
        <f>IF(OR(277&lt;=RefiMonth+PermIOMonths,'Timeline'!JT$42=0),0,MIN(JS$30,PermPmt-JT$27))</f>
        <v/>
      </c>
      <c r="JU28" s="18">
        <f>IF(OR(278&lt;=RefiMonth+PermIOMonths,'Timeline'!JU$42=0),0,MIN(JT$30,PermPmt-JU$27))</f>
        <v/>
      </c>
      <c r="JV28" s="18">
        <f>IF(OR(279&lt;=RefiMonth+PermIOMonths,'Timeline'!JV$42=0),0,MIN(JU$30,PermPmt-JV$27))</f>
        <v/>
      </c>
      <c r="JW28" s="18">
        <f>IF(OR(280&lt;=RefiMonth+PermIOMonths,'Timeline'!JW$42=0),0,MIN(JV$30,PermPmt-JW$27))</f>
        <v/>
      </c>
      <c r="JX28" s="18">
        <f>IF(OR(281&lt;=RefiMonth+PermIOMonths,'Timeline'!JX$42=0),0,MIN(JW$30,PermPmt-JX$27))</f>
        <v/>
      </c>
      <c r="JY28" s="18">
        <f>IF(OR(282&lt;=RefiMonth+PermIOMonths,'Timeline'!JY$42=0),0,MIN(JX$30,PermPmt-JY$27))</f>
        <v/>
      </c>
      <c r="JZ28" s="18">
        <f>IF(OR(283&lt;=RefiMonth+PermIOMonths,'Timeline'!JZ$42=0),0,MIN(JY$30,PermPmt-JZ$27))</f>
        <v/>
      </c>
      <c r="KA28" s="18">
        <f>IF(OR(284&lt;=RefiMonth+PermIOMonths,'Timeline'!KA$42=0),0,MIN(JZ$30,PermPmt-KA$27))</f>
        <v/>
      </c>
      <c r="KB28" s="18">
        <f>IF(OR(285&lt;=RefiMonth+PermIOMonths,'Timeline'!KB$42=0),0,MIN(KA$30,PermPmt-KB$27))</f>
        <v/>
      </c>
      <c r="KC28" s="18">
        <f>IF(OR(286&lt;=RefiMonth+PermIOMonths,'Timeline'!KC$42=0),0,MIN(KB$30,PermPmt-KC$27))</f>
        <v/>
      </c>
      <c r="KD28" s="18">
        <f>IF(OR(287&lt;=RefiMonth+PermIOMonths,'Timeline'!KD$42=0),0,MIN(KC$30,PermPmt-KD$27))</f>
        <v/>
      </c>
      <c r="KE28" s="18">
        <f>IF(OR(288&lt;=RefiMonth+PermIOMonths,'Timeline'!KE$42=0),0,MIN(KD$30,PermPmt-KE$27))</f>
        <v/>
      </c>
      <c r="KF28" s="18">
        <f>IF(OR(289&lt;=RefiMonth+PermIOMonths,'Timeline'!KF$42=0),0,MIN(KE$30,PermPmt-KF$27))</f>
        <v/>
      </c>
      <c r="KG28" s="18">
        <f>IF(OR(290&lt;=RefiMonth+PermIOMonths,'Timeline'!KG$42=0),0,MIN(KF$30,PermPmt-KG$27))</f>
        <v/>
      </c>
      <c r="KH28" s="18">
        <f>IF(OR(291&lt;=RefiMonth+PermIOMonths,'Timeline'!KH$42=0),0,MIN(KG$30,PermPmt-KH$27))</f>
        <v/>
      </c>
      <c r="KI28" s="18">
        <f>IF(OR(292&lt;=RefiMonth+PermIOMonths,'Timeline'!KI$42=0),0,MIN(KH$30,PermPmt-KI$27))</f>
        <v/>
      </c>
      <c r="KJ28" s="18">
        <f>IF(OR(293&lt;=RefiMonth+PermIOMonths,'Timeline'!KJ$42=0),0,MIN(KI$30,PermPmt-KJ$27))</f>
        <v/>
      </c>
      <c r="KK28" s="18">
        <f>IF(OR(294&lt;=RefiMonth+PermIOMonths,'Timeline'!KK$42=0),0,MIN(KJ$30,PermPmt-KK$27))</f>
        <v/>
      </c>
      <c r="KL28" s="18">
        <f>IF(OR(295&lt;=RefiMonth+PermIOMonths,'Timeline'!KL$42=0),0,MIN(KK$30,PermPmt-KL$27))</f>
        <v/>
      </c>
      <c r="KM28" s="18">
        <f>IF(OR(296&lt;=RefiMonth+PermIOMonths,'Timeline'!KM$42=0),0,MIN(KL$30,PermPmt-KM$27))</f>
        <v/>
      </c>
      <c r="KN28" s="18">
        <f>IF(OR(297&lt;=RefiMonth+PermIOMonths,'Timeline'!KN$42=0),0,MIN(KM$30,PermPmt-KN$27))</f>
        <v/>
      </c>
      <c r="KO28" s="18">
        <f>IF(OR(298&lt;=RefiMonth+PermIOMonths,'Timeline'!KO$42=0),0,MIN(KN$30,PermPmt-KO$27))</f>
        <v/>
      </c>
      <c r="KP28" s="18">
        <f>IF(OR(299&lt;=RefiMonth+PermIOMonths,'Timeline'!KP$42=0),0,MIN(KO$30,PermPmt-KP$27))</f>
        <v/>
      </c>
      <c r="KQ28" s="18">
        <f>IF(OR(300&lt;=RefiMonth+PermIOMonths,'Timeline'!KQ$42=0),0,MIN(KP$30,PermPmt-KQ$27))</f>
        <v/>
      </c>
      <c r="KR28" s="18">
        <f>IF(OR(301&lt;=RefiMonth+PermIOMonths,'Timeline'!KR$42=0),0,MIN(KQ$30,PermPmt-KR$27))</f>
        <v/>
      </c>
      <c r="KS28" s="18">
        <f>IF(OR(302&lt;=RefiMonth+PermIOMonths,'Timeline'!KS$42=0),0,MIN(KR$30,PermPmt-KS$27))</f>
        <v/>
      </c>
      <c r="KT28" s="18">
        <f>IF(OR(303&lt;=RefiMonth+PermIOMonths,'Timeline'!KT$42=0),0,MIN(KS$30,PermPmt-KT$27))</f>
        <v/>
      </c>
      <c r="KU28" s="18">
        <f>IF(OR(304&lt;=RefiMonth+PermIOMonths,'Timeline'!KU$42=0),0,MIN(KT$30,PermPmt-KU$27))</f>
        <v/>
      </c>
      <c r="KV28" s="18">
        <f>IF(OR(305&lt;=RefiMonth+PermIOMonths,'Timeline'!KV$42=0),0,MIN(KU$30,PermPmt-KV$27))</f>
        <v/>
      </c>
      <c r="KW28" s="18">
        <f>IF(OR(306&lt;=RefiMonth+PermIOMonths,'Timeline'!KW$42=0),0,MIN(KV$30,PermPmt-KW$27))</f>
        <v/>
      </c>
      <c r="KX28" s="18">
        <f>IF(OR(307&lt;=RefiMonth+PermIOMonths,'Timeline'!KX$42=0),0,MIN(KW$30,PermPmt-KX$27))</f>
        <v/>
      </c>
      <c r="KY28" s="18">
        <f>IF(OR(308&lt;=RefiMonth+PermIOMonths,'Timeline'!KY$42=0),0,MIN(KX$30,PermPmt-KY$27))</f>
        <v/>
      </c>
      <c r="KZ28" s="18">
        <f>IF(OR(309&lt;=RefiMonth+PermIOMonths,'Timeline'!KZ$42=0),0,MIN(KY$30,PermPmt-KZ$27))</f>
        <v/>
      </c>
      <c r="LA28" s="18">
        <f>IF(OR(310&lt;=RefiMonth+PermIOMonths,'Timeline'!LA$42=0),0,MIN(KZ$30,PermPmt-LA$27))</f>
        <v/>
      </c>
      <c r="LB28" s="18">
        <f>IF(OR(311&lt;=RefiMonth+PermIOMonths,'Timeline'!LB$42=0),0,MIN(LA$30,PermPmt-LB$27))</f>
        <v/>
      </c>
      <c r="LC28" s="18">
        <f>IF(OR(312&lt;=RefiMonth+PermIOMonths,'Timeline'!LC$42=0),0,MIN(LB$30,PermPmt-LC$27))</f>
        <v/>
      </c>
      <c r="LD28" s="18">
        <f>IF(OR(313&lt;=RefiMonth+PermIOMonths,'Timeline'!LD$42=0),0,MIN(LC$30,PermPmt-LD$27))</f>
        <v/>
      </c>
      <c r="LE28" s="18">
        <f>IF(OR(314&lt;=RefiMonth+PermIOMonths,'Timeline'!LE$42=0),0,MIN(LD$30,PermPmt-LE$27))</f>
        <v/>
      </c>
      <c r="LF28" s="18">
        <f>IF(OR(315&lt;=RefiMonth+PermIOMonths,'Timeline'!LF$42=0),0,MIN(LE$30,PermPmt-LF$27))</f>
        <v/>
      </c>
      <c r="LG28" s="18">
        <f>IF(OR(316&lt;=RefiMonth+PermIOMonths,'Timeline'!LG$42=0),0,MIN(LF$30,PermPmt-LG$27))</f>
        <v/>
      </c>
      <c r="LH28" s="18">
        <f>IF(OR(317&lt;=RefiMonth+PermIOMonths,'Timeline'!LH$42=0),0,MIN(LG$30,PermPmt-LH$27))</f>
        <v/>
      </c>
      <c r="LI28" s="18">
        <f>IF(OR(318&lt;=RefiMonth+PermIOMonths,'Timeline'!LI$42=0),0,MIN(LH$30,PermPmt-LI$27))</f>
        <v/>
      </c>
      <c r="LJ28" s="18">
        <f>IF(OR(319&lt;=RefiMonth+PermIOMonths,'Timeline'!LJ$42=0),0,MIN(LI$30,PermPmt-LJ$27))</f>
        <v/>
      </c>
      <c r="LK28" s="18">
        <f>IF(OR(320&lt;=RefiMonth+PermIOMonths,'Timeline'!LK$42=0),0,MIN(LJ$30,PermPmt-LK$27))</f>
        <v/>
      </c>
      <c r="LL28" s="18">
        <f>IF(OR(321&lt;=RefiMonth+PermIOMonths,'Timeline'!LL$42=0),0,MIN(LK$30,PermPmt-LL$27))</f>
        <v/>
      </c>
      <c r="LM28" s="18">
        <f>IF(OR(322&lt;=RefiMonth+PermIOMonths,'Timeline'!LM$42=0),0,MIN(LL$30,PermPmt-LM$27))</f>
        <v/>
      </c>
      <c r="LN28" s="18">
        <f>IF(OR(323&lt;=RefiMonth+PermIOMonths,'Timeline'!LN$42=0),0,MIN(LM$30,PermPmt-LN$27))</f>
        <v/>
      </c>
      <c r="LO28" s="18">
        <f>IF(OR(324&lt;=RefiMonth+PermIOMonths,'Timeline'!LO$42=0),0,MIN(LN$30,PermPmt-LO$27))</f>
        <v/>
      </c>
      <c r="LP28" s="18">
        <f>IF(OR(325&lt;=RefiMonth+PermIOMonths,'Timeline'!LP$42=0),0,MIN(LO$30,PermPmt-LP$27))</f>
        <v/>
      </c>
      <c r="LQ28" s="18">
        <f>IF(OR(326&lt;=RefiMonth+PermIOMonths,'Timeline'!LQ$42=0),0,MIN(LP$30,PermPmt-LQ$27))</f>
        <v/>
      </c>
      <c r="LR28" s="18">
        <f>IF(OR(327&lt;=RefiMonth+PermIOMonths,'Timeline'!LR$42=0),0,MIN(LQ$30,PermPmt-LR$27))</f>
        <v/>
      </c>
      <c r="LS28" s="18">
        <f>IF(OR(328&lt;=RefiMonth+PermIOMonths,'Timeline'!LS$42=0),0,MIN(LR$30,PermPmt-LS$27))</f>
        <v/>
      </c>
      <c r="LT28" s="18">
        <f>IF(OR(329&lt;=RefiMonth+PermIOMonths,'Timeline'!LT$42=0),0,MIN(LS$30,PermPmt-LT$27))</f>
        <v/>
      </c>
      <c r="LU28" s="18">
        <f>IF(OR(330&lt;=RefiMonth+PermIOMonths,'Timeline'!LU$42=0),0,MIN(LT$30,PermPmt-LU$27))</f>
        <v/>
      </c>
      <c r="LV28" s="18">
        <f>IF(OR(331&lt;=RefiMonth+PermIOMonths,'Timeline'!LV$42=0),0,MIN(LU$30,PermPmt-LV$27))</f>
        <v/>
      </c>
      <c r="LW28" s="18">
        <f>IF(OR(332&lt;=RefiMonth+PermIOMonths,'Timeline'!LW$42=0),0,MIN(LV$30,PermPmt-LW$27))</f>
        <v/>
      </c>
      <c r="LX28" s="18">
        <f>IF(OR(333&lt;=RefiMonth+PermIOMonths,'Timeline'!LX$42=0),0,MIN(LW$30,PermPmt-LX$27))</f>
        <v/>
      </c>
      <c r="LY28" s="18">
        <f>IF(OR(334&lt;=RefiMonth+PermIOMonths,'Timeline'!LY$42=0),0,MIN(LX$30,PermPmt-LY$27))</f>
        <v/>
      </c>
      <c r="LZ28" s="18">
        <f>IF(OR(335&lt;=RefiMonth+PermIOMonths,'Timeline'!LZ$42=0),0,MIN(LY$30,PermPmt-LZ$27))</f>
        <v/>
      </c>
      <c r="MA28" s="18">
        <f>IF(OR(336&lt;=RefiMonth+PermIOMonths,'Timeline'!MA$42=0),0,MIN(LZ$30,PermPmt-MA$27))</f>
        <v/>
      </c>
      <c r="MB28" s="18">
        <f>IF(OR(337&lt;=RefiMonth+PermIOMonths,'Timeline'!MB$42=0),0,MIN(MA$30,PermPmt-MB$27))</f>
        <v/>
      </c>
      <c r="MC28" s="18">
        <f>IF(OR(338&lt;=RefiMonth+PermIOMonths,'Timeline'!MC$42=0),0,MIN(MB$30,PermPmt-MC$27))</f>
        <v/>
      </c>
      <c r="MD28" s="18">
        <f>IF(OR(339&lt;=RefiMonth+PermIOMonths,'Timeline'!MD$42=0),0,MIN(MC$30,PermPmt-MD$27))</f>
        <v/>
      </c>
      <c r="ME28" s="18">
        <f>IF(OR(340&lt;=RefiMonth+PermIOMonths,'Timeline'!ME$42=0),0,MIN(MD$30,PermPmt-ME$27))</f>
        <v/>
      </c>
      <c r="MF28" s="18">
        <f>IF(OR(341&lt;=RefiMonth+PermIOMonths,'Timeline'!MF$42=0),0,MIN(ME$30,PermPmt-MF$27))</f>
        <v/>
      </c>
      <c r="MG28" s="18">
        <f>IF(OR(342&lt;=RefiMonth+PermIOMonths,'Timeline'!MG$42=0),0,MIN(MF$30,PermPmt-MG$27))</f>
        <v/>
      </c>
      <c r="MH28" s="18">
        <f>IF(OR(343&lt;=RefiMonth+PermIOMonths,'Timeline'!MH$42=0),0,MIN(MG$30,PermPmt-MH$27))</f>
        <v/>
      </c>
      <c r="MI28" s="18">
        <f>IF(OR(344&lt;=RefiMonth+PermIOMonths,'Timeline'!MI$42=0),0,MIN(MH$30,PermPmt-MI$27))</f>
        <v/>
      </c>
      <c r="MJ28" s="18">
        <f>IF(OR(345&lt;=RefiMonth+PermIOMonths,'Timeline'!MJ$42=0),0,MIN(MI$30,PermPmt-MJ$27))</f>
        <v/>
      </c>
      <c r="MK28" s="18">
        <f>IF(OR(346&lt;=RefiMonth+PermIOMonths,'Timeline'!MK$42=0),0,MIN(MJ$30,PermPmt-MK$27))</f>
        <v/>
      </c>
      <c r="ML28" s="18">
        <f>IF(OR(347&lt;=RefiMonth+PermIOMonths,'Timeline'!ML$42=0),0,MIN(MK$30,PermPmt-ML$27))</f>
        <v/>
      </c>
      <c r="MM28" s="18">
        <f>IF(OR(348&lt;=RefiMonth+PermIOMonths,'Timeline'!MM$42=0),0,MIN(ML$30,PermPmt-MM$27))</f>
        <v/>
      </c>
      <c r="MN28" s="18">
        <f>IF(OR(349&lt;=RefiMonth+PermIOMonths,'Timeline'!MN$42=0),0,MIN(MM$30,PermPmt-MN$27))</f>
        <v/>
      </c>
      <c r="MO28" s="18">
        <f>IF(OR(350&lt;=RefiMonth+PermIOMonths,'Timeline'!MO$42=0),0,MIN(MN$30,PermPmt-MO$27))</f>
        <v/>
      </c>
      <c r="MP28" s="18">
        <f>IF(OR(351&lt;=RefiMonth+PermIOMonths,'Timeline'!MP$42=0),0,MIN(MO$30,PermPmt-MP$27))</f>
        <v/>
      </c>
      <c r="MQ28" s="18">
        <f>IF(OR(352&lt;=RefiMonth+PermIOMonths,'Timeline'!MQ$42=0),0,MIN(MP$30,PermPmt-MQ$27))</f>
        <v/>
      </c>
      <c r="MR28" s="18">
        <f>IF(OR(353&lt;=RefiMonth+PermIOMonths,'Timeline'!MR$42=0),0,MIN(MQ$30,PermPmt-MR$27))</f>
        <v/>
      </c>
      <c r="MS28" s="18">
        <f>IF(OR(354&lt;=RefiMonth+PermIOMonths,'Timeline'!MS$42=0),0,MIN(MR$30,PermPmt-MS$27))</f>
        <v/>
      </c>
      <c r="MT28" s="18">
        <f>IF(OR(355&lt;=RefiMonth+PermIOMonths,'Timeline'!MT$42=0),0,MIN(MS$30,PermPmt-MT$27))</f>
        <v/>
      </c>
      <c r="MU28" s="18">
        <f>IF(OR(356&lt;=RefiMonth+PermIOMonths,'Timeline'!MU$42=0),0,MIN(MT$30,PermPmt-MU$27))</f>
        <v/>
      </c>
      <c r="MV28" s="18">
        <f>IF(OR(357&lt;=RefiMonth+PermIOMonths,'Timeline'!MV$42=0),0,MIN(MU$30,PermPmt-MV$27))</f>
        <v/>
      </c>
      <c r="MW28" s="18">
        <f>IF(OR(358&lt;=RefiMonth+PermIOMonths,'Timeline'!MW$42=0),0,MIN(MV$30,PermPmt-MW$27))</f>
        <v/>
      </c>
      <c r="MX28" s="18">
        <f>IF(OR(359&lt;=RefiMonth+PermIOMonths,'Timeline'!MX$42=0),0,MIN(MW$30,PermPmt-MX$27))</f>
        <v/>
      </c>
      <c r="MY28" s="18">
        <f>IF(OR(360&lt;=RefiMonth+PermIOMonths,'Timeline'!MY$42=0),0,MIN(MX$30,PermPmt-MY$27))</f>
        <v/>
      </c>
      <c r="MZ28" s="18">
        <f>IF(OR(361&lt;=RefiMonth+PermIOMonths,'Timeline'!MZ$42=0),0,MIN(MY$30,PermPmt-MZ$27))</f>
        <v/>
      </c>
      <c r="NA28" s="18">
        <f>IF(OR(362&lt;=RefiMonth+PermIOMonths,'Timeline'!NA$42=0),0,MIN(MZ$30,PermPmt-NA$27))</f>
        <v/>
      </c>
      <c r="NB28" s="18">
        <f>IF(OR(363&lt;=RefiMonth+PermIOMonths,'Timeline'!NB$42=0),0,MIN(NA$30,PermPmt-NB$27))</f>
        <v/>
      </c>
      <c r="NC28" s="18">
        <f>IF(OR(364&lt;=RefiMonth+PermIOMonths,'Timeline'!NC$42=0),0,MIN(NB$30,PermPmt-NC$27))</f>
        <v/>
      </c>
      <c r="ND28" s="18">
        <f>IF(OR(365&lt;=RefiMonth+PermIOMonths,'Timeline'!ND$42=0),0,MIN(NC$30,PermPmt-ND$27))</f>
        <v/>
      </c>
      <c r="NE28" s="18">
        <f>IF(OR(366&lt;=RefiMonth+PermIOMonths,'Timeline'!NE$42=0),0,MIN(ND$30,PermPmt-NE$27))</f>
        <v/>
      </c>
      <c r="NF28" s="18">
        <f>IF(OR(367&lt;=RefiMonth+PermIOMonths,'Timeline'!NF$42=0),0,MIN(NE$30,PermPmt-NF$27))</f>
        <v/>
      </c>
      <c r="NG28" s="18">
        <f>IF(OR(368&lt;=RefiMonth+PermIOMonths,'Timeline'!NG$42=0),0,MIN(NF$30,PermPmt-NG$27))</f>
        <v/>
      </c>
      <c r="NH28" s="18">
        <f>IF(OR(369&lt;=RefiMonth+PermIOMonths,'Timeline'!NH$42=0),0,MIN(NG$30,PermPmt-NH$27))</f>
        <v/>
      </c>
      <c r="NI28" s="18">
        <f>IF(OR(370&lt;=RefiMonth+PermIOMonths,'Timeline'!NI$42=0),0,MIN(NH$30,PermPmt-NI$27))</f>
        <v/>
      </c>
      <c r="NJ28" s="18">
        <f>IF(OR(371&lt;=RefiMonth+PermIOMonths,'Timeline'!NJ$42=0),0,MIN(NI$30,PermPmt-NJ$27))</f>
        <v/>
      </c>
      <c r="NK28" s="18">
        <f>IF(OR(372&lt;=RefiMonth+PermIOMonths,'Timeline'!NK$42=0),0,MIN(NJ$30,PermPmt-NK$27))</f>
        <v/>
      </c>
    </row>
    <row r="29">
      <c r="A29" s="5" t="inlineStr">
        <is>
          <t>Debt Service</t>
        </is>
      </c>
      <c r="C29" s="41">
        <f>SUM(D29:NK29)</f>
        <v/>
      </c>
      <c r="D29" s="18">
        <f>IF('Timeline'!D$42=1,D$27+D$28,0)</f>
        <v/>
      </c>
      <c r="E29" s="18">
        <f>IF('Timeline'!E$42=1,E$27+E$28,0)</f>
        <v/>
      </c>
      <c r="F29" s="18">
        <f>IF('Timeline'!F$42=1,F$27+F$28,0)</f>
        <v/>
      </c>
      <c r="G29" s="18">
        <f>IF('Timeline'!G$42=1,G$27+G$28,0)</f>
        <v/>
      </c>
      <c r="H29" s="18">
        <f>IF('Timeline'!H$42=1,H$27+H$28,0)</f>
        <v/>
      </c>
      <c r="I29" s="18">
        <f>IF('Timeline'!I$42=1,I$27+I$28,0)</f>
        <v/>
      </c>
      <c r="J29" s="18">
        <f>IF('Timeline'!J$42=1,J$27+J$28,0)</f>
        <v/>
      </c>
      <c r="K29" s="18">
        <f>IF('Timeline'!K$42=1,K$27+K$28,0)</f>
        <v/>
      </c>
      <c r="L29" s="18">
        <f>IF('Timeline'!L$42=1,L$27+L$28,0)</f>
        <v/>
      </c>
      <c r="M29" s="18">
        <f>IF('Timeline'!M$42=1,M$27+M$28,0)</f>
        <v/>
      </c>
      <c r="N29" s="18">
        <f>IF('Timeline'!N$42=1,N$27+N$28,0)</f>
        <v/>
      </c>
      <c r="O29" s="18">
        <f>IF('Timeline'!O$42=1,O$27+O$28,0)</f>
        <v/>
      </c>
      <c r="P29" s="18">
        <f>IF('Timeline'!P$42=1,P$27+P$28,0)</f>
        <v/>
      </c>
      <c r="Q29" s="18">
        <f>IF('Timeline'!Q$42=1,Q$27+Q$28,0)</f>
        <v/>
      </c>
      <c r="R29" s="18">
        <f>IF('Timeline'!R$42=1,R$27+R$28,0)</f>
        <v/>
      </c>
      <c r="S29" s="18">
        <f>IF('Timeline'!S$42=1,S$27+S$28,0)</f>
        <v/>
      </c>
      <c r="T29" s="18">
        <f>IF('Timeline'!T$42=1,T$27+T$28,0)</f>
        <v/>
      </c>
      <c r="U29" s="18">
        <f>IF('Timeline'!U$42=1,U$27+U$28,0)</f>
        <v/>
      </c>
      <c r="V29" s="18">
        <f>IF('Timeline'!V$42=1,V$27+V$28,0)</f>
        <v/>
      </c>
      <c r="W29" s="18">
        <f>IF('Timeline'!W$42=1,W$27+W$28,0)</f>
        <v/>
      </c>
      <c r="X29" s="18">
        <f>IF('Timeline'!X$42=1,X$27+X$28,0)</f>
        <v/>
      </c>
      <c r="Y29" s="18">
        <f>IF('Timeline'!Y$42=1,Y$27+Y$28,0)</f>
        <v/>
      </c>
      <c r="Z29" s="18">
        <f>IF('Timeline'!Z$42=1,Z$27+Z$28,0)</f>
        <v/>
      </c>
      <c r="AA29" s="18">
        <f>IF('Timeline'!AA$42=1,AA$27+AA$28,0)</f>
        <v/>
      </c>
      <c r="AB29" s="18">
        <f>IF('Timeline'!AB$42=1,AB$27+AB$28,0)</f>
        <v/>
      </c>
      <c r="AC29" s="18">
        <f>IF('Timeline'!AC$42=1,AC$27+AC$28,0)</f>
        <v/>
      </c>
      <c r="AD29" s="18">
        <f>IF('Timeline'!AD$42=1,AD$27+AD$28,0)</f>
        <v/>
      </c>
      <c r="AE29" s="18">
        <f>IF('Timeline'!AE$42=1,AE$27+AE$28,0)</f>
        <v/>
      </c>
      <c r="AF29" s="18">
        <f>IF('Timeline'!AF$42=1,AF$27+AF$28,0)</f>
        <v/>
      </c>
      <c r="AG29" s="18">
        <f>IF('Timeline'!AG$42=1,AG$27+AG$28,0)</f>
        <v/>
      </c>
      <c r="AH29" s="18">
        <f>IF('Timeline'!AH$42=1,AH$27+AH$28,0)</f>
        <v/>
      </c>
      <c r="AI29" s="18">
        <f>IF('Timeline'!AI$42=1,AI$27+AI$28,0)</f>
        <v/>
      </c>
      <c r="AJ29" s="18">
        <f>IF('Timeline'!AJ$42=1,AJ$27+AJ$28,0)</f>
        <v/>
      </c>
      <c r="AK29" s="18">
        <f>IF('Timeline'!AK$42=1,AK$27+AK$28,0)</f>
        <v/>
      </c>
      <c r="AL29" s="18">
        <f>IF('Timeline'!AL$42=1,AL$27+AL$28,0)</f>
        <v/>
      </c>
      <c r="AM29" s="18">
        <f>IF('Timeline'!AM$42=1,AM$27+AM$28,0)</f>
        <v/>
      </c>
      <c r="AN29" s="18">
        <f>IF('Timeline'!AN$42=1,AN$27+AN$28,0)</f>
        <v/>
      </c>
      <c r="AO29" s="18">
        <f>IF('Timeline'!AO$42=1,AO$27+AO$28,0)</f>
        <v/>
      </c>
      <c r="AP29" s="18">
        <f>IF('Timeline'!AP$42=1,AP$27+AP$28,0)</f>
        <v/>
      </c>
      <c r="AQ29" s="18">
        <f>IF('Timeline'!AQ$42=1,AQ$27+AQ$28,0)</f>
        <v/>
      </c>
      <c r="AR29" s="18">
        <f>IF('Timeline'!AR$42=1,AR$27+AR$28,0)</f>
        <v/>
      </c>
      <c r="AS29" s="18">
        <f>IF('Timeline'!AS$42=1,AS$27+AS$28,0)</f>
        <v/>
      </c>
      <c r="AT29" s="18">
        <f>IF('Timeline'!AT$42=1,AT$27+AT$28,0)</f>
        <v/>
      </c>
      <c r="AU29" s="18">
        <f>IF('Timeline'!AU$42=1,AU$27+AU$28,0)</f>
        <v/>
      </c>
      <c r="AV29" s="18">
        <f>IF('Timeline'!AV$42=1,AV$27+AV$28,0)</f>
        <v/>
      </c>
      <c r="AW29" s="18">
        <f>IF('Timeline'!AW$42=1,AW$27+AW$28,0)</f>
        <v/>
      </c>
      <c r="AX29" s="18">
        <f>IF('Timeline'!AX$42=1,AX$27+AX$28,0)</f>
        <v/>
      </c>
      <c r="AY29" s="18">
        <f>IF('Timeline'!AY$42=1,AY$27+AY$28,0)</f>
        <v/>
      </c>
      <c r="AZ29" s="18">
        <f>IF('Timeline'!AZ$42=1,AZ$27+AZ$28,0)</f>
        <v/>
      </c>
      <c r="BA29" s="18">
        <f>IF('Timeline'!BA$42=1,BA$27+BA$28,0)</f>
        <v/>
      </c>
      <c r="BB29" s="18">
        <f>IF('Timeline'!BB$42=1,BB$27+BB$28,0)</f>
        <v/>
      </c>
      <c r="BC29" s="18">
        <f>IF('Timeline'!BC$42=1,BC$27+BC$28,0)</f>
        <v/>
      </c>
      <c r="BD29" s="18">
        <f>IF('Timeline'!BD$42=1,BD$27+BD$28,0)</f>
        <v/>
      </c>
      <c r="BE29" s="18">
        <f>IF('Timeline'!BE$42=1,BE$27+BE$28,0)</f>
        <v/>
      </c>
      <c r="BF29" s="18">
        <f>IF('Timeline'!BF$42=1,BF$27+BF$28,0)</f>
        <v/>
      </c>
      <c r="BG29" s="18">
        <f>IF('Timeline'!BG$42=1,BG$27+BG$28,0)</f>
        <v/>
      </c>
      <c r="BH29" s="18">
        <f>IF('Timeline'!BH$42=1,BH$27+BH$28,0)</f>
        <v/>
      </c>
      <c r="BI29" s="18">
        <f>IF('Timeline'!BI$42=1,BI$27+BI$28,0)</f>
        <v/>
      </c>
      <c r="BJ29" s="18">
        <f>IF('Timeline'!BJ$42=1,BJ$27+BJ$28,0)</f>
        <v/>
      </c>
      <c r="BK29" s="18">
        <f>IF('Timeline'!BK$42=1,BK$27+BK$28,0)</f>
        <v/>
      </c>
      <c r="BL29" s="18">
        <f>IF('Timeline'!BL$42=1,BL$27+BL$28,0)</f>
        <v/>
      </c>
      <c r="BM29" s="18">
        <f>IF('Timeline'!BM$42=1,BM$27+BM$28,0)</f>
        <v/>
      </c>
      <c r="BN29" s="18">
        <f>IF('Timeline'!BN$42=1,BN$27+BN$28,0)</f>
        <v/>
      </c>
      <c r="BO29" s="18">
        <f>IF('Timeline'!BO$42=1,BO$27+BO$28,0)</f>
        <v/>
      </c>
      <c r="BP29" s="18">
        <f>IF('Timeline'!BP$42=1,BP$27+BP$28,0)</f>
        <v/>
      </c>
      <c r="BQ29" s="18">
        <f>IF('Timeline'!BQ$42=1,BQ$27+BQ$28,0)</f>
        <v/>
      </c>
      <c r="BR29" s="18">
        <f>IF('Timeline'!BR$42=1,BR$27+BR$28,0)</f>
        <v/>
      </c>
      <c r="BS29" s="18">
        <f>IF('Timeline'!BS$42=1,BS$27+BS$28,0)</f>
        <v/>
      </c>
      <c r="BT29" s="18">
        <f>IF('Timeline'!BT$42=1,BT$27+BT$28,0)</f>
        <v/>
      </c>
      <c r="BU29" s="18">
        <f>IF('Timeline'!BU$42=1,BU$27+BU$28,0)</f>
        <v/>
      </c>
      <c r="BV29" s="18">
        <f>IF('Timeline'!BV$42=1,BV$27+BV$28,0)</f>
        <v/>
      </c>
      <c r="BW29" s="18">
        <f>IF('Timeline'!BW$42=1,BW$27+BW$28,0)</f>
        <v/>
      </c>
      <c r="BX29" s="18">
        <f>IF('Timeline'!BX$42=1,BX$27+BX$28,0)</f>
        <v/>
      </c>
      <c r="BY29" s="18">
        <f>IF('Timeline'!BY$42=1,BY$27+BY$28,0)</f>
        <v/>
      </c>
      <c r="BZ29" s="18">
        <f>IF('Timeline'!BZ$42=1,BZ$27+BZ$28,0)</f>
        <v/>
      </c>
      <c r="CA29" s="18">
        <f>IF('Timeline'!CA$42=1,CA$27+CA$28,0)</f>
        <v/>
      </c>
      <c r="CB29" s="18">
        <f>IF('Timeline'!CB$42=1,CB$27+CB$28,0)</f>
        <v/>
      </c>
      <c r="CC29" s="18">
        <f>IF('Timeline'!CC$42=1,CC$27+CC$28,0)</f>
        <v/>
      </c>
      <c r="CD29" s="18">
        <f>IF('Timeline'!CD$42=1,CD$27+CD$28,0)</f>
        <v/>
      </c>
      <c r="CE29" s="18">
        <f>IF('Timeline'!CE$42=1,CE$27+CE$28,0)</f>
        <v/>
      </c>
      <c r="CF29" s="18">
        <f>IF('Timeline'!CF$42=1,CF$27+CF$28,0)</f>
        <v/>
      </c>
      <c r="CG29" s="18">
        <f>IF('Timeline'!CG$42=1,CG$27+CG$28,0)</f>
        <v/>
      </c>
      <c r="CH29" s="18">
        <f>IF('Timeline'!CH$42=1,CH$27+CH$28,0)</f>
        <v/>
      </c>
      <c r="CI29" s="18">
        <f>IF('Timeline'!CI$42=1,CI$27+CI$28,0)</f>
        <v/>
      </c>
      <c r="CJ29" s="18">
        <f>IF('Timeline'!CJ$42=1,CJ$27+CJ$28,0)</f>
        <v/>
      </c>
      <c r="CK29" s="18">
        <f>IF('Timeline'!CK$42=1,CK$27+CK$28,0)</f>
        <v/>
      </c>
      <c r="CL29" s="18">
        <f>IF('Timeline'!CL$42=1,CL$27+CL$28,0)</f>
        <v/>
      </c>
      <c r="CM29" s="18">
        <f>IF('Timeline'!CM$42=1,CM$27+CM$28,0)</f>
        <v/>
      </c>
      <c r="CN29" s="18">
        <f>IF('Timeline'!CN$42=1,CN$27+CN$28,0)</f>
        <v/>
      </c>
      <c r="CO29" s="18">
        <f>IF('Timeline'!CO$42=1,CO$27+CO$28,0)</f>
        <v/>
      </c>
      <c r="CP29" s="18">
        <f>IF('Timeline'!CP$42=1,CP$27+CP$28,0)</f>
        <v/>
      </c>
      <c r="CQ29" s="18">
        <f>IF('Timeline'!CQ$42=1,CQ$27+CQ$28,0)</f>
        <v/>
      </c>
      <c r="CR29" s="18">
        <f>IF('Timeline'!CR$42=1,CR$27+CR$28,0)</f>
        <v/>
      </c>
      <c r="CS29" s="18">
        <f>IF('Timeline'!CS$42=1,CS$27+CS$28,0)</f>
        <v/>
      </c>
      <c r="CT29" s="18">
        <f>IF('Timeline'!CT$42=1,CT$27+CT$28,0)</f>
        <v/>
      </c>
      <c r="CU29" s="18">
        <f>IF('Timeline'!CU$42=1,CU$27+CU$28,0)</f>
        <v/>
      </c>
      <c r="CV29" s="18">
        <f>IF('Timeline'!CV$42=1,CV$27+CV$28,0)</f>
        <v/>
      </c>
      <c r="CW29" s="18">
        <f>IF('Timeline'!CW$42=1,CW$27+CW$28,0)</f>
        <v/>
      </c>
      <c r="CX29" s="18">
        <f>IF('Timeline'!CX$42=1,CX$27+CX$28,0)</f>
        <v/>
      </c>
      <c r="CY29" s="18">
        <f>IF('Timeline'!CY$42=1,CY$27+CY$28,0)</f>
        <v/>
      </c>
      <c r="CZ29" s="18">
        <f>IF('Timeline'!CZ$42=1,CZ$27+CZ$28,0)</f>
        <v/>
      </c>
      <c r="DA29" s="18">
        <f>IF('Timeline'!DA$42=1,DA$27+DA$28,0)</f>
        <v/>
      </c>
      <c r="DB29" s="18">
        <f>IF('Timeline'!DB$42=1,DB$27+DB$28,0)</f>
        <v/>
      </c>
      <c r="DC29" s="18">
        <f>IF('Timeline'!DC$42=1,DC$27+DC$28,0)</f>
        <v/>
      </c>
      <c r="DD29" s="18">
        <f>IF('Timeline'!DD$42=1,DD$27+DD$28,0)</f>
        <v/>
      </c>
      <c r="DE29" s="18">
        <f>IF('Timeline'!DE$42=1,DE$27+DE$28,0)</f>
        <v/>
      </c>
      <c r="DF29" s="18">
        <f>IF('Timeline'!DF$42=1,DF$27+DF$28,0)</f>
        <v/>
      </c>
      <c r="DG29" s="18">
        <f>IF('Timeline'!DG$42=1,DG$27+DG$28,0)</f>
        <v/>
      </c>
      <c r="DH29" s="18">
        <f>IF('Timeline'!DH$42=1,DH$27+DH$28,0)</f>
        <v/>
      </c>
      <c r="DI29" s="18">
        <f>IF('Timeline'!DI$42=1,DI$27+DI$28,0)</f>
        <v/>
      </c>
      <c r="DJ29" s="18">
        <f>IF('Timeline'!DJ$42=1,DJ$27+DJ$28,0)</f>
        <v/>
      </c>
      <c r="DK29" s="18">
        <f>IF('Timeline'!DK$42=1,DK$27+DK$28,0)</f>
        <v/>
      </c>
      <c r="DL29" s="18">
        <f>IF('Timeline'!DL$42=1,DL$27+DL$28,0)</f>
        <v/>
      </c>
      <c r="DM29" s="18">
        <f>IF('Timeline'!DM$42=1,DM$27+DM$28,0)</f>
        <v/>
      </c>
      <c r="DN29" s="18">
        <f>IF('Timeline'!DN$42=1,DN$27+DN$28,0)</f>
        <v/>
      </c>
      <c r="DO29" s="18">
        <f>IF('Timeline'!DO$42=1,DO$27+DO$28,0)</f>
        <v/>
      </c>
      <c r="DP29" s="18">
        <f>IF('Timeline'!DP$42=1,DP$27+DP$28,0)</f>
        <v/>
      </c>
      <c r="DQ29" s="18">
        <f>IF('Timeline'!DQ$42=1,DQ$27+DQ$28,0)</f>
        <v/>
      </c>
      <c r="DR29" s="18">
        <f>IF('Timeline'!DR$42=1,DR$27+DR$28,0)</f>
        <v/>
      </c>
      <c r="DS29" s="18">
        <f>IF('Timeline'!DS$42=1,DS$27+DS$28,0)</f>
        <v/>
      </c>
      <c r="DT29" s="18">
        <f>IF('Timeline'!DT$42=1,DT$27+DT$28,0)</f>
        <v/>
      </c>
      <c r="DU29" s="18">
        <f>IF('Timeline'!DU$42=1,DU$27+DU$28,0)</f>
        <v/>
      </c>
      <c r="DV29" s="18">
        <f>IF('Timeline'!DV$42=1,DV$27+DV$28,0)</f>
        <v/>
      </c>
      <c r="DW29" s="18">
        <f>IF('Timeline'!DW$42=1,DW$27+DW$28,0)</f>
        <v/>
      </c>
      <c r="DX29" s="18">
        <f>IF('Timeline'!DX$42=1,DX$27+DX$28,0)</f>
        <v/>
      </c>
      <c r="DY29" s="18">
        <f>IF('Timeline'!DY$42=1,DY$27+DY$28,0)</f>
        <v/>
      </c>
      <c r="DZ29" s="18">
        <f>IF('Timeline'!DZ$42=1,DZ$27+DZ$28,0)</f>
        <v/>
      </c>
      <c r="EA29" s="18">
        <f>IF('Timeline'!EA$42=1,EA$27+EA$28,0)</f>
        <v/>
      </c>
      <c r="EB29" s="18">
        <f>IF('Timeline'!EB$42=1,EB$27+EB$28,0)</f>
        <v/>
      </c>
      <c r="EC29" s="18">
        <f>IF('Timeline'!EC$42=1,EC$27+EC$28,0)</f>
        <v/>
      </c>
      <c r="ED29" s="18">
        <f>IF('Timeline'!ED$42=1,ED$27+ED$28,0)</f>
        <v/>
      </c>
      <c r="EE29" s="18">
        <f>IF('Timeline'!EE$42=1,EE$27+EE$28,0)</f>
        <v/>
      </c>
      <c r="EF29" s="18">
        <f>IF('Timeline'!EF$42=1,EF$27+EF$28,0)</f>
        <v/>
      </c>
      <c r="EG29" s="18">
        <f>IF('Timeline'!EG$42=1,EG$27+EG$28,0)</f>
        <v/>
      </c>
      <c r="EH29" s="18">
        <f>IF('Timeline'!EH$42=1,EH$27+EH$28,0)</f>
        <v/>
      </c>
      <c r="EI29" s="18">
        <f>IF('Timeline'!EI$42=1,EI$27+EI$28,0)</f>
        <v/>
      </c>
      <c r="EJ29" s="18">
        <f>IF('Timeline'!EJ$42=1,EJ$27+EJ$28,0)</f>
        <v/>
      </c>
      <c r="EK29" s="18">
        <f>IF('Timeline'!EK$42=1,EK$27+EK$28,0)</f>
        <v/>
      </c>
      <c r="EL29" s="18">
        <f>IF('Timeline'!EL$42=1,EL$27+EL$28,0)</f>
        <v/>
      </c>
      <c r="EM29" s="18">
        <f>IF('Timeline'!EM$42=1,EM$27+EM$28,0)</f>
        <v/>
      </c>
      <c r="EN29" s="18">
        <f>IF('Timeline'!EN$42=1,EN$27+EN$28,0)</f>
        <v/>
      </c>
      <c r="EO29" s="18">
        <f>IF('Timeline'!EO$42=1,EO$27+EO$28,0)</f>
        <v/>
      </c>
      <c r="EP29" s="18">
        <f>IF('Timeline'!EP$42=1,EP$27+EP$28,0)</f>
        <v/>
      </c>
      <c r="EQ29" s="18">
        <f>IF('Timeline'!EQ$42=1,EQ$27+EQ$28,0)</f>
        <v/>
      </c>
      <c r="ER29" s="18">
        <f>IF('Timeline'!ER$42=1,ER$27+ER$28,0)</f>
        <v/>
      </c>
      <c r="ES29" s="18">
        <f>IF('Timeline'!ES$42=1,ES$27+ES$28,0)</f>
        <v/>
      </c>
      <c r="ET29" s="18">
        <f>IF('Timeline'!ET$42=1,ET$27+ET$28,0)</f>
        <v/>
      </c>
      <c r="EU29" s="18">
        <f>IF('Timeline'!EU$42=1,EU$27+EU$28,0)</f>
        <v/>
      </c>
      <c r="EV29" s="18">
        <f>IF('Timeline'!EV$42=1,EV$27+EV$28,0)</f>
        <v/>
      </c>
      <c r="EW29" s="18">
        <f>IF('Timeline'!EW$42=1,EW$27+EW$28,0)</f>
        <v/>
      </c>
      <c r="EX29" s="18">
        <f>IF('Timeline'!EX$42=1,EX$27+EX$28,0)</f>
        <v/>
      </c>
      <c r="EY29" s="18">
        <f>IF('Timeline'!EY$42=1,EY$27+EY$28,0)</f>
        <v/>
      </c>
      <c r="EZ29" s="18">
        <f>IF('Timeline'!EZ$42=1,EZ$27+EZ$28,0)</f>
        <v/>
      </c>
      <c r="FA29" s="18">
        <f>IF('Timeline'!FA$42=1,FA$27+FA$28,0)</f>
        <v/>
      </c>
      <c r="FB29" s="18">
        <f>IF('Timeline'!FB$42=1,FB$27+FB$28,0)</f>
        <v/>
      </c>
      <c r="FC29" s="18">
        <f>IF('Timeline'!FC$42=1,FC$27+FC$28,0)</f>
        <v/>
      </c>
      <c r="FD29" s="18">
        <f>IF('Timeline'!FD$42=1,FD$27+FD$28,0)</f>
        <v/>
      </c>
      <c r="FE29" s="18">
        <f>IF('Timeline'!FE$42=1,FE$27+FE$28,0)</f>
        <v/>
      </c>
      <c r="FF29" s="18">
        <f>IF('Timeline'!FF$42=1,FF$27+FF$28,0)</f>
        <v/>
      </c>
      <c r="FG29" s="18">
        <f>IF('Timeline'!FG$42=1,FG$27+FG$28,0)</f>
        <v/>
      </c>
      <c r="FH29" s="18">
        <f>IF('Timeline'!FH$42=1,FH$27+FH$28,0)</f>
        <v/>
      </c>
      <c r="FI29" s="18">
        <f>IF('Timeline'!FI$42=1,FI$27+FI$28,0)</f>
        <v/>
      </c>
      <c r="FJ29" s="18">
        <f>IF('Timeline'!FJ$42=1,FJ$27+FJ$28,0)</f>
        <v/>
      </c>
      <c r="FK29" s="18">
        <f>IF('Timeline'!FK$42=1,FK$27+FK$28,0)</f>
        <v/>
      </c>
      <c r="FL29" s="18">
        <f>IF('Timeline'!FL$42=1,FL$27+FL$28,0)</f>
        <v/>
      </c>
      <c r="FM29" s="18">
        <f>IF('Timeline'!FM$42=1,FM$27+FM$28,0)</f>
        <v/>
      </c>
      <c r="FN29" s="18">
        <f>IF('Timeline'!FN$42=1,FN$27+FN$28,0)</f>
        <v/>
      </c>
      <c r="FO29" s="18">
        <f>IF('Timeline'!FO$42=1,FO$27+FO$28,0)</f>
        <v/>
      </c>
      <c r="FP29" s="18">
        <f>IF('Timeline'!FP$42=1,FP$27+FP$28,0)</f>
        <v/>
      </c>
      <c r="FQ29" s="18">
        <f>IF('Timeline'!FQ$42=1,FQ$27+FQ$28,0)</f>
        <v/>
      </c>
      <c r="FR29" s="18">
        <f>IF('Timeline'!FR$42=1,FR$27+FR$28,0)</f>
        <v/>
      </c>
      <c r="FS29" s="18">
        <f>IF('Timeline'!FS$42=1,FS$27+FS$28,0)</f>
        <v/>
      </c>
      <c r="FT29" s="18">
        <f>IF('Timeline'!FT$42=1,FT$27+FT$28,0)</f>
        <v/>
      </c>
      <c r="FU29" s="18">
        <f>IF('Timeline'!FU$42=1,FU$27+FU$28,0)</f>
        <v/>
      </c>
      <c r="FV29" s="18">
        <f>IF('Timeline'!FV$42=1,FV$27+FV$28,0)</f>
        <v/>
      </c>
      <c r="FW29" s="18">
        <f>IF('Timeline'!FW$42=1,FW$27+FW$28,0)</f>
        <v/>
      </c>
      <c r="FX29" s="18">
        <f>IF('Timeline'!FX$42=1,FX$27+FX$28,0)</f>
        <v/>
      </c>
      <c r="FY29" s="18">
        <f>IF('Timeline'!FY$42=1,FY$27+FY$28,0)</f>
        <v/>
      </c>
      <c r="FZ29" s="18">
        <f>IF('Timeline'!FZ$42=1,FZ$27+FZ$28,0)</f>
        <v/>
      </c>
      <c r="GA29" s="18">
        <f>IF('Timeline'!GA$42=1,GA$27+GA$28,0)</f>
        <v/>
      </c>
      <c r="GB29" s="18">
        <f>IF('Timeline'!GB$42=1,GB$27+GB$28,0)</f>
        <v/>
      </c>
      <c r="GC29" s="18">
        <f>IF('Timeline'!GC$42=1,GC$27+GC$28,0)</f>
        <v/>
      </c>
      <c r="GD29" s="18">
        <f>IF('Timeline'!GD$42=1,GD$27+GD$28,0)</f>
        <v/>
      </c>
      <c r="GE29" s="18">
        <f>IF('Timeline'!GE$42=1,GE$27+GE$28,0)</f>
        <v/>
      </c>
      <c r="GF29" s="18">
        <f>IF('Timeline'!GF$42=1,GF$27+GF$28,0)</f>
        <v/>
      </c>
      <c r="GG29" s="18">
        <f>IF('Timeline'!GG$42=1,GG$27+GG$28,0)</f>
        <v/>
      </c>
      <c r="GH29" s="18">
        <f>IF('Timeline'!GH$42=1,GH$27+GH$28,0)</f>
        <v/>
      </c>
      <c r="GI29" s="18">
        <f>IF('Timeline'!GI$42=1,GI$27+GI$28,0)</f>
        <v/>
      </c>
      <c r="GJ29" s="18">
        <f>IF('Timeline'!GJ$42=1,GJ$27+GJ$28,0)</f>
        <v/>
      </c>
      <c r="GK29" s="18">
        <f>IF('Timeline'!GK$42=1,GK$27+GK$28,0)</f>
        <v/>
      </c>
      <c r="GL29" s="18">
        <f>IF('Timeline'!GL$42=1,GL$27+GL$28,0)</f>
        <v/>
      </c>
      <c r="GM29" s="18">
        <f>IF('Timeline'!GM$42=1,GM$27+GM$28,0)</f>
        <v/>
      </c>
      <c r="GN29" s="18">
        <f>IF('Timeline'!GN$42=1,GN$27+GN$28,0)</f>
        <v/>
      </c>
      <c r="GO29" s="18">
        <f>IF('Timeline'!GO$42=1,GO$27+GO$28,0)</f>
        <v/>
      </c>
      <c r="GP29" s="18">
        <f>IF('Timeline'!GP$42=1,GP$27+GP$28,0)</f>
        <v/>
      </c>
      <c r="GQ29" s="18">
        <f>IF('Timeline'!GQ$42=1,GQ$27+GQ$28,0)</f>
        <v/>
      </c>
      <c r="GR29" s="18">
        <f>IF('Timeline'!GR$42=1,GR$27+GR$28,0)</f>
        <v/>
      </c>
      <c r="GS29" s="18">
        <f>IF('Timeline'!GS$42=1,GS$27+GS$28,0)</f>
        <v/>
      </c>
      <c r="GT29" s="18">
        <f>IF('Timeline'!GT$42=1,GT$27+GT$28,0)</f>
        <v/>
      </c>
      <c r="GU29" s="18">
        <f>IF('Timeline'!GU$42=1,GU$27+GU$28,0)</f>
        <v/>
      </c>
      <c r="GV29" s="18">
        <f>IF('Timeline'!GV$42=1,GV$27+GV$28,0)</f>
        <v/>
      </c>
      <c r="GW29" s="18">
        <f>IF('Timeline'!GW$42=1,GW$27+GW$28,0)</f>
        <v/>
      </c>
      <c r="GX29" s="18">
        <f>IF('Timeline'!GX$42=1,GX$27+GX$28,0)</f>
        <v/>
      </c>
      <c r="GY29" s="18">
        <f>IF('Timeline'!GY$42=1,GY$27+GY$28,0)</f>
        <v/>
      </c>
      <c r="GZ29" s="18">
        <f>IF('Timeline'!GZ$42=1,GZ$27+GZ$28,0)</f>
        <v/>
      </c>
      <c r="HA29" s="18">
        <f>IF('Timeline'!HA$42=1,HA$27+HA$28,0)</f>
        <v/>
      </c>
      <c r="HB29" s="18">
        <f>IF('Timeline'!HB$42=1,HB$27+HB$28,0)</f>
        <v/>
      </c>
      <c r="HC29" s="18">
        <f>IF('Timeline'!HC$42=1,HC$27+HC$28,0)</f>
        <v/>
      </c>
      <c r="HD29" s="18">
        <f>IF('Timeline'!HD$42=1,HD$27+HD$28,0)</f>
        <v/>
      </c>
      <c r="HE29" s="18">
        <f>IF('Timeline'!HE$42=1,HE$27+HE$28,0)</f>
        <v/>
      </c>
      <c r="HF29" s="18">
        <f>IF('Timeline'!HF$42=1,HF$27+HF$28,0)</f>
        <v/>
      </c>
      <c r="HG29" s="18">
        <f>IF('Timeline'!HG$42=1,HG$27+HG$28,0)</f>
        <v/>
      </c>
      <c r="HH29" s="18">
        <f>IF('Timeline'!HH$42=1,HH$27+HH$28,0)</f>
        <v/>
      </c>
      <c r="HI29" s="18">
        <f>IF('Timeline'!HI$42=1,HI$27+HI$28,0)</f>
        <v/>
      </c>
      <c r="HJ29" s="18">
        <f>IF('Timeline'!HJ$42=1,HJ$27+HJ$28,0)</f>
        <v/>
      </c>
      <c r="HK29" s="18">
        <f>IF('Timeline'!HK$42=1,HK$27+HK$28,0)</f>
        <v/>
      </c>
      <c r="HL29" s="18">
        <f>IF('Timeline'!HL$42=1,HL$27+HL$28,0)</f>
        <v/>
      </c>
      <c r="HM29" s="18">
        <f>IF('Timeline'!HM$42=1,HM$27+HM$28,0)</f>
        <v/>
      </c>
      <c r="HN29" s="18">
        <f>IF('Timeline'!HN$42=1,HN$27+HN$28,0)</f>
        <v/>
      </c>
      <c r="HO29" s="18">
        <f>IF('Timeline'!HO$42=1,HO$27+HO$28,0)</f>
        <v/>
      </c>
      <c r="HP29" s="18">
        <f>IF('Timeline'!HP$42=1,HP$27+HP$28,0)</f>
        <v/>
      </c>
      <c r="HQ29" s="18">
        <f>IF('Timeline'!HQ$42=1,HQ$27+HQ$28,0)</f>
        <v/>
      </c>
      <c r="HR29" s="18">
        <f>IF('Timeline'!HR$42=1,HR$27+HR$28,0)</f>
        <v/>
      </c>
      <c r="HS29" s="18">
        <f>IF('Timeline'!HS$42=1,HS$27+HS$28,0)</f>
        <v/>
      </c>
      <c r="HT29" s="18">
        <f>IF('Timeline'!HT$42=1,HT$27+HT$28,0)</f>
        <v/>
      </c>
      <c r="HU29" s="18">
        <f>IF('Timeline'!HU$42=1,HU$27+HU$28,0)</f>
        <v/>
      </c>
      <c r="HV29" s="18">
        <f>IF('Timeline'!HV$42=1,HV$27+HV$28,0)</f>
        <v/>
      </c>
      <c r="HW29" s="18">
        <f>IF('Timeline'!HW$42=1,HW$27+HW$28,0)</f>
        <v/>
      </c>
      <c r="HX29" s="18">
        <f>IF('Timeline'!HX$42=1,HX$27+HX$28,0)</f>
        <v/>
      </c>
      <c r="HY29" s="18">
        <f>IF('Timeline'!HY$42=1,HY$27+HY$28,0)</f>
        <v/>
      </c>
      <c r="HZ29" s="18">
        <f>IF('Timeline'!HZ$42=1,HZ$27+HZ$28,0)</f>
        <v/>
      </c>
      <c r="IA29" s="18">
        <f>IF('Timeline'!IA$42=1,IA$27+IA$28,0)</f>
        <v/>
      </c>
      <c r="IB29" s="18">
        <f>IF('Timeline'!IB$42=1,IB$27+IB$28,0)</f>
        <v/>
      </c>
      <c r="IC29" s="18">
        <f>IF('Timeline'!IC$42=1,IC$27+IC$28,0)</f>
        <v/>
      </c>
      <c r="ID29" s="18">
        <f>IF('Timeline'!ID$42=1,ID$27+ID$28,0)</f>
        <v/>
      </c>
      <c r="IE29" s="18">
        <f>IF('Timeline'!IE$42=1,IE$27+IE$28,0)</f>
        <v/>
      </c>
      <c r="IF29" s="18">
        <f>IF('Timeline'!IF$42=1,IF$27+IF$28,0)</f>
        <v/>
      </c>
      <c r="IG29" s="18">
        <f>IF('Timeline'!IG$42=1,IG$27+IG$28,0)</f>
        <v/>
      </c>
      <c r="IH29" s="18">
        <f>IF('Timeline'!IH$42=1,IH$27+IH$28,0)</f>
        <v/>
      </c>
      <c r="II29" s="18">
        <f>IF('Timeline'!II$42=1,II$27+II$28,0)</f>
        <v/>
      </c>
      <c r="IJ29" s="18">
        <f>IF('Timeline'!IJ$42=1,IJ$27+IJ$28,0)</f>
        <v/>
      </c>
      <c r="IK29" s="18">
        <f>IF('Timeline'!IK$42=1,IK$27+IK$28,0)</f>
        <v/>
      </c>
      <c r="IL29" s="18">
        <f>IF('Timeline'!IL$42=1,IL$27+IL$28,0)</f>
        <v/>
      </c>
      <c r="IM29" s="18">
        <f>IF('Timeline'!IM$42=1,IM$27+IM$28,0)</f>
        <v/>
      </c>
      <c r="IN29" s="18">
        <f>IF('Timeline'!IN$42=1,IN$27+IN$28,0)</f>
        <v/>
      </c>
      <c r="IO29" s="18">
        <f>IF('Timeline'!IO$42=1,IO$27+IO$28,0)</f>
        <v/>
      </c>
      <c r="IP29" s="18">
        <f>IF('Timeline'!IP$42=1,IP$27+IP$28,0)</f>
        <v/>
      </c>
      <c r="IQ29" s="18">
        <f>IF('Timeline'!IQ$42=1,IQ$27+IQ$28,0)</f>
        <v/>
      </c>
      <c r="IR29" s="18">
        <f>IF('Timeline'!IR$42=1,IR$27+IR$28,0)</f>
        <v/>
      </c>
      <c r="IS29" s="18">
        <f>IF('Timeline'!IS$42=1,IS$27+IS$28,0)</f>
        <v/>
      </c>
      <c r="IT29" s="18">
        <f>IF('Timeline'!IT$42=1,IT$27+IT$28,0)</f>
        <v/>
      </c>
      <c r="IU29" s="18">
        <f>IF('Timeline'!IU$42=1,IU$27+IU$28,0)</f>
        <v/>
      </c>
      <c r="IV29" s="18">
        <f>IF('Timeline'!IV$42=1,IV$27+IV$28,0)</f>
        <v/>
      </c>
      <c r="IW29" s="18">
        <f>IF('Timeline'!IW$42=1,IW$27+IW$28,0)</f>
        <v/>
      </c>
      <c r="IX29" s="18">
        <f>IF('Timeline'!IX$42=1,IX$27+IX$28,0)</f>
        <v/>
      </c>
      <c r="IY29" s="18">
        <f>IF('Timeline'!IY$42=1,IY$27+IY$28,0)</f>
        <v/>
      </c>
      <c r="IZ29" s="18">
        <f>IF('Timeline'!IZ$42=1,IZ$27+IZ$28,0)</f>
        <v/>
      </c>
      <c r="JA29" s="18">
        <f>IF('Timeline'!JA$42=1,JA$27+JA$28,0)</f>
        <v/>
      </c>
      <c r="JB29" s="18">
        <f>IF('Timeline'!JB$42=1,JB$27+JB$28,0)</f>
        <v/>
      </c>
      <c r="JC29" s="18">
        <f>IF('Timeline'!JC$42=1,JC$27+JC$28,0)</f>
        <v/>
      </c>
      <c r="JD29" s="18">
        <f>IF('Timeline'!JD$42=1,JD$27+JD$28,0)</f>
        <v/>
      </c>
      <c r="JE29" s="18">
        <f>IF('Timeline'!JE$42=1,JE$27+JE$28,0)</f>
        <v/>
      </c>
      <c r="JF29" s="18">
        <f>IF('Timeline'!JF$42=1,JF$27+JF$28,0)</f>
        <v/>
      </c>
      <c r="JG29" s="18">
        <f>IF('Timeline'!JG$42=1,JG$27+JG$28,0)</f>
        <v/>
      </c>
      <c r="JH29" s="18">
        <f>IF('Timeline'!JH$42=1,JH$27+JH$28,0)</f>
        <v/>
      </c>
      <c r="JI29" s="18">
        <f>IF('Timeline'!JI$42=1,JI$27+JI$28,0)</f>
        <v/>
      </c>
      <c r="JJ29" s="18">
        <f>IF('Timeline'!JJ$42=1,JJ$27+JJ$28,0)</f>
        <v/>
      </c>
      <c r="JK29" s="18">
        <f>IF('Timeline'!JK$42=1,JK$27+JK$28,0)</f>
        <v/>
      </c>
      <c r="JL29" s="18">
        <f>IF('Timeline'!JL$42=1,JL$27+JL$28,0)</f>
        <v/>
      </c>
      <c r="JM29" s="18">
        <f>IF('Timeline'!JM$42=1,JM$27+JM$28,0)</f>
        <v/>
      </c>
      <c r="JN29" s="18">
        <f>IF('Timeline'!JN$42=1,JN$27+JN$28,0)</f>
        <v/>
      </c>
      <c r="JO29" s="18">
        <f>IF('Timeline'!JO$42=1,JO$27+JO$28,0)</f>
        <v/>
      </c>
      <c r="JP29" s="18">
        <f>IF('Timeline'!JP$42=1,JP$27+JP$28,0)</f>
        <v/>
      </c>
      <c r="JQ29" s="18">
        <f>IF('Timeline'!JQ$42=1,JQ$27+JQ$28,0)</f>
        <v/>
      </c>
      <c r="JR29" s="18">
        <f>IF('Timeline'!JR$42=1,JR$27+JR$28,0)</f>
        <v/>
      </c>
      <c r="JS29" s="18">
        <f>IF('Timeline'!JS$42=1,JS$27+JS$28,0)</f>
        <v/>
      </c>
      <c r="JT29" s="18">
        <f>IF('Timeline'!JT$42=1,JT$27+JT$28,0)</f>
        <v/>
      </c>
      <c r="JU29" s="18">
        <f>IF('Timeline'!JU$42=1,JU$27+JU$28,0)</f>
        <v/>
      </c>
      <c r="JV29" s="18">
        <f>IF('Timeline'!JV$42=1,JV$27+JV$28,0)</f>
        <v/>
      </c>
      <c r="JW29" s="18">
        <f>IF('Timeline'!JW$42=1,JW$27+JW$28,0)</f>
        <v/>
      </c>
      <c r="JX29" s="18">
        <f>IF('Timeline'!JX$42=1,JX$27+JX$28,0)</f>
        <v/>
      </c>
      <c r="JY29" s="18">
        <f>IF('Timeline'!JY$42=1,JY$27+JY$28,0)</f>
        <v/>
      </c>
      <c r="JZ29" s="18">
        <f>IF('Timeline'!JZ$42=1,JZ$27+JZ$28,0)</f>
        <v/>
      </c>
      <c r="KA29" s="18">
        <f>IF('Timeline'!KA$42=1,KA$27+KA$28,0)</f>
        <v/>
      </c>
      <c r="KB29" s="18">
        <f>IF('Timeline'!KB$42=1,KB$27+KB$28,0)</f>
        <v/>
      </c>
      <c r="KC29" s="18">
        <f>IF('Timeline'!KC$42=1,KC$27+KC$28,0)</f>
        <v/>
      </c>
      <c r="KD29" s="18">
        <f>IF('Timeline'!KD$42=1,KD$27+KD$28,0)</f>
        <v/>
      </c>
      <c r="KE29" s="18">
        <f>IF('Timeline'!KE$42=1,KE$27+KE$28,0)</f>
        <v/>
      </c>
      <c r="KF29" s="18">
        <f>IF('Timeline'!KF$42=1,KF$27+KF$28,0)</f>
        <v/>
      </c>
      <c r="KG29" s="18">
        <f>IF('Timeline'!KG$42=1,KG$27+KG$28,0)</f>
        <v/>
      </c>
      <c r="KH29" s="18">
        <f>IF('Timeline'!KH$42=1,KH$27+KH$28,0)</f>
        <v/>
      </c>
      <c r="KI29" s="18">
        <f>IF('Timeline'!KI$42=1,KI$27+KI$28,0)</f>
        <v/>
      </c>
      <c r="KJ29" s="18">
        <f>IF('Timeline'!KJ$42=1,KJ$27+KJ$28,0)</f>
        <v/>
      </c>
      <c r="KK29" s="18">
        <f>IF('Timeline'!KK$42=1,KK$27+KK$28,0)</f>
        <v/>
      </c>
      <c r="KL29" s="18">
        <f>IF('Timeline'!KL$42=1,KL$27+KL$28,0)</f>
        <v/>
      </c>
      <c r="KM29" s="18">
        <f>IF('Timeline'!KM$42=1,KM$27+KM$28,0)</f>
        <v/>
      </c>
      <c r="KN29" s="18">
        <f>IF('Timeline'!KN$42=1,KN$27+KN$28,0)</f>
        <v/>
      </c>
      <c r="KO29" s="18">
        <f>IF('Timeline'!KO$42=1,KO$27+KO$28,0)</f>
        <v/>
      </c>
      <c r="KP29" s="18">
        <f>IF('Timeline'!KP$42=1,KP$27+KP$28,0)</f>
        <v/>
      </c>
      <c r="KQ29" s="18">
        <f>IF('Timeline'!KQ$42=1,KQ$27+KQ$28,0)</f>
        <v/>
      </c>
      <c r="KR29" s="18">
        <f>IF('Timeline'!KR$42=1,KR$27+KR$28,0)</f>
        <v/>
      </c>
      <c r="KS29" s="18">
        <f>IF('Timeline'!KS$42=1,KS$27+KS$28,0)</f>
        <v/>
      </c>
      <c r="KT29" s="18">
        <f>IF('Timeline'!KT$42=1,KT$27+KT$28,0)</f>
        <v/>
      </c>
      <c r="KU29" s="18">
        <f>IF('Timeline'!KU$42=1,KU$27+KU$28,0)</f>
        <v/>
      </c>
      <c r="KV29" s="18">
        <f>IF('Timeline'!KV$42=1,KV$27+KV$28,0)</f>
        <v/>
      </c>
      <c r="KW29" s="18">
        <f>IF('Timeline'!KW$42=1,KW$27+KW$28,0)</f>
        <v/>
      </c>
      <c r="KX29" s="18">
        <f>IF('Timeline'!KX$42=1,KX$27+KX$28,0)</f>
        <v/>
      </c>
      <c r="KY29" s="18">
        <f>IF('Timeline'!KY$42=1,KY$27+KY$28,0)</f>
        <v/>
      </c>
      <c r="KZ29" s="18">
        <f>IF('Timeline'!KZ$42=1,KZ$27+KZ$28,0)</f>
        <v/>
      </c>
      <c r="LA29" s="18">
        <f>IF('Timeline'!LA$42=1,LA$27+LA$28,0)</f>
        <v/>
      </c>
      <c r="LB29" s="18">
        <f>IF('Timeline'!LB$42=1,LB$27+LB$28,0)</f>
        <v/>
      </c>
      <c r="LC29" s="18">
        <f>IF('Timeline'!LC$42=1,LC$27+LC$28,0)</f>
        <v/>
      </c>
      <c r="LD29" s="18">
        <f>IF('Timeline'!LD$42=1,LD$27+LD$28,0)</f>
        <v/>
      </c>
      <c r="LE29" s="18">
        <f>IF('Timeline'!LE$42=1,LE$27+LE$28,0)</f>
        <v/>
      </c>
      <c r="LF29" s="18">
        <f>IF('Timeline'!LF$42=1,LF$27+LF$28,0)</f>
        <v/>
      </c>
      <c r="LG29" s="18">
        <f>IF('Timeline'!LG$42=1,LG$27+LG$28,0)</f>
        <v/>
      </c>
      <c r="LH29" s="18">
        <f>IF('Timeline'!LH$42=1,LH$27+LH$28,0)</f>
        <v/>
      </c>
      <c r="LI29" s="18">
        <f>IF('Timeline'!LI$42=1,LI$27+LI$28,0)</f>
        <v/>
      </c>
      <c r="LJ29" s="18">
        <f>IF('Timeline'!LJ$42=1,LJ$27+LJ$28,0)</f>
        <v/>
      </c>
      <c r="LK29" s="18">
        <f>IF('Timeline'!LK$42=1,LK$27+LK$28,0)</f>
        <v/>
      </c>
      <c r="LL29" s="18">
        <f>IF('Timeline'!LL$42=1,LL$27+LL$28,0)</f>
        <v/>
      </c>
      <c r="LM29" s="18">
        <f>IF('Timeline'!LM$42=1,LM$27+LM$28,0)</f>
        <v/>
      </c>
      <c r="LN29" s="18">
        <f>IF('Timeline'!LN$42=1,LN$27+LN$28,0)</f>
        <v/>
      </c>
      <c r="LO29" s="18">
        <f>IF('Timeline'!LO$42=1,LO$27+LO$28,0)</f>
        <v/>
      </c>
      <c r="LP29" s="18">
        <f>IF('Timeline'!LP$42=1,LP$27+LP$28,0)</f>
        <v/>
      </c>
      <c r="LQ29" s="18">
        <f>IF('Timeline'!LQ$42=1,LQ$27+LQ$28,0)</f>
        <v/>
      </c>
      <c r="LR29" s="18">
        <f>IF('Timeline'!LR$42=1,LR$27+LR$28,0)</f>
        <v/>
      </c>
      <c r="LS29" s="18">
        <f>IF('Timeline'!LS$42=1,LS$27+LS$28,0)</f>
        <v/>
      </c>
      <c r="LT29" s="18">
        <f>IF('Timeline'!LT$42=1,LT$27+LT$28,0)</f>
        <v/>
      </c>
      <c r="LU29" s="18">
        <f>IF('Timeline'!LU$42=1,LU$27+LU$28,0)</f>
        <v/>
      </c>
      <c r="LV29" s="18">
        <f>IF('Timeline'!LV$42=1,LV$27+LV$28,0)</f>
        <v/>
      </c>
      <c r="LW29" s="18">
        <f>IF('Timeline'!LW$42=1,LW$27+LW$28,0)</f>
        <v/>
      </c>
      <c r="LX29" s="18">
        <f>IF('Timeline'!LX$42=1,LX$27+LX$28,0)</f>
        <v/>
      </c>
      <c r="LY29" s="18">
        <f>IF('Timeline'!LY$42=1,LY$27+LY$28,0)</f>
        <v/>
      </c>
      <c r="LZ29" s="18">
        <f>IF('Timeline'!LZ$42=1,LZ$27+LZ$28,0)</f>
        <v/>
      </c>
      <c r="MA29" s="18">
        <f>IF('Timeline'!MA$42=1,MA$27+MA$28,0)</f>
        <v/>
      </c>
      <c r="MB29" s="18">
        <f>IF('Timeline'!MB$42=1,MB$27+MB$28,0)</f>
        <v/>
      </c>
      <c r="MC29" s="18">
        <f>IF('Timeline'!MC$42=1,MC$27+MC$28,0)</f>
        <v/>
      </c>
      <c r="MD29" s="18">
        <f>IF('Timeline'!MD$42=1,MD$27+MD$28,0)</f>
        <v/>
      </c>
      <c r="ME29" s="18">
        <f>IF('Timeline'!ME$42=1,ME$27+ME$28,0)</f>
        <v/>
      </c>
      <c r="MF29" s="18">
        <f>IF('Timeline'!MF$42=1,MF$27+MF$28,0)</f>
        <v/>
      </c>
      <c r="MG29" s="18">
        <f>IF('Timeline'!MG$42=1,MG$27+MG$28,0)</f>
        <v/>
      </c>
      <c r="MH29" s="18">
        <f>IF('Timeline'!MH$42=1,MH$27+MH$28,0)</f>
        <v/>
      </c>
      <c r="MI29" s="18">
        <f>IF('Timeline'!MI$42=1,MI$27+MI$28,0)</f>
        <v/>
      </c>
      <c r="MJ29" s="18">
        <f>IF('Timeline'!MJ$42=1,MJ$27+MJ$28,0)</f>
        <v/>
      </c>
      <c r="MK29" s="18">
        <f>IF('Timeline'!MK$42=1,MK$27+MK$28,0)</f>
        <v/>
      </c>
      <c r="ML29" s="18">
        <f>IF('Timeline'!ML$42=1,ML$27+ML$28,0)</f>
        <v/>
      </c>
      <c r="MM29" s="18">
        <f>IF('Timeline'!MM$42=1,MM$27+MM$28,0)</f>
        <v/>
      </c>
      <c r="MN29" s="18">
        <f>IF('Timeline'!MN$42=1,MN$27+MN$28,0)</f>
        <v/>
      </c>
      <c r="MO29" s="18">
        <f>IF('Timeline'!MO$42=1,MO$27+MO$28,0)</f>
        <v/>
      </c>
      <c r="MP29" s="18">
        <f>IF('Timeline'!MP$42=1,MP$27+MP$28,0)</f>
        <v/>
      </c>
      <c r="MQ29" s="18">
        <f>IF('Timeline'!MQ$42=1,MQ$27+MQ$28,0)</f>
        <v/>
      </c>
      <c r="MR29" s="18">
        <f>IF('Timeline'!MR$42=1,MR$27+MR$28,0)</f>
        <v/>
      </c>
      <c r="MS29" s="18">
        <f>IF('Timeline'!MS$42=1,MS$27+MS$28,0)</f>
        <v/>
      </c>
      <c r="MT29" s="18">
        <f>IF('Timeline'!MT$42=1,MT$27+MT$28,0)</f>
        <v/>
      </c>
      <c r="MU29" s="18">
        <f>IF('Timeline'!MU$42=1,MU$27+MU$28,0)</f>
        <v/>
      </c>
      <c r="MV29" s="18">
        <f>IF('Timeline'!MV$42=1,MV$27+MV$28,0)</f>
        <v/>
      </c>
      <c r="MW29" s="18">
        <f>IF('Timeline'!MW$42=1,MW$27+MW$28,0)</f>
        <v/>
      </c>
      <c r="MX29" s="18">
        <f>IF('Timeline'!MX$42=1,MX$27+MX$28,0)</f>
        <v/>
      </c>
      <c r="MY29" s="18">
        <f>IF('Timeline'!MY$42=1,MY$27+MY$28,0)</f>
        <v/>
      </c>
      <c r="MZ29" s="18">
        <f>IF('Timeline'!MZ$42=1,MZ$27+MZ$28,0)</f>
        <v/>
      </c>
      <c r="NA29" s="18">
        <f>IF('Timeline'!NA$42=1,NA$27+NA$28,0)</f>
        <v/>
      </c>
      <c r="NB29" s="18">
        <f>IF('Timeline'!NB$42=1,NB$27+NB$28,0)</f>
        <v/>
      </c>
      <c r="NC29" s="18">
        <f>IF('Timeline'!NC$42=1,NC$27+NC$28,0)</f>
        <v/>
      </c>
      <c r="ND29" s="18">
        <f>IF('Timeline'!ND$42=1,ND$27+ND$28,0)</f>
        <v/>
      </c>
      <c r="NE29" s="18">
        <f>IF('Timeline'!NE$42=1,NE$27+NE$28,0)</f>
        <v/>
      </c>
      <c r="NF29" s="18">
        <f>IF('Timeline'!NF$42=1,NF$27+NF$28,0)</f>
        <v/>
      </c>
      <c r="NG29" s="18">
        <f>IF('Timeline'!NG$42=1,NG$27+NG$28,0)</f>
        <v/>
      </c>
      <c r="NH29" s="18">
        <f>IF('Timeline'!NH$42=1,NH$27+NH$28,0)</f>
        <v/>
      </c>
      <c r="NI29" s="18">
        <f>IF('Timeline'!NI$42=1,NI$27+NI$28,0)</f>
        <v/>
      </c>
      <c r="NJ29" s="18">
        <f>IF('Timeline'!NJ$42=1,NJ$27+NJ$28,0)</f>
        <v/>
      </c>
      <c r="NK29" s="18">
        <f>IF('Timeline'!NK$42=1,NK$27+NK$28,0)</f>
        <v/>
      </c>
    </row>
    <row r="30">
      <c r="A30" s="5" t="inlineStr">
        <is>
          <t>Permanent Loan Balance</t>
        </is>
      </c>
      <c r="C30" s="43" t="n"/>
      <c r="D30" s="18">
        <f>IF(RefiFlag=0,0,IF(1&lt;RefiMonth,0,IF(1=RefiMonth,PermLoan,IF(1&gt;DispoMonth,0,0-D$28))))</f>
        <v/>
      </c>
      <c r="E30" s="18">
        <f>IF(RefiFlag=0,0,IF(2&lt;RefiMonth,0,IF(2=RefiMonth,PermLoan,IF(2&gt;DispoMonth,0,D$30-E$28))))</f>
        <v/>
      </c>
      <c r="F30" s="18">
        <f>IF(RefiFlag=0,0,IF(3&lt;RefiMonth,0,IF(3=RefiMonth,PermLoan,IF(3&gt;DispoMonth,0,E$30-F$28))))</f>
        <v/>
      </c>
      <c r="G30" s="18">
        <f>IF(RefiFlag=0,0,IF(4&lt;RefiMonth,0,IF(4=RefiMonth,PermLoan,IF(4&gt;DispoMonth,0,F$30-G$28))))</f>
        <v/>
      </c>
      <c r="H30" s="18">
        <f>IF(RefiFlag=0,0,IF(5&lt;RefiMonth,0,IF(5=RefiMonth,PermLoan,IF(5&gt;DispoMonth,0,G$30-H$28))))</f>
        <v/>
      </c>
      <c r="I30" s="18">
        <f>IF(RefiFlag=0,0,IF(6&lt;RefiMonth,0,IF(6=RefiMonth,PermLoan,IF(6&gt;DispoMonth,0,H$30-I$28))))</f>
        <v/>
      </c>
      <c r="J30" s="18">
        <f>IF(RefiFlag=0,0,IF(7&lt;RefiMonth,0,IF(7=RefiMonth,PermLoan,IF(7&gt;DispoMonth,0,I$30-J$28))))</f>
        <v/>
      </c>
      <c r="K30" s="18">
        <f>IF(RefiFlag=0,0,IF(8&lt;RefiMonth,0,IF(8=RefiMonth,PermLoan,IF(8&gt;DispoMonth,0,J$30-K$28))))</f>
        <v/>
      </c>
      <c r="L30" s="18">
        <f>IF(RefiFlag=0,0,IF(9&lt;RefiMonth,0,IF(9=RefiMonth,PermLoan,IF(9&gt;DispoMonth,0,K$30-L$28))))</f>
        <v/>
      </c>
      <c r="M30" s="18">
        <f>IF(RefiFlag=0,0,IF(10&lt;RefiMonth,0,IF(10=RefiMonth,PermLoan,IF(10&gt;DispoMonth,0,L$30-M$28))))</f>
        <v/>
      </c>
      <c r="N30" s="18">
        <f>IF(RefiFlag=0,0,IF(11&lt;RefiMonth,0,IF(11=RefiMonth,PermLoan,IF(11&gt;DispoMonth,0,M$30-N$28))))</f>
        <v/>
      </c>
      <c r="O30" s="18">
        <f>IF(RefiFlag=0,0,IF(12&lt;RefiMonth,0,IF(12=RefiMonth,PermLoan,IF(12&gt;DispoMonth,0,N$30-O$28))))</f>
        <v/>
      </c>
      <c r="P30" s="18">
        <f>IF(RefiFlag=0,0,IF(13&lt;RefiMonth,0,IF(13=RefiMonth,PermLoan,IF(13&gt;DispoMonth,0,O$30-P$28))))</f>
        <v/>
      </c>
      <c r="Q30" s="18">
        <f>IF(RefiFlag=0,0,IF(14&lt;RefiMonth,0,IF(14=RefiMonth,PermLoan,IF(14&gt;DispoMonth,0,P$30-Q$28))))</f>
        <v/>
      </c>
      <c r="R30" s="18">
        <f>IF(RefiFlag=0,0,IF(15&lt;RefiMonth,0,IF(15=RefiMonth,PermLoan,IF(15&gt;DispoMonth,0,Q$30-R$28))))</f>
        <v/>
      </c>
      <c r="S30" s="18">
        <f>IF(RefiFlag=0,0,IF(16&lt;RefiMonth,0,IF(16=RefiMonth,PermLoan,IF(16&gt;DispoMonth,0,R$30-S$28))))</f>
        <v/>
      </c>
      <c r="T30" s="18">
        <f>IF(RefiFlag=0,0,IF(17&lt;RefiMonth,0,IF(17=RefiMonth,PermLoan,IF(17&gt;DispoMonth,0,S$30-T$28))))</f>
        <v/>
      </c>
      <c r="U30" s="18">
        <f>IF(RefiFlag=0,0,IF(18&lt;RefiMonth,0,IF(18=RefiMonth,PermLoan,IF(18&gt;DispoMonth,0,T$30-U$28))))</f>
        <v/>
      </c>
      <c r="V30" s="18">
        <f>IF(RefiFlag=0,0,IF(19&lt;RefiMonth,0,IF(19=RefiMonth,PermLoan,IF(19&gt;DispoMonth,0,U$30-V$28))))</f>
        <v/>
      </c>
      <c r="W30" s="18">
        <f>IF(RefiFlag=0,0,IF(20&lt;RefiMonth,0,IF(20=RefiMonth,PermLoan,IF(20&gt;DispoMonth,0,V$30-W$28))))</f>
        <v/>
      </c>
      <c r="X30" s="18">
        <f>IF(RefiFlag=0,0,IF(21&lt;RefiMonth,0,IF(21=RefiMonth,PermLoan,IF(21&gt;DispoMonth,0,W$30-X$28))))</f>
        <v/>
      </c>
      <c r="Y30" s="18">
        <f>IF(RefiFlag=0,0,IF(22&lt;RefiMonth,0,IF(22=RefiMonth,PermLoan,IF(22&gt;DispoMonth,0,X$30-Y$28))))</f>
        <v/>
      </c>
      <c r="Z30" s="18">
        <f>IF(RefiFlag=0,0,IF(23&lt;RefiMonth,0,IF(23=RefiMonth,PermLoan,IF(23&gt;DispoMonth,0,Y$30-Z$28))))</f>
        <v/>
      </c>
      <c r="AA30" s="18">
        <f>IF(RefiFlag=0,0,IF(24&lt;RefiMonth,0,IF(24=RefiMonth,PermLoan,IF(24&gt;DispoMonth,0,Z$30-AA$28))))</f>
        <v/>
      </c>
      <c r="AB30" s="18">
        <f>IF(RefiFlag=0,0,IF(25&lt;RefiMonth,0,IF(25=RefiMonth,PermLoan,IF(25&gt;DispoMonth,0,AA$30-AB$28))))</f>
        <v/>
      </c>
      <c r="AC30" s="18">
        <f>IF(RefiFlag=0,0,IF(26&lt;RefiMonth,0,IF(26=RefiMonth,PermLoan,IF(26&gt;DispoMonth,0,AB$30-AC$28))))</f>
        <v/>
      </c>
      <c r="AD30" s="18">
        <f>IF(RefiFlag=0,0,IF(27&lt;RefiMonth,0,IF(27=RefiMonth,PermLoan,IF(27&gt;DispoMonth,0,AC$30-AD$28))))</f>
        <v/>
      </c>
      <c r="AE30" s="18">
        <f>IF(RefiFlag=0,0,IF(28&lt;RefiMonth,0,IF(28=RefiMonth,PermLoan,IF(28&gt;DispoMonth,0,AD$30-AE$28))))</f>
        <v/>
      </c>
      <c r="AF30" s="18">
        <f>IF(RefiFlag=0,0,IF(29&lt;RefiMonth,0,IF(29=RefiMonth,PermLoan,IF(29&gt;DispoMonth,0,AE$30-AF$28))))</f>
        <v/>
      </c>
      <c r="AG30" s="18">
        <f>IF(RefiFlag=0,0,IF(30&lt;RefiMonth,0,IF(30=RefiMonth,PermLoan,IF(30&gt;DispoMonth,0,AF$30-AG$28))))</f>
        <v/>
      </c>
      <c r="AH30" s="18">
        <f>IF(RefiFlag=0,0,IF(31&lt;RefiMonth,0,IF(31=RefiMonth,PermLoan,IF(31&gt;DispoMonth,0,AG$30-AH$28))))</f>
        <v/>
      </c>
      <c r="AI30" s="18">
        <f>IF(RefiFlag=0,0,IF(32&lt;RefiMonth,0,IF(32=RefiMonth,PermLoan,IF(32&gt;DispoMonth,0,AH$30-AI$28))))</f>
        <v/>
      </c>
      <c r="AJ30" s="18">
        <f>IF(RefiFlag=0,0,IF(33&lt;RefiMonth,0,IF(33=RefiMonth,PermLoan,IF(33&gt;DispoMonth,0,AI$30-AJ$28))))</f>
        <v/>
      </c>
      <c r="AK30" s="18">
        <f>IF(RefiFlag=0,0,IF(34&lt;RefiMonth,0,IF(34=RefiMonth,PermLoan,IF(34&gt;DispoMonth,0,AJ$30-AK$28))))</f>
        <v/>
      </c>
      <c r="AL30" s="18">
        <f>IF(RefiFlag=0,0,IF(35&lt;RefiMonth,0,IF(35=RefiMonth,PermLoan,IF(35&gt;DispoMonth,0,AK$30-AL$28))))</f>
        <v/>
      </c>
      <c r="AM30" s="18">
        <f>IF(RefiFlag=0,0,IF(36&lt;RefiMonth,0,IF(36=RefiMonth,PermLoan,IF(36&gt;DispoMonth,0,AL$30-AM$28))))</f>
        <v/>
      </c>
      <c r="AN30" s="18">
        <f>IF(RefiFlag=0,0,IF(37&lt;RefiMonth,0,IF(37=RefiMonth,PermLoan,IF(37&gt;DispoMonth,0,AM$30-AN$28))))</f>
        <v/>
      </c>
      <c r="AO30" s="18">
        <f>IF(RefiFlag=0,0,IF(38&lt;RefiMonth,0,IF(38=RefiMonth,PermLoan,IF(38&gt;DispoMonth,0,AN$30-AO$28))))</f>
        <v/>
      </c>
      <c r="AP30" s="18">
        <f>IF(RefiFlag=0,0,IF(39&lt;RefiMonth,0,IF(39=RefiMonth,PermLoan,IF(39&gt;DispoMonth,0,AO$30-AP$28))))</f>
        <v/>
      </c>
      <c r="AQ30" s="18">
        <f>IF(RefiFlag=0,0,IF(40&lt;RefiMonth,0,IF(40=RefiMonth,PermLoan,IF(40&gt;DispoMonth,0,AP$30-AQ$28))))</f>
        <v/>
      </c>
      <c r="AR30" s="18">
        <f>IF(RefiFlag=0,0,IF(41&lt;RefiMonth,0,IF(41=RefiMonth,PermLoan,IF(41&gt;DispoMonth,0,AQ$30-AR$28))))</f>
        <v/>
      </c>
      <c r="AS30" s="18">
        <f>IF(RefiFlag=0,0,IF(42&lt;RefiMonth,0,IF(42=RefiMonth,PermLoan,IF(42&gt;DispoMonth,0,AR$30-AS$28))))</f>
        <v/>
      </c>
      <c r="AT30" s="18">
        <f>IF(RefiFlag=0,0,IF(43&lt;RefiMonth,0,IF(43=RefiMonth,PermLoan,IF(43&gt;DispoMonth,0,AS$30-AT$28))))</f>
        <v/>
      </c>
      <c r="AU30" s="18">
        <f>IF(RefiFlag=0,0,IF(44&lt;RefiMonth,0,IF(44=RefiMonth,PermLoan,IF(44&gt;DispoMonth,0,AT$30-AU$28))))</f>
        <v/>
      </c>
      <c r="AV30" s="18">
        <f>IF(RefiFlag=0,0,IF(45&lt;RefiMonth,0,IF(45=RefiMonth,PermLoan,IF(45&gt;DispoMonth,0,AU$30-AV$28))))</f>
        <v/>
      </c>
      <c r="AW30" s="18">
        <f>IF(RefiFlag=0,0,IF(46&lt;RefiMonth,0,IF(46=RefiMonth,PermLoan,IF(46&gt;DispoMonth,0,AV$30-AW$28))))</f>
        <v/>
      </c>
      <c r="AX30" s="18">
        <f>IF(RefiFlag=0,0,IF(47&lt;RefiMonth,0,IF(47=RefiMonth,PermLoan,IF(47&gt;DispoMonth,0,AW$30-AX$28))))</f>
        <v/>
      </c>
      <c r="AY30" s="18">
        <f>IF(RefiFlag=0,0,IF(48&lt;RefiMonth,0,IF(48=RefiMonth,PermLoan,IF(48&gt;DispoMonth,0,AX$30-AY$28))))</f>
        <v/>
      </c>
      <c r="AZ30" s="18">
        <f>IF(RefiFlag=0,0,IF(49&lt;RefiMonth,0,IF(49=RefiMonth,PermLoan,IF(49&gt;DispoMonth,0,AY$30-AZ$28))))</f>
        <v/>
      </c>
      <c r="BA30" s="18">
        <f>IF(RefiFlag=0,0,IF(50&lt;RefiMonth,0,IF(50=RefiMonth,PermLoan,IF(50&gt;DispoMonth,0,AZ$30-BA$28))))</f>
        <v/>
      </c>
      <c r="BB30" s="18">
        <f>IF(RefiFlag=0,0,IF(51&lt;RefiMonth,0,IF(51=RefiMonth,PermLoan,IF(51&gt;DispoMonth,0,BA$30-BB$28))))</f>
        <v/>
      </c>
      <c r="BC30" s="18">
        <f>IF(RefiFlag=0,0,IF(52&lt;RefiMonth,0,IF(52=RefiMonth,PermLoan,IF(52&gt;DispoMonth,0,BB$30-BC$28))))</f>
        <v/>
      </c>
      <c r="BD30" s="18">
        <f>IF(RefiFlag=0,0,IF(53&lt;RefiMonth,0,IF(53=RefiMonth,PermLoan,IF(53&gt;DispoMonth,0,BC$30-BD$28))))</f>
        <v/>
      </c>
      <c r="BE30" s="18">
        <f>IF(RefiFlag=0,0,IF(54&lt;RefiMonth,0,IF(54=RefiMonth,PermLoan,IF(54&gt;DispoMonth,0,BD$30-BE$28))))</f>
        <v/>
      </c>
      <c r="BF30" s="18">
        <f>IF(RefiFlag=0,0,IF(55&lt;RefiMonth,0,IF(55=RefiMonth,PermLoan,IF(55&gt;DispoMonth,0,BE$30-BF$28))))</f>
        <v/>
      </c>
      <c r="BG30" s="18">
        <f>IF(RefiFlag=0,0,IF(56&lt;RefiMonth,0,IF(56=RefiMonth,PermLoan,IF(56&gt;DispoMonth,0,BF$30-BG$28))))</f>
        <v/>
      </c>
      <c r="BH30" s="18">
        <f>IF(RefiFlag=0,0,IF(57&lt;RefiMonth,0,IF(57=RefiMonth,PermLoan,IF(57&gt;DispoMonth,0,BG$30-BH$28))))</f>
        <v/>
      </c>
      <c r="BI30" s="18">
        <f>IF(RefiFlag=0,0,IF(58&lt;RefiMonth,0,IF(58=RefiMonth,PermLoan,IF(58&gt;DispoMonth,0,BH$30-BI$28))))</f>
        <v/>
      </c>
      <c r="BJ30" s="18">
        <f>IF(RefiFlag=0,0,IF(59&lt;RefiMonth,0,IF(59=RefiMonth,PermLoan,IF(59&gt;DispoMonth,0,BI$30-BJ$28))))</f>
        <v/>
      </c>
      <c r="BK30" s="18">
        <f>IF(RefiFlag=0,0,IF(60&lt;RefiMonth,0,IF(60=RefiMonth,PermLoan,IF(60&gt;DispoMonth,0,BJ$30-BK$28))))</f>
        <v/>
      </c>
      <c r="BL30" s="18">
        <f>IF(RefiFlag=0,0,IF(61&lt;RefiMonth,0,IF(61=RefiMonth,PermLoan,IF(61&gt;DispoMonth,0,BK$30-BL$28))))</f>
        <v/>
      </c>
      <c r="BM30" s="18">
        <f>IF(RefiFlag=0,0,IF(62&lt;RefiMonth,0,IF(62=RefiMonth,PermLoan,IF(62&gt;DispoMonth,0,BL$30-BM$28))))</f>
        <v/>
      </c>
      <c r="BN30" s="18">
        <f>IF(RefiFlag=0,0,IF(63&lt;RefiMonth,0,IF(63=RefiMonth,PermLoan,IF(63&gt;DispoMonth,0,BM$30-BN$28))))</f>
        <v/>
      </c>
      <c r="BO30" s="18">
        <f>IF(RefiFlag=0,0,IF(64&lt;RefiMonth,0,IF(64=RefiMonth,PermLoan,IF(64&gt;DispoMonth,0,BN$30-BO$28))))</f>
        <v/>
      </c>
      <c r="BP30" s="18">
        <f>IF(RefiFlag=0,0,IF(65&lt;RefiMonth,0,IF(65=RefiMonth,PermLoan,IF(65&gt;DispoMonth,0,BO$30-BP$28))))</f>
        <v/>
      </c>
      <c r="BQ30" s="18">
        <f>IF(RefiFlag=0,0,IF(66&lt;RefiMonth,0,IF(66=RefiMonth,PermLoan,IF(66&gt;DispoMonth,0,BP$30-BQ$28))))</f>
        <v/>
      </c>
      <c r="BR30" s="18">
        <f>IF(RefiFlag=0,0,IF(67&lt;RefiMonth,0,IF(67=RefiMonth,PermLoan,IF(67&gt;DispoMonth,0,BQ$30-BR$28))))</f>
        <v/>
      </c>
      <c r="BS30" s="18">
        <f>IF(RefiFlag=0,0,IF(68&lt;RefiMonth,0,IF(68=RefiMonth,PermLoan,IF(68&gt;DispoMonth,0,BR$30-BS$28))))</f>
        <v/>
      </c>
      <c r="BT30" s="18">
        <f>IF(RefiFlag=0,0,IF(69&lt;RefiMonth,0,IF(69=RefiMonth,PermLoan,IF(69&gt;DispoMonth,0,BS$30-BT$28))))</f>
        <v/>
      </c>
      <c r="BU30" s="18">
        <f>IF(RefiFlag=0,0,IF(70&lt;RefiMonth,0,IF(70=RefiMonth,PermLoan,IF(70&gt;DispoMonth,0,BT$30-BU$28))))</f>
        <v/>
      </c>
      <c r="BV30" s="18">
        <f>IF(RefiFlag=0,0,IF(71&lt;RefiMonth,0,IF(71=RefiMonth,PermLoan,IF(71&gt;DispoMonth,0,BU$30-BV$28))))</f>
        <v/>
      </c>
      <c r="BW30" s="18">
        <f>IF(RefiFlag=0,0,IF(72&lt;RefiMonth,0,IF(72=RefiMonth,PermLoan,IF(72&gt;DispoMonth,0,BV$30-BW$28))))</f>
        <v/>
      </c>
      <c r="BX30" s="18">
        <f>IF(RefiFlag=0,0,IF(73&lt;RefiMonth,0,IF(73=RefiMonth,PermLoan,IF(73&gt;DispoMonth,0,BW$30-BX$28))))</f>
        <v/>
      </c>
      <c r="BY30" s="18">
        <f>IF(RefiFlag=0,0,IF(74&lt;RefiMonth,0,IF(74=RefiMonth,PermLoan,IF(74&gt;DispoMonth,0,BX$30-BY$28))))</f>
        <v/>
      </c>
      <c r="BZ30" s="18">
        <f>IF(RefiFlag=0,0,IF(75&lt;RefiMonth,0,IF(75=RefiMonth,PermLoan,IF(75&gt;DispoMonth,0,BY$30-BZ$28))))</f>
        <v/>
      </c>
      <c r="CA30" s="18">
        <f>IF(RefiFlag=0,0,IF(76&lt;RefiMonth,0,IF(76=RefiMonth,PermLoan,IF(76&gt;DispoMonth,0,BZ$30-CA$28))))</f>
        <v/>
      </c>
      <c r="CB30" s="18">
        <f>IF(RefiFlag=0,0,IF(77&lt;RefiMonth,0,IF(77=RefiMonth,PermLoan,IF(77&gt;DispoMonth,0,CA$30-CB$28))))</f>
        <v/>
      </c>
      <c r="CC30" s="18">
        <f>IF(RefiFlag=0,0,IF(78&lt;RefiMonth,0,IF(78=RefiMonth,PermLoan,IF(78&gt;DispoMonth,0,CB$30-CC$28))))</f>
        <v/>
      </c>
      <c r="CD30" s="18">
        <f>IF(RefiFlag=0,0,IF(79&lt;RefiMonth,0,IF(79=RefiMonth,PermLoan,IF(79&gt;DispoMonth,0,CC$30-CD$28))))</f>
        <v/>
      </c>
      <c r="CE30" s="18">
        <f>IF(RefiFlag=0,0,IF(80&lt;RefiMonth,0,IF(80=RefiMonth,PermLoan,IF(80&gt;DispoMonth,0,CD$30-CE$28))))</f>
        <v/>
      </c>
      <c r="CF30" s="18">
        <f>IF(RefiFlag=0,0,IF(81&lt;RefiMonth,0,IF(81=RefiMonth,PermLoan,IF(81&gt;DispoMonth,0,CE$30-CF$28))))</f>
        <v/>
      </c>
      <c r="CG30" s="18">
        <f>IF(RefiFlag=0,0,IF(82&lt;RefiMonth,0,IF(82=RefiMonth,PermLoan,IF(82&gt;DispoMonth,0,CF$30-CG$28))))</f>
        <v/>
      </c>
      <c r="CH30" s="18">
        <f>IF(RefiFlag=0,0,IF(83&lt;RefiMonth,0,IF(83=RefiMonth,PermLoan,IF(83&gt;DispoMonth,0,CG$30-CH$28))))</f>
        <v/>
      </c>
      <c r="CI30" s="18">
        <f>IF(RefiFlag=0,0,IF(84&lt;RefiMonth,0,IF(84=RefiMonth,PermLoan,IF(84&gt;DispoMonth,0,CH$30-CI$28))))</f>
        <v/>
      </c>
      <c r="CJ30" s="18">
        <f>IF(RefiFlag=0,0,IF(85&lt;RefiMonth,0,IF(85=RefiMonth,PermLoan,IF(85&gt;DispoMonth,0,CI$30-CJ$28))))</f>
        <v/>
      </c>
      <c r="CK30" s="18">
        <f>IF(RefiFlag=0,0,IF(86&lt;RefiMonth,0,IF(86=RefiMonth,PermLoan,IF(86&gt;DispoMonth,0,CJ$30-CK$28))))</f>
        <v/>
      </c>
      <c r="CL30" s="18">
        <f>IF(RefiFlag=0,0,IF(87&lt;RefiMonth,0,IF(87=RefiMonth,PermLoan,IF(87&gt;DispoMonth,0,CK$30-CL$28))))</f>
        <v/>
      </c>
      <c r="CM30" s="18">
        <f>IF(RefiFlag=0,0,IF(88&lt;RefiMonth,0,IF(88=RefiMonth,PermLoan,IF(88&gt;DispoMonth,0,CL$30-CM$28))))</f>
        <v/>
      </c>
      <c r="CN30" s="18">
        <f>IF(RefiFlag=0,0,IF(89&lt;RefiMonth,0,IF(89=RefiMonth,PermLoan,IF(89&gt;DispoMonth,0,CM$30-CN$28))))</f>
        <v/>
      </c>
      <c r="CO30" s="18">
        <f>IF(RefiFlag=0,0,IF(90&lt;RefiMonth,0,IF(90=RefiMonth,PermLoan,IF(90&gt;DispoMonth,0,CN$30-CO$28))))</f>
        <v/>
      </c>
      <c r="CP30" s="18">
        <f>IF(RefiFlag=0,0,IF(91&lt;RefiMonth,0,IF(91=RefiMonth,PermLoan,IF(91&gt;DispoMonth,0,CO$30-CP$28))))</f>
        <v/>
      </c>
      <c r="CQ30" s="18">
        <f>IF(RefiFlag=0,0,IF(92&lt;RefiMonth,0,IF(92=RefiMonth,PermLoan,IF(92&gt;DispoMonth,0,CP$30-CQ$28))))</f>
        <v/>
      </c>
      <c r="CR30" s="18">
        <f>IF(RefiFlag=0,0,IF(93&lt;RefiMonth,0,IF(93=RefiMonth,PermLoan,IF(93&gt;DispoMonth,0,CQ$30-CR$28))))</f>
        <v/>
      </c>
      <c r="CS30" s="18">
        <f>IF(RefiFlag=0,0,IF(94&lt;RefiMonth,0,IF(94=RefiMonth,PermLoan,IF(94&gt;DispoMonth,0,CR$30-CS$28))))</f>
        <v/>
      </c>
      <c r="CT30" s="18">
        <f>IF(RefiFlag=0,0,IF(95&lt;RefiMonth,0,IF(95=RefiMonth,PermLoan,IF(95&gt;DispoMonth,0,CS$30-CT$28))))</f>
        <v/>
      </c>
      <c r="CU30" s="18">
        <f>IF(RefiFlag=0,0,IF(96&lt;RefiMonth,0,IF(96=RefiMonth,PermLoan,IF(96&gt;DispoMonth,0,CT$30-CU$28))))</f>
        <v/>
      </c>
      <c r="CV30" s="18">
        <f>IF(RefiFlag=0,0,IF(97&lt;RefiMonth,0,IF(97=RefiMonth,PermLoan,IF(97&gt;DispoMonth,0,CU$30-CV$28))))</f>
        <v/>
      </c>
      <c r="CW30" s="18">
        <f>IF(RefiFlag=0,0,IF(98&lt;RefiMonth,0,IF(98=RefiMonth,PermLoan,IF(98&gt;DispoMonth,0,CV$30-CW$28))))</f>
        <v/>
      </c>
      <c r="CX30" s="18">
        <f>IF(RefiFlag=0,0,IF(99&lt;RefiMonth,0,IF(99=RefiMonth,PermLoan,IF(99&gt;DispoMonth,0,CW$30-CX$28))))</f>
        <v/>
      </c>
      <c r="CY30" s="18">
        <f>IF(RefiFlag=0,0,IF(100&lt;RefiMonth,0,IF(100=RefiMonth,PermLoan,IF(100&gt;DispoMonth,0,CX$30-CY$28))))</f>
        <v/>
      </c>
      <c r="CZ30" s="18">
        <f>IF(RefiFlag=0,0,IF(101&lt;RefiMonth,0,IF(101=RefiMonth,PermLoan,IF(101&gt;DispoMonth,0,CY$30-CZ$28))))</f>
        <v/>
      </c>
      <c r="DA30" s="18">
        <f>IF(RefiFlag=0,0,IF(102&lt;RefiMonth,0,IF(102=RefiMonth,PermLoan,IF(102&gt;DispoMonth,0,CZ$30-DA$28))))</f>
        <v/>
      </c>
      <c r="DB30" s="18">
        <f>IF(RefiFlag=0,0,IF(103&lt;RefiMonth,0,IF(103=RefiMonth,PermLoan,IF(103&gt;DispoMonth,0,DA$30-DB$28))))</f>
        <v/>
      </c>
      <c r="DC30" s="18">
        <f>IF(RefiFlag=0,0,IF(104&lt;RefiMonth,0,IF(104=RefiMonth,PermLoan,IF(104&gt;DispoMonth,0,DB$30-DC$28))))</f>
        <v/>
      </c>
      <c r="DD30" s="18">
        <f>IF(RefiFlag=0,0,IF(105&lt;RefiMonth,0,IF(105=RefiMonth,PermLoan,IF(105&gt;DispoMonth,0,DC$30-DD$28))))</f>
        <v/>
      </c>
      <c r="DE30" s="18">
        <f>IF(RefiFlag=0,0,IF(106&lt;RefiMonth,0,IF(106=RefiMonth,PermLoan,IF(106&gt;DispoMonth,0,DD$30-DE$28))))</f>
        <v/>
      </c>
      <c r="DF30" s="18">
        <f>IF(RefiFlag=0,0,IF(107&lt;RefiMonth,0,IF(107=RefiMonth,PermLoan,IF(107&gt;DispoMonth,0,DE$30-DF$28))))</f>
        <v/>
      </c>
      <c r="DG30" s="18">
        <f>IF(RefiFlag=0,0,IF(108&lt;RefiMonth,0,IF(108=RefiMonth,PermLoan,IF(108&gt;DispoMonth,0,DF$30-DG$28))))</f>
        <v/>
      </c>
      <c r="DH30" s="18">
        <f>IF(RefiFlag=0,0,IF(109&lt;RefiMonth,0,IF(109=RefiMonth,PermLoan,IF(109&gt;DispoMonth,0,DG$30-DH$28))))</f>
        <v/>
      </c>
      <c r="DI30" s="18">
        <f>IF(RefiFlag=0,0,IF(110&lt;RefiMonth,0,IF(110=RefiMonth,PermLoan,IF(110&gt;DispoMonth,0,DH$30-DI$28))))</f>
        <v/>
      </c>
      <c r="DJ30" s="18">
        <f>IF(RefiFlag=0,0,IF(111&lt;RefiMonth,0,IF(111=RefiMonth,PermLoan,IF(111&gt;DispoMonth,0,DI$30-DJ$28))))</f>
        <v/>
      </c>
      <c r="DK30" s="18">
        <f>IF(RefiFlag=0,0,IF(112&lt;RefiMonth,0,IF(112=RefiMonth,PermLoan,IF(112&gt;DispoMonth,0,DJ$30-DK$28))))</f>
        <v/>
      </c>
      <c r="DL30" s="18">
        <f>IF(RefiFlag=0,0,IF(113&lt;RefiMonth,0,IF(113=RefiMonth,PermLoan,IF(113&gt;DispoMonth,0,DK$30-DL$28))))</f>
        <v/>
      </c>
      <c r="DM30" s="18">
        <f>IF(RefiFlag=0,0,IF(114&lt;RefiMonth,0,IF(114=RefiMonth,PermLoan,IF(114&gt;DispoMonth,0,DL$30-DM$28))))</f>
        <v/>
      </c>
      <c r="DN30" s="18">
        <f>IF(RefiFlag=0,0,IF(115&lt;RefiMonth,0,IF(115=RefiMonth,PermLoan,IF(115&gt;DispoMonth,0,DM$30-DN$28))))</f>
        <v/>
      </c>
      <c r="DO30" s="18">
        <f>IF(RefiFlag=0,0,IF(116&lt;RefiMonth,0,IF(116=RefiMonth,PermLoan,IF(116&gt;DispoMonth,0,DN$30-DO$28))))</f>
        <v/>
      </c>
      <c r="DP30" s="18">
        <f>IF(RefiFlag=0,0,IF(117&lt;RefiMonth,0,IF(117=RefiMonth,PermLoan,IF(117&gt;DispoMonth,0,DO$30-DP$28))))</f>
        <v/>
      </c>
      <c r="DQ30" s="18">
        <f>IF(RefiFlag=0,0,IF(118&lt;RefiMonth,0,IF(118=RefiMonth,PermLoan,IF(118&gt;DispoMonth,0,DP$30-DQ$28))))</f>
        <v/>
      </c>
      <c r="DR30" s="18">
        <f>IF(RefiFlag=0,0,IF(119&lt;RefiMonth,0,IF(119=RefiMonth,PermLoan,IF(119&gt;DispoMonth,0,DQ$30-DR$28))))</f>
        <v/>
      </c>
      <c r="DS30" s="18">
        <f>IF(RefiFlag=0,0,IF(120&lt;RefiMonth,0,IF(120=RefiMonth,PermLoan,IF(120&gt;DispoMonth,0,DR$30-DS$28))))</f>
        <v/>
      </c>
      <c r="DT30" s="18">
        <f>IF(RefiFlag=0,0,IF(121&lt;RefiMonth,0,IF(121=RefiMonth,PermLoan,IF(121&gt;DispoMonth,0,DS$30-DT$28))))</f>
        <v/>
      </c>
      <c r="DU30" s="18">
        <f>IF(RefiFlag=0,0,IF(122&lt;RefiMonth,0,IF(122=RefiMonth,PermLoan,IF(122&gt;DispoMonth,0,DT$30-DU$28))))</f>
        <v/>
      </c>
      <c r="DV30" s="18">
        <f>IF(RefiFlag=0,0,IF(123&lt;RefiMonth,0,IF(123=RefiMonth,PermLoan,IF(123&gt;DispoMonth,0,DU$30-DV$28))))</f>
        <v/>
      </c>
      <c r="DW30" s="18">
        <f>IF(RefiFlag=0,0,IF(124&lt;RefiMonth,0,IF(124=RefiMonth,PermLoan,IF(124&gt;DispoMonth,0,DV$30-DW$28))))</f>
        <v/>
      </c>
      <c r="DX30" s="18">
        <f>IF(RefiFlag=0,0,IF(125&lt;RefiMonth,0,IF(125=RefiMonth,PermLoan,IF(125&gt;DispoMonth,0,DW$30-DX$28))))</f>
        <v/>
      </c>
      <c r="DY30" s="18">
        <f>IF(RefiFlag=0,0,IF(126&lt;RefiMonth,0,IF(126=RefiMonth,PermLoan,IF(126&gt;DispoMonth,0,DX$30-DY$28))))</f>
        <v/>
      </c>
      <c r="DZ30" s="18">
        <f>IF(RefiFlag=0,0,IF(127&lt;RefiMonth,0,IF(127=RefiMonth,PermLoan,IF(127&gt;DispoMonth,0,DY$30-DZ$28))))</f>
        <v/>
      </c>
      <c r="EA30" s="18">
        <f>IF(RefiFlag=0,0,IF(128&lt;RefiMonth,0,IF(128=RefiMonth,PermLoan,IF(128&gt;DispoMonth,0,DZ$30-EA$28))))</f>
        <v/>
      </c>
      <c r="EB30" s="18">
        <f>IF(RefiFlag=0,0,IF(129&lt;RefiMonth,0,IF(129=RefiMonth,PermLoan,IF(129&gt;DispoMonth,0,EA$30-EB$28))))</f>
        <v/>
      </c>
      <c r="EC30" s="18">
        <f>IF(RefiFlag=0,0,IF(130&lt;RefiMonth,0,IF(130=RefiMonth,PermLoan,IF(130&gt;DispoMonth,0,EB$30-EC$28))))</f>
        <v/>
      </c>
      <c r="ED30" s="18">
        <f>IF(RefiFlag=0,0,IF(131&lt;RefiMonth,0,IF(131=RefiMonth,PermLoan,IF(131&gt;DispoMonth,0,EC$30-ED$28))))</f>
        <v/>
      </c>
      <c r="EE30" s="18">
        <f>IF(RefiFlag=0,0,IF(132&lt;RefiMonth,0,IF(132=RefiMonth,PermLoan,IF(132&gt;DispoMonth,0,ED$30-EE$28))))</f>
        <v/>
      </c>
      <c r="EF30" s="18">
        <f>IF(RefiFlag=0,0,IF(133&lt;RefiMonth,0,IF(133=RefiMonth,PermLoan,IF(133&gt;DispoMonth,0,EE$30-EF$28))))</f>
        <v/>
      </c>
      <c r="EG30" s="18">
        <f>IF(RefiFlag=0,0,IF(134&lt;RefiMonth,0,IF(134=RefiMonth,PermLoan,IF(134&gt;DispoMonth,0,EF$30-EG$28))))</f>
        <v/>
      </c>
      <c r="EH30" s="18">
        <f>IF(RefiFlag=0,0,IF(135&lt;RefiMonth,0,IF(135=RefiMonth,PermLoan,IF(135&gt;DispoMonth,0,EG$30-EH$28))))</f>
        <v/>
      </c>
      <c r="EI30" s="18">
        <f>IF(RefiFlag=0,0,IF(136&lt;RefiMonth,0,IF(136=RefiMonth,PermLoan,IF(136&gt;DispoMonth,0,EH$30-EI$28))))</f>
        <v/>
      </c>
      <c r="EJ30" s="18">
        <f>IF(RefiFlag=0,0,IF(137&lt;RefiMonth,0,IF(137=RefiMonth,PermLoan,IF(137&gt;DispoMonth,0,EI$30-EJ$28))))</f>
        <v/>
      </c>
      <c r="EK30" s="18">
        <f>IF(RefiFlag=0,0,IF(138&lt;RefiMonth,0,IF(138=RefiMonth,PermLoan,IF(138&gt;DispoMonth,0,EJ$30-EK$28))))</f>
        <v/>
      </c>
      <c r="EL30" s="18">
        <f>IF(RefiFlag=0,0,IF(139&lt;RefiMonth,0,IF(139=RefiMonth,PermLoan,IF(139&gt;DispoMonth,0,EK$30-EL$28))))</f>
        <v/>
      </c>
      <c r="EM30" s="18">
        <f>IF(RefiFlag=0,0,IF(140&lt;RefiMonth,0,IF(140=RefiMonth,PermLoan,IF(140&gt;DispoMonth,0,EL$30-EM$28))))</f>
        <v/>
      </c>
      <c r="EN30" s="18">
        <f>IF(RefiFlag=0,0,IF(141&lt;RefiMonth,0,IF(141=RefiMonth,PermLoan,IF(141&gt;DispoMonth,0,EM$30-EN$28))))</f>
        <v/>
      </c>
      <c r="EO30" s="18">
        <f>IF(RefiFlag=0,0,IF(142&lt;RefiMonth,0,IF(142=RefiMonth,PermLoan,IF(142&gt;DispoMonth,0,EN$30-EO$28))))</f>
        <v/>
      </c>
      <c r="EP30" s="18">
        <f>IF(RefiFlag=0,0,IF(143&lt;RefiMonth,0,IF(143=RefiMonth,PermLoan,IF(143&gt;DispoMonth,0,EO$30-EP$28))))</f>
        <v/>
      </c>
      <c r="EQ30" s="18">
        <f>IF(RefiFlag=0,0,IF(144&lt;RefiMonth,0,IF(144=RefiMonth,PermLoan,IF(144&gt;DispoMonth,0,EP$30-EQ$28))))</f>
        <v/>
      </c>
      <c r="ER30" s="18">
        <f>IF(RefiFlag=0,0,IF(145&lt;RefiMonth,0,IF(145=RefiMonth,PermLoan,IF(145&gt;DispoMonth,0,EQ$30-ER$28))))</f>
        <v/>
      </c>
      <c r="ES30" s="18">
        <f>IF(RefiFlag=0,0,IF(146&lt;RefiMonth,0,IF(146=RefiMonth,PermLoan,IF(146&gt;DispoMonth,0,ER$30-ES$28))))</f>
        <v/>
      </c>
      <c r="ET30" s="18">
        <f>IF(RefiFlag=0,0,IF(147&lt;RefiMonth,0,IF(147=RefiMonth,PermLoan,IF(147&gt;DispoMonth,0,ES$30-ET$28))))</f>
        <v/>
      </c>
      <c r="EU30" s="18">
        <f>IF(RefiFlag=0,0,IF(148&lt;RefiMonth,0,IF(148=RefiMonth,PermLoan,IF(148&gt;DispoMonth,0,ET$30-EU$28))))</f>
        <v/>
      </c>
      <c r="EV30" s="18">
        <f>IF(RefiFlag=0,0,IF(149&lt;RefiMonth,0,IF(149=RefiMonth,PermLoan,IF(149&gt;DispoMonth,0,EU$30-EV$28))))</f>
        <v/>
      </c>
      <c r="EW30" s="18">
        <f>IF(RefiFlag=0,0,IF(150&lt;RefiMonth,0,IF(150=RefiMonth,PermLoan,IF(150&gt;DispoMonth,0,EV$30-EW$28))))</f>
        <v/>
      </c>
      <c r="EX30" s="18">
        <f>IF(RefiFlag=0,0,IF(151&lt;RefiMonth,0,IF(151=RefiMonth,PermLoan,IF(151&gt;DispoMonth,0,EW$30-EX$28))))</f>
        <v/>
      </c>
      <c r="EY30" s="18">
        <f>IF(RefiFlag=0,0,IF(152&lt;RefiMonth,0,IF(152=RefiMonth,PermLoan,IF(152&gt;DispoMonth,0,EX$30-EY$28))))</f>
        <v/>
      </c>
      <c r="EZ30" s="18">
        <f>IF(RefiFlag=0,0,IF(153&lt;RefiMonth,0,IF(153=RefiMonth,PermLoan,IF(153&gt;DispoMonth,0,EY$30-EZ$28))))</f>
        <v/>
      </c>
      <c r="FA30" s="18">
        <f>IF(RefiFlag=0,0,IF(154&lt;RefiMonth,0,IF(154=RefiMonth,PermLoan,IF(154&gt;DispoMonth,0,EZ$30-FA$28))))</f>
        <v/>
      </c>
      <c r="FB30" s="18">
        <f>IF(RefiFlag=0,0,IF(155&lt;RefiMonth,0,IF(155=RefiMonth,PermLoan,IF(155&gt;DispoMonth,0,FA$30-FB$28))))</f>
        <v/>
      </c>
      <c r="FC30" s="18">
        <f>IF(RefiFlag=0,0,IF(156&lt;RefiMonth,0,IF(156=RefiMonth,PermLoan,IF(156&gt;DispoMonth,0,FB$30-FC$28))))</f>
        <v/>
      </c>
      <c r="FD30" s="18">
        <f>IF(RefiFlag=0,0,IF(157&lt;RefiMonth,0,IF(157=RefiMonth,PermLoan,IF(157&gt;DispoMonth,0,FC$30-FD$28))))</f>
        <v/>
      </c>
      <c r="FE30" s="18">
        <f>IF(RefiFlag=0,0,IF(158&lt;RefiMonth,0,IF(158=RefiMonth,PermLoan,IF(158&gt;DispoMonth,0,FD$30-FE$28))))</f>
        <v/>
      </c>
      <c r="FF30" s="18">
        <f>IF(RefiFlag=0,0,IF(159&lt;RefiMonth,0,IF(159=RefiMonth,PermLoan,IF(159&gt;DispoMonth,0,FE$30-FF$28))))</f>
        <v/>
      </c>
      <c r="FG30" s="18">
        <f>IF(RefiFlag=0,0,IF(160&lt;RefiMonth,0,IF(160=RefiMonth,PermLoan,IF(160&gt;DispoMonth,0,FF$30-FG$28))))</f>
        <v/>
      </c>
      <c r="FH30" s="18">
        <f>IF(RefiFlag=0,0,IF(161&lt;RefiMonth,0,IF(161=RefiMonth,PermLoan,IF(161&gt;DispoMonth,0,FG$30-FH$28))))</f>
        <v/>
      </c>
      <c r="FI30" s="18">
        <f>IF(RefiFlag=0,0,IF(162&lt;RefiMonth,0,IF(162=RefiMonth,PermLoan,IF(162&gt;DispoMonth,0,FH$30-FI$28))))</f>
        <v/>
      </c>
      <c r="FJ30" s="18">
        <f>IF(RefiFlag=0,0,IF(163&lt;RefiMonth,0,IF(163=RefiMonth,PermLoan,IF(163&gt;DispoMonth,0,FI$30-FJ$28))))</f>
        <v/>
      </c>
      <c r="FK30" s="18">
        <f>IF(RefiFlag=0,0,IF(164&lt;RefiMonth,0,IF(164=RefiMonth,PermLoan,IF(164&gt;DispoMonth,0,FJ$30-FK$28))))</f>
        <v/>
      </c>
      <c r="FL30" s="18">
        <f>IF(RefiFlag=0,0,IF(165&lt;RefiMonth,0,IF(165=RefiMonth,PermLoan,IF(165&gt;DispoMonth,0,FK$30-FL$28))))</f>
        <v/>
      </c>
      <c r="FM30" s="18">
        <f>IF(RefiFlag=0,0,IF(166&lt;RefiMonth,0,IF(166=RefiMonth,PermLoan,IF(166&gt;DispoMonth,0,FL$30-FM$28))))</f>
        <v/>
      </c>
      <c r="FN30" s="18">
        <f>IF(RefiFlag=0,0,IF(167&lt;RefiMonth,0,IF(167=RefiMonth,PermLoan,IF(167&gt;DispoMonth,0,FM$30-FN$28))))</f>
        <v/>
      </c>
      <c r="FO30" s="18">
        <f>IF(RefiFlag=0,0,IF(168&lt;RefiMonth,0,IF(168=RefiMonth,PermLoan,IF(168&gt;DispoMonth,0,FN$30-FO$28))))</f>
        <v/>
      </c>
      <c r="FP30" s="18">
        <f>IF(RefiFlag=0,0,IF(169&lt;RefiMonth,0,IF(169=RefiMonth,PermLoan,IF(169&gt;DispoMonth,0,FO$30-FP$28))))</f>
        <v/>
      </c>
      <c r="FQ30" s="18">
        <f>IF(RefiFlag=0,0,IF(170&lt;RefiMonth,0,IF(170=RefiMonth,PermLoan,IF(170&gt;DispoMonth,0,FP$30-FQ$28))))</f>
        <v/>
      </c>
      <c r="FR30" s="18">
        <f>IF(RefiFlag=0,0,IF(171&lt;RefiMonth,0,IF(171=RefiMonth,PermLoan,IF(171&gt;DispoMonth,0,FQ$30-FR$28))))</f>
        <v/>
      </c>
      <c r="FS30" s="18">
        <f>IF(RefiFlag=0,0,IF(172&lt;RefiMonth,0,IF(172=RefiMonth,PermLoan,IF(172&gt;DispoMonth,0,FR$30-FS$28))))</f>
        <v/>
      </c>
      <c r="FT30" s="18">
        <f>IF(RefiFlag=0,0,IF(173&lt;RefiMonth,0,IF(173=RefiMonth,PermLoan,IF(173&gt;DispoMonth,0,FS$30-FT$28))))</f>
        <v/>
      </c>
      <c r="FU30" s="18">
        <f>IF(RefiFlag=0,0,IF(174&lt;RefiMonth,0,IF(174=RefiMonth,PermLoan,IF(174&gt;DispoMonth,0,FT$30-FU$28))))</f>
        <v/>
      </c>
      <c r="FV30" s="18">
        <f>IF(RefiFlag=0,0,IF(175&lt;RefiMonth,0,IF(175=RefiMonth,PermLoan,IF(175&gt;DispoMonth,0,FU$30-FV$28))))</f>
        <v/>
      </c>
      <c r="FW30" s="18">
        <f>IF(RefiFlag=0,0,IF(176&lt;RefiMonth,0,IF(176=RefiMonth,PermLoan,IF(176&gt;DispoMonth,0,FV$30-FW$28))))</f>
        <v/>
      </c>
      <c r="FX30" s="18">
        <f>IF(RefiFlag=0,0,IF(177&lt;RefiMonth,0,IF(177=RefiMonth,PermLoan,IF(177&gt;DispoMonth,0,FW$30-FX$28))))</f>
        <v/>
      </c>
      <c r="FY30" s="18">
        <f>IF(RefiFlag=0,0,IF(178&lt;RefiMonth,0,IF(178=RefiMonth,PermLoan,IF(178&gt;DispoMonth,0,FX$30-FY$28))))</f>
        <v/>
      </c>
      <c r="FZ30" s="18">
        <f>IF(RefiFlag=0,0,IF(179&lt;RefiMonth,0,IF(179=RefiMonth,PermLoan,IF(179&gt;DispoMonth,0,FY$30-FZ$28))))</f>
        <v/>
      </c>
      <c r="GA30" s="18">
        <f>IF(RefiFlag=0,0,IF(180&lt;RefiMonth,0,IF(180=RefiMonth,PermLoan,IF(180&gt;DispoMonth,0,FZ$30-GA$28))))</f>
        <v/>
      </c>
      <c r="GB30" s="18">
        <f>IF(RefiFlag=0,0,IF(181&lt;RefiMonth,0,IF(181=RefiMonth,PermLoan,IF(181&gt;DispoMonth,0,GA$30-GB$28))))</f>
        <v/>
      </c>
      <c r="GC30" s="18">
        <f>IF(RefiFlag=0,0,IF(182&lt;RefiMonth,0,IF(182=RefiMonth,PermLoan,IF(182&gt;DispoMonth,0,GB$30-GC$28))))</f>
        <v/>
      </c>
      <c r="GD30" s="18">
        <f>IF(RefiFlag=0,0,IF(183&lt;RefiMonth,0,IF(183=RefiMonth,PermLoan,IF(183&gt;DispoMonth,0,GC$30-GD$28))))</f>
        <v/>
      </c>
      <c r="GE30" s="18">
        <f>IF(RefiFlag=0,0,IF(184&lt;RefiMonth,0,IF(184=RefiMonth,PermLoan,IF(184&gt;DispoMonth,0,GD$30-GE$28))))</f>
        <v/>
      </c>
      <c r="GF30" s="18">
        <f>IF(RefiFlag=0,0,IF(185&lt;RefiMonth,0,IF(185=RefiMonth,PermLoan,IF(185&gt;DispoMonth,0,GE$30-GF$28))))</f>
        <v/>
      </c>
      <c r="GG30" s="18">
        <f>IF(RefiFlag=0,0,IF(186&lt;RefiMonth,0,IF(186=RefiMonth,PermLoan,IF(186&gt;DispoMonth,0,GF$30-GG$28))))</f>
        <v/>
      </c>
      <c r="GH30" s="18">
        <f>IF(RefiFlag=0,0,IF(187&lt;RefiMonth,0,IF(187=RefiMonth,PermLoan,IF(187&gt;DispoMonth,0,GG$30-GH$28))))</f>
        <v/>
      </c>
      <c r="GI30" s="18">
        <f>IF(RefiFlag=0,0,IF(188&lt;RefiMonth,0,IF(188=RefiMonth,PermLoan,IF(188&gt;DispoMonth,0,GH$30-GI$28))))</f>
        <v/>
      </c>
      <c r="GJ30" s="18">
        <f>IF(RefiFlag=0,0,IF(189&lt;RefiMonth,0,IF(189=RefiMonth,PermLoan,IF(189&gt;DispoMonth,0,GI$30-GJ$28))))</f>
        <v/>
      </c>
      <c r="GK30" s="18">
        <f>IF(RefiFlag=0,0,IF(190&lt;RefiMonth,0,IF(190=RefiMonth,PermLoan,IF(190&gt;DispoMonth,0,GJ$30-GK$28))))</f>
        <v/>
      </c>
      <c r="GL30" s="18">
        <f>IF(RefiFlag=0,0,IF(191&lt;RefiMonth,0,IF(191=RefiMonth,PermLoan,IF(191&gt;DispoMonth,0,GK$30-GL$28))))</f>
        <v/>
      </c>
      <c r="GM30" s="18">
        <f>IF(RefiFlag=0,0,IF(192&lt;RefiMonth,0,IF(192=RefiMonth,PermLoan,IF(192&gt;DispoMonth,0,GL$30-GM$28))))</f>
        <v/>
      </c>
      <c r="GN30" s="18">
        <f>IF(RefiFlag=0,0,IF(193&lt;RefiMonth,0,IF(193=RefiMonth,PermLoan,IF(193&gt;DispoMonth,0,GM$30-GN$28))))</f>
        <v/>
      </c>
      <c r="GO30" s="18">
        <f>IF(RefiFlag=0,0,IF(194&lt;RefiMonth,0,IF(194=RefiMonth,PermLoan,IF(194&gt;DispoMonth,0,GN$30-GO$28))))</f>
        <v/>
      </c>
      <c r="GP30" s="18">
        <f>IF(RefiFlag=0,0,IF(195&lt;RefiMonth,0,IF(195=RefiMonth,PermLoan,IF(195&gt;DispoMonth,0,GO$30-GP$28))))</f>
        <v/>
      </c>
      <c r="GQ30" s="18">
        <f>IF(RefiFlag=0,0,IF(196&lt;RefiMonth,0,IF(196=RefiMonth,PermLoan,IF(196&gt;DispoMonth,0,GP$30-GQ$28))))</f>
        <v/>
      </c>
      <c r="GR30" s="18">
        <f>IF(RefiFlag=0,0,IF(197&lt;RefiMonth,0,IF(197=RefiMonth,PermLoan,IF(197&gt;DispoMonth,0,GQ$30-GR$28))))</f>
        <v/>
      </c>
      <c r="GS30" s="18">
        <f>IF(RefiFlag=0,0,IF(198&lt;RefiMonth,0,IF(198=RefiMonth,PermLoan,IF(198&gt;DispoMonth,0,GR$30-GS$28))))</f>
        <v/>
      </c>
      <c r="GT30" s="18">
        <f>IF(RefiFlag=0,0,IF(199&lt;RefiMonth,0,IF(199=RefiMonth,PermLoan,IF(199&gt;DispoMonth,0,GS$30-GT$28))))</f>
        <v/>
      </c>
      <c r="GU30" s="18">
        <f>IF(RefiFlag=0,0,IF(200&lt;RefiMonth,0,IF(200=RefiMonth,PermLoan,IF(200&gt;DispoMonth,0,GT$30-GU$28))))</f>
        <v/>
      </c>
      <c r="GV30" s="18">
        <f>IF(RefiFlag=0,0,IF(201&lt;RefiMonth,0,IF(201=RefiMonth,PermLoan,IF(201&gt;DispoMonth,0,GU$30-GV$28))))</f>
        <v/>
      </c>
      <c r="GW30" s="18">
        <f>IF(RefiFlag=0,0,IF(202&lt;RefiMonth,0,IF(202=RefiMonth,PermLoan,IF(202&gt;DispoMonth,0,GV$30-GW$28))))</f>
        <v/>
      </c>
      <c r="GX30" s="18">
        <f>IF(RefiFlag=0,0,IF(203&lt;RefiMonth,0,IF(203=RefiMonth,PermLoan,IF(203&gt;DispoMonth,0,GW$30-GX$28))))</f>
        <v/>
      </c>
      <c r="GY30" s="18">
        <f>IF(RefiFlag=0,0,IF(204&lt;RefiMonth,0,IF(204=RefiMonth,PermLoan,IF(204&gt;DispoMonth,0,GX$30-GY$28))))</f>
        <v/>
      </c>
      <c r="GZ30" s="18">
        <f>IF(RefiFlag=0,0,IF(205&lt;RefiMonth,0,IF(205=RefiMonth,PermLoan,IF(205&gt;DispoMonth,0,GY$30-GZ$28))))</f>
        <v/>
      </c>
      <c r="HA30" s="18">
        <f>IF(RefiFlag=0,0,IF(206&lt;RefiMonth,0,IF(206=RefiMonth,PermLoan,IF(206&gt;DispoMonth,0,GZ$30-HA$28))))</f>
        <v/>
      </c>
      <c r="HB30" s="18">
        <f>IF(RefiFlag=0,0,IF(207&lt;RefiMonth,0,IF(207=RefiMonth,PermLoan,IF(207&gt;DispoMonth,0,HA$30-HB$28))))</f>
        <v/>
      </c>
      <c r="HC30" s="18">
        <f>IF(RefiFlag=0,0,IF(208&lt;RefiMonth,0,IF(208=RefiMonth,PermLoan,IF(208&gt;DispoMonth,0,HB$30-HC$28))))</f>
        <v/>
      </c>
      <c r="HD30" s="18">
        <f>IF(RefiFlag=0,0,IF(209&lt;RefiMonth,0,IF(209=RefiMonth,PermLoan,IF(209&gt;DispoMonth,0,HC$30-HD$28))))</f>
        <v/>
      </c>
      <c r="HE30" s="18">
        <f>IF(RefiFlag=0,0,IF(210&lt;RefiMonth,0,IF(210=RefiMonth,PermLoan,IF(210&gt;DispoMonth,0,HD$30-HE$28))))</f>
        <v/>
      </c>
      <c r="HF30" s="18">
        <f>IF(RefiFlag=0,0,IF(211&lt;RefiMonth,0,IF(211=RefiMonth,PermLoan,IF(211&gt;DispoMonth,0,HE$30-HF$28))))</f>
        <v/>
      </c>
      <c r="HG30" s="18">
        <f>IF(RefiFlag=0,0,IF(212&lt;RefiMonth,0,IF(212=RefiMonth,PermLoan,IF(212&gt;DispoMonth,0,HF$30-HG$28))))</f>
        <v/>
      </c>
      <c r="HH30" s="18">
        <f>IF(RefiFlag=0,0,IF(213&lt;RefiMonth,0,IF(213=RefiMonth,PermLoan,IF(213&gt;DispoMonth,0,HG$30-HH$28))))</f>
        <v/>
      </c>
      <c r="HI30" s="18">
        <f>IF(RefiFlag=0,0,IF(214&lt;RefiMonth,0,IF(214=RefiMonth,PermLoan,IF(214&gt;DispoMonth,0,HH$30-HI$28))))</f>
        <v/>
      </c>
      <c r="HJ30" s="18">
        <f>IF(RefiFlag=0,0,IF(215&lt;RefiMonth,0,IF(215=RefiMonth,PermLoan,IF(215&gt;DispoMonth,0,HI$30-HJ$28))))</f>
        <v/>
      </c>
      <c r="HK30" s="18">
        <f>IF(RefiFlag=0,0,IF(216&lt;RefiMonth,0,IF(216=RefiMonth,PermLoan,IF(216&gt;DispoMonth,0,HJ$30-HK$28))))</f>
        <v/>
      </c>
      <c r="HL30" s="18">
        <f>IF(RefiFlag=0,0,IF(217&lt;RefiMonth,0,IF(217=RefiMonth,PermLoan,IF(217&gt;DispoMonth,0,HK$30-HL$28))))</f>
        <v/>
      </c>
      <c r="HM30" s="18">
        <f>IF(RefiFlag=0,0,IF(218&lt;RefiMonth,0,IF(218=RefiMonth,PermLoan,IF(218&gt;DispoMonth,0,HL$30-HM$28))))</f>
        <v/>
      </c>
      <c r="HN30" s="18">
        <f>IF(RefiFlag=0,0,IF(219&lt;RefiMonth,0,IF(219=RefiMonth,PermLoan,IF(219&gt;DispoMonth,0,HM$30-HN$28))))</f>
        <v/>
      </c>
      <c r="HO30" s="18">
        <f>IF(RefiFlag=0,0,IF(220&lt;RefiMonth,0,IF(220=RefiMonth,PermLoan,IF(220&gt;DispoMonth,0,HN$30-HO$28))))</f>
        <v/>
      </c>
      <c r="HP30" s="18">
        <f>IF(RefiFlag=0,0,IF(221&lt;RefiMonth,0,IF(221=RefiMonth,PermLoan,IF(221&gt;DispoMonth,0,HO$30-HP$28))))</f>
        <v/>
      </c>
      <c r="HQ30" s="18">
        <f>IF(RefiFlag=0,0,IF(222&lt;RefiMonth,0,IF(222=RefiMonth,PermLoan,IF(222&gt;DispoMonth,0,HP$30-HQ$28))))</f>
        <v/>
      </c>
      <c r="HR30" s="18">
        <f>IF(RefiFlag=0,0,IF(223&lt;RefiMonth,0,IF(223=RefiMonth,PermLoan,IF(223&gt;DispoMonth,0,HQ$30-HR$28))))</f>
        <v/>
      </c>
      <c r="HS30" s="18">
        <f>IF(RefiFlag=0,0,IF(224&lt;RefiMonth,0,IF(224=RefiMonth,PermLoan,IF(224&gt;DispoMonth,0,HR$30-HS$28))))</f>
        <v/>
      </c>
      <c r="HT30" s="18">
        <f>IF(RefiFlag=0,0,IF(225&lt;RefiMonth,0,IF(225=RefiMonth,PermLoan,IF(225&gt;DispoMonth,0,HS$30-HT$28))))</f>
        <v/>
      </c>
      <c r="HU30" s="18">
        <f>IF(RefiFlag=0,0,IF(226&lt;RefiMonth,0,IF(226=RefiMonth,PermLoan,IF(226&gt;DispoMonth,0,HT$30-HU$28))))</f>
        <v/>
      </c>
      <c r="HV30" s="18">
        <f>IF(RefiFlag=0,0,IF(227&lt;RefiMonth,0,IF(227=RefiMonth,PermLoan,IF(227&gt;DispoMonth,0,HU$30-HV$28))))</f>
        <v/>
      </c>
      <c r="HW30" s="18">
        <f>IF(RefiFlag=0,0,IF(228&lt;RefiMonth,0,IF(228=RefiMonth,PermLoan,IF(228&gt;DispoMonth,0,HV$30-HW$28))))</f>
        <v/>
      </c>
      <c r="HX30" s="18">
        <f>IF(RefiFlag=0,0,IF(229&lt;RefiMonth,0,IF(229=RefiMonth,PermLoan,IF(229&gt;DispoMonth,0,HW$30-HX$28))))</f>
        <v/>
      </c>
      <c r="HY30" s="18">
        <f>IF(RefiFlag=0,0,IF(230&lt;RefiMonth,0,IF(230=RefiMonth,PermLoan,IF(230&gt;DispoMonth,0,HX$30-HY$28))))</f>
        <v/>
      </c>
      <c r="HZ30" s="18">
        <f>IF(RefiFlag=0,0,IF(231&lt;RefiMonth,0,IF(231=RefiMonth,PermLoan,IF(231&gt;DispoMonth,0,HY$30-HZ$28))))</f>
        <v/>
      </c>
      <c r="IA30" s="18">
        <f>IF(RefiFlag=0,0,IF(232&lt;RefiMonth,0,IF(232=RefiMonth,PermLoan,IF(232&gt;DispoMonth,0,HZ$30-IA$28))))</f>
        <v/>
      </c>
      <c r="IB30" s="18">
        <f>IF(RefiFlag=0,0,IF(233&lt;RefiMonth,0,IF(233=RefiMonth,PermLoan,IF(233&gt;DispoMonth,0,IA$30-IB$28))))</f>
        <v/>
      </c>
      <c r="IC30" s="18">
        <f>IF(RefiFlag=0,0,IF(234&lt;RefiMonth,0,IF(234=RefiMonth,PermLoan,IF(234&gt;DispoMonth,0,IB$30-IC$28))))</f>
        <v/>
      </c>
      <c r="ID30" s="18">
        <f>IF(RefiFlag=0,0,IF(235&lt;RefiMonth,0,IF(235=RefiMonth,PermLoan,IF(235&gt;DispoMonth,0,IC$30-ID$28))))</f>
        <v/>
      </c>
      <c r="IE30" s="18">
        <f>IF(RefiFlag=0,0,IF(236&lt;RefiMonth,0,IF(236=RefiMonth,PermLoan,IF(236&gt;DispoMonth,0,ID$30-IE$28))))</f>
        <v/>
      </c>
      <c r="IF30" s="18">
        <f>IF(RefiFlag=0,0,IF(237&lt;RefiMonth,0,IF(237=RefiMonth,PermLoan,IF(237&gt;DispoMonth,0,IE$30-IF$28))))</f>
        <v/>
      </c>
      <c r="IG30" s="18">
        <f>IF(RefiFlag=0,0,IF(238&lt;RefiMonth,0,IF(238=RefiMonth,PermLoan,IF(238&gt;DispoMonth,0,IF$30-IG$28))))</f>
        <v/>
      </c>
      <c r="IH30" s="18">
        <f>IF(RefiFlag=0,0,IF(239&lt;RefiMonth,0,IF(239=RefiMonth,PermLoan,IF(239&gt;DispoMonth,0,IG$30-IH$28))))</f>
        <v/>
      </c>
      <c r="II30" s="18">
        <f>IF(RefiFlag=0,0,IF(240&lt;RefiMonth,0,IF(240=RefiMonth,PermLoan,IF(240&gt;DispoMonth,0,IH$30-II$28))))</f>
        <v/>
      </c>
      <c r="IJ30" s="18">
        <f>IF(RefiFlag=0,0,IF(241&lt;RefiMonth,0,IF(241=RefiMonth,PermLoan,IF(241&gt;DispoMonth,0,II$30-IJ$28))))</f>
        <v/>
      </c>
      <c r="IK30" s="18">
        <f>IF(RefiFlag=0,0,IF(242&lt;RefiMonth,0,IF(242=RefiMonth,PermLoan,IF(242&gt;DispoMonth,0,IJ$30-IK$28))))</f>
        <v/>
      </c>
      <c r="IL30" s="18">
        <f>IF(RefiFlag=0,0,IF(243&lt;RefiMonth,0,IF(243=RefiMonth,PermLoan,IF(243&gt;DispoMonth,0,IK$30-IL$28))))</f>
        <v/>
      </c>
      <c r="IM30" s="18">
        <f>IF(RefiFlag=0,0,IF(244&lt;RefiMonth,0,IF(244=RefiMonth,PermLoan,IF(244&gt;DispoMonth,0,IL$30-IM$28))))</f>
        <v/>
      </c>
      <c r="IN30" s="18">
        <f>IF(RefiFlag=0,0,IF(245&lt;RefiMonth,0,IF(245=RefiMonth,PermLoan,IF(245&gt;DispoMonth,0,IM$30-IN$28))))</f>
        <v/>
      </c>
      <c r="IO30" s="18">
        <f>IF(RefiFlag=0,0,IF(246&lt;RefiMonth,0,IF(246=RefiMonth,PermLoan,IF(246&gt;DispoMonth,0,IN$30-IO$28))))</f>
        <v/>
      </c>
      <c r="IP30" s="18">
        <f>IF(RefiFlag=0,0,IF(247&lt;RefiMonth,0,IF(247=RefiMonth,PermLoan,IF(247&gt;DispoMonth,0,IO$30-IP$28))))</f>
        <v/>
      </c>
      <c r="IQ30" s="18">
        <f>IF(RefiFlag=0,0,IF(248&lt;RefiMonth,0,IF(248=RefiMonth,PermLoan,IF(248&gt;DispoMonth,0,IP$30-IQ$28))))</f>
        <v/>
      </c>
      <c r="IR30" s="18">
        <f>IF(RefiFlag=0,0,IF(249&lt;RefiMonth,0,IF(249=RefiMonth,PermLoan,IF(249&gt;DispoMonth,0,IQ$30-IR$28))))</f>
        <v/>
      </c>
      <c r="IS30" s="18">
        <f>IF(RefiFlag=0,0,IF(250&lt;RefiMonth,0,IF(250=RefiMonth,PermLoan,IF(250&gt;DispoMonth,0,IR$30-IS$28))))</f>
        <v/>
      </c>
      <c r="IT30" s="18">
        <f>IF(RefiFlag=0,0,IF(251&lt;RefiMonth,0,IF(251=RefiMonth,PermLoan,IF(251&gt;DispoMonth,0,IS$30-IT$28))))</f>
        <v/>
      </c>
      <c r="IU30" s="18">
        <f>IF(RefiFlag=0,0,IF(252&lt;RefiMonth,0,IF(252=RefiMonth,PermLoan,IF(252&gt;DispoMonth,0,IT$30-IU$28))))</f>
        <v/>
      </c>
      <c r="IV30" s="18">
        <f>IF(RefiFlag=0,0,IF(253&lt;RefiMonth,0,IF(253=RefiMonth,PermLoan,IF(253&gt;DispoMonth,0,IU$30-IV$28))))</f>
        <v/>
      </c>
      <c r="IW30" s="18">
        <f>IF(RefiFlag=0,0,IF(254&lt;RefiMonth,0,IF(254=RefiMonth,PermLoan,IF(254&gt;DispoMonth,0,IV$30-IW$28))))</f>
        <v/>
      </c>
      <c r="IX30" s="18">
        <f>IF(RefiFlag=0,0,IF(255&lt;RefiMonth,0,IF(255=RefiMonth,PermLoan,IF(255&gt;DispoMonth,0,IW$30-IX$28))))</f>
        <v/>
      </c>
      <c r="IY30" s="18">
        <f>IF(RefiFlag=0,0,IF(256&lt;RefiMonth,0,IF(256=RefiMonth,PermLoan,IF(256&gt;DispoMonth,0,IX$30-IY$28))))</f>
        <v/>
      </c>
      <c r="IZ30" s="18">
        <f>IF(RefiFlag=0,0,IF(257&lt;RefiMonth,0,IF(257=RefiMonth,PermLoan,IF(257&gt;DispoMonth,0,IY$30-IZ$28))))</f>
        <v/>
      </c>
      <c r="JA30" s="18">
        <f>IF(RefiFlag=0,0,IF(258&lt;RefiMonth,0,IF(258=RefiMonth,PermLoan,IF(258&gt;DispoMonth,0,IZ$30-JA$28))))</f>
        <v/>
      </c>
      <c r="JB30" s="18">
        <f>IF(RefiFlag=0,0,IF(259&lt;RefiMonth,0,IF(259=RefiMonth,PermLoan,IF(259&gt;DispoMonth,0,JA$30-JB$28))))</f>
        <v/>
      </c>
      <c r="JC30" s="18">
        <f>IF(RefiFlag=0,0,IF(260&lt;RefiMonth,0,IF(260=RefiMonth,PermLoan,IF(260&gt;DispoMonth,0,JB$30-JC$28))))</f>
        <v/>
      </c>
      <c r="JD30" s="18">
        <f>IF(RefiFlag=0,0,IF(261&lt;RefiMonth,0,IF(261=RefiMonth,PermLoan,IF(261&gt;DispoMonth,0,JC$30-JD$28))))</f>
        <v/>
      </c>
      <c r="JE30" s="18">
        <f>IF(RefiFlag=0,0,IF(262&lt;RefiMonth,0,IF(262=RefiMonth,PermLoan,IF(262&gt;DispoMonth,0,JD$30-JE$28))))</f>
        <v/>
      </c>
      <c r="JF30" s="18">
        <f>IF(RefiFlag=0,0,IF(263&lt;RefiMonth,0,IF(263=RefiMonth,PermLoan,IF(263&gt;DispoMonth,0,JE$30-JF$28))))</f>
        <v/>
      </c>
      <c r="JG30" s="18">
        <f>IF(RefiFlag=0,0,IF(264&lt;RefiMonth,0,IF(264=RefiMonth,PermLoan,IF(264&gt;DispoMonth,0,JF$30-JG$28))))</f>
        <v/>
      </c>
      <c r="JH30" s="18">
        <f>IF(RefiFlag=0,0,IF(265&lt;RefiMonth,0,IF(265=RefiMonth,PermLoan,IF(265&gt;DispoMonth,0,JG$30-JH$28))))</f>
        <v/>
      </c>
      <c r="JI30" s="18">
        <f>IF(RefiFlag=0,0,IF(266&lt;RefiMonth,0,IF(266=RefiMonth,PermLoan,IF(266&gt;DispoMonth,0,JH$30-JI$28))))</f>
        <v/>
      </c>
      <c r="JJ30" s="18">
        <f>IF(RefiFlag=0,0,IF(267&lt;RefiMonth,0,IF(267=RefiMonth,PermLoan,IF(267&gt;DispoMonth,0,JI$30-JJ$28))))</f>
        <v/>
      </c>
      <c r="JK30" s="18">
        <f>IF(RefiFlag=0,0,IF(268&lt;RefiMonth,0,IF(268=RefiMonth,PermLoan,IF(268&gt;DispoMonth,0,JJ$30-JK$28))))</f>
        <v/>
      </c>
      <c r="JL30" s="18">
        <f>IF(RefiFlag=0,0,IF(269&lt;RefiMonth,0,IF(269=RefiMonth,PermLoan,IF(269&gt;DispoMonth,0,JK$30-JL$28))))</f>
        <v/>
      </c>
      <c r="JM30" s="18">
        <f>IF(RefiFlag=0,0,IF(270&lt;RefiMonth,0,IF(270=RefiMonth,PermLoan,IF(270&gt;DispoMonth,0,JL$30-JM$28))))</f>
        <v/>
      </c>
      <c r="JN30" s="18">
        <f>IF(RefiFlag=0,0,IF(271&lt;RefiMonth,0,IF(271=RefiMonth,PermLoan,IF(271&gt;DispoMonth,0,JM$30-JN$28))))</f>
        <v/>
      </c>
      <c r="JO30" s="18">
        <f>IF(RefiFlag=0,0,IF(272&lt;RefiMonth,0,IF(272=RefiMonth,PermLoan,IF(272&gt;DispoMonth,0,JN$30-JO$28))))</f>
        <v/>
      </c>
      <c r="JP30" s="18">
        <f>IF(RefiFlag=0,0,IF(273&lt;RefiMonth,0,IF(273=RefiMonth,PermLoan,IF(273&gt;DispoMonth,0,JO$30-JP$28))))</f>
        <v/>
      </c>
      <c r="JQ30" s="18">
        <f>IF(RefiFlag=0,0,IF(274&lt;RefiMonth,0,IF(274=RefiMonth,PermLoan,IF(274&gt;DispoMonth,0,JP$30-JQ$28))))</f>
        <v/>
      </c>
      <c r="JR30" s="18">
        <f>IF(RefiFlag=0,0,IF(275&lt;RefiMonth,0,IF(275=RefiMonth,PermLoan,IF(275&gt;DispoMonth,0,JQ$30-JR$28))))</f>
        <v/>
      </c>
      <c r="JS30" s="18">
        <f>IF(RefiFlag=0,0,IF(276&lt;RefiMonth,0,IF(276=RefiMonth,PermLoan,IF(276&gt;DispoMonth,0,JR$30-JS$28))))</f>
        <v/>
      </c>
      <c r="JT30" s="18">
        <f>IF(RefiFlag=0,0,IF(277&lt;RefiMonth,0,IF(277=RefiMonth,PermLoan,IF(277&gt;DispoMonth,0,JS$30-JT$28))))</f>
        <v/>
      </c>
      <c r="JU30" s="18">
        <f>IF(RefiFlag=0,0,IF(278&lt;RefiMonth,0,IF(278=RefiMonth,PermLoan,IF(278&gt;DispoMonth,0,JT$30-JU$28))))</f>
        <v/>
      </c>
      <c r="JV30" s="18">
        <f>IF(RefiFlag=0,0,IF(279&lt;RefiMonth,0,IF(279=RefiMonth,PermLoan,IF(279&gt;DispoMonth,0,JU$30-JV$28))))</f>
        <v/>
      </c>
      <c r="JW30" s="18">
        <f>IF(RefiFlag=0,0,IF(280&lt;RefiMonth,0,IF(280=RefiMonth,PermLoan,IF(280&gt;DispoMonth,0,JV$30-JW$28))))</f>
        <v/>
      </c>
      <c r="JX30" s="18">
        <f>IF(RefiFlag=0,0,IF(281&lt;RefiMonth,0,IF(281=RefiMonth,PermLoan,IF(281&gt;DispoMonth,0,JW$30-JX$28))))</f>
        <v/>
      </c>
      <c r="JY30" s="18">
        <f>IF(RefiFlag=0,0,IF(282&lt;RefiMonth,0,IF(282=RefiMonth,PermLoan,IF(282&gt;DispoMonth,0,JX$30-JY$28))))</f>
        <v/>
      </c>
      <c r="JZ30" s="18">
        <f>IF(RefiFlag=0,0,IF(283&lt;RefiMonth,0,IF(283=RefiMonth,PermLoan,IF(283&gt;DispoMonth,0,JY$30-JZ$28))))</f>
        <v/>
      </c>
      <c r="KA30" s="18">
        <f>IF(RefiFlag=0,0,IF(284&lt;RefiMonth,0,IF(284=RefiMonth,PermLoan,IF(284&gt;DispoMonth,0,JZ$30-KA$28))))</f>
        <v/>
      </c>
      <c r="KB30" s="18">
        <f>IF(RefiFlag=0,0,IF(285&lt;RefiMonth,0,IF(285=RefiMonth,PermLoan,IF(285&gt;DispoMonth,0,KA$30-KB$28))))</f>
        <v/>
      </c>
      <c r="KC30" s="18">
        <f>IF(RefiFlag=0,0,IF(286&lt;RefiMonth,0,IF(286=RefiMonth,PermLoan,IF(286&gt;DispoMonth,0,KB$30-KC$28))))</f>
        <v/>
      </c>
      <c r="KD30" s="18">
        <f>IF(RefiFlag=0,0,IF(287&lt;RefiMonth,0,IF(287=RefiMonth,PermLoan,IF(287&gt;DispoMonth,0,KC$30-KD$28))))</f>
        <v/>
      </c>
      <c r="KE30" s="18">
        <f>IF(RefiFlag=0,0,IF(288&lt;RefiMonth,0,IF(288=RefiMonth,PermLoan,IF(288&gt;DispoMonth,0,KD$30-KE$28))))</f>
        <v/>
      </c>
      <c r="KF30" s="18">
        <f>IF(RefiFlag=0,0,IF(289&lt;RefiMonth,0,IF(289=RefiMonth,PermLoan,IF(289&gt;DispoMonth,0,KE$30-KF$28))))</f>
        <v/>
      </c>
      <c r="KG30" s="18">
        <f>IF(RefiFlag=0,0,IF(290&lt;RefiMonth,0,IF(290=RefiMonth,PermLoan,IF(290&gt;DispoMonth,0,KF$30-KG$28))))</f>
        <v/>
      </c>
      <c r="KH30" s="18">
        <f>IF(RefiFlag=0,0,IF(291&lt;RefiMonth,0,IF(291=RefiMonth,PermLoan,IF(291&gt;DispoMonth,0,KG$30-KH$28))))</f>
        <v/>
      </c>
      <c r="KI30" s="18">
        <f>IF(RefiFlag=0,0,IF(292&lt;RefiMonth,0,IF(292=RefiMonth,PermLoan,IF(292&gt;DispoMonth,0,KH$30-KI$28))))</f>
        <v/>
      </c>
      <c r="KJ30" s="18">
        <f>IF(RefiFlag=0,0,IF(293&lt;RefiMonth,0,IF(293=RefiMonth,PermLoan,IF(293&gt;DispoMonth,0,KI$30-KJ$28))))</f>
        <v/>
      </c>
      <c r="KK30" s="18">
        <f>IF(RefiFlag=0,0,IF(294&lt;RefiMonth,0,IF(294=RefiMonth,PermLoan,IF(294&gt;DispoMonth,0,KJ$30-KK$28))))</f>
        <v/>
      </c>
      <c r="KL30" s="18">
        <f>IF(RefiFlag=0,0,IF(295&lt;RefiMonth,0,IF(295=RefiMonth,PermLoan,IF(295&gt;DispoMonth,0,KK$30-KL$28))))</f>
        <v/>
      </c>
      <c r="KM30" s="18">
        <f>IF(RefiFlag=0,0,IF(296&lt;RefiMonth,0,IF(296=RefiMonth,PermLoan,IF(296&gt;DispoMonth,0,KL$30-KM$28))))</f>
        <v/>
      </c>
      <c r="KN30" s="18">
        <f>IF(RefiFlag=0,0,IF(297&lt;RefiMonth,0,IF(297=RefiMonth,PermLoan,IF(297&gt;DispoMonth,0,KM$30-KN$28))))</f>
        <v/>
      </c>
      <c r="KO30" s="18">
        <f>IF(RefiFlag=0,0,IF(298&lt;RefiMonth,0,IF(298=RefiMonth,PermLoan,IF(298&gt;DispoMonth,0,KN$30-KO$28))))</f>
        <v/>
      </c>
      <c r="KP30" s="18">
        <f>IF(RefiFlag=0,0,IF(299&lt;RefiMonth,0,IF(299=RefiMonth,PermLoan,IF(299&gt;DispoMonth,0,KO$30-KP$28))))</f>
        <v/>
      </c>
      <c r="KQ30" s="18">
        <f>IF(RefiFlag=0,0,IF(300&lt;RefiMonth,0,IF(300=RefiMonth,PermLoan,IF(300&gt;DispoMonth,0,KP$30-KQ$28))))</f>
        <v/>
      </c>
      <c r="KR30" s="18">
        <f>IF(RefiFlag=0,0,IF(301&lt;RefiMonth,0,IF(301=RefiMonth,PermLoan,IF(301&gt;DispoMonth,0,KQ$30-KR$28))))</f>
        <v/>
      </c>
      <c r="KS30" s="18">
        <f>IF(RefiFlag=0,0,IF(302&lt;RefiMonth,0,IF(302=RefiMonth,PermLoan,IF(302&gt;DispoMonth,0,KR$30-KS$28))))</f>
        <v/>
      </c>
      <c r="KT30" s="18">
        <f>IF(RefiFlag=0,0,IF(303&lt;RefiMonth,0,IF(303=RefiMonth,PermLoan,IF(303&gt;DispoMonth,0,KS$30-KT$28))))</f>
        <v/>
      </c>
      <c r="KU30" s="18">
        <f>IF(RefiFlag=0,0,IF(304&lt;RefiMonth,0,IF(304=RefiMonth,PermLoan,IF(304&gt;DispoMonth,0,KT$30-KU$28))))</f>
        <v/>
      </c>
      <c r="KV30" s="18">
        <f>IF(RefiFlag=0,0,IF(305&lt;RefiMonth,0,IF(305=RefiMonth,PermLoan,IF(305&gt;DispoMonth,0,KU$30-KV$28))))</f>
        <v/>
      </c>
      <c r="KW30" s="18">
        <f>IF(RefiFlag=0,0,IF(306&lt;RefiMonth,0,IF(306=RefiMonth,PermLoan,IF(306&gt;DispoMonth,0,KV$30-KW$28))))</f>
        <v/>
      </c>
      <c r="KX30" s="18">
        <f>IF(RefiFlag=0,0,IF(307&lt;RefiMonth,0,IF(307=RefiMonth,PermLoan,IF(307&gt;DispoMonth,0,KW$30-KX$28))))</f>
        <v/>
      </c>
      <c r="KY30" s="18">
        <f>IF(RefiFlag=0,0,IF(308&lt;RefiMonth,0,IF(308=RefiMonth,PermLoan,IF(308&gt;DispoMonth,0,KX$30-KY$28))))</f>
        <v/>
      </c>
      <c r="KZ30" s="18">
        <f>IF(RefiFlag=0,0,IF(309&lt;RefiMonth,0,IF(309=RefiMonth,PermLoan,IF(309&gt;DispoMonth,0,KY$30-KZ$28))))</f>
        <v/>
      </c>
      <c r="LA30" s="18">
        <f>IF(RefiFlag=0,0,IF(310&lt;RefiMonth,0,IF(310=RefiMonth,PermLoan,IF(310&gt;DispoMonth,0,KZ$30-LA$28))))</f>
        <v/>
      </c>
      <c r="LB30" s="18">
        <f>IF(RefiFlag=0,0,IF(311&lt;RefiMonth,0,IF(311=RefiMonth,PermLoan,IF(311&gt;DispoMonth,0,LA$30-LB$28))))</f>
        <v/>
      </c>
      <c r="LC30" s="18">
        <f>IF(RefiFlag=0,0,IF(312&lt;RefiMonth,0,IF(312=RefiMonth,PermLoan,IF(312&gt;DispoMonth,0,LB$30-LC$28))))</f>
        <v/>
      </c>
      <c r="LD30" s="18">
        <f>IF(RefiFlag=0,0,IF(313&lt;RefiMonth,0,IF(313=RefiMonth,PermLoan,IF(313&gt;DispoMonth,0,LC$30-LD$28))))</f>
        <v/>
      </c>
      <c r="LE30" s="18">
        <f>IF(RefiFlag=0,0,IF(314&lt;RefiMonth,0,IF(314=RefiMonth,PermLoan,IF(314&gt;DispoMonth,0,LD$30-LE$28))))</f>
        <v/>
      </c>
      <c r="LF30" s="18">
        <f>IF(RefiFlag=0,0,IF(315&lt;RefiMonth,0,IF(315=RefiMonth,PermLoan,IF(315&gt;DispoMonth,0,LE$30-LF$28))))</f>
        <v/>
      </c>
      <c r="LG30" s="18">
        <f>IF(RefiFlag=0,0,IF(316&lt;RefiMonth,0,IF(316=RefiMonth,PermLoan,IF(316&gt;DispoMonth,0,LF$30-LG$28))))</f>
        <v/>
      </c>
      <c r="LH30" s="18">
        <f>IF(RefiFlag=0,0,IF(317&lt;RefiMonth,0,IF(317=RefiMonth,PermLoan,IF(317&gt;DispoMonth,0,LG$30-LH$28))))</f>
        <v/>
      </c>
      <c r="LI30" s="18">
        <f>IF(RefiFlag=0,0,IF(318&lt;RefiMonth,0,IF(318=RefiMonth,PermLoan,IF(318&gt;DispoMonth,0,LH$30-LI$28))))</f>
        <v/>
      </c>
      <c r="LJ30" s="18">
        <f>IF(RefiFlag=0,0,IF(319&lt;RefiMonth,0,IF(319=RefiMonth,PermLoan,IF(319&gt;DispoMonth,0,LI$30-LJ$28))))</f>
        <v/>
      </c>
      <c r="LK30" s="18">
        <f>IF(RefiFlag=0,0,IF(320&lt;RefiMonth,0,IF(320=RefiMonth,PermLoan,IF(320&gt;DispoMonth,0,LJ$30-LK$28))))</f>
        <v/>
      </c>
      <c r="LL30" s="18">
        <f>IF(RefiFlag=0,0,IF(321&lt;RefiMonth,0,IF(321=RefiMonth,PermLoan,IF(321&gt;DispoMonth,0,LK$30-LL$28))))</f>
        <v/>
      </c>
      <c r="LM30" s="18">
        <f>IF(RefiFlag=0,0,IF(322&lt;RefiMonth,0,IF(322=RefiMonth,PermLoan,IF(322&gt;DispoMonth,0,LL$30-LM$28))))</f>
        <v/>
      </c>
      <c r="LN30" s="18">
        <f>IF(RefiFlag=0,0,IF(323&lt;RefiMonth,0,IF(323=RefiMonth,PermLoan,IF(323&gt;DispoMonth,0,LM$30-LN$28))))</f>
        <v/>
      </c>
      <c r="LO30" s="18">
        <f>IF(RefiFlag=0,0,IF(324&lt;RefiMonth,0,IF(324=RefiMonth,PermLoan,IF(324&gt;DispoMonth,0,LN$30-LO$28))))</f>
        <v/>
      </c>
      <c r="LP30" s="18">
        <f>IF(RefiFlag=0,0,IF(325&lt;RefiMonth,0,IF(325=RefiMonth,PermLoan,IF(325&gt;DispoMonth,0,LO$30-LP$28))))</f>
        <v/>
      </c>
      <c r="LQ30" s="18">
        <f>IF(RefiFlag=0,0,IF(326&lt;RefiMonth,0,IF(326=RefiMonth,PermLoan,IF(326&gt;DispoMonth,0,LP$30-LQ$28))))</f>
        <v/>
      </c>
      <c r="LR30" s="18">
        <f>IF(RefiFlag=0,0,IF(327&lt;RefiMonth,0,IF(327=RefiMonth,PermLoan,IF(327&gt;DispoMonth,0,LQ$30-LR$28))))</f>
        <v/>
      </c>
      <c r="LS30" s="18">
        <f>IF(RefiFlag=0,0,IF(328&lt;RefiMonth,0,IF(328=RefiMonth,PermLoan,IF(328&gt;DispoMonth,0,LR$30-LS$28))))</f>
        <v/>
      </c>
      <c r="LT30" s="18">
        <f>IF(RefiFlag=0,0,IF(329&lt;RefiMonth,0,IF(329=RefiMonth,PermLoan,IF(329&gt;DispoMonth,0,LS$30-LT$28))))</f>
        <v/>
      </c>
      <c r="LU30" s="18">
        <f>IF(RefiFlag=0,0,IF(330&lt;RefiMonth,0,IF(330=RefiMonth,PermLoan,IF(330&gt;DispoMonth,0,LT$30-LU$28))))</f>
        <v/>
      </c>
      <c r="LV30" s="18">
        <f>IF(RefiFlag=0,0,IF(331&lt;RefiMonth,0,IF(331=RefiMonth,PermLoan,IF(331&gt;DispoMonth,0,LU$30-LV$28))))</f>
        <v/>
      </c>
      <c r="LW30" s="18">
        <f>IF(RefiFlag=0,0,IF(332&lt;RefiMonth,0,IF(332=RefiMonth,PermLoan,IF(332&gt;DispoMonth,0,LV$30-LW$28))))</f>
        <v/>
      </c>
      <c r="LX30" s="18">
        <f>IF(RefiFlag=0,0,IF(333&lt;RefiMonth,0,IF(333=RefiMonth,PermLoan,IF(333&gt;DispoMonth,0,LW$30-LX$28))))</f>
        <v/>
      </c>
      <c r="LY30" s="18">
        <f>IF(RefiFlag=0,0,IF(334&lt;RefiMonth,0,IF(334=RefiMonth,PermLoan,IF(334&gt;DispoMonth,0,LX$30-LY$28))))</f>
        <v/>
      </c>
      <c r="LZ30" s="18">
        <f>IF(RefiFlag=0,0,IF(335&lt;RefiMonth,0,IF(335=RefiMonth,PermLoan,IF(335&gt;DispoMonth,0,LY$30-LZ$28))))</f>
        <v/>
      </c>
      <c r="MA30" s="18">
        <f>IF(RefiFlag=0,0,IF(336&lt;RefiMonth,0,IF(336=RefiMonth,PermLoan,IF(336&gt;DispoMonth,0,LZ$30-MA$28))))</f>
        <v/>
      </c>
      <c r="MB30" s="18">
        <f>IF(RefiFlag=0,0,IF(337&lt;RefiMonth,0,IF(337=RefiMonth,PermLoan,IF(337&gt;DispoMonth,0,MA$30-MB$28))))</f>
        <v/>
      </c>
      <c r="MC30" s="18">
        <f>IF(RefiFlag=0,0,IF(338&lt;RefiMonth,0,IF(338=RefiMonth,PermLoan,IF(338&gt;DispoMonth,0,MB$30-MC$28))))</f>
        <v/>
      </c>
      <c r="MD30" s="18">
        <f>IF(RefiFlag=0,0,IF(339&lt;RefiMonth,0,IF(339=RefiMonth,PermLoan,IF(339&gt;DispoMonth,0,MC$30-MD$28))))</f>
        <v/>
      </c>
      <c r="ME30" s="18">
        <f>IF(RefiFlag=0,0,IF(340&lt;RefiMonth,0,IF(340=RefiMonth,PermLoan,IF(340&gt;DispoMonth,0,MD$30-ME$28))))</f>
        <v/>
      </c>
      <c r="MF30" s="18">
        <f>IF(RefiFlag=0,0,IF(341&lt;RefiMonth,0,IF(341=RefiMonth,PermLoan,IF(341&gt;DispoMonth,0,ME$30-MF$28))))</f>
        <v/>
      </c>
      <c r="MG30" s="18">
        <f>IF(RefiFlag=0,0,IF(342&lt;RefiMonth,0,IF(342=RefiMonth,PermLoan,IF(342&gt;DispoMonth,0,MF$30-MG$28))))</f>
        <v/>
      </c>
      <c r="MH30" s="18">
        <f>IF(RefiFlag=0,0,IF(343&lt;RefiMonth,0,IF(343=RefiMonth,PermLoan,IF(343&gt;DispoMonth,0,MG$30-MH$28))))</f>
        <v/>
      </c>
      <c r="MI30" s="18">
        <f>IF(RefiFlag=0,0,IF(344&lt;RefiMonth,0,IF(344=RefiMonth,PermLoan,IF(344&gt;DispoMonth,0,MH$30-MI$28))))</f>
        <v/>
      </c>
      <c r="MJ30" s="18">
        <f>IF(RefiFlag=0,0,IF(345&lt;RefiMonth,0,IF(345=RefiMonth,PermLoan,IF(345&gt;DispoMonth,0,MI$30-MJ$28))))</f>
        <v/>
      </c>
      <c r="MK30" s="18">
        <f>IF(RefiFlag=0,0,IF(346&lt;RefiMonth,0,IF(346=RefiMonth,PermLoan,IF(346&gt;DispoMonth,0,MJ$30-MK$28))))</f>
        <v/>
      </c>
      <c r="ML30" s="18">
        <f>IF(RefiFlag=0,0,IF(347&lt;RefiMonth,0,IF(347=RefiMonth,PermLoan,IF(347&gt;DispoMonth,0,MK$30-ML$28))))</f>
        <v/>
      </c>
      <c r="MM30" s="18">
        <f>IF(RefiFlag=0,0,IF(348&lt;RefiMonth,0,IF(348=RefiMonth,PermLoan,IF(348&gt;DispoMonth,0,ML$30-MM$28))))</f>
        <v/>
      </c>
      <c r="MN30" s="18">
        <f>IF(RefiFlag=0,0,IF(349&lt;RefiMonth,0,IF(349=RefiMonth,PermLoan,IF(349&gt;DispoMonth,0,MM$30-MN$28))))</f>
        <v/>
      </c>
      <c r="MO30" s="18">
        <f>IF(RefiFlag=0,0,IF(350&lt;RefiMonth,0,IF(350=RefiMonth,PermLoan,IF(350&gt;DispoMonth,0,MN$30-MO$28))))</f>
        <v/>
      </c>
      <c r="MP30" s="18">
        <f>IF(RefiFlag=0,0,IF(351&lt;RefiMonth,0,IF(351=RefiMonth,PermLoan,IF(351&gt;DispoMonth,0,MO$30-MP$28))))</f>
        <v/>
      </c>
      <c r="MQ30" s="18">
        <f>IF(RefiFlag=0,0,IF(352&lt;RefiMonth,0,IF(352=RefiMonth,PermLoan,IF(352&gt;DispoMonth,0,MP$30-MQ$28))))</f>
        <v/>
      </c>
      <c r="MR30" s="18">
        <f>IF(RefiFlag=0,0,IF(353&lt;RefiMonth,0,IF(353=RefiMonth,PermLoan,IF(353&gt;DispoMonth,0,MQ$30-MR$28))))</f>
        <v/>
      </c>
      <c r="MS30" s="18">
        <f>IF(RefiFlag=0,0,IF(354&lt;RefiMonth,0,IF(354=RefiMonth,PermLoan,IF(354&gt;DispoMonth,0,MR$30-MS$28))))</f>
        <v/>
      </c>
      <c r="MT30" s="18">
        <f>IF(RefiFlag=0,0,IF(355&lt;RefiMonth,0,IF(355=RefiMonth,PermLoan,IF(355&gt;DispoMonth,0,MS$30-MT$28))))</f>
        <v/>
      </c>
      <c r="MU30" s="18">
        <f>IF(RefiFlag=0,0,IF(356&lt;RefiMonth,0,IF(356=RefiMonth,PermLoan,IF(356&gt;DispoMonth,0,MT$30-MU$28))))</f>
        <v/>
      </c>
      <c r="MV30" s="18">
        <f>IF(RefiFlag=0,0,IF(357&lt;RefiMonth,0,IF(357=RefiMonth,PermLoan,IF(357&gt;DispoMonth,0,MU$30-MV$28))))</f>
        <v/>
      </c>
      <c r="MW30" s="18">
        <f>IF(RefiFlag=0,0,IF(358&lt;RefiMonth,0,IF(358=RefiMonth,PermLoan,IF(358&gt;DispoMonth,0,MV$30-MW$28))))</f>
        <v/>
      </c>
      <c r="MX30" s="18">
        <f>IF(RefiFlag=0,0,IF(359&lt;RefiMonth,0,IF(359=RefiMonth,PermLoan,IF(359&gt;DispoMonth,0,MW$30-MX$28))))</f>
        <v/>
      </c>
      <c r="MY30" s="18">
        <f>IF(RefiFlag=0,0,IF(360&lt;RefiMonth,0,IF(360=RefiMonth,PermLoan,IF(360&gt;DispoMonth,0,MX$30-MY$28))))</f>
        <v/>
      </c>
      <c r="MZ30" s="18">
        <f>IF(RefiFlag=0,0,IF(361&lt;RefiMonth,0,IF(361=RefiMonth,PermLoan,IF(361&gt;DispoMonth,0,MY$30-MZ$28))))</f>
        <v/>
      </c>
      <c r="NA30" s="18">
        <f>IF(RefiFlag=0,0,IF(362&lt;RefiMonth,0,IF(362=RefiMonth,PermLoan,IF(362&gt;DispoMonth,0,MZ$30-NA$28))))</f>
        <v/>
      </c>
      <c r="NB30" s="18">
        <f>IF(RefiFlag=0,0,IF(363&lt;RefiMonth,0,IF(363=RefiMonth,PermLoan,IF(363&gt;DispoMonth,0,NA$30-NB$28))))</f>
        <v/>
      </c>
      <c r="NC30" s="18">
        <f>IF(RefiFlag=0,0,IF(364&lt;RefiMonth,0,IF(364=RefiMonth,PermLoan,IF(364&gt;DispoMonth,0,NB$30-NC$28))))</f>
        <v/>
      </c>
      <c r="ND30" s="18">
        <f>IF(RefiFlag=0,0,IF(365&lt;RefiMonth,0,IF(365=RefiMonth,PermLoan,IF(365&gt;DispoMonth,0,NC$30-ND$28))))</f>
        <v/>
      </c>
      <c r="NE30" s="18">
        <f>IF(RefiFlag=0,0,IF(366&lt;RefiMonth,0,IF(366=RefiMonth,PermLoan,IF(366&gt;DispoMonth,0,ND$30-NE$28))))</f>
        <v/>
      </c>
      <c r="NF30" s="18">
        <f>IF(RefiFlag=0,0,IF(367&lt;RefiMonth,0,IF(367=RefiMonth,PermLoan,IF(367&gt;DispoMonth,0,NE$30-NF$28))))</f>
        <v/>
      </c>
      <c r="NG30" s="18">
        <f>IF(RefiFlag=0,0,IF(368&lt;RefiMonth,0,IF(368=RefiMonth,PermLoan,IF(368&gt;DispoMonth,0,NF$30-NG$28))))</f>
        <v/>
      </c>
      <c r="NH30" s="18">
        <f>IF(RefiFlag=0,0,IF(369&lt;RefiMonth,0,IF(369=RefiMonth,PermLoan,IF(369&gt;DispoMonth,0,NG$30-NH$28))))</f>
        <v/>
      </c>
      <c r="NI30" s="18">
        <f>IF(RefiFlag=0,0,IF(370&lt;RefiMonth,0,IF(370=RefiMonth,PermLoan,IF(370&gt;DispoMonth,0,NH$30-NI$28))))</f>
        <v/>
      </c>
      <c r="NJ30" s="18">
        <f>IF(RefiFlag=0,0,IF(371&lt;RefiMonth,0,IF(371=RefiMonth,PermLoan,IF(371&gt;DispoMonth,0,NI$30-NJ$28))))</f>
        <v/>
      </c>
      <c r="NK30" s="18">
        <f>IF(RefiFlag=0,0,IF(372&lt;RefiMonth,0,IF(372=RefiMonth,PermLoan,IF(372&gt;DispoMonth,0,NJ$30-NK$28))))</f>
        <v/>
      </c>
    </row>
    <row r="32">
      <c r="A32" s="5" t="inlineStr">
        <is>
          <t>Permanent Loan Payoff at Disposition</t>
        </is>
      </c>
      <c r="B32" s="30">
        <f>RefiFlag*INDEX(D30:NK30,DispoMonth)</f>
        <v/>
      </c>
    </row>
    <row r="33">
      <c r="A33" s="5" t="inlineStr">
        <is>
          <t>Refi sources − uses (must reconcile)</t>
        </is>
      </c>
      <c r="B33" s="18">
        <f>RefiFlag*(PermLoan-PermPoints-RefiCashOut-ConPayoffBal)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2026-07-02T16:33:59Z</dcterms:created>
  <dcterms:modified xsi:type="dcterms:W3CDTF">2026-07-02T16:34:02Z</dcterms:modified>
</cp:coreProperties>
</file>