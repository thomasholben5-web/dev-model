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puts" sheetId="2" state="visible" r:id="rId2"/>
    <sheet name="UnitMatrix" sheetId="3" state="visible" r:id="rId3"/>
    <sheet name="Budget" sheetId="4" state="visible" r:id="rId4"/>
    <sheet name="Timeline" sheetId="5" state="visible" r:id="rId5"/>
    <sheet name="DevSpend" sheetId="6" state="visible" r:id="rId6"/>
    <sheet name="ConLoan" sheetId="7" state="visible" r:id="rId7"/>
    <sheet name="LeaseUp" sheetId="8" state="visible" r:id="rId8"/>
    <sheet name="Operating" sheetId="9" state="visible" r:id="rId9"/>
    <sheet name="PermLoan" sheetId="10" state="visible" r:id="rId10"/>
    <sheet name="Disposition" sheetId="11" state="visible" r:id="rId11"/>
    <sheet name="CashFlow" sheetId="12" state="visible" r:id="rId12"/>
    <sheet name="Returns" sheetId="13" state="visible" r:id="rId13"/>
    <sheet name="Diagnostics" sheetId="14" state="visible" r:id="rId14"/>
  </sheets>
  <definedNames>
    <definedName name="InvestmentType">'Inputs'!$B$5</definedName>
    <definedName name="PropertyName">'Inputs'!$B$6</definedName>
    <definedName name="City">'Inputs'!$B$7</definedName>
    <definedName name="State">'Inputs'!$B$8</definedName>
    <definedName name="Market">'Inputs'!$B$9</definedName>
    <definedName name="ProductType">'Inputs'!$B$10</definedName>
    <definedName name="Location">'Inputs'!$B$11</definedName>
    <definedName name="InceptionDate">'Inputs'!$B$12</definedName>
    <definedName name="HoldPeriodMonths">'Inputs'!$B$15</definedName>
    <definedName name="EntryCapRate">'Inputs'!$B$16</definedName>
    <definedName name="CapAdjLocation">'Inputs'!$B$17</definedName>
    <definedName name="CapAdjSize">'Inputs'!$B$18</definedName>
    <definedName name="CapAdjAging">'Inputs'!$B$19</definedName>
    <definedName name="ExitCapResidential">'Inputs'!$B$20</definedName>
    <definedName name="ExitCapRetail">'Inputs'!$B$21</definedName>
    <definedName name="GrowthRent">'Inputs'!$B$22</definedName>
    <definedName name="GrowthLowIncRent">'Inputs'!$B$23</definedName>
    <definedName name="GrowthExpense">'Inputs'!$B$24</definedName>
    <definedName name="GrowthUtility">'Inputs'!$B$25</definedName>
    <definedName name="GrowthTax">'Inputs'!$B$26</definedName>
    <definedName name="GrowthOther">'Inputs'!$B$27</definedName>
    <definedName name="LeaseUpIncomeOffset">'Inputs'!$B$30</definedName>
    <definedName name="UnitsDeliveredPerMo">'Inputs'!$B$31</definedName>
    <definedName name="UnitsLeasedPerMo">'Inputs'!$B$32</definedName>
    <definedName name="LeaseUpRampPct">'Inputs'!$B$33</definedName>
    <definedName name="LeaseUpElevationPct">'Inputs'!$B$34</definedName>
    <definedName name="StabilizedOccupancy">'Inputs'!$B$35</definedName>
    <definedName name="LandCost">'Inputs'!$B$38</definedName>
    <definedName name="GrossAcres">'Inputs'!$B$39</definedName>
    <definedName name="NetAcres">'Inputs'!$B$40</definedName>
    <definedName name="FARRatio">'Inputs'!$B$41</definedName>
    <definedName name="EfficiencyRatio">'Inputs'!$B$42</definedName>
    <definedName name="ExistingStructureCost">'Inputs'!$B$43</definedName>
    <definedName name="TaxLevyPct">'Inputs'!$B$46</definedName>
    <definedName name="TaxAssessmentPct">'Inputs'!$B$47</definedName>
    <definedName name="TaxValueAdjFactor">'Inputs'!$B$48</definedName>
    <definedName name="TaxMethodValue">'Inputs'!$B$49</definedName>
    <definedName name="TaxYear1">'Inputs'!$B$50</definedName>
    <definedName name="ReassessOnSale">'Inputs'!$B$51</definedName>
    <definedName name="DispoTaxRatePct">'Inputs'!$B$52</definedName>
    <definedName name="FundingOrderPari">'Inputs'!$B$55</definedName>
    <definedName name="TargetLTC">'Inputs'!$B$56</definedName>
    <definedName name="OpReserveCoverage">'Inputs'!$B$57</definedName>
    <definedName name="OpReserveMinMonths">'Inputs'!$B$58</definedName>
    <definedName name="ConLoanTermMonths">'Inputs'!$B$61</definedName>
    <definedName name="ConRate">'Inputs'!$B$62</definedName>
    <definedName name="ConActual360">'Inputs'!$B$63</definedName>
    <definedName name="ConPointsPct">'Inputs'!$B$64</definedName>
    <definedName name="ConOtherCosts">'Inputs'!$B$65</definedName>
    <definedName name="ConMinDebtYield">'Inputs'!$B$66</definedName>
    <definedName name="ConMinDSCR">'Inputs'!$B$67</definedName>
    <definedName name="LenderReqReserveOverride">'Inputs'!$B$68</definedName>
    <definedName name="PermMaxLTV">'Inputs'!$B$71</definedName>
    <definedName name="PermRate">'Inputs'!$B$72</definedName>
    <definedName name="PermTermMonths">'Inputs'!$B$73</definedName>
    <definedName name="PermIOMonths">'Inputs'!$B$74</definedName>
    <definedName name="PermAmortMonths">'Inputs'!$B$75</definedName>
    <definedName name="PermActual360">'Inputs'!$B$76</definedName>
    <definedName name="PermPointsPct">'Inputs'!$B$77</definedName>
    <definedName name="PermMinDebtYield">'Inputs'!$B$78</definedName>
    <definedName name="PermMinDSCR">'Inputs'!$B$79</definedName>
    <definedName name="NoCashOut">'Inputs'!$B$80</definedName>
    <definedName name="RefiMonthOverride">'Inputs'!$B$81</definedName>
    <definedName name="DevFeePctDirect">'Inputs'!$B$84</definedName>
    <definedName name="DevFeeThirdPartySplit">'Inputs'!$B$85</definedName>
    <definedName name="SponsorDispoFeePct">'Inputs'!$B$86</definedName>
    <definedName name="RecourseFeePct">'Inputs'!$B$87</definedName>
    <definedName name="BrokerCostPct">'Inputs'!$B$90</definedName>
    <definedName name="SalesTaxPct">'Inputs'!$B$91</definedName>
    <definedName name="TaxProrationMonths">'Inputs'!$B$92</definedName>
    <definedName name="BadDebtPct">'Inputs'!$B$95</definedName>
    <definedName name="ConcessionsPct">'Inputs'!$B$96</definedName>
    <definedName name="LossToLeasePct">'Inputs'!$B$97</definedName>
    <definedName name="ModelUnits">'Inputs'!$B$98</definedName>
    <definedName name="ParkingPerUnitMo">'Inputs'!$B$99</definedName>
    <definedName name="RetailIncomeMo">'Inputs'!$B$100</definedName>
    <definedName name="UtilReimbPerUnitMo">'Inputs'!$B$101</definedName>
    <definedName name="OtherIncPerUnitMo">'Inputs'!$B$102</definedName>
    <definedName name="ExpInsurancePerUnit">'Inputs'!$B$105</definedName>
    <definedName name="ExpUtilitiesPerUnit">'Inputs'!$B$106</definedName>
    <definedName name="ExpPayrollPerUnit">'Inputs'!$B$107</definedName>
    <definedName name="ExpRMPerUnit">'Inputs'!$B$108</definedName>
    <definedName name="ExpTurnoverPerUnit">'Inputs'!$B$109</definedName>
    <definedName name="ExpContractPerUnit">'Inputs'!$B$110</definedName>
    <definedName name="ExpAdminPerUnit">'Inputs'!$B$111</definedName>
    <definedName name="ExpAdvertisingPerUnit">'Inputs'!$B$112</definedName>
    <definedName name="MgmtFeePct">'Inputs'!$B$113</definedName>
    <definedName name="CapReservePerUnit">'Inputs'!$B$114</definedName>
    <definedName name="TaxPrepPerUnit">'Inputs'!$B$115</definedName>
    <definedName name="AssetMgmtFeePct">'Inputs'!$B$116</definedName>
    <definedName name="TotalUnits">'UnitMatrix'!$B$14</definedName>
    <definedName name="MarketUnits">'UnitMatrix'!$B$15</definedName>
    <definedName name="LowUnits">'UnitMatrix'!$B$16</definedName>
    <definedName name="NRSF">'UnitMatrix'!$B$17</definedName>
    <definedName name="BuildableSF">'UnitMatrix'!$B$18</definedName>
    <definedName name="AvgUnitSF">'UnitMatrix'!$B$19</definedName>
    <definedName name="BaseMarketRentMo">'UnitMatrix'!$B$20</definedName>
    <definedName name="BaseLowRentMo">'UnitMatrix'!$B$21</definedName>
    <definedName name="RetailRentMo">'UnitMatrix'!$B$27</definedName>
    <definedName name="BudgetLand">'Budget'!$I$35</definedName>
    <definedName name="BudgetSoft">'Budget'!$I$36</definedName>
    <definedName name="BudgetHard">'Budget'!$I$37</definedName>
    <definedName name="DirectCosts">'Budget'!$I$38</definedName>
    <definedName name="DevFee">'Budget'!$I$39</definedName>
    <definedName name="BudgetTDCref">'Budget'!$I$40</definedName>
    <definedName name="MS_Open_Escrow_Start">'Timeline'!$B$4</definedName>
    <definedName name="MS_Open_Escrow_End">'Timeline'!$D$4</definedName>
    <definedName name="MS_Due_Diligence_Start">'Timeline'!$B$5</definedName>
    <definedName name="MS_Due_Diligence_End">'Timeline'!$D$5</definedName>
    <definedName name="MS_Entitlement_Start">'Timeline'!$B$6</definedName>
    <definedName name="MS_Entitlement_End">'Timeline'!$D$6</definedName>
    <definedName name="MS_Pre_Construction_Start">'Timeline'!$B$7</definedName>
    <definedName name="MS_Pre_Construction_End">'Timeline'!$D$7</definedName>
    <definedName name="MS_Initial_Closing_Start">'Timeline'!$B$8</definedName>
    <definedName name="MS_Initial_Closing_End">'Timeline'!$D$8</definedName>
    <definedName name="MS_Construction_Start">'Timeline'!$B$9</definedName>
    <definedName name="MS_Construction_End">'Timeline'!$D$9</definedName>
    <definedName name="MS_1st_Unit_Delivery_Start">'Timeline'!$B$10</definedName>
    <definedName name="MS_1st_Unit_Delivery_End">'Timeline'!$D$10</definedName>
    <definedName name="MS_Lease_Up_Start">'Timeline'!$B$11</definedName>
    <definedName name="MS_Lease_Up_End">'Timeline'!$D$11</definedName>
    <definedName name="MS_Stabilization_Start">'Timeline'!$B$12</definedName>
    <definedName name="MS_Stabilization_End">'Timeline'!$D$12</definedName>
    <definedName name="MS_Recapitalization_Refinance_Start">'Timeline'!$B$13</definedName>
    <definedName name="MS_Recapitalization_Refinance_End">'Timeline'!$D$13</definedName>
    <definedName name="MS_Disposition_Start">'Timeline'!$B$14</definedName>
    <definedName name="MS_Disposition_End">'Timeline'!$D$14</definedName>
    <definedName name="MilestoneNames">'Timeline'!$A$4:$A$14</definedName>
    <definedName name="MilestoneStart">'Timeline'!$B$4:$B$14</definedName>
    <definedName name="MilestoneEnd">'Timeline'!$D$4:$D$14</definedName>
    <definedName name="ConStart">'Timeline'!$B$17</definedName>
    <definedName name="ConMaturity">'Timeline'!$B$18</definedName>
    <definedName name="DeliverStart">'Timeline'!$B$19</definedName>
    <definedName name="StabMonth">'Timeline'!$B$20</definedName>
    <definedName name="DispoMonth">'Timeline'!$B$21</definedName>
    <definedName name="RefiFlag">'Timeline'!$B$22</definedName>
    <definedName name="RefiMonth">'Timeline'!$B$23</definedName>
    <definedName name="ConPayoffMonth">'Timeline'!$B$24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mmm-yyyy"/>
    <numFmt numFmtId="165" formatCode="#,##0&quot; mo&quot;"/>
    <numFmt numFmtId="166" formatCode="0.0%"/>
    <numFmt numFmtId="167" formatCode="$#,##0;($#,##0)"/>
    <numFmt numFmtId="168" formatCode="0.00&quot;x&quot;"/>
    <numFmt numFmtId="169" formatCode="#,##0;(#,##0)"/>
    <numFmt numFmtId="170" formatCode="$#,##0.00;($#,##0.00)"/>
  </numFmts>
  <fonts count="10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i val="1"/>
      <color rgb="FF00000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color rgb="FF0000CC"/>
      <sz val="10"/>
    </font>
    <font>
      <name val="Calibri"/>
      <b val="1"/>
      <color rgb="FF1F3864"/>
      <sz val="10"/>
    </font>
    <font>
      <name val="Calibri"/>
      <b val="1"/>
      <color rgb="FF000000"/>
      <sz val="10"/>
    </font>
    <font>
      <name val="Calibri"/>
      <color rgb="FF006100"/>
      <sz val="10"/>
    </font>
    <font>
      <name val="Calibri"/>
      <b val="1"/>
      <color rgb="FF006100"/>
      <sz val="1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3" fontId="7" fillId="5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9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170" fontId="5" fillId="3" borderId="1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9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5" fontId="4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" fillId="0" borderId="0" pivotButton="0" quotePrefix="0" xfId="0"/>
    <xf numFmtId="3" fontId="6" fillId="0" borderId="0" applyAlignment="1" pivotButton="0" quotePrefix="0" xfId="0">
      <alignment horizontal="right" vertical="center"/>
    </xf>
    <xf numFmtId="0" fontId="2" fillId="0" borderId="0" pivotButton="0" quotePrefix="0" xfId="0"/>
    <xf numFmtId="17" fontId="2" fillId="0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6" customWidth="1" min="2" max="2"/>
    <col width="44" customWidth="1" min="3" max="3"/>
    <col width="4" customWidth="1" min="4" max="4"/>
    <col width="20" customWidth="1" min="5" max="5"/>
  </cols>
  <sheetData>
    <row r="1">
      <c r="A1" s="1" t="inlineStr">
        <is>
          <t>Institutional Multifamily Development Model — Inputs</t>
        </is>
      </c>
    </row>
    <row r="2">
      <c r="A2" s="2" t="inlineStr">
        <is>
          <t>Blue = hard-keyed input.  Every value below is a workbook named range.</t>
        </is>
      </c>
    </row>
    <row r="4">
      <c r="A4" s="3" t="inlineStr">
        <is>
          <t>Property Details</t>
        </is>
      </c>
      <c r="B4" s="4" t="n"/>
      <c r="C4" s="4" t="n"/>
    </row>
    <row r="5">
      <c r="A5" s="5" t="inlineStr">
        <is>
          <t>Investment Type</t>
        </is>
      </c>
      <c r="B5" s="6" t="inlineStr">
        <is>
          <t>Ground-Up Development</t>
        </is>
      </c>
      <c r="C5" s="2" t="inlineStr">
        <is>
          <t>Investment type</t>
        </is>
      </c>
    </row>
    <row r="6">
      <c r="A6" s="5" t="inlineStr">
        <is>
          <t>Property Name</t>
        </is>
      </c>
      <c r="B6" s="6" t="inlineStr">
        <is>
          <t>Meridian Apartments</t>
        </is>
      </c>
      <c r="C6" s="2" t="inlineStr">
        <is>
          <t>Deal name</t>
        </is>
      </c>
    </row>
    <row r="7">
      <c r="A7" s="5" t="inlineStr">
        <is>
          <t>City</t>
        </is>
      </c>
      <c r="B7" s="6" t="inlineStr">
        <is>
          <t>Austin</t>
        </is>
      </c>
    </row>
    <row r="8">
      <c r="A8" s="5" t="inlineStr">
        <is>
          <t>State</t>
        </is>
      </c>
      <c r="B8" s="6" t="inlineStr">
        <is>
          <t>TX</t>
        </is>
      </c>
    </row>
    <row r="9">
      <c r="A9" s="5" t="inlineStr">
        <is>
          <t>Market</t>
        </is>
      </c>
      <c r="B9" s="6" t="inlineStr">
        <is>
          <t>Austin-Round Rock</t>
        </is>
      </c>
      <c r="C9" s="2" t="inlineStr">
        <is>
          <t>MSA</t>
        </is>
      </c>
    </row>
    <row r="10">
      <c r="A10" s="5" t="inlineStr">
        <is>
          <t>Product Type</t>
        </is>
      </c>
      <c r="B10" s="6" t="inlineStr">
        <is>
          <t>Garden / Mid-Rise</t>
        </is>
      </c>
    </row>
    <row r="11">
      <c r="A11" s="5" t="inlineStr">
        <is>
          <t>Location</t>
        </is>
      </c>
      <c r="B11" s="6" t="inlineStr">
        <is>
          <t>Suburban Infill</t>
        </is>
      </c>
    </row>
    <row r="12">
      <c r="A12" s="5" t="inlineStr">
        <is>
          <t>Inception Date</t>
        </is>
      </c>
      <c r="B12" s="7" t="inlineStr">
        <is>
          <t>2026-01-01</t>
        </is>
      </c>
      <c r="C12" s="2" t="inlineStr">
        <is>
          <t>Model period 1 = this month</t>
        </is>
      </c>
    </row>
    <row r="14">
      <c r="A14" s="3" t="inlineStr">
        <is>
          <t>Investment Details</t>
        </is>
      </c>
      <c r="B14" s="4" t="n"/>
      <c r="C14" s="4" t="n"/>
    </row>
    <row r="15">
      <c r="A15" s="5" t="inlineStr">
        <is>
          <t>Hold Period Months</t>
        </is>
      </c>
      <c r="B15" s="8" t="n">
        <v>84</v>
      </c>
      <c r="C15" s="2" t="inlineStr">
        <is>
          <t>Disposition month (1-360 toggle)</t>
        </is>
      </c>
    </row>
    <row r="16">
      <c r="A16" s="5" t="inlineStr">
        <is>
          <t>Entry Cap Rate</t>
        </is>
      </c>
      <c r="B16" s="9" t="n">
        <v>0.0475</v>
      </c>
      <c r="C16" s="2" t="inlineStr">
        <is>
          <t>Market / entry cap rate</t>
        </is>
      </c>
    </row>
    <row r="17">
      <c r="A17" s="5" t="inlineStr">
        <is>
          <t>Cap Adj Location</t>
        </is>
      </c>
      <c r="B17" s="9" t="n">
        <v>0</v>
      </c>
      <c r="C17" s="2" t="inlineStr">
        <is>
          <t>Location adjustment (+/-)</t>
        </is>
      </c>
    </row>
    <row r="18">
      <c r="A18" s="5" t="inlineStr">
        <is>
          <t>Cap Adj Size</t>
        </is>
      </c>
      <c r="B18" s="9" t="n">
        <v>0</v>
      </c>
      <c r="C18" s="2" t="inlineStr">
        <is>
          <t>Size adjustment (+/-)</t>
        </is>
      </c>
    </row>
    <row r="19">
      <c r="A19" s="5" t="inlineStr">
        <is>
          <t>Cap Adj Aging</t>
        </is>
      </c>
      <c r="B19" s="9" t="n">
        <v>0.0025</v>
      </c>
      <c r="C19" s="2" t="inlineStr">
        <is>
          <t>Aging adjustment (+/-)</t>
        </is>
      </c>
    </row>
    <row r="20">
      <c r="A20" s="5" t="inlineStr">
        <is>
          <t>Exit Cap Residential</t>
        </is>
      </c>
      <c r="B20" s="9" t="n">
        <v>0.05</v>
      </c>
      <c r="C20" s="2" t="inlineStr">
        <is>
          <t>Exit cap - residential</t>
        </is>
      </c>
    </row>
    <row r="21">
      <c r="A21" s="5" t="inlineStr">
        <is>
          <t>Exit Cap Retail</t>
        </is>
      </c>
      <c r="B21" s="9" t="n">
        <v>0.065</v>
      </c>
      <c r="C21" s="2" t="inlineStr">
        <is>
          <t>Exit cap - retail</t>
        </is>
      </c>
    </row>
    <row r="22">
      <c r="A22" s="5" t="inlineStr">
        <is>
          <t>Growth Rent</t>
        </is>
      </c>
      <c r="B22" s="9" t="n">
        <v>0.03</v>
      </c>
      <c r="C22" s="2" t="inlineStr">
        <is>
          <t>Annual market-rent growth</t>
        </is>
      </c>
    </row>
    <row r="23">
      <c r="A23" s="5" t="inlineStr">
        <is>
          <t>Growth Low Inc Rent</t>
        </is>
      </c>
      <c r="B23" s="9" t="n">
        <v>0.02</v>
      </c>
      <c r="C23" s="2" t="inlineStr">
        <is>
          <t>Annual low-income-rent growth</t>
        </is>
      </c>
    </row>
    <row r="24">
      <c r="A24" s="5" t="inlineStr">
        <is>
          <t>Growth Expense</t>
        </is>
      </c>
      <c r="B24" s="9" t="n">
        <v>0.03</v>
      </c>
      <c r="C24" s="2" t="inlineStr">
        <is>
          <t>Annual expense growth</t>
        </is>
      </c>
    </row>
    <row r="25">
      <c r="A25" s="5" t="inlineStr">
        <is>
          <t>Growth Utility</t>
        </is>
      </c>
      <c r="B25" s="9" t="n">
        <v>0.035</v>
      </c>
      <c r="C25" s="2" t="inlineStr">
        <is>
          <t>Annual utility growth</t>
        </is>
      </c>
    </row>
    <row r="26">
      <c r="A26" s="5" t="inlineStr">
        <is>
          <t>Growth Tax</t>
        </is>
      </c>
      <c r="B26" s="9" t="n">
        <v>0.02</v>
      </c>
      <c r="C26" s="2" t="inlineStr">
        <is>
          <t>Annual tax growth</t>
        </is>
      </c>
    </row>
    <row r="27">
      <c r="A27" s="5" t="inlineStr">
        <is>
          <t>Growth Other</t>
        </is>
      </c>
      <c r="B27" s="9" t="n">
        <v>0.03</v>
      </c>
      <c r="C27" s="2" t="inlineStr">
        <is>
          <t>Annual other-income growth</t>
        </is>
      </c>
    </row>
    <row r="29">
      <c r="A29" s="3" t="inlineStr">
        <is>
          <t>Unit Delivery &amp; Lease-Up</t>
        </is>
      </c>
      <c r="B29" s="4" t="n"/>
      <c r="C29" s="4" t="n"/>
    </row>
    <row r="30">
      <c r="A30" s="5" t="inlineStr">
        <is>
          <t>Lease Up Income Offset</t>
        </is>
      </c>
      <c r="B30" s="10" t="n">
        <v>1</v>
      </c>
      <c r="C30" s="2" t="inlineStr">
        <is>
          <t>1=offset lease-up income vs equity, 0=no</t>
        </is>
      </c>
    </row>
    <row r="31">
      <c r="A31" s="5" t="inlineStr">
        <is>
          <t>Units Delivered Per Mo</t>
        </is>
      </c>
      <c r="B31" s="10" t="n">
        <v>30</v>
      </c>
      <c r="C31" s="2" t="inlineStr">
        <is>
          <t>Units delivered per month</t>
        </is>
      </c>
    </row>
    <row r="32">
      <c r="A32" s="5" t="inlineStr">
        <is>
          <t>Units Leased Per Mo</t>
        </is>
      </c>
      <c r="B32" s="10" t="n">
        <v>18</v>
      </c>
      <c r="C32" s="2" t="inlineStr">
        <is>
          <t>Units absorbed (leased) per month</t>
        </is>
      </c>
    </row>
    <row r="33">
      <c r="A33" s="5" t="inlineStr">
        <is>
          <t>Lease Up Ramp Pct</t>
        </is>
      </c>
      <c r="B33" s="11" t="n">
        <v>0.6</v>
      </c>
      <c r="C33" s="2" t="inlineStr">
        <is>
          <t>Variable-opex ramp: % of stabilized during lease-up</t>
        </is>
      </c>
    </row>
    <row r="34">
      <c r="A34" s="5" t="inlineStr">
        <is>
          <t>Lease Up Elevation Pct</t>
        </is>
      </c>
      <c r="B34" s="11" t="n">
        <v>0.25</v>
      </c>
      <c r="C34" s="2" t="inlineStr">
        <is>
          <t>Elevated-opex uplift over stabilized during lease-up</t>
        </is>
      </c>
    </row>
    <row r="35">
      <c r="A35" s="5" t="inlineStr">
        <is>
          <t>Stabilized Occupancy</t>
        </is>
      </c>
      <c r="B35" s="11" t="n">
        <v>0.93</v>
      </c>
      <c r="C35" s="2" t="inlineStr">
        <is>
          <t>Physical occupancy at stabilization</t>
        </is>
      </c>
    </row>
    <row r="37">
      <c r="A37" s="3" t="inlineStr">
        <is>
          <t>Site Details</t>
        </is>
      </c>
      <c r="B37" s="4" t="n"/>
      <c r="C37" s="4" t="n"/>
    </row>
    <row r="38">
      <c r="A38" s="5" t="inlineStr">
        <is>
          <t>Land Cost</t>
        </is>
      </c>
      <c r="B38" s="12" t="n">
        <v>14000000</v>
      </c>
      <c r="C38" s="2" t="inlineStr">
        <is>
          <t>Total land cost</t>
        </is>
      </c>
    </row>
    <row r="39">
      <c r="A39" s="5" t="inlineStr">
        <is>
          <t>Gross Acres</t>
        </is>
      </c>
      <c r="B39" s="13" t="n">
        <v>9.5</v>
      </c>
      <c r="C39" s="2" t="inlineStr">
        <is>
          <t>Gross site acres</t>
        </is>
      </c>
    </row>
    <row r="40">
      <c r="A40" s="5" t="inlineStr">
        <is>
          <t>Net Acres</t>
        </is>
      </c>
      <c r="B40" s="13" t="n">
        <v>8</v>
      </c>
      <c r="C40" s="2" t="inlineStr">
        <is>
          <t>Net developable acres</t>
        </is>
      </c>
    </row>
    <row r="41">
      <c r="A41" s="5" t="inlineStr">
        <is>
          <t>FARRatio</t>
        </is>
      </c>
      <c r="B41" s="13" t="n">
        <v>1.75</v>
      </c>
      <c r="C41" s="2" t="inlineStr">
        <is>
          <t>Floor-area ratio</t>
        </is>
      </c>
    </row>
    <row r="42">
      <c r="A42" s="5" t="inlineStr">
        <is>
          <t>Efficiency Ratio</t>
        </is>
      </c>
      <c r="B42" s="11" t="n">
        <v>0.85</v>
      </c>
      <c r="C42" s="2" t="inlineStr">
        <is>
          <t>Net rentable / gross buildable</t>
        </is>
      </c>
    </row>
    <row r="43">
      <c r="A43" s="5" t="inlineStr">
        <is>
          <t>Existing Structure Cost</t>
        </is>
      </c>
      <c r="B43" s="12" t="n">
        <v>0</v>
      </c>
      <c r="C43" s="2" t="inlineStr">
        <is>
          <t>Demo / existing structure</t>
        </is>
      </c>
    </row>
    <row r="45">
      <c r="A45" s="3" t="inlineStr">
        <is>
          <t>Property Taxes</t>
        </is>
      </c>
      <c r="B45" s="4" t="n"/>
      <c r="C45" s="4" t="n"/>
    </row>
    <row r="46">
      <c r="A46" s="5" t="inlineStr">
        <is>
          <t>Tax Levy Pct</t>
        </is>
      </c>
      <c r="B46" s="9" t="n">
        <v>0.0185</v>
      </c>
      <c r="C46" s="2" t="inlineStr">
        <is>
          <t>Levy / mill rate (% of assessed)</t>
        </is>
      </c>
    </row>
    <row r="47">
      <c r="A47" s="5" t="inlineStr">
        <is>
          <t>Tax Assessment Pct</t>
        </is>
      </c>
      <c r="B47" s="11" t="n">
        <v>1</v>
      </c>
      <c r="C47" s="2" t="inlineStr">
        <is>
          <t>Assessment ratio (% of value)</t>
        </is>
      </c>
    </row>
    <row r="48">
      <c r="A48" s="5" t="inlineStr">
        <is>
          <t>Tax Value Adj Factor</t>
        </is>
      </c>
      <c r="B48" s="13" t="n">
        <v>1</v>
      </c>
      <c r="C48" s="2" t="inlineStr">
        <is>
          <t>Value-adjustment factor</t>
        </is>
      </c>
    </row>
    <row r="49">
      <c r="A49" s="5" t="inlineStr">
        <is>
          <t>Tax Method Value</t>
        </is>
      </c>
      <c r="B49" s="10" t="n">
        <v>1</v>
      </c>
      <c r="C49" s="2" t="inlineStr">
        <is>
          <t>Post-stab method: 1=value approach, 0=income approach</t>
        </is>
      </c>
    </row>
    <row r="50">
      <c r="A50" s="5" t="inlineStr">
        <is>
          <t>Tax Year1</t>
        </is>
      </c>
      <c r="B50" s="12" t="n">
        <v>650000</v>
      </c>
      <c r="C50" s="2" t="inlineStr">
        <is>
          <t>Year-1 stabilized tax (value approach)</t>
        </is>
      </c>
    </row>
    <row r="51">
      <c r="A51" s="5" t="inlineStr">
        <is>
          <t>Reassess On Sale</t>
        </is>
      </c>
      <c r="B51" s="10" t="n">
        <v>1</v>
      </c>
      <c r="C51" s="2" t="inlineStr">
        <is>
          <t>1=reassess buyer taxes on sale value, 0=in-place</t>
        </is>
      </c>
    </row>
    <row r="52">
      <c r="A52" s="5" t="inlineStr">
        <is>
          <t>Dispo Tax Rate Pct</t>
        </is>
      </c>
      <c r="B52" s="9" t="n">
        <v>0.0185</v>
      </c>
      <c r="C52" s="2" t="inlineStr">
        <is>
          <t>Disposition-period effective tax rate on value</t>
        </is>
      </c>
    </row>
    <row r="54">
      <c r="A54" s="3" t="inlineStr">
        <is>
          <t>Capitalization &amp; Funding</t>
        </is>
      </c>
      <c r="B54" s="4" t="n"/>
      <c r="C54" s="4" t="n"/>
    </row>
    <row r="55">
      <c r="A55" s="5" t="inlineStr">
        <is>
          <t>Funding Order Pari</t>
        </is>
      </c>
      <c r="B55" s="10" t="n">
        <v>0</v>
      </c>
      <c r="C55" s="2" t="inlineStr">
        <is>
          <t>1=pari-passu, 0=equity-first</t>
        </is>
      </c>
    </row>
    <row r="56">
      <c r="A56" s="5" t="inlineStr">
        <is>
          <t>Target LTC</t>
        </is>
      </c>
      <c r="B56" s="9" t="n">
        <v>0.65</v>
      </c>
      <c r="C56" s="2" t="inlineStr">
        <is>
          <t>Target construction loan-to-cost</t>
        </is>
      </c>
    </row>
    <row r="57">
      <c r="A57" s="5" t="inlineStr">
        <is>
          <t>Op Reserve Coverage</t>
        </is>
      </c>
      <c r="B57" s="14" t="n">
        <v>1.1</v>
      </c>
      <c r="C57" s="2" t="inlineStr">
        <is>
          <t>Operating reserve coverage multiple on peak shortfall</t>
        </is>
      </c>
    </row>
    <row r="58">
      <c r="A58" s="5" t="inlineStr">
        <is>
          <t>Op Reserve Min Months</t>
        </is>
      </c>
      <c r="B58" s="10" t="n">
        <v>3</v>
      </c>
      <c r="C58" s="2" t="inlineStr">
        <is>
          <t>Minimum months of stabilized opex floor for reserve</t>
        </is>
      </c>
    </row>
    <row r="60">
      <c r="A60" s="3" t="inlineStr">
        <is>
          <t>Construction Loan</t>
        </is>
      </c>
      <c r="B60" s="4" t="n"/>
      <c r="C60" s="4" t="n"/>
    </row>
    <row r="61">
      <c r="A61" s="5" t="inlineStr">
        <is>
          <t>Con Loan Term Months</t>
        </is>
      </c>
      <c r="B61" s="8" t="n">
        <v>36</v>
      </c>
      <c r="C61" s="2" t="inlineStr">
        <is>
          <t>Construction loan term</t>
        </is>
      </c>
    </row>
    <row r="62">
      <c r="A62" s="5" t="inlineStr">
        <is>
          <t>Con Rate</t>
        </is>
      </c>
      <c r="B62" s="9" t="n">
        <v>0.08500000000000001</v>
      </c>
      <c r="C62" s="2" t="inlineStr">
        <is>
          <t>Construction interest rate (annual)</t>
        </is>
      </c>
    </row>
    <row r="63">
      <c r="A63" s="5" t="inlineStr">
        <is>
          <t>Con Actual360</t>
        </is>
      </c>
      <c r="B63" s="10" t="n">
        <v>1</v>
      </c>
      <c r="C63" s="2" t="inlineStr">
        <is>
          <t>1=Actual/360, 0=30/360</t>
        </is>
      </c>
    </row>
    <row r="64">
      <c r="A64" s="5" t="inlineStr">
        <is>
          <t>Con Points Pct</t>
        </is>
      </c>
      <c r="B64" s="9" t="n">
        <v>0.01</v>
      </c>
      <c r="C64" s="2" t="inlineStr">
        <is>
          <t>Origination points</t>
        </is>
      </c>
    </row>
    <row r="65">
      <c r="A65" s="5" t="inlineStr">
        <is>
          <t>Con Other Costs</t>
        </is>
      </c>
      <c r="B65" s="12" t="n">
        <v>250000</v>
      </c>
      <c r="C65" s="2" t="inlineStr">
        <is>
          <t>Other construction loan costs</t>
        </is>
      </c>
    </row>
    <row r="66">
      <c r="A66" s="5" t="inlineStr">
        <is>
          <t>Con Min Debt Yield</t>
        </is>
      </c>
      <c r="B66" s="9" t="n">
        <v>0.07000000000000001</v>
      </c>
      <c r="C66" s="2" t="inlineStr">
        <is>
          <t>Min stabilized debt yield (sizing)</t>
        </is>
      </c>
    </row>
    <row r="67">
      <c r="A67" s="5" t="inlineStr">
        <is>
          <t>Con Min DSCR</t>
        </is>
      </c>
      <c r="B67" s="14" t="n">
        <v>1.2</v>
      </c>
      <c r="C67" s="2" t="inlineStr">
        <is>
          <t>Min DSCR at target (sizing)</t>
        </is>
      </c>
    </row>
    <row r="68">
      <c r="A68" s="5" t="inlineStr">
        <is>
          <t>Lender Req Reserve Override</t>
        </is>
      </c>
      <c r="B68" s="12" t="n">
        <v>0</v>
      </c>
      <c r="C68" s="2" t="inlineStr">
        <is>
          <t>If &gt;0, overrides computed interest reserve</t>
        </is>
      </c>
    </row>
    <row r="70">
      <c r="A70" s="3" t="inlineStr">
        <is>
          <t>Permanent Loan (Refinance)</t>
        </is>
      </c>
      <c r="B70" s="4" t="n"/>
      <c r="C70" s="4" t="n"/>
    </row>
    <row r="71">
      <c r="A71" s="5" t="inlineStr">
        <is>
          <t>Perm Max LTV</t>
        </is>
      </c>
      <c r="B71" s="9" t="n">
        <v>0.65</v>
      </c>
      <c r="C71" s="2" t="inlineStr">
        <is>
          <t>Max permanent loan-to-value</t>
        </is>
      </c>
    </row>
    <row r="72">
      <c r="A72" s="5" t="inlineStr">
        <is>
          <t>Perm Rate</t>
        </is>
      </c>
      <c r="B72" s="9" t="n">
        <v>0.0625</v>
      </c>
      <c r="C72" s="2" t="inlineStr">
        <is>
          <t>Permanent interest rate (annual)</t>
        </is>
      </c>
    </row>
    <row r="73">
      <c r="A73" s="5" t="inlineStr">
        <is>
          <t>Perm Term Months</t>
        </is>
      </c>
      <c r="B73" s="8" t="n">
        <v>360</v>
      </c>
      <c r="C73" s="2" t="inlineStr">
        <is>
          <t>Permanent loan term</t>
        </is>
      </c>
    </row>
    <row r="74">
      <c r="A74" s="5" t="inlineStr">
        <is>
          <t>Perm IOMonths</t>
        </is>
      </c>
      <c r="B74" s="8" t="n">
        <v>24</v>
      </c>
      <c r="C74" s="2" t="inlineStr">
        <is>
          <t>Permanent interest-only period</t>
        </is>
      </c>
    </row>
    <row r="75">
      <c r="A75" s="5" t="inlineStr">
        <is>
          <t>Perm Amort Months</t>
        </is>
      </c>
      <c r="B75" s="8" t="n">
        <v>360</v>
      </c>
      <c r="C75" s="2" t="inlineStr">
        <is>
          <t>Permanent amortization period</t>
        </is>
      </c>
    </row>
    <row r="76">
      <c r="A76" s="5" t="inlineStr">
        <is>
          <t>Perm Actual360</t>
        </is>
      </c>
      <c r="B76" s="10" t="n">
        <v>0</v>
      </c>
      <c r="C76" s="2" t="inlineStr">
        <is>
          <t>1=Actual/360, 0=30/360</t>
        </is>
      </c>
    </row>
    <row r="77">
      <c r="A77" s="5" t="inlineStr">
        <is>
          <t>Perm Points Pct</t>
        </is>
      </c>
      <c r="B77" s="9" t="n">
        <v>0.0075</v>
      </c>
      <c r="C77" s="2" t="inlineStr">
        <is>
          <t>Permanent loan points</t>
        </is>
      </c>
    </row>
    <row r="78">
      <c r="A78" s="5" t="inlineStr">
        <is>
          <t>Perm Min Debt Yield</t>
        </is>
      </c>
      <c r="B78" s="9" t="n">
        <v>0.08</v>
      </c>
      <c r="C78" s="2" t="inlineStr">
        <is>
          <t>Min debt yield at refi (sizing)</t>
        </is>
      </c>
    </row>
    <row r="79">
      <c r="A79" s="5" t="inlineStr">
        <is>
          <t>Perm Min DSCR</t>
        </is>
      </c>
      <c r="B79" s="14" t="n">
        <v>1.15</v>
      </c>
      <c r="C79" s="2" t="inlineStr">
        <is>
          <t>Min DSCR at refi (sizing)</t>
        </is>
      </c>
    </row>
    <row r="80">
      <c r="A80" s="5" t="inlineStr">
        <is>
          <t>No Cash Out</t>
        </is>
      </c>
      <c r="B80" s="10" t="n">
        <v>0</v>
      </c>
      <c r="C80" s="2" t="inlineStr">
        <is>
          <t>1=size perm so net cash at refi = 0</t>
        </is>
      </c>
    </row>
    <row r="81">
      <c r="A81" s="5" t="inlineStr">
        <is>
          <t>Refi Month Override</t>
        </is>
      </c>
      <c r="B81" s="10" t="n">
        <v>0</v>
      </c>
      <c r="C81" s="2" t="inlineStr">
        <is>
          <t>If &gt;0, override refi month (else = con maturity)</t>
        </is>
      </c>
    </row>
    <row r="83">
      <c r="A83" s="3" t="inlineStr">
        <is>
          <t>Sponsor Fees</t>
        </is>
      </c>
      <c r="B83" s="4" t="n"/>
      <c r="C83" s="4" t="n"/>
    </row>
    <row r="84">
      <c r="A84" s="5" t="inlineStr">
        <is>
          <t>Dev Fee Pct Direct</t>
        </is>
      </c>
      <c r="B84" s="9" t="n">
        <v>0.04</v>
      </c>
      <c r="C84" s="2" t="inlineStr">
        <is>
          <t>Development fee % of direct costs</t>
        </is>
      </c>
    </row>
    <row r="85">
      <c r="A85" s="5" t="inlineStr">
        <is>
          <t>Dev Fee Third Party Split</t>
        </is>
      </c>
      <c r="B85" s="9" t="n">
        <v>0</v>
      </c>
      <c r="C85" s="2" t="inlineStr">
        <is>
          <t>Portion of dev fee paid to 3rd party</t>
        </is>
      </c>
    </row>
    <row r="86">
      <c r="A86" s="5" t="inlineStr">
        <is>
          <t>Sponsor Dispo Fee Pct</t>
        </is>
      </c>
      <c r="B86" s="9" t="n">
        <v>0.01</v>
      </c>
      <c r="C86" s="2" t="inlineStr">
        <is>
          <t>Sponsor disposition fee % of sale</t>
        </is>
      </c>
    </row>
    <row r="87">
      <c r="A87" s="5" t="inlineStr">
        <is>
          <t>Recourse Fee Pct</t>
        </is>
      </c>
      <c r="B87" s="9" t="n">
        <v>0.0025</v>
      </c>
      <c r="C87" s="2" t="inlineStr">
        <is>
          <t>Loan recourse / indemnity fee % of loan</t>
        </is>
      </c>
    </row>
    <row r="89">
      <c r="A89" s="3" t="inlineStr">
        <is>
          <t>Disposition &amp; Sale</t>
        </is>
      </c>
      <c r="B89" s="4" t="n"/>
      <c r="C89" s="4" t="n"/>
    </row>
    <row r="90">
      <c r="A90" s="5" t="inlineStr">
        <is>
          <t>Broker Cost Pct</t>
        </is>
      </c>
      <c r="B90" s="9" t="n">
        <v>0.015</v>
      </c>
      <c r="C90" s="2" t="inlineStr">
        <is>
          <t>Broker / sale cost % of gross sale</t>
        </is>
      </c>
    </row>
    <row r="91">
      <c r="A91" s="5" t="inlineStr">
        <is>
          <t>Sales Tax Pct</t>
        </is>
      </c>
      <c r="B91" s="9" t="n">
        <v>0</v>
      </c>
      <c r="C91" s="2" t="inlineStr">
        <is>
          <t>Transfer / sales tax % of gross sale</t>
        </is>
      </c>
    </row>
    <row r="92">
      <c r="A92" s="5" t="inlineStr">
        <is>
          <t>Tax Proration Months</t>
        </is>
      </c>
      <c r="B92" s="8" t="n">
        <v>2</v>
      </c>
      <c r="C92" s="2" t="inlineStr">
        <is>
          <t>Property-tax proration at sale (months)</t>
        </is>
      </c>
    </row>
    <row r="94">
      <c r="A94" s="3" t="inlineStr">
        <is>
          <t>Stabilized Revenue (other income)</t>
        </is>
      </c>
      <c r="B94" s="4" t="n"/>
      <c r="C94" s="4" t="n"/>
    </row>
    <row r="95">
      <c r="A95" s="5" t="inlineStr">
        <is>
          <t>Bad Debt Pct</t>
        </is>
      </c>
      <c r="B95" s="9" t="n">
        <v>0.005</v>
      </c>
      <c r="C95" s="2" t="inlineStr">
        <is>
          <t>Bad debt % of GPR</t>
        </is>
      </c>
    </row>
    <row r="96">
      <c r="A96" s="5" t="inlineStr">
        <is>
          <t>Concessions Pct</t>
        </is>
      </c>
      <c r="B96" s="9" t="n">
        <v>0.01</v>
      </c>
      <c r="C96" s="2" t="inlineStr">
        <is>
          <t>Concessions % of GPR</t>
        </is>
      </c>
    </row>
    <row r="97">
      <c r="A97" s="5" t="inlineStr">
        <is>
          <t>Loss To Lease Pct</t>
        </is>
      </c>
      <c r="B97" s="9" t="n">
        <v>0.01</v>
      </c>
      <c r="C97" s="2" t="inlineStr">
        <is>
          <t>Gain/loss-to-lease % of GPR</t>
        </is>
      </c>
    </row>
    <row r="98">
      <c r="A98" s="5" t="inlineStr">
        <is>
          <t>Model Units</t>
        </is>
      </c>
      <c r="B98" s="10" t="n">
        <v>1</v>
      </c>
      <c r="C98" s="2" t="inlineStr">
        <is>
          <t>Down / model units (non-revenue)</t>
        </is>
      </c>
    </row>
    <row r="99">
      <c r="A99" s="5" t="inlineStr">
        <is>
          <t>Parking Per Unit Mo</t>
        </is>
      </c>
      <c r="B99" s="12" t="n">
        <v>35</v>
      </c>
      <c r="C99" s="2" t="inlineStr">
        <is>
          <t>Parking &amp; storage income $/unit/mo</t>
        </is>
      </c>
    </row>
    <row r="100">
      <c r="A100" s="5" t="inlineStr">
        <is>
          <t>Retail Income Mo</t>
        </is>
      </c>
      <c r="B100" s="12" t="n">
        <v>18000</v>
      </c>
      <c r="C100" s="2" t="inlineStr">
        <is>
          <t>Retail income $/mo (stabilized)</t>
        </is>
      </c>
    </row>
    <row r="101">
      <c r="A101" s="5" t="inlineStr">
        <is>
          <t>Util Reimb Per Unit Mo</t>
        </is>
      </c>
      <c r="B101" s="12" t="n">
        <v>45</v>
      </c>
      <c r="C101" s="2" t="inlineStr">
        <is>
          <t>Utility reimbursement $/unit/mo</t>
        </is>
      </c>
    </row>
    <row r="102">
      <c r="A102" s="5" t="inlineStr">
        <is>
          <t>Other Inc Per Unit Mo</t>
        </is>
      </c>
      <c r="B102" s="12" t="n">
        <v>25</v>
      </c>
      <c r="C102" s="2" t="inlineStr">
        <is>
          <t>Other income $/unit/mo</t>
        </is>
      </c>
    </row>
    <row r="104">
      <c r="A104" s="3" t="inlineStr">
        <is>
          <t>Stabilized Operating Expenses (annual)</t>
        </is>
      </c>
      <c r="B104" s="4" t="n"/>
      <c r="C104" s="4" t="n"/>
    </row>
    <row r="105">
      <c r="A105" s="5" t="inlineStr">
        <is>
          <t>Exp Insurance Per Unit</t>
        </is>
      </c>
      <c r="B105" s="12" t="n">
        <v>425</v>
      </c>
      <c r="C105" s="2" t="inlineStr">
        <is>
          <t>Insurance $/unit/yr</t>
        </is>
      </c>
    </row>
    <row r="106">
      <c r="A106" s="5" t="inlineStr">
        <is>
          <t>Exp Utilities Per Unit</t>
        </is>
      </c>
      <c r="B106" s="12" t="n">
        <v>900</v>
      </c>
      <c r="C106" s="2" t="inlineStr">
        <is>
          <t>Utilities $/unit/yr (variable)</t>
        </is>
      </c>
    </row>
    <row r="107">
      <c r="A107" s="5" t="inlineStr">
        <is>
          <t>Exp Payroll Per Unit</t>
        </is>
      </c>
      <c r="B107" s="12" t="n">
        <v>1300</v>
      </c>
      <c r="C107" s="2" t="inlineStr">
        <is>
          <t>Payroll $/unit/yr (elevated in lease-up)</t>
        </is>
      </c>
    </row>
    <row r="108">
      <c r="A108" s="5" t="inlineStr">
        <is>
          <t>Exp RMPer Unit</t>
        </is>
      </c>
      <c r="B108" s="12" t="n">
        <v>650</v>
      </c>
      <c r="C108" s="2" t="inlineStr">
        <is>
          <t>Repairs &amp; maintenance $/unit/yr (variable)</t>
        </is>
      </c>
    </row>
    <row r="109">
      <c r="A109" s="5" t="inlineStr">
        <is>
          <t>Exp Turnover Per Unit</t>
        </is>
      </c>
      <c r="B109" s="12" t="n">
        <v>250</v>
      </c>
      <c r="C109" s="2" t="inlineStr">
        <is>
          <t>Turnover $/unit/yr (variable)</t>
        </is>
      </c>
    </row>
    <row r="110">
      <c r="A110" s="5" t="inlineStr">
        <is>
          <t>Exp Contract Per Unit</t>
        </is>
      </c>
      <c r="B110" s="12" t="n">
        <v>500</v>
      </c>
      <c r="C110" s="2" t="inlineStr">
        <is>
          <t>Contract services $/unit/yr (variable)</t>
        </is>
      </c>
    </row>
    <row r="111">
      <c r="A111" s="5" t="inlineStr">
        <is>
          <t>Exp Admin Per Unit</t>
        </is>
      </c>
      <c r="B111" s="12" t="n">
        <v>300</v>
      </c>
      <c r="C111" s="2" t="inlineStr">
        <is>
          <t>Admin &amp; legal $/unit/yr</t>
        </is>
      </c>
    </row>
    <row r="112">
      <c r="A112" s="5" t="inlineStr">
        <is>
          <t>Exp Advertising Per Unit</t>
        </is>
      </c>
      <c r="B112" s="12" t="n">
        <v>200</v>
      </c>
      <c r="C112" s="2" t="inlineStr">
        <is>
          <t>Advertising $/unit/yr (elevated in lease-up)</t>
        </is>
      </c>
    </row>
    <row r="113">
      <c r="A113" s="5" t="inlineStr">
        <is>
          <t>Mgmt Fee Pct</t>
        </is>
      </c>
      <c r="B113" s="9" t="n">
        <v>0.03</v>
      </c>
      <c r="C113" s="2" t="inlineStr">
        <is>
          <t>Management fee % of EGI</t>
        </is>
      </c>
    </row>
    <row r="114">
      <c r="A114" s="5" t="inlineStr">
        <is>
          <t>Cap Reserve Per Unit</t>
        </is>
      </c>
      <c r="B114" s="12" t="n">
        <v>250</v>
      </c>
      <c r="C114" s="2" t="inlineStr">
        <is>
          <t>Capital reserves $/unit/yr (below NOI)</t>
        </is>
      </c>
    </row>
    <row r="115">
      <c r="A115" s="5" t="inlineStr">
        <is>
          <t>Tax Prep Per Unit</t>
        </is>
      </c>
      <c r="B115" s="12" t="n">
        <v>15</v>
      </c>
      <c r="C115" s="2" t="inlineStr">
        <is>
          <t>Tax prep $/unit/yr (below NOI)</t>
        </is>
      </c>
    </row>
    <row r="116">
      <c r="A116" s="5" t="inlineStr">
        <is>
          <t>Asset Mgmt Fee Pct</t>
        </is>
      </c>
      <c r="B116" s="9" t="n">
        <v>0.01</v>
      </c>
      <c r="C116" s="2" t="inlineStr">
        <is>
          <t>Asset mgmt fee % of EGI (below NOI)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4" customWidth="1" min="7" max="7"/>
    <col width="14" customWidth="1" min="8" max="8"/>
    <col width="10" customWidth="1" min="9" max="9"/>
    <col width="10" customWidth="1" min="10" max="10"/>
  </cols>
  <sheetData>
    <row r="1">
      <c r="A1" s="1" t="inlineStr">
        <is>
          <t>Unit Matrix — Residential &amp; Retail</t>
        </is>
      </c>
    </row>
    <row r="3">
      <c r="A3" s="15" t="inlineStr">
        <is>
          <t>Plan</t>
        </is>
      </c>
      <c r="B3" s="15" t="inlineStr">
        <is>
          <t>Class</t>
        </is>
      </c>
      <c r="C3" s="16" t="inlineStr">
        <is>
          <t>Units</t>
        </is>
      </c>
      <c r="D3" s="16" t="inlineStr">
        <is>
          <t>Avg SF</t>
        </is>
      </c>
      <c r="E3" s="16" t="inlineStr">
        <is>
          <t>Total SF</t>
        </is>
      </c>
      <c r="F3" s="16" t="inlineStr">
        <is>
          <t>Market Rent</t>
        </is>
      </c>
      <c r="G3" s="16" t="inlineStr">
        <is>
          <t>Net Eff. Rent</t>
        </is>
      </c>
      <c r="H3" s="16" t="inlineStr">
        <is>
          <t>Annual Rent</t>
        </is>
      </c>
      <c r="I3" s="16" t="inlineStr">
        <is>
          <t>Rent / SF</t>
        </is>
      </c>
      <c r="J3" s="16" t="inlineStr">
        <is>
          <t>% of Total</t>
        </is>
      </c>
    </row>
    <row r="4">
      <c r="A4" s="5" t="inlineStr">
        <is>
          <t>Studio</t>
        </is>
      </c>
      <c r="B4" s="5" t="inlineStr">
        <is>
          <t>Market</t>
        </is>
      </c>
      <c r="C4" s="10" t="n">
        <v>40</v>
      </c>
      <c r="D4" s="10" t="n">
        <v>540</v>
      </c>
      <c r="E4" s="17">
        <f>C4*D4</f>
        <v/>
      </c>
      <c r="F4" s="12" t="n">
        <v>1895</v>
      </c>
      <c r="G4" s="12" t="n">
        <v>1845</v>
      </c>
      <c r="H4" s="18">
        <f>C4*F4*12</f>
        <v/>
      </c>
      <c r="I4" s="19">
        <f>IF(D4=0,0,F4/D4)</f>
        <v/>
      </c>
      <c r="J4" s="20">
        <f>IF(TotalUnits=0,0,C4/TotalUnits)</f>
        <v/>
      </c>
    </row>
    <row r="5">
      <c r="A5" s="5" t="inlineStr">
        <is>
          <t>1BR-A</t>
        </is>
      </c>
      <c r="B5" s="5" t="inlineStr">
        <is>
          <t>Market</t>
        </is>
      </c>
      <c r="C5" s="10" t="n">
        <v>60</v>
      </c>
      <c r="D5" s="10" t="n">
        <v>720</v>
      </c>
      <c r="E5" s="17">
        <f>C5*D5</f>
        <v/>
      </c>
      <c r="F5" s="12" t="n">
        <v>2245</v>
      </c>
      <c r="G5" s="12" t="n">
        <v>2195</v>
      </c>
      <c r="H5" s="18">
        <f>C5*F5*12</f>
        <v/>
      </c>
      <c r="I5" s="19">
        <f>IF(D5=0,0,F5/D5)</f>
        <v/>
      </c>
      <c r="J5" s="20">
        <f>IF(TotalUnits=0,0,C5/TotalUnits)</f>
        <v/>
      </c>
    </row>
    <row r="6">
      <c r="A6" s="5" t="inlineStr">
        <is>
          <t>1BR-B</t>
        </is>
      </c>
      <c r="B6" s="5" t="inlineStr">
        <is>
          <t>Market</t>
        </is>
      </c>
      <c r="C6" s="10" t="n">
        <v>30</v>
      </c>
      <c r="D6" s="10" t="n">
        <v>780</v>
      </c>
      <c r="E6" s="17">
        <f>C6*D6</f>
        <v/>
      </c>
      <c r="F6" s="12" t="n">
        <v>2360</v>
      </c>
      <c r="G6" s="12" t="n">
        <v>2300</v>
      </c>
      <c r="H6" s="18">
        <f>C6*F6*12</f>
        <v/>
      </c>
      <c r="I6" s="19">
        <f>IF(D6=0,0,F6/D6)</f>
        <v/>
      </c>
      <c r="J6" s="20">
        <f>IF(TotalUnits=0,0,C6/TotalUnits)</f>
        <v/>
      </c>
    </row>
    <row r="7">
      <c r="A7" s="5" t="inlineStr">
        <is>
          <t>2BR-A</t>
        </is>
      </c>
      <c r="B7" s="5" t="inlineStr">
        <is>
          <t>Market</t>
        </is>
      </c>
      <c r="C7" s="10" t="n">
        <v>40</v>
      </c>
      <c r="D7" s="10" t="n">
        <v>1050</v>
      </c>
      <c r="E7" s="17">
        <f>C7*D7</f>
        <v/>
      </c>
      <c r="F7" s="12" t="n">
        <v>3050</v>
      </c>
      <c r="G7" s="12" t="n">
        <v>2975</v>
      </c>
      <c r="H7" s="18">
        <f>C7*F7*12</f>
        <v/>
      </c>
      <c r="I7" s="19">
        <f>IF(D7=0,0,F7/D7)</f>
        <v/>
      </c>
      <c r="J7" s="20">
        <f>IF(TotalUnits=0,0,C7/TotalUnits)</f>
        <v/>
      </c>
    </row>
    <row r="8">
      <c r="A8" s="5" t="inlineStr">
        <is>
          <t>2BR-B</t>
        </is>
      </c>
      <c r="B8" s="5" t="inlineStr">
        <is>
          <t>Market</t>
        </is>
      </c>
      <c r="C8" s="10" t="n">
        <v>10</v>
      </c>
      <c r="D8" s="10" t="n">
        <v>1150</v>
      </c>
      <c r="E8" s="17">
        <f>C8*D8</f>
        <v/>
      </c>
      <c r="F8" s="12" t="n">
        <v>3220</v>
      </c>
      <c r="G8" s="12" t="n">
        <v>3140</v>
      </c>
      <c r="H8" s="18">
        <f>C8*F8*12</f>
        <v/>
      </c>
      <c r="I8" s="19">
        <f>IF(D8=0,0,F8/D8)</f>
        <v/>
      </c>
      <c r="J8" s="20">
        <f>IF(TotalUnits=0,0,C8/TotalUnits)</f>
        <v/>
      </c>
    </row>
    <row r="9">
      <c r="A9" s="5" t="inlineStr">
        <is>
          <t>1BR-LI</t>
        </is>
      </c>
      <c r="B9" s="5" t="inlineStr">
        <is>
          <t>Low</t>
        </is>
      </c>
      <c r="C9" s="10" t="n">
        <v>12</v>
      </c>
      <c r="D9" s="10" t="n">
        <v>720</v>
      </c>
      <c r="E9" s="17">
        <f>C9*D9</f>
        <v/>
      </c>
      <c r="F9" s="12" t="n">
        <v>1350</v>
      </c>
      <c r="G9" s="12" t="n">
        <v>1350</v>
      </c>
      <c r="H9" s="18">
        <f>C9*F9*12</f>
        <v/>
      </c>
      <c r="I9" s="19">
        <f>IF(D9=0,0,F9/D9)</f>
        <v/>
      </c>
      <c r="J9" s="20">
        <f>IF(TotalUnits=0,0,C9/TotalUnits)</f>
        <v/>
      </c>
    </row>
    <row r="10">
      <c r="A10" s="5" t="inlineStr">
        <is>
          <t>2BR-LI</t>
        </is>
      </c>
      <c r="B10" s="5" t="inlineStr">
        <is>
          <t>Low</t>
        </is>
      </c>
      <c r="C10" s="10" t="n">
        <v>8</v>
      </c>
      <c r="D10" s="10" t="n">
        <v>1050</v>
      </c>
      <c r="E10" s="17">
        <f>C10*D10</f>
        <v/>
      </c>
      <c r="F10" s="12" t="n">
        <v>1625</v>
      </c>
      <c r="G10" s="12" t="n">
        <v>1625</v>
      </c>
      <c r="H10" s="18">
        <f>C10*F10*12</f>
        <v/>
      </c>
      <c r="I10" s="19">
        <f>IF(D10=0,0,F10/D10)</f>
        <v/>
      </c>
      <c r="J10" s="20">
        <f>IF(TotalUnits=0,0,C10/TotalUnits)</f>
        <v/>
      </c>
    </row>
    <row r="11">
      <c r="A11" s="21" t="inlineStr">
        <is>
          <t>Total / Weighted</t>
        </is>
      </c>
      <c r="C11" s="22">
        <f>SUM(C4:C10)</f>
        <v/>
      </c>
      <c r="E11" s="22">
        <f>SUM(E4:E10)</f>
        <v/>
      </c>
      <c r="H11" s="22">
        <f>SUM(H4:H10)</f>
        <v/>
      </c>
    </row>
    <row r="13">
      <c r="A13" s="15" t="inlineStr">
        <is>
          <t>Derived Unit Metrics</t>
        </is>
      </c>
      <c r="B13" s="23" t="n"/>
    </row>
    <row r="14">
      <c r="A14" s="5" t="inlineStr">
        <is>
          <t>Total Units</t>
        </is>
      </c>
      <c r="B14" s="24">
        <f>SUM(C4:C10)</f>
        <v/>
      </c>
    </row>
    <row r="15">
      <c r="A15" s="5" t="inlineStr">
        <is>
          <t>Market-Rate Units</t>
        </is>
      </c>
      <c r="B15" s="24">
        <f>SUMIF(B4:B10,"Market",C4:C10)</f>
        <v/>
      </c>
    </row>
    <row r="16">
      <c r="A16" s="5" t="inlineStr">
        <is>
          <t>Low-Income Units</t>
        </is>
      </c>
      <c r="B16" s="24">
        <f>SUMIF(B4:B10,"Low",C4:C10)</f>
        <v/>
      </c>
    </row>
    <row r="17">
      <c r="A17" s="5" t="inlineStr">
        <is>
          <t>Net Rentable SF (NRSF)</t>
        </is>
      </c>
      <c r="B17" s="24">
        <f>SUM(E4:E10)</f>
        <v/>
      </c>
    </row>
    <row r="18">
      <c r="A18" s="5" t="inlineStr">
        <is>
          <t>Buildable SF</t>
        </is>
      </c>
      <c r="B18" s="24">
        <f>NRSF/EfficiencyRatio</f>
        <v/>
      </c>
    </row>
    <row r="19">
      <c r="A19" s="5" t="inlineStr">
        <is>
          <t>Avg Unit SF</t>
        </is>
      </c>
      <c r="B19" s="24">
        <f>IF(TotalUnits=0,0,NRSF/TotalUnits)</f>
        <v/>
      </c>
    </row>
    <row r="20">
      <c r="A20" s="5" t="inlineStr">
        <is>
          <t>Base Market Rent / mo</t>
        </is>
      </c>
      <c r="B20" s="25">
        <f>SUMPRODUCT((B4:B10="Market")*C4:C10*F4:F10)</f>
        <v/>
      </c>
    </row>
    <row r="21">
      <c r="A21" s="5" t="inlineStr">
        <is>
          <t>Base Low-Income Rent / mo</t>
        </is>
      </c>
      <c r="B21" s="25">
        <f>SUMPRODUCT((B4:B10="Low")*C4:C10*F4:F10)</f>
        <v/>
      </c>
    </row>
    <row r="23">
      <c r="A23" s="15" t="inlineStr">
        <is>
          <t>Retail Matrix</t>
        </is>
      </c>
      <c r="B23" s="23" t="n"/>
      <c r="C23" s="23" t="n"/>
      <c r="D23" s="23" t="n"/>
    </row>
    <row r="24">
      <c r="A24" s="26" t="inlineStr">
        <is>
          <t>Suite</t>
        </is>
      </c>
      <c r="B24" s="27" t="inlineStr">
        <is>
          <t>SF</t>
        </is>
      </c>
      <c r="C24" s="27" t="inlineStr">
        <is>
          <t>Rent / SF / yr</t>
        </is>
      </c>
      <c r="D24" s="27" t="inlineStr">
        <is>
          <t>Annual Rent</t>
        </is>
      </c>
      <c r="E24" s="27" t="inlineStr">
        <is>
          <t>Monthly Rent</t>
        </is>
      </c>
    </row>
    <row r="25">
      <c r="A25" s="5" t="inlineStr">
        <is>
          <t>Retail-1</t>
        </is>
      </c>
      <c r="B25" s="10" t="n">
        <v>4200</v>
      </c>
      <c r="C25" s="28" t="n">
        <v>34</v>
      </c>
      <c r="D25" s="18">
        <f>B25*C25</f>
        <v/>
      </c>
      <c r="E25" s="18">
        <f>B25*C25/12</f>
        <v/>
      </c>
    </row>
    <row r="26">
      <c r="A26" s="5" t="inlineStr">
        <is>
          <t>Retail-2</t>
        </is>
      </c>
      <c r="B26" s="10" t="n">
        <v>3100</v>
      </c>
      <c r="C26" s="28" t="n">
        <v>32</v>
      </c>
      <c r="D26" s="18">
        <f>B26*C26</f>
        <v/>
      </c>
      <c r="E26" s="18">
        <f>B26*C26/12</f>
        <v/>
      </c>
    </row>
    <row r="27">
      <c r="A27" s="5" t="inlineStr">
        <is>
          <t>Retail Rent / mo</t>
        </is>
      </c>
      <c r="B27" s="25">
        <f>SUM(E25:E26)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8" customWidth="1" min="2" max="2"/>
    <col width="8" customWidth="1" min="3" max="3"/>
    <col width="8" customWidth="1" min="4" max="4"/>
    <col width="14" customWidth="1" min="5" max="5"/>
    <col width="20" customWidth="1" min="6" max="6"/>
    <col width="16" customWidth="1" min="7" max="7"/>
    <col width="10" customWidth="1" min="8" max="8"/>
    <col width="16" customWidth="1" min="9" max="9"/>
    <col width="12" customWidth="1" min="10" max="10"/>
    <col width="10" customWidth="1" min="11" max="11"/>
  </cols>
  <sheetData>
    <row r="1">
      <c r="A1" s="1" t="inlineStr">
        <is>
          <t>Development Budget &amp; Cost Assumptions</t>
        </is>
      </c>
    </row>
    <row r="2">
      <c r="A2" s="2" t="inlineStr">
        <is>
          <t>Basis: abs=$  unit=$/unit  sf=$/NRSF.  Modeled Total drives the cost-curve engine.</t>
        </is>
      </c>
    </row>
    <row r="4">
      <c r="A4" s="15" t="inlineStr">
        <is>
          <t>Line Item</t>
        </is>
      </c>
      <c r="B4" s="15" t="inlineStr">
        <is>
          <t>Group</t>
        </is>
      </c>
      <c r="C4" s="15" t="inlineStr">
        <is>
          <t>Type</t>
        </is>
      </c>
      <c r="D4" s="15" t="inlineStr">
        <is>
          <t>Basis</t>
        </is>
      </c>
      <c r="E4" s="16" t="inlineStr">
        <is>
          <t>Amount</t>
        </is>
      </c>
      <c r="F4" s="16" t="inlineStr">
        <is>
          <t>Phase</t>
        </is>
      </c>
      <c r="G4" s="16" t="inlineStr">
        <is>
          <t>Cost Curve</t>
        </is>
      </c>
      <c r="H4" s="16" t="inlineStr">
        <is>
          <t>Modifier</t>
        </is>
      </c>
      <c r="I4" s="16" t="inlineStr">
        <is>
          <t>Modeled Total</t>
        </is>
      </c>
      <c r="J4" s="16" t="inlineStr">
        <is>
          <t>Per Unit</t>
        </is>
      </c>
      <c r="K4" s="16" t="inlineStr">
        <is>
          <t>Per SF</t>
        </is>
      </c>
    </row>
    <row r="5">
      <c r="A5" s="5" t="inlineStr">
        <is>
          <t>Land Acquisition</t>
        </is>
      </c>
      <c r="B5" s="5" t="inlineStr">
        <is>
          <t>Land</t>
        </is>
      </c>
      <c r="C5" s="5" t="inlineStr">
        <is>
          <t>Land</t>
        </is>
      </c>
      <c r="D5" s="6" t="inlineStr">
        <is>
          <t>abs</t>
        </is>
      </c>
      <c r="E5" s="25">
        <f>LandCost</f>
        <v/>
      </c>
      <c r="F5" s="6" t="inlineStr">
        <is>
          <t>Initial Closing</t>
        </is>
      </c>
      <c r="G5" s="6" t="inlineStr">
        <is>
          <t>Single_Point</t>
        </is>
      </c>
      <c r="H5" s="10" t="n">
        <v>0</v>
      </c>
      <c r="I5" s="18">
        <f>IF(D5="abs",E5,IF(D5="unit",E5*TotalUnits,IF(D5="sf",E5*NRSF,E5)))</f>
        <v/>
      </c>
      <c r="J5" s="18">
        <f>IF(TotalUnits=0,0,I5/TotalUnits)</f>
        <v/>
      </c>
      <c r="K5" s="19">
        <f>IF(NRSF=0,0,I5/NRSF)</f>
        <v/>
      </c>
    </row>
    <row r="6">
      <c r="A6" s="5" t="inlineStr">
        <is>
          <t>Existing Structure/Demo</t>
        </is>
      </c>
      <c r="B6" s="5" t="inlineStr">
        <is>
          <t>Land</t>
        </is>
      </c>
      <c r="C6" s="5" t="inlineStr">
        <is>
          <t>Land</t>
        </is>
      </c>
      <c r="D6" s="6" t="inlineStr">
        <is>
          <t>abs</t>
        </is>
      </c>
      <c r="E6" s="25">
        <f>ExistingStructureCost</f>
        <v/>
      </c>
      <c r="F6" s="6" t="inlineStr">
        <is>
          <t>Pre-Construction</t>
        </is>
      </c>
      <c r="G6" s="6" t="inlineStr">
        <is>
          <t>Straight_Line</t>
        </is>
      </c>
      <c r="H6" s="10" t="n">
        <v>0</v>
      </c>
      <c r="I6" s="18">
        <f>IF(D6="abs",E6,IF(D6="unit",E6*TotalUnits,IF(D6="sf",E6*NRSF,E6)))</f>
        <v/>
      </c>
      <c r="J6" s="18">
        <f>IF(TotalUnits=0,0,I6/TotalUnits)</f>
        <v/>
      </c>
      <c r="K6" s="19">
        <f>IF(NRSF=0,0,I6/NRSF)</f>
        <v/>
      </c>
    </row>
    <row r="7">
      <c r="A7" s="5" t="inlineStr">
        <is>
          <t>Due Diligence</t>
        </is>
      </c>
      <c r="B7" s="5" t="inlineStr">
        <is>
          <t>Soft</t>
        </is>
      </c>
      <c r="C7" s="5" t="inlineStr">
        <is>
          <t>Soft</t>
        </is>
      </c>
      <c r="D7" s="6" t="inlineStr">
        <is>
          <t>abs</t>
        </is>
      </c>
      <c r="E7" s="29" t="n">
        <v>150000</v>
      </c>
      <c r="F7" s="6" t="inlineStr">
        <is>
          <t>Due Diligence</t>
        </is>
      </c>
      <c r="G7" s="6" t="inlineStr">
        <is>
          <t>Straight_Line</t>
        </is>
      </c>
      <c r="H7" s="10" t="n">
        <v>0</v>
      </c>
      <c r="I7" s="18">
        <f>IF(D7="abs",E7,IF(D7="unit",E7*TotalUnits,IF(D7="sf",E7*NRSF,E7)))</f>
        <v/>
      </c>
      <c r="J7" s="18">
        <f>IF(TotalUnits=0,0,I7/TotalUnits)</f>
        <v/>
      </c>
      <c r="K7" s="19">
        <f>IF(NRSF=0,0,I7/NRSF)</f>
        <v/>
      </c>
    </row>
    <row r="8">
      <c r="A8" s="5" t="inlineStr">
        <is>
          <t>Entitlements</t>
        </is>
      </c>
      <c r="B8" s="5" t="inlineStr">
        <is>
          <t>Soft</t>
        </is>
      </c>
      <c r="C8" s="5" t="inlineStr">
        <is>
          <t>Soft</t>
        </is>
      </c>
      <c r="D8" s="6" t="inlineStr">
        <is>
          <t>abs</t>
        </is>
      </c>
      <c r="E8" s="29" t="n">
        <v>600000</v>
      </c>
      <c r="F8" s="6" t="inlineStr">
        <is>
          <t>Entitlement</t>
        </is>
      </c>
      <c r="G8" s="6" t="inlineStr">
        <is>
          <t>Straight_Line</t>
        </is>
      </c>
      <c r="H8" s="10" t="n">
        <v>0</v>
      </c>
      <c r="I8" s="18">
        <f>IF(D8="abs",E8,IF(D8="unit",E8*TotalUnits,IF(D8="sf",E8*NRSF,E8)))</f>
        <v/>
      </c>
      <c r="J8" s="18">
        <f>IF(TotalUnits=0,0,I8/TotalUnits)</f>
        <v/>
      </c>
      <c r="K8" s="19">
        <f>IF(NRSF=0,0,I8/NRSF)</f>
        <v/>
      </c>
    </row>
    <row r="9">
      <c r="A9" s="5" t="inlineStr">
        <is>
          <t>Architecture &amp; Eng.</t>
        </is>
      </c>
      <c r="B9" s="5" t="inlineStr">
        <is>
          <t>Soft</t>
        </is>
      </c>
      <c r="C9" s="5" t="inlineStr">
        <is>
          <t>Soft</t>
        </is>
      </c>
      <c r="D9" s="6" t="inlineStr">
        <is>
          <t>sf</t>
        </is>
      </c>
      <c r="E9" s="13" t="n">
        <v>6.5</v>
      </c>
      <c r="F9" s="6" t="inlineStr">
        <is>
          <t>Pre-Construction</t>
        </is>
      </c>
      <c r="G9" s="6" t="inlineStr">
        <is>
          <t>Straight_Line</t>
        </is>
      </c>
      <c r="H9" s="10" t="n">
        <v>0</v>
      </c>
      <c r="I9" s="18">
        <f>IF(D9="abs",E9,IF(D9="unit",E9*TotalUnits,IF(D9="sf",E9*NRSF,E9)))</f>
        <v/>
      </c>
      <c r="J9" s="18">
        <f>IF(TotalUnits=0,0,I9/TotalUnits)</f>
        <v/>
      </c>
      <c r="K9" s="19">
        <f>IF(NRSF=0,0,I9/NRSF)</f>
        <v/>
      </c>
    </row>
    <row r="10">
      <c r="A10" s="5" t="inlineStr">
        <is>
          <t>Consultants</t>
        </is>
      </c>
      <c r="B10" s="5" t="inlineStr">
        <is>
          <t>Soft</t>
        </is>
      </c>
      <c r="C10" s="5" t="inlineStr">
        <is>
          <t>Soft</t>
        </is>
      </c>
      <c r="D10" s="6" t="inlineStr">
        <is>
          <t>abs</t>
        </is>
      </c>
      <c r="E10" s="29" t="n">
        <v>400000</v>
      </c>
      <c r="F10" s="6" t="inlineStr">
        <is>
          <t>Entitlement</t>
        </is>
      </c>
      <c r="G10" s="6" t="inlineStr">
        <is>
          <t>Straight_Line</t>
        </is>
      </c>
      <c r="H10" s="10" t="n">
        <v>0</v>
      </c>
      <c r="I10" s="18">
        <f>IF(D10="abs",E10,IF(D10="unit",E10*TotalUnits,IF(D10="sf",E10*NRSF,E10)))</f>
        <v/>
      </c>
      <c r="J10" s="18">
        <f>IF(TotalUnits=0,0,I10/TotalUnits)</f>
        <v/>
      </c>
      <c r="K10" s="19">
        <f>IF(NRSF=0,0,I10/NRSF)</f>
        <v/>
      </c>
    </row>
    <row r="11">
      <c r="A11" s="5" t="inlineStr">
        <is>
          <t>Legal &amp; Org.</t>
        </is>
      </c>
      <c r="B11" s="5" t="inlineStr">
        <is>
          <t>Soft</t>
        </is>
      </c>
      <c r="C11" s="5" t="inlineStr">
        <is>
          <t>Soft</t>
        </is>
      </c>
      <c r="D11" s="6" t="inlineStr">
        <is>
          <t>abs</t>
        </is>
      </c>
      <c r="E11" s="29" t="n">
        <v>300000</v>
      </c>
      <c r="F11" s="6" t="inlineStr">
        <is>
          <t>Due Diligence</t>
        </is>
      </c>
      <c r="G11" s="6" t="inlineStr">
        <is>
          <t>Straight_Line</t>
        </is>
      </c>
      <c r="H11" s="10" t="n">
        <v>0</v>
      </c>
      <c r="I11" s="18">
        <f>IF(D11="abs",E11,IF(D11="unit",E11*TotalUnits,IF(D11="sf",E11*NRSF,E11)))</f>
        <v/>
      </c>
      <c r="J11" s="18">
        <f>IF(TotalUnits=0,0,I11/TotalUnits)</f>
        <v/>
      </c>
      <c r="K11" s="19">
        <f>IF(NRSF=0,0,I11/NRSF)</f>
        <v/>
      </c>
    </row>
    <row r="12">
      <c r="A12" s="5" t="inlineStr">
        <is>
          <t>Marketing &amp; Lease-Up</t>
        </is>
      </c>
      <c r="B12" s="5" t="inlineStr">
        <is>
          <t>Soft</t>
        </is>
      </c>
      <c r="C12" s="5" t="inlineStr">
        <is>
          <t>Soft</t>
        </is>
      </c>
      <c r="D12" s="6" t="inlineStr">
        <is>
          <t>unit</t>
        </is>
      </c>
      <c r="E12" s="13" t="n">
        <v>1200</v>
      </c>
      <c r="F12" s="6" t="inlineStr">
        <is>
          <t>Lease-Up</t>
        </is>
      </c>
      <c r="G12" s="6" t="inlineStr">
        <is>
          <t>Straight_Line</t>
        </is>
      </c>
      <c r="H12" s="10" t="n">
        <v>0</v>
      </c>
      <c r="I12" s="18">
        <f>IF(D12="abs",E12,IF(D12="unit",E12*TotalUnits,IF(D12="sf",E12*NRSF,E12)))</f>
        <v/>
      </c>
      <c r="J12" s="18">
        <f>IF(TotalUnits=0,0,I12/TotalUnits)</f>
        <v/>
      </c>
      <c r="K12" s="19">
        <f>IF(NRSF=0,0,I12/NRSF)</f>
        <v/>
      </c>
    </row>
    <row r="13">
      <c r="A13" s="5" t="inlineStr">
        <is>
          <t>Property Taxes (Dev)</t>
        </is>
      </c>
      <c r="B13" s="5" t="inlineStr">
        <is>
          <t>Soft</t>
        </is>
      </c>
      <c r="C13" s="5" t="inlineStr">
        <is>
          <t>Soft</t>
        </is>
      </c>
      <c r="D13" s="6" t="inlineStr">
        <is>
          <t>abs</t>
        </is>
      </c>
      <c r="E13" s="29" t="n">
        <v>700000</v>
      </c>
      <c r="F13" s="6" t="inlineStr">
        <is>
          <t>Construction</t>
        </is>
      </c>
      <c r="G13" s="6" t="inlineStr">
        <is>
          <t>Straight_Line</t>
        </is>
      </c>
      <c r="H13" s="10" t="n">
        <v>0</v>
      </c>
      <c r="I13" s="18">
        <f>IF(D13="abs",E13,IF(D13="unit",E13*TotalUnits,IF(D13="sf",E13*NRSF,E13)))</f>
        <v/>
      </c>
      <c r="J13" s="18">
        <f>IF(TotalUnits=0,0,I13/TotalUnits)</f>
        <v/>
      </c>
      <c r="K13" s="19">
        <f>IF(NRSF=0,0,I13/NRSF)</f>
        <v/>
      </c>
    </row>
    <row r="14">
      <c r="A14" s="5" t="inlineStr">
        <is>
          <t>Insurance (Dev)</t>
        </is>
      </c>
      <c r="B14" s="5" t="inlineStr">
        <is>
          <t>Soft</t>
        </is>
      </c>
      <c r="C14" s="5" t="inlineStr">
        <is>
          <t>Soft</t>
        </is>
      </c>
      <c r="D14" s="6" t="inlineStr">
        <is>
          <t>abs</t>
        </is>
      </c>
      <c r="E14" s="29" t="n">
        <v>500000</v>
      </c>
      <c r="F14" s="6" t="inlineStr">
        <is>
          <t>Construction</t>
        </is>
      </c>
      <c r="G14" s="6" t="inlineStr">
        <is>
          <t>Straight_Line</t>
        </is>
      </c>
      <c r="H14" s="10" t="n">
        <v>0</v>
      </c>
      <c r="I14" s="18">
        <f>IF(D14="abs",E14,IF(D14="unit",E14*TotalUnits,IF(D14="sf",E14*NRSF,E14)))</f>
        <v/>
      </c>
      <c r="J14" s="18">
        <f>IF(TotalUnits=0,0,I14/TotalUnits)</f>
        <v/>
      </c>
      <c r="K14" s="19">
        <f>IF(NRSF=0,0,I14/NRSF)</f>
        <v/>
      </c>
    </row>
    <row r="15">
      <c r="A15" s="5" t="inlineStr">
        <is>
          <t>GC Contract (Hard)</t>
        </is>
      </c>
      <c r="B15" s="5" t="inlineStr">
        <is>
          <t>Hard</t>
        </is>
      </c>
      <c r="C15" s="5" t="inlineStr">
        <is>
          <t>Hard</t>
        </is>
      </c>
      <c r="D15" s="6" t="inlineStr">
        <is>
          <t>sf</t>
        </is>
      </c>
      <c r="E15" s="13" t="n">
        <v>200</v>
      </c>
      <c r="F15" s="6" t="inlineStr">
        <is>
          <t>Construction</t>
        </is>
      </c>
      <c r="G15" s="6" t="inlineStr">
        <is>
          <t>Bell_Curve</t>
        </is>
      </c>
      <c r="H15" s="10" t="n">
        <v>0</v>
      </c>
      <c r="I15" s="18">
        <f>IF(D15="abs",E15,IF(D15="unit",E15*TotalUnits,IF(D15="sf",E15*NRSF,E15)))</f>
        <v/>
      </c>
      <c r="J15" s="18">
        <f>IF(TotalUnits=0,0,I15/TotalUnits)</f>
        <v/>
      </c>
      <c r="K15" s="19">
        <f>IF(NRSF=0,0,I15/NRSF)</f>
        <v/>
      </c>
    </row>
    <row r="16">
      <c r="A16" s="5" t="inlineStr">
        <is>
          <t>Off-Site Improvements</t>
        </is>
      </c>
      <c r="B16" s="5" t="inlineStr">
        <is>
          <t>Hard</t>
        </is>
      </c>
      <c r="C16" s="5" t="inlineStr">
        <is>
          <t>Hard</t>
        </is>
      </c>
      <c r="D16" s="6" t="inlineStr">
        <is>
          <t>abs</t>
        </is>
      </c>
      <c r="E16" s="29" t="n">
        <v>1200000</v>
      </c>
      <c r="F16" s="6" t="inlineStr">
        <is>
          <t>Construction</t>
        </is>
      </c>
      <c r="G16" s="6" t="inlineStr">
        <is>
          <t>Straight_Line</t>
        </is>
      </c>
      <c r="H16" s="10" t="n">
        <v>0</v>
      </c>
      <c r="I16" s="18">
        <f>IF(D16="abs",E16,IF(D16="unit",E16*TotalUnits,IF(D16="sf",E16*NRSF,E16)))</f>
        <v/>
      </c>
      <c r="J16" s="18">
        <f>IF(TotalUnits=0,0,I16/TotalUnits)</f>
        <v/>
      </c>
      <c r="K16" s="19">
        <f>IF(NRSF=0,0,I16/NRSF)</f>
        <v/>
      </c>
    </row>
    <row r="17">
      <c r="A17" s="5" t="inlineStr">
        <is>
          <t>Utilities &amp; Hookups</t>
        </is>
      </c>
      <c r="B17" s="5" t="inlineStr">
        <is>
          <t>Hard</t>
        </is>
      </c>
      <c r="C17" s="5" t="inlineStr">
        <is>
          <t>Hard</t>
        </is>
      </c>
      <c r="D17" s="6" t="inlineStr">
        <is>
          <t>abs</t>
        </is>
      </c>
      <c r="E17" s="29" t="n">
        <v>900000</v>
      </c>
      <c r="F17" s="6" t="inlineStr">
        <is>
          <t>Construction</t>
        </is>
      </c>
      <c r="G17" s="6" t="inlineStr">
        <is>
          <t>Straight_Line</t>
        </is>
      </c>
      <c r="H17" s="10" t="n">
        <v>0</v>
      </c>
      <c r="I17" s="18">
        <f>IF(D17="abs",E17,IF(D17="unit",E17*TotalUnits,IF(D17="sf",E17*NRSF,E17)))</f>
        <v/>
      </c>
      <c r="J17" s="18">
        <f>IF(TotalUnits=0,0,I17/TotalUnits)</f>
        <v/>
      </c>
      <c r="K17" s="19">
        <f>IF(NRSF=0,0,I17/NRSF)</f>
        <v/>
      </c>
    </row>
    <row r="18">
      <c r="A18" s="5" t="inlineStr">
        <is>
          <t>Builder's Risk</t>
        </is>
      </c>
      <c r="B18" s="5" t="inlineStr">
        <is>
          <t>Hard</t>
        </is>
      </c>
      <c r="C18" s="5" t="inlineStr">
        <is>
          <t>Hard</t>
        </is>
      </c>
      <c r="D18" s="6" t="inlineStr">
        <is>
          <t>abs</t>
        </is>
      </c>
      <c r="E18" s="29" t="n">
        <v>350000</v>
      </c>
      <c r="F18" s="6" t="inlineStr">
        <is>
          <t>Construction</t>
        </is>
      </c>
      <c r="G18" s="6" t="inlineStr">
        <is>
          <t>Straight_Line</t>
        </is>
      </c>
      <c r="H18" s="10" t="n">
        <v>0</v>
      </c>
      <c r="I18" s="18">
        <f>IF(D18="abs",E18,IF(D18="unit",E18*TotalUnits,IF(D18="sf",E18*NRSF,E18)))</f>
        <v/>
      </c>
      <c r="J18" s="18">
        <f>IF(TotalUnits=0,0,I18/TotalUnits)</f>
        <v/>
      </c>
      <c r="K18" s="19">
        <f>IF(NRSF=0,0,I18/NRSF)</f>
        <v/>
      </c>
    </row>
    <row r="19">
      <c r="A19" s="5" t="inlineStr">
        <is>
          <t>Hard Cost Contingency</t>
        </is>
      </c>
      <c r="B19" s="5" t="inlineStr">
        <is>
          <t>Hard</t>
        </is>
      </c>
      <c r="C19" s="5" t="inlineStr">
        <is>
          <t>Hard</t>
        </is>
      </c>
      <c r="D19" s="6" t="inlineStr">
        <is>
          <t>sf</t>
        </is>
      </c>
      <c r="E19" s="13" t="n">
        <v>10</v>
      </c>
      <c r="F19" s="6" t="inlineStr">
        <is>
          <t>Construction</t>
        </is>
      </c>
      <c r="G19" s="6" t="inlineStr">
        <is>
          <t>Bell_Curve</t>
        </is>
      </c>
      <c r="H19" s="10" t="n">
        <v>0</v>
      </c>
      <c r="I19" s="18">
        <f>IF(D19="abs",E19,IF(D19="unit",E19*TotalUnits,IF(D19="sf",E19*NRSF,E19)))</f>
        <v/>
      </c>
      <c r="J19" s="18">
        <f>IF(TotalUnits=0,0,I19/TotalUnits)</f>
        <v/>
      </c>
      <c r="K19" s="19">
        <f>IF(NRSF=0,0,I19/NRSF)</f>
        <v/>
      </c>
    </row>
    <row r="20">
      <c r="A20" s="5" t="inlineStr">
        <is>
          <t>GC Fee</t>
        </is>
      </c>
      <c r="B20" s="5" t="inlineStr">
        <is>
          <t>Hard</t>
        </is>
      </c>
      <c r="C20" s="5" t="inlineStr">
        <is>
          <t>Hard</t>
        </is>
      </c>
      <c r="D20" s="6" t="inlineStr">
        <is>
          <t>sf</t>
        </is>
      </c>
      <c r="E20" s="13" t="n">
        <v>12</v>
      </c>
      <c r="F20" s="6" t="inlineStr">
        <is>
          <t>Construction</t>
        </is>
      </c>
      <c r="G20" s="6" t="inlineStr">
        <is>
          <t>Bell_Curve</t>
        </is>
      </c>
      <c r="H20" s="10" t="n">
        <v>0</v>
      </c>
      <c r="I20" s="18">
        <f>IF(D20="abs",E20,IF(D20="unit",E20*TotalUnits,IF(D20="sf",E20*NRSF,E20)))</f>
        <v/>
      </c>
      <c r="J20" s="18">
        <f>IF(TotalUnits=0,0,I20/TotalUnits)</f>
        <v/>
      </c>
      <c r="K20" s="19">
        <f>IF(NRSF=0,0,I20/NRSF)</f>
        <v/>
      </c>
    </row>
    <row r="21">
      <c r="A21" s="5" t="inlineStr">
        <is>
          <t>Other Soft Cost 1 - FF&amp;E</t>
        </is>
      </c>
      <c r="B21" s="5" t="inlineStr">
        <is>
          <t>Soft</t>
        </is>
      </c>
      <c r="C21" s="5" t="inlineStr">
        <is>
          <t>Soft</t>
        </is>
      </c>
      <c r="D21" s="6" t="inlineStr">
        <is>
          <t>unit</t>
        </is>
      </c>
      <c r="E21" s="13" t="n">
        <v>800</v>
      </c>
      <c r="F21" s="6" t="inlineStr">
        <is>
          <t>Pre-Construction</t>
        </is>
      </c>
      <c r="G21" s="6" t="inlineStr">
        <is>
          <t>Straight_Line</t>
        </is>
      </c>
      <c r="H21" s="10" t="n">
        <v>0</v>
      </c>
      <c r="I21" s="18">
        <f>IF(D21="abs",E21,IF(D21="unit",E21*TotalUnits,IF(D21="sf",E21*NRSF,E21)))</f>
        <v/>
      </c>
      <c r="J21" s="18">
        <f>IF(TotalUnits=0,0,I21/TotalUnits)</f>
        <v/>
      </c>
      <c r="K21" s="19">
        <f>IF(NRSF=0,0,I21/NRSF)</f>
        <v/>
      </c>
    </row>
    <row r="22">
      <c r="A22" s="5" t="inlineStr">
        <is>
          <t>Other Soft Cost 2 - Permits</t>
        </is>
      </c>
      <c r="B22" s="5" t="inlineStr">
        <is>
          <t>Soft</t>
        </is>
      </c>
      <c r="C22" s="5" t="inlineStr">
        <is>
          <t>Soft</t>
        </is>
      </c>
      <c r="D22" s="6" t="inlineStr">
        <is>
          <t>abs</t>
        </is>
      </c>
      <c r="E22" s="29" t="n">
        <v>250000</v>
      </c>
      <c r="F22" s="6" t="inlineStr">
        <is>
          <t>Entitlement</t>
        </is>
      </c>
      <c r="G22" s="6" t="inlineStr">
        <is>
          <t>Straight_Line</t>
        </is>
      </c>
      <c r="H22" s="10" t="n">
        <v>0</v>
      </c>
      <c r="I22" s="18">
        <f>IF(D22="abs",E22,IF(D22="unit",E22*TotalUnits,IF(D22="sf",E22*NRSF,E22)))</f>
        <v/>
      </c>
      <c r="J22" s="18">
        <f>IF(TotalUnits=0,0,I22/TotalUnits)</f>
        <v/>
      </c>
      <c r="K22" s="19">
        <f>IF(NRSF=0,0,I22/NRSF)</f>
        <v/>
      </c>
    </row>
    <row r="23">
      <c r="A23" s="5" t="inlineStr">
        <is>
          <t>Other Soft Cost 3 - Testing</t>
        </is>
      </c>
      <c r="B23" s="5" t="inlineStr">
        <is>
          <t>Soft</t>
        </is>
      </c>
      <c r="C23" s="5" t="inlineStr">
        <is>
          <t>Soft</t>
        </is>
      </c>
      <c r="D23" s="6" t="inlineStr">
        <is>
          <t>abs</t>
        </is>
      </c>
      <c r="E23" s="29" t="n">
        <v>120000</v>
      </c>
      <c r="F23" s="6" t="inlineStr">
        <is>
          <t>Construction</t>
        </is>
      </c>
      <c r="G23" s="6" t="inlineStr">
        <is>
          <t>Straight_Line</t>
        </is>
      </c>
      <c r="H23" s="10" t="n">
        <v>0</v>
      </c>
      <c r="I23" s="18">
        <f>IF(D23="abs",E23,IF(D23="unit",E23*TotalUnits,IF(D23="sf",E23*NRSF,E23)))</f>
        <v/>
      </c>
      <c r="J23" s="18">
        <f>IF(TotalUnits=0,0,I23/TotalUnits)</f>
        <v/>
      </c>
      <c r="K23" s="19">
        <f>IF(NRSF=0,0,I23/NRSF)</f>
        <v/>
      </c>
    </row>
    <row r="24">
      <c r="A24" s="5" t="inlineStr">
        <is>
          <t>Other Soft Cost 4</t>
        </is>
      </c>
      <c r="B24" s="5" t="inlineStr">
        <is>
          <t>Soft</t>
        </is>
      </c>
      <c r="C24" s="5" t="inlineStr">
        <is>
          <t>Soft</t>
        </is>
      </c>
      <c r="D24" s="6" t="inlineStr">
        <is>
          <t>abs</t>
        </is>
      </c>
      <c r="E24" s="29" t="n">
        <v>0</v>
      </c>
      <c r="F24" s="6" t="inlineStr">
        <is>
          <t>Construction</t>
        </is>
      </c>
      <c r="G24" s="6" t="inlineStr">
        <is>
          <t>Straight_Line</t>
        </is>
      </c>
      <c r="H24" s="10" t="n">
        <v>0</v>
      </c>
      <c r="I24" s="18">
        <f>IF(D24="abs",E24,IF(D24="unit",E24*TotalUnits,IF(D24="sf",E24*NRSF,E24)))</f>
        <v/>
      </c>
      <c r="J24" s="18">
        <f>IF(TotalUnits=0,0,I24/TotalUnits)</f>
        <v/>
      </c>
      <c r="K24" s="19">
        <f>IF(NRSF=0,0,I24/NRSF)</f>
        <v/>
      </c>
    </row>
    <row r="25">
      <c r="A25" s="5" t="inlineStr">
        <is>
          <t>Other Soft Cost 5</t>
        </is>
      </c>
      <c r="B25" s="5" t="inlineStr">
        <is>
          <t>Soft</t>
        </is>
      </c>
      <c r="C25" s="5" t="inlineStr">
        <is>
          <t>Soft</t>
        </is>
      </c>
      <c r="D25" s="6" t="inlineStr">
        <is>
          <t>abs</t>
        </is>
      </c>
      <c r="E25" s="29" t="n">
        <v>0</v>
      </c>
      <c r="F25" s="6" t="inlineStr">
        <is>
          <t>Construction</t>
        </is>
      </c>
      <c r="G25" s="6" t="inlineStr">
        <is>
          <t>Straight_Line</t>
        </is>
      </c>
      <c r="H25" s="10" t="n">
        <v>0</v>
      </c>
      <c r="I25" s="18">
        <f>IF(D25="abs",E25,IF(D25="unit",E25*TotalUnits,IF(D25="sf",E25*NRSF,E25)))</f>
        <v/>
      </c>
      <c r="J25" s="18">
        <f>IF(TotalUnits=0,0,I25/TotalUnits)</f>
        <v/>
      </c>
      <c r="K25" s="19">
        <f>IF(NRSF=0,0,I25/NRSF)</f>
        <v/>
      </c>
    </row>
    <row r="26">
      <c r="A26" s="5" t="inlineStr">
        <is>
          <t>Other Soft Cost 6</t>
        </is>
      </c>
      <c r="B26" s="5" t="inlineStr">
        <is>
          <t>Soft</t>
        </is>
      </c>
      <c r="C26" s="5" t="inlineStr">
        <is>
          <t>Soft</t>
        </is>
      </c>
      <c r="D26" s="6" t="inlineStr">
        <is>
          <t>abs</t>
        </is>
      </c>
      <c r="E26" s="29" t="n">
        <v>0</v>
      </c>
      <c r="F26" s="6" t="inlineStr">
        <is>
          <t>Construction</t>
        </is>
      </c>
      <c r="G26" s="6" t="inlineStr">
        <is>
          <t>Straight_Line</t>
        </is>
      </c>
      <c r="H26" s="10" t="n">
        <v>0</v>
      </c>
      <c r="I26" s="18">
        <f>IF(D26="abs",E26,IF(D26="unit",E26*TotalUnits,IF(D26="sf",E26*NRSF,E26)))</f>
        <v/>
      </c>
      <c r="J26" s="18">
        <f>IF(TotalUnits=0,0,I26/TotalUnits)</f>
        <v/>
      </c>
      <c r="K26" s="19">
        <f>IF(NRSF=0,0,I26/NRSF)</f>
        <v/>
      </c>
    </row>
    <row r="27">
      <c r="A27" s="5" t="inlineStr">
        <is>
          <t>Other Hard Cost 1 - Landscape</t>
        </is>
      </c>
      <c r="B27" s="5" t="inlineStr">
        <is>
          <t>Hard</t>
        </is>
      </c>
      <c r="C27" s="5" t="inlineStr">
        <is>
          <t>Hard</t>
        </is>
      </c>
      <c r="D27" s="6" t="inlineStr">
        <is>
          <t>abs</t>
        </is>
      </c>
      <c r="E27" s="29" t="n">
        <v>650000</v>
      </c>
      <c r="F27" s="6" t="inlineStr">
        <is>
          <t>Construction</t>
        </is>
      </c>
      <c r="G27" s="6" t="inlineStr">
        <is>
          <t>Bell_Curve</t>
        </is>
      </c>
      <c r="H27" s="10" t="n">
        <v>0</v>
      </c>
      <c r="I27" s="18">
        <f>IF(D27="abs",E27,IF(D27="unit",E27*TotalUnits,IF(D27="sf",E27*NRSF,E27)))</f>
        <v/>
      </c>
      <c r="J27" s="18">
        <f>IF(TotalUnits=0,0,I27/TotalUnits)</f>
        <v/>
      </c>
      <c r="K27" s="19">
        <f>IF(NRSF=0,0,I27/NRSF)</f>
        <v/>
      </c>
    </row>
    <row r="28">
      <c r="A28" s="5" t="inlineStr">
        <is>
          <t>Other Hard Cost 2 - Amenity</t>
        </is>
      </c>
      <c r="B28" s="5" t="inlineStr">
        <is>
          <t>Hard</t>
        </is>
      </c>
      <c r="C28" s="5" t="inlineStr">
        <is>
          <t>Hard</t>
        </is>
      </c>
      <c r="D28" s="6" t="inlineStr">
        <is>
          <t>abs</t>
        </is>
      </c>
      <c r="E28" s="29" t="n">
        <v>900000</v>
      </c>
      <c r="F28" s="6" t="inlineStr">
        <is>
          <t>Construction</t>
        </is>
      </c>
      <c r="G28" s="6" t="inlineStr">
        <is>
          <t>Bell_Curve</t>
        </is>
      </c>
      <c r="H28" s="10" t="n">
        <v>0</v>
      </c>
      <c r="I28" s="18">
        <f>IF(D28="abs",E28,IF(D28="unit",E28*TotalUnits,IF(D28="sf",E28*NRSF,E28)))</f>
        <v/>
      </c>
      <c r="J28" s="18">
        <f>IF(TotalUnits=0,0,I28/TotalUnits)</f>
        <v/>
      </c>
      <c r="K28" s="19">
        <f>IF(NRSF=0,0,I28/NRSF)</f>
        <v/>
      </c>
    </row>
    <row r="29">
      <c r="A29" s="5" t="inlineStr">
        <is>
          <t>Other Hard Cost 3 - Signage</t>
        </is>
      </c>
      <c r="B29" s="5" t="inlineStr">
        <is>
          <t>Hard</t>
        </is>
      </c>
      <c r="C29" s="5" t="inlineStr">
        <is>
          <t>Hard</t>
        </is>
      </c>
      <c r="D29" s="6" t="inlineStr">
        <is>
          <t>abs</t>
        </is>
      </c>
      <c r="E29" s="29" t="n">
        <v>150000</v>
      </c>
      <c r="F29" s="6" t="inlineStr">
        <is>
          <t>Construction</t>
        </is>
      </c>
      <c r="G29" s="6" t="inlineStr">
        <is>
          <t>Straight_Line</t>
        </is>
      </c>
      <c r="H29" s="10" t="n">
        <v>0</v>
      </c>
      <c r="I29" s="18">
        <f>IF(D29="abs",E29,IF(D29="unit",E29*TotalUnits,IF(D29="sf",E29*NRSF,E29)))</f>
        <v/>
      </c>
      <c r="J29" s="18">
        <f>IF(TotalUnits=0,0,I29/TotalUnits)</f>
        <v/>
      </c>
      <c r="K29" s="19">
        <f>IF(NRSF=0,0,I29/NRSF)</f>
        <v/>
      </c>
    </row>
    <row r="30">
      <c r="A30" s="5" t="inlineStr">
        <is>
          <t>Other Hard Cost 4</t>
        </is>
      </c>
      <c r="B30" s="5" t="inlineStr">
        <is>
          <t>Hard</t>
        </is>
      </c>
      <c r="C30" s="5" t="inlineStr">
        <is>
          <t>Hard</t>
        </is>
      </c>
      <c r="D30" s="6" t="inlineStr">
        <is>
          <t>abs</t>
        </is>
      </c>
      <c r="E30" s="29" t="n">
        <v>0</v>
      </c>
      <c r="F30" s="6" t="inlineStr">
        <is>
          <t>Construction</t>
        </is>
      </c>
      <c r="G30" s="6" t="inlineStr">
        <is>
          <t>Bell_Curve</t>
        </is>
      </c>
      <c r="H30" s="10" t="n">
        <v>0</v>
      </c>
      <c r="I30" s="18">
        <f>IF(D30="abs",E30,IF(D30="unit",E30*TotalUnits,IF(D30="sf",E30*NRSF,E30)))</f>
        <v/>
      </c>
      <c r="J30" s="18">
        <f>IF(TotalUnits=0,0,I30/TotalUnits)</f>
        <v/>
      </c>
      <c r="K30" s="19">
        <f>IF(NRSF=0,0,I30/NRSF)</f>
        <v/>
      </c>
    </row>
    <row r="31">
      <c r="A31" s="5" t="inlineStr">
        <is>
          <t>Other Hard Cost 5</t>
        </is>
      </c>
      <c r="B31" s="5" t="inlineStr">
        <is>
          <t>Hard</t>
        </is>
      </c>
      <c r="C31" s="5" t="inlineStr">
        <is>
          <t>Hard</t>
        </is>
      </c>
      <c r="D31" s="6" t="inlineStr">
        <is>
          <t>abs</t>
        </is>
      </c>
      <c r="E31" s="29" t="n">
        <v>0</v>
      </c>
      <c r="F31" s="6" t="inlineStr">
        <is>
          <t>Construction</t>
        </is>
      </c>
      <c r="G31" s="6" t="inlineStr">
        <is>
          <t>Bell_Curve</t>
        </is>
      </c>
      <c r="H31" s="10" t="n">
        <v>0</v>
      </c>
      <c r="I31" s="18">
        <f>IF(D31="abs",E31,IF(D31="unit",E31*TotalUnits,IF(D31="sf",E31*NRSF,E31)))</f>
        <v/>
      </c>
      <c r="J31" s="18">
        <f>IF(TotalUnits=0,0,I31/TotalUnits)</f>
        <v/>
      </c>
      <c r="K31" s="19">
        <f>IF(NRSF=0,0,I31/NRSF)</f>
        <v/>
      </c>
    </row>
    <row r="32">
      <c r="A32" s="5" t="inlineStr">
        <is>
          <t>Other Hard Cost 6</t>
        </is>
      </c>
      <c r="B32" s="5" t="inlineStr">
        <is>
          <t>Hard</t>
        </is>
      </c>
      <c r="C32" s="5" t="inlineStr">
        <is>
          <t>Hard</t>
        </is>
      </c>
      <c r="D32" s="6" t="inlineStr">
        <is>
          <t>abs</t>
        </is>
      </c>
      <c r="E32" s="29" t="n">
        <v>0</v>
      </c>
      <c r="F32" s="6" t="inlineStr">
        <is>
          <t>Construction</t>
        </is>
      </c>
      <c r="G32" s="6" t="inlineStr">
        <is>
          <t>Bell_Curve</t>
        </is>
      </c>
      <c r="H32" s="10" t="n">
        <v>0</v>
      </c>
      <c r="I32" s="18">
        <f>IF(D32="abs",E32,IF(D32="unit",E32*TotalUnits,IF(D32="sf",E32*NRSF,E32)))</f>
        <v/>
      </c>
      <c r="J32" s="18">
        <f>IF(TotalUnits=0,0,I32/TotalUnits)</f>
        <v/>
      </c>
      <c r="K32" s="19">
        <f>IF(NRSF=0,0,I32/NRSF)</f>
        <v/>
      </c>
    </row>
    <row r="34">
      <c r="A34" s="15" t="inlineStr">
        <is>
          <t>Budget Summary</t>
        </is>
      </c>
      <c r="B34" s="23" t="n"/>
      <c r="C34" s="23" t="n"/>
      <c r="D34" s="23" t="n"/>
    </row>
    <row r="35">
      <c r="A35" s="21" t="inlineStr">
        <is>
          <t>Land</t>
        </is>
      </c>
      <c r="I35" s="30">
        <f>SUMIF(B5:B32,"Land",I5:I32)</f>
        <v/>
      </c>
    </row>
    <row r="36">
      <c r="A36" s="21" t="inlineStr">
        <is>
          <t>Soft Costs</t>
        </is>
      </c>
      <c r="I36" s="30">
        <f>SUMIF(B5:B32,"Soft",I5:I32)</f>
        <v/>
      </c>
    </row>
    <row r="37">
      <c r="A37" s="21" t="inlineStr">
        <is>
          <t>Hard Costs</t>
        </is>
      </c>
      <c r="I37" s="30">
        <f>SUMIF(B5:B32,"Hard",I5:I32)</f>
        <v/>
      </c>
    </row>
    <row r="38">
      <c r="A38" s="21" t="inlineStr">
        <is>
          <t>Direct Costs (subtotal)</t>
        </is>
      </c>
      <c r="I38" s="30">
        <f>SUM(I5:I32)</f>
        <v/>
      </c>
    </row>
    <row r="39">
      <c r="A39" s="21" t="inlineStr">
        <is>
          <t>Sponsor Development Fee</t>
        </is>
      </c>
      <c r="I39" s="30">
        <f>DevFeePctDirect*DirectCosts</f>
        <v/>
      </c>
    </row>
    <row r="40">
      <c r="A40" s="21" t="inlineStr">
        <is>
          <t>Total Development Cost (per Diagnostics)</t>
        </is>
      </c>
      <c r="I40" s="30">
        <f>TDC_Total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K42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Timeline Engine — Milestones &amp; Monthly Period Grid</t>
        </is>
      </c>
    </row>
    <row r="3">
      <c r="A3" s="31" t="inlineStr">
        <is>
          <t>Milestone</t>
        </is>
      </c>
      <c r="B3" s="27" t="inlineStr">
        <is>
          <t>Start (mo)</t>
        </is>
      </c>
      <c r="C3" s="27" t="inlineStr">
        <is>
          <t>Duration (mo)</t>
        </is>
      </c>
      <c r="D3" s="27" t="inlineStr">
        <is>
          <t>End (mo)</t>
        </is>
      </c>
    </row>
    <row r="4">
      <c r="A4" s="5" t="inlineStr">
        <is>
          <t>Open Escrow</t>
        </is>
      </c>
      <c r="B4" s="8" t="n">
        <v>1</v>
      </c>
      <c r="C4" s="8" t="n">
        <v>1</v>
      </c>
      <c r="D4" s="32">
        <f>B4+C4-1</f>
        <v/>
      </c>
    </row>
    <row r="5">
      <c r="A5" s="5" t="inlineStr">
        <is>
          <t>Due Diligence</t>
        </is>
      </c>
      <c r="B5" s="8" t="n">
        <v>1</v>
      </c>
      <c r="C5" s="8" t="n">
        <v>3</v>
      </c>
      <c r="D5" s="32">
        <f>B5+C5-1</f>
        <v/>
      </c>
    </row>
    <row r="6">
      <c r="A6" s="5" t="inlineStr">
        <is>
          <t>Entitlement</t>
        </is>
      </c>
      <c r="B6" s="8" t="n">
        <v>2</v>
      </c>
      <c r="C6" s="8" t="n">
        <v>5</v>
      </c>
      <c r="D6" s="32">
        <f>B6+C6-1</f>
        <v/>
      </c>
    </row>
    <row r="7">
      <c r="A7" s="5" t="inlineStr">
        <is>
          <t>Pre-Construction</t>
        </is>
      </c>
      <c r="B7" s="8" t="n">
        <v>5</v>
      </c>
      <c r="C7" s="8" t="n">
        <v>3</v>
      </c>
      <c r="D7" s="32">
        <f>B7+C7-1</f>
        <v/>
      </c>
    </row>
    <row r="8">
      <c r="A8" s="5" t="inlineStr">
        <is>
          <t>Initial Closing</t>
        </is>
      </c>
      <c r="B8" s="8" t="n">
        <v>7</v>
      </c>
      <c r="C8" s="8" t="n">
        <v>1</v>
      </c>
      <c r="D8" s="32">
        <f>B8+C8-1</f>
        <v/>
      </c>
    </row>
    <row r="9">
      <c r="A9" s="5" t="inlineStr">
        <is>
          <t>Construction</t>
        </is>
      </c>
      <c r="B9" s="8" t="n">
        <v>7</v>
      </c>
      <c r="C9" s="8" t="n">
        <v>20</v>
      </c>
      <c r="D9" s="32">
        <f>B9+C9-1</f>
        <v/>
      </c>
    </row>
    <row r="10">
      <c r="A10" s="5" t="inlineStr">
        <is>
          <t>1st Unit Delivery</t>
        </is>
      </c>
      <c r="B10" s="8" t="n">
        <v>21</v>
      </c>
      <c r="C10" s="8" t="n">
        <v>1</v>
      </c>
      <c r="D10" s="32">
        <f>B10+C10-1</f>
        <v/>
      </c>
    </row>
    <row r="11">
      <c r="A11" s="5" t="inlineStr">
        <is>
          <t>Lease-Up</t>
        </is>
      </c>
      <c r="B11" s="8" t="n">
        <v>21</v>
      </c>
      <c r="C11" s="8" t="n">
        <v>12</v>
      </c>
      <c r="D11" s="32">
        <f>B11+C11-1</f>
        <v/>
      </c>
    </row>
    <row r="12">
      <c r="A12" s="5" t="inlineStr">
        <is>
          <t>Stabilization</t>
        </is>
      </c>
      <c r="B12" s="8" t="n">
        <v>33</v>
      </c>
      <c r="C12" s="8" t="n">
        <v>1</v>
      </c>
      <c r="D12" s="32">
        <f>B12+C12-1</f>
        <v/>
      </c>
    </row>
    <row r="13">
      <c r="A13" s="5" t="inlineStr">
        <is>
          <t>Recapitalization/Refinance</t>
        </is>
      </c>
      <c r="B13" s="8" t="n">
        <v>43</v>
      </c>
      <c r="C13" s="8" t="n">
        <v>1</v>
      </c>
      <c r="D13" s="32">
        <f>B13+C13-1</f>
        <v/>
      </c>
    </row>
    <row r="14">
      <c r="A14" s="5" t="inlineStr">
        <is>
          <t>Disposition</t>
        </is>
      </c>
      <c r="B14" s="33">
        <f>HoldPeriodMonths</f>
        <v/>
      </c>
      <c r="C14" s="8" t="n">
        <v>1</v>
      </c>
      <c r="D14" s="32">
        <f>B14+C14-1</f>
        <v/>
      </c>
    </row>
    <row r="16">
      <c r="A16" s="15" t="inlineStr">
        <is>
          <t>Key Timing (derived)</t>
        </is>
      </c>
      <c r="B16" s="23" t="n"/>
    </row>
    <row r="17">
      <c r="A17" s="5" t="inlineStr">
        <is>
          <t>Construction Start</t>
        </is>
      </c>
      <c r="B17" s="34">
        <f>MS_Construction_Start</f>
        <v/>
      </c>
    </row>
    <row r="18">
      <c r="A18" s="5" t="inlineStr">
        <is>
          <t>Construction Maturity</t>
        </is>
      </c>
      <c r="B18" s="34">
        <f>ConStart+ConLoanTermMonths-1</f>
        <v/>
      </c>
    </row>
    <row r="19">
      <c r="A19" s="5" t="inlineStr">
        <is>
          <t>1st Unit Delivery</t>
        </is>
      </c>
      <c r="B19" s="34">
        <f>MS_1st_Unit_Delivery_Start</f>
        <v/>
      </c>
    </row>
    <row r="20">
      <c r="A20" s="5" t="inlineStr">
        <is>
          <t>Stabilization Month</t>
        </is>
      </c>
      <c r="B20" s="34">
        <f>MS_Stabilization_Start</f>
        <v/>
      </c>
    </row>
    <row r="21">
      <c r="A21" s="5" t="inlineStr">
        <is>
          <t>Disposition Month</t>
        </is>
      </c>
      <c r="B21" s="34">
        <f>HoldPeriodMonths</f>
        <v/>
      </c>
    </row>
    <row r="22">
      <c r="A22" s="5" t="inlineStr">
        <is>
          <t>Refi Flag (1=refi,0=sell)</t>
        </is>
      </c>
      <c r="B22" s="35">
        <f>IF(DispoMonth&gt;ConMaturity,1,0)</f>
        <v/>
      </c>
    </row>
    <row r="23">
      <c r="A23" s="5" t="inlineStr">
        <is>
          <t>Refi Month</t>
        </is>
      </c>
      <c r="B23" s="34">
        <f>IF(RefiFlag=1,MIN(ConMaturity,IF(RefiMonthOverride&gt;0,RefiMonthOverride,ConMaturity)),0)</f>
        <v/>
      </c>
    </row>
    <row r="24">
      <c r="A24" s="5" t="inlineStr">
        <is>
          <t>Con Payoff Month</t>
        </is>
      </c>
      <c r="B24" s="34">
        <f>IF(RefiFlag=1,RefiMonth,DispoMonth)</f>
        <v/>
      </c>
    </row>
    <row r="26">
      <c r="A26" s="3" t="inlineStr">
        <is>
          <t>Monthly Period Grid</t>
        </is>
      </c>
      <c r="B26" s="4" t="n"/>
      <c r="C26" s="4" t="n"/>
    </row>
    <row r="27">
      <c r="A27" s="36" t="inlineStr">
        <is>
          <t>Period →</t>
        </is>
      </c>
      <c r="C27" s="27" t="inlineStr">
        <is>
          <t>Total</t>
        </is>
      </c>
      <c r="D27" s="37" t="n">
        <v>1</v>
      </c>
      <c r="E27" s="37" t="n">
        <v>2</v>
      </c>
      <c r="F27" s="37" t="n">
        <v>3</v>
      </c>
      <c r="G27" s="37" t="n">
        <v>4</v>
      </c>
      <c r="H27" s="37" t="n">
        <v>5</v>
      </c>
      <c r="I27" s="37" t="n">
        <v>6</v>
      </c>
      <c r="J27" s="37" t="n">
        <v>7</v>
      </c>
      <c r="K27" s="37" t="n">
        <v>8</v>
      </c>
      <c r="L27" s="37" t="n">
        <v>9</v>
      </c>
      <c r="M27" s="37" t="n">
        <v>10</v>
      </c>
      <c r="N27" s="37" t="n">
        <v>11</v>
      </c>
      <c r="O27" s="37" t="n">
        <v>12</v>
      </c>
      <c r="P27" s="37" t="n">
        <v>13</v>
      </c>
      <c r="Q27" s="37" t="n">
        <v>14</v>
      </c>
      <c r="R27" s="37" t="n">
        <v>15</v>
      </c>
      <c r="S27" s="37" t="n">
        <v>16</v>
      </c>
      <c r="T27" s="37" t="n">
        <v>17</v>
      </c>
      <c r="U27" s="37" t="n">
        <v>18</v>
      </c>
      <c r="V27" s="37" t="n">
        <v>19</v>
      </c>
      <c r="W27" s="37" t="n">
        <v>20</v>
      </c>
      <c r="X27" s="37" t="n">
        <v>21</v>
      </c>
      <c r="Y27" s="37" t="n">
        <v>22</v>
      </c>
      <c r="Z27" s="37" t="n">
        <v>23</v>
      </c>
      <c r="AA27" s="37" t="n">
        <v>24</v>
      </c>
      <c r="AB27" s="37" t="n">
        <v>25</v>
      </c>
      <c r="AC27" s="37" t="n">
        <v>26</v>
      </c>
      <c r="AD27" s="37" t="n">
        <v>27</v>
      </c>
      <c r="AE27" s="37" t="n">
        <v>28</v>
      </c>
      <c r="AF27" s="37" t="n">
        <v>29</v>
      </c>
      <c r="AG27" s="37" t="n">
        <v>30</v>
      </c>
      <c r="AH27" s="37" t="n">
        <v>31</v>
      </c>
      <c r="AI27" s="37" t="n">
        <v>32</v>
      </c>
      <c r="AJ27" s="37" t="n">
        <v>33</v>
      </c>
      <c r="AK27" s="37" t="n">
        <v>34</v>
      </c>
      <c r="AL27" s="37" t="n">
        <v>35</v>
      </c>
      <c r="AM27" s="37" t="n">
        <v>36</v>
      </c>
      <c r="AN27" s="37" t="n">
        <v>37</v>
      </c>
      <c r="AO27" s="37" t="n">
        <v>38</v>
      </c>
      <c r="AP27" s="37" t="n">
        <v>39</v>
      </c>
      <c r="AQ27" s="37" t="n">
        <v>40</v>
      </c>
      <c r="AR27" s="37" t="n">
        <v>41</v>
      </c>
      <c r="AS27" s="37" t="n">
        <v>42</v>
      </c>
      <c r="AT27" s="37" t="n">
        <v>43</v>
      </c>
      <c r="AU27" s="37" t="n">
        <v>44</v>
      </c>
      <c r="AV27" s="37" t="n">
        <v>45</v>
      </c>
      <c r="AW27" s="37" t="n">
        <v>46</v>
      </c>
      <c r="AX27" s="37" t="n">
        <v>47</v>
      </c>
      <c r="AY27" s="37" t="n">
        <v>48</v>
      </c>
      <c r="AZ27" s="37" t="n">
        <v>49</v>
      </c>
      <c r="BA27" s="37" t="n">
        <v>50</v>
      </c>
      <c r="BB27" s="37" t="n">
        <v>51</v>
      </c>
      <c r="BC27" s="37" t="n">
        <v>52</v>
      </c>
      <c r="BD27" s="37" t="n">
        <v>53</v>
      </c>
      <c r="BE27" s="37" t="n">
        <v>54</v>
      </c>
      <c r="BF27" s="37" t="n">
        <v>55</v>
      </c>
      <c r="BG27" s="37" t="n">
        <v>56</v>
      </c>
      <c r="BH27" s="37" t="n">
        <v>57</v>
      </c>
      <c r="BI27" s="37" t="n">
        <v>58</v>
      </c>
      <c r="BJ27" s="37" t="n">
        <v>59</v>
      </c>
      <c r="BK27" s="37" t="n">
        <v>60</v>
      </c>
      <c r="BL27" s="37" t="n">
        <v>61</v>
      </c>
      <c r="BM27" s="37" t="n">
        <v>62</v>
      </c>
      <c r="BN27" s="37" t="n">
        <v>63</v>
      </c>
      <c r="BO27" s="37" t="n">
        <v>64</v>
      </c>
      <c r="BP27" s="37" t="n">
        <v>65</v>
      </c>
      <c r="BQ27" s="37" t="n">
        <v>66</v>
      </c>
      <c r="BR27" s="37" t="n">
        <v>67</v>
      </c>
      <c r="BS27" s="37" t="n">
        <v>68</v>
      </c>
      <c r="BT27" s="37" t="n">
        <v>69</v>
      </c>
      <c r="BU27" s="37" t="n">
        <v>70</v>
      </c>
      <c r="BV27" s="37" t="n">
        <v>71</v>
      </c>
      <c r="BW27" s="37" t="n">
        <v>72</v>
      </c>
      <c r="BX27" s="37" t="n">
        <v>73</v>
      </c>
      <c r="BY27" s="37" t="n">
        <v>74</v>
      </c>
      <c r="BZ27" s="37" t="n">
        <v>75</v>
      </c>
      <c r="CA27" s="37" t="n">
        <v>76</v>
      </c>
      <c r="CB27" s="37" t="n">
        <v>77</v>
      </c>
      <c r="CC27" s="37" t="n">
        <v>78</v>
      </c>
      <c r="CD27" s="37" t="n">
        <v>79</v>
      </c>
      <c r="CE27" s="37" t="n">
        <v>80</v>
      </c>
      <c r="CF27" s="37" t="n">
        <v>81</v>
      </c>
      <c r="CG27" s="37" t="n">
        <v>82</v>
      </c>
      <c r="CH27" s="37" t="n">
        <v>83</v>
      </c>
      <c r="CI27" s="37" t="n">
        <v>84</v>
      </c>
      <c r="CJ27" s="37" t="n">
        <v>85</v>
      </c>
      <c r="CK27" s="37" t="n">
        <v>86</v>
      </c>
      <c r="CL27" s="37" t="n">
        <v>87</v>
      </c>
      <c r="CM27" s="37" t="n">
        <v>88</v>
      </c>
      <c r="CN27" s="37" t="n">
        <v>89</v>
      </c>
      <c r="CO27" s="37" t="n">
        <v>90</v>
      </c>
      <c r="CP27" s="37" t="n">
        <v>91</v>
      </c>
      <c r="CQ27" s="37" t="n">
        <v>92</v>
      </c>
      <c r="CR27" s="37" t="n">
        <v>93</v>
      </c>
      <c r="CS27" s="37" t="n">
        <v>94</v>
      </c>
      <c r="CT27" s="37" t="n">
        <v>95</v>
      </c>
      <c r="CU27" s="37" t="n">
        <v>96</v>
      </c>
      <c r="CV27" s="37" t="n">
        <v>97</v>
      </c>
      <c r="CW27" s="37" t="n">
        <v>98</v>
      </c>
      <c r="CX27" s="37" t="n">
        <v>99</v>
      </c>
      <c r="CY27" s="37" t="n">
        <v>100</v>
      </c>
      <c r="CZ27" s="37" t="n">
        <v>101</v>
      </c>
      <c r="DA27" s="37" t="n">
        <v>102</v>
      </c>
      <c r="DB27" s="37" t="n">
        <v>103</v>
      </c>
      <c r="DC27" s="37" t="n">
        <v>104</v>
      </c>
      <c r="DD27" s="37" t="n">
        <v>105</v>
      </c>
      <c r="DE27" s="37" t="n">
        <v>106</v>
      </c>
      <c r="DF27" s="37" t="n">
        <v>107</v>
      </c>
      <c r="DG27" s="37" t="n">
        <v>108</v>
      </c>
      <c r="DH27" s="37" t="n">
        <v>109</v>
      </c>
      <c r="DI27" s="37" t="n">
        <v>110</v>
      </c>
      <c r="DJ27" s="37" t="n">
        <v>111</v>
      </c>
      <c r="DK27" s="37" t="n">
        <v>112</v>
      </c>
      <c r="DL27" s="37" t="n">
        <v>113</v>
      </c>
      <c r="DM27" s="37" t="n">
        <v>114</v>
      </c>
      <c r="DN27" s="37" t="n">
        <v>115</v>
      </c>
      <c r="DO27" s="37" t="n">
        <v>116</v>
      </c>
      <c r="DP27" s="37" t="n">
        <v>117</v>
      </c>
      <c r="DQ27" s="37" t="n">
        <v>118</v>
      </c>
      <c r="DR27" s="37" t="n">
        <v>119</v>
      </c>
      <c r="DS27" s="37" t="n">
        <v>120</v>
      </c>
      <c r="DT27" s="37" t="n">
        <v>121</v>
      </c>
      <c r="DU27" s="37" t="n">
        <v>122</v>
      </c>
      <c r="DV27" s="37" t="n">
        <v>123</v>
      </c>
      <c r="DW27" s="37" t="n">
        <v>124</v>
      </c>
      <c r="DX27" s="37" t="n">
        <v>125</v>
      </c>
      <c r="DY27" s="37" t="n">
        <v>126</v>
      </c>
      <c r="DZ27" s="37" t="n">
        <v>127</v>
      </c>
      <c r="EA27" s="37" t="n">
        <v>128</v>
      </c>
      <c r="EB27" s="37" t="n">
        <v>129</v>
      </c>
      <c r="EC27" s="37" t="n">
        <v>130</v>
      </c>
      <c r="ED27" s="37" t="n">
        <v>131</v>
      </c>
      <c r="EE27" s="37" t="n">
        <v>132</v>
      </c>
      <c r="EF27" s="37" t="n">
        <v>133</v>
      </c>
      <c r="EG27" s="37" t="n">
        <v>134</v>
      </c>
      <c r="EH27" s="37" t="n">
        <v>135</v>
      </c>
      <c r="EI27" s="37" t="n">
        <v>136</v>
      </c>
      <c r="EJ27" s="37" t="n">
        <v>137</v>
      </c>
      <c r="EK27" s="37" t="n">
        <v>138</v>
      </c>
      <c r="EL27" s="37" t="n">
        <v>139</v>
      </c>
      <c r="EM27" s="37" t="n">
        <v>140</v>
      </c>
      <c r="EN27" s="37" t="n">
        <v>141</v>
      </c>
      <c r="EO27" s="37" t="n">
        <v>142</v>
      </c>
      <c r="EP27" s="37" t="n">
        <v>143</v>
      </c>
      <c r="EQ27" s="37" t="n">
        <v>144</v>
      </c>
      <c r="ER27" s="37" t="n">
        <v>145</v>
      </c>
      <c r="ES27" s="37" t="n">
        <v>146</v>
      </c>
      <c r="ET27" s="37" t="n">
        <v>147</v>
      </c>
      <c r="EU27" s="37" t="n">
        <v>148</v>
      </c>
      <c r="EV27" s="37" t="n">
        <v>149</v>
      </c>
      <c r="EW27" s="37" t="n">
        <v>150</v>
      </c>
      <c r="EX27" s="37" t="n">
        <v>151</v>
      </c>
      <c r="EY27" s="37" t="n">
        <v>152</v>
      </c>
      <c r="EZ27" s="37" t="n">
        <v>153</v>
      </c>
      <c r="FA27" s="37" t="n">
        <v>154</v>
      </c>
      <c r="FB27" s="37" t="n">
        <v>155</v>
      </c>
      <c r="FC27" s="37" t="n">
        <v>156</v>
      </c>
      <c r="FD27" s="37" t="n">
        <v>157</v>
      </c>
      <c r="FE27" s="37" t="n">
        <v>158</v>
      </c>
      <c r="FF27" s="37" t="n">
        <v>159</v>
      </c>
      <c r="FG27" s="37" t="n">
        <v>160</v>
      </c>
      <c r="FH27" s="37" t="n">
        <v>161</v>
      </c>
      <c r="FI27" s="37" t="n">
        <v>162</v>
      </c>
      <c r="FJ27" s="37" t="n">
        <v>163</v>
      </c>
      <c r="FK27" s="37" t="n">
        <v>164</v>
      </c>
      <c r="FL27" s="37" t="n">
        <v>165</v>
      </c>
      <c r="FM27" s="37" t="n">
        <v>166</v>
      </c>
      <c r="FN27" s="37" t="n">
        <v>167</v>
      </c>
      <c r="FO27" s="37" t="n">
        <v>168</v>
      </c>
      <c r="FP27" s="37" t="n">
        <v>169</v>
      </c>
      <c r="FQ27" s="37" t="n">
        <v>170</v>
      </c>
      <c r="FR27" s="37" t="n">
        <v>171</v>
      </c>
      <c r="FS27" s="37" t="n">
        <v>172</v>
      </c>
      <c r="FT27" s="37" t="n">
        <v>173</v>
      </c>
      <c r="FU27" s="37" t="n">
        <v>174</v>
      </c>
      <c r="FV27" s="37" t="n">
        <v>175</v>
      </c>
      <c r="FW27" s="37" t="n">
        <v>176</v>
      </c>
      <c r="FX27" s="37" t="n">
        <v>177</v>
      </c>
      <c r="FY27" s="37" t="n">
        <v>178</v>
      </c>
      <c r="FZ27" s="37" t="n">
        <v>179</v>
      </c>
      <c r="GA27" s="37" t="n">
        <v>180</v>
      </c>
      <c r="GB27" s="37" t="n">
        <v>181</v>
      </c>
      <c r="GC27" s="37" t="n">
        <v>182</v>
      </c>
      <c r="GD27" s="37" t="n">
        <v>183</v>
      </c>
      <c r="GE27" s="37" t="n">
        <v>184</v>
      </c>
      <c r="GF27" s="37" t="n">
        <v>185</v>
      </c>
      <c r="GG27" s="37" t="n">
        <v>186</v>
      </c>
      <c r="GH27" s="37" t="n">
        <v>187</v>
      </c>
      <c r="GI27" s="37" t="n">
        <v>188</v>
      </c>
      <c r="GJ27" s="37" t="n">
        <v>189</v>
      </c>
      <c r="GK27" s="37" t="n">
        <v>190</v>
      </c>
      <c r="GL27" s="37" t="n">
        <v>191</v>
      </c>
      <c r="GM27" s="37" t="n">
        <v>192</v>
      </c>
      <c r="GN27" s="37" t="n">
        <v>193</v>
      </c>
      <c r="GO27" s="37" t="n">
        <v>194</v>
      </c>
      <c r="GP27" s="37" t="n">
        <v>195</v>
      </c>
      <c r="GQ27" s="37" t="n">
        <v>196</v>
      </c>
      <c r="GR27" s="37" t="n">
        <v>197</v>
      </c>
      <c r="GS27" s="37" t="n">
        <v>198</v>
      </c>
      <c r="GT27" s="37" t="n">
        <v>199</v>
      </c>
      <c r="GU27" s="37" t="n">
        <v>200</v>
      </c>
      <c r="GV27" s="37" t="n">
        <v>201</v>
      </c>
      <c r="GW27" s="37" t="n">
        <v>202</v>
      </c>
      <c r="GX27" s="37" t="n">
        <v>203</v>
      </c>
      <c r="GY27" s="37" t="n">
        <v>204</v>
      </c>
      <c r="GZ27" s="37" t="n">
        <v>205</v>
      </c>
      <c r="HA27" s="37" t="n">
        <v>206</v>
      </c>
      <c r="HB27" s="37" t="n">
        <v>207</v>
      </c>
      <c r="HC27" s="37" t="n">
        <v>208</v>
      </c>
      <c r="HD27" s="37" t="n">
        <v>209</v>
      </c>
      <c r="HE27" s="37" t="n">
        <v>210</v>
      </c>
      <c r="HF27" s="37" t="n">
        <v>211</v>
      </c>
      <c r="HG27" s="37" t="n">
        <v>212</v>
      </c>
      <c r="HH27" s="37" t="n">
        <v>213</v>
      </c>
      <c r="HI27" s="37" t="n">
        <v>214</v>
      </c>
      <c r="HJ27" s="37" t="n">
        <v>215</v>
      </c>
      <c r="HK27" s="37" t="n">
        <v>216</v>
      </c>
      <c r="HL27" s="37" t="n">
        <v>217</v>
      </c>
      <c r="HM27" s="37" t="n">
        <v>218</v>
      </c>
      <c r="HN27" s="37" t="n">
        <v>219</v>
      </c>
      <c r="HO27" s="37" t="n">
        <v>220</v>
      </c>
      <c r="HP27" s="37" t="n">
        <v>221</v>
      </c>
      <c r="HQ27" s="37" t="n">
        <v>222</v>
      </c>
      <c r="HR27" s="37" t="n">
        <v>223</v>
      </c>
      <c r="HS27" s="37" t="n">
        <v>224</v>
      </c>
      <c r="HT27" s="37" t="n">
        <v>225</v>
      </c>
      <c r="HU27" s="37" t="n">
        <v>226</v>
      </c>
      <c r="HV27" s="37" t="n">
        <v>227</v>
      </c>
      <c r="HW27" s="37" t="n">
        <v>228</v>
      </c>
      <c r="HX27" s="37" t="n">
        <v>229</v>
      </c>
      <c r="HY27" s="37" t="n">
        <v>230</v>
      </c>
      <c r="HZ27" s="37" t="n">
        <v>231</v>
      </c>
      <c r="IA27" s="37" t="n">
        <v>232</v>
      </c>
      <c r="IB27" s="37" t="n">
        <v>233</v>
      </c>
      <c r="IC27" s="37" t="n">
        <v>234</v>
      </c>
      <c r="ID27" s="37" t="n">
        <v>235</v>
      </c>
      <c r="IE27" s="37" t="n">
        <v>236</v>
      </c>
      <c r="IF27" s="37" t="n">
        <v>237</v>
      </c>
      <c r="IG27" s="37" t="n">
        <v>238</v>
      </c>
      <c r="IH27" s="37" t="n">
        <v>239</v>
      </c>
      <c r="II27" s="37" t="n">
        <v>240</v>
      </c>
      <c r="IJ27" s="37" t="n">
        <v>241</v>
      </c>
      <c r="IK27" s="37" t="n">
        <v>242</v>
      </c>
      <c r="IL27" s="37" t="n">
        <v>243</v>
      </c>
      <c r="IM27" s="37" t="n">
        <v>244</v>
      </c>
      <c r="IN27" s="37" t="n">
        <v>245</v>
      </c>
      <c r="IO27" s="37" t="n">
        <v>246</v>
      </c>
      <c r="IP27" s="37" t="n">
        <v>247</v>
      </c>
      <c r="IQ27" s="37" t="n">
        <v>248</v>
      </c>
      <c r="IR27" s="37" t="n">
        <v>249</v>
      </c>
      <c r="IS27" s="37" t="n">
        <v>250</v>
      </c>
      <c r="IT27" s="37" t="n">
        <v>251</v>
      </c>
      <c r="IU27" s="37" t="n">
        <v>252</v>
      </c>
      <c r="IV27" s="37" t="n">
        <v>253</v>
      </c>
      <c r="IW27" s="37" t="n">
        <v>254</v>
      </c>
      <c r="IX27" s="37" t="n">
        <v>255</v>
      </c>
      <c r="IY27" s="37" t="n">
        <v>256</v>
      </c>
      <c r="IZ27" s="37" t="n">
        <v>257</v>
      </c>
      <c r="JA27" s="37" t="n">
        <v>258</v>
      </c>
      <c r="JB27" s="37" t="n">
        <v>259</v>
      </c>
      <c r="JC27" s="37" t="n">
        <v>260</v>
      </c>
      <c r="JD27" s="37" t="n">
        <v>261</v>
      </c>
      <c r="JE27" s="37" t="n">
        <v>262</v>
      </c>
      <c r="JF27" s="37" t="n">
        <v>263</v>
      </c>
      <c r="JG27" s="37" t="n">
        <v>264</v>
      </c>
      <c r="JH27" s="37" t="n">
        <v>265</v>
      </c>
      <c r="JI27" s="37" t="n">
        <v>266</v>
      </c>
      <c r="JJ27" s="37" t="n">
        <v>267</v>
      </c>
      <c r="JK27" s="37" t="n">
        <v>268</v>
      </c>
      <c r="JL27" s="37" t="n">
        <v>269</v>
      </c>
      <c r="JM27" s="37" t="n">
        <v>270</v>
      </c>
      <c r="JN27" s="37" t="n">
        <v>271</v>
      </c>
      <c r="JO27" s="37" t="n">
        <v>272</v>
      </c>
      <c r="JP27" s="37" t="n">
        <v>273</v>
      </c>
      <c r="JQ27" s="37" t="n">
        <v>274</v>
      </c>
      <c r="JR27" s="37" t="n">
        <v>275</v>
      </c>
      <c r="JS27" s="37" t="n">
        <v>276</v>
      </c>
      <c r="JT27" s="37" t="n">
        <v>277</v>
      </c>
      <c r="JU27" s="37" t="n">
        <v>278</v>
      </c>
      <c r="JV27" s="37" t="n">
        <v>279</v>
      </c>
      <c r="JW27" s="37" t="n">
        <v>280</v>
      </c>
      <c r="JX27" s="37" t="n">
        <v>281</v>
      </c>
      <c r="JY27" s="37" t="n">
        <v>282</v>
      </c>
      <c r="JZ27" s="37" t="n">
        <v>283</v>
      </c>
      <c r="KA27" s="37" t="n">
        <v>284</v>
      </c>
      <c r="KB27" s="37" t="n">
        <v>285</v>
      </c>
      <c r="KC27" s="37" t="n">
        <v>286</v>
      </c>
      <c r="KD27" s="37" t="n">
        <v>287</v>
      </c>
      <c r="KE27" s="37" t="n">
        <v>288</v>
      </c>
      <c r="KF27" s="37" t="n">
        <v>289</v>
      </c>
      <c r="KG27" s="37" t="n">
        <v>290</v>
      </c>
      <c r="KH27" s="37" t="n">
        <v>291</v>
      </c>
      <c r="KI27" s="37" t="n">
        <v>292</v>
      </c>
      <c r="KJ27" s="37" t="n">
        <v>293</v>
      </c>
      <c r="KK27" s="37" t="n">
        <v>294</v>
      </c>
      <c r="KL27" s="37" t="n">
        <v>295</v>
      </c>
      <c r="KM27" s="37" t="n">
        <v>296</v>
      </c>
      <c r="KN27" s="37" t="n">
        <v>297</v>
      </c>
      <c r="KO27" s="37" t="n">
        <v>298</v>
      </c>
      <c r="KP27" s="37" t="n">
        <v>299</v>
      </c>
      <c r="KQ27" s="37" t="n">
        <v>300</v>
      </c>
      <c r="KR27" s="37" t="n">
        <v>301</v>
      </c>
      <c r="KS27" s="37" t="n">
        <v>302</v>
      </c>
      <c r="KT27" s="37" t="n">
        <v>303</v>
      </c>
      <c r="KU27" s="37" t="n">
        <v>304</v>
      </c>
      <c r="KV27" s="37" t="n">
        <v>305</v>
      </c>
      <c r="KW27" s="37" t="n">
        <v>306</v>
      </c>
      <c r="KX27" s="37" t="n">
        <v>307</v>
      </c>
      <c r="KY27" s="37" t="n">
        <v>308</v>
      </c>
      <c r="KZ27" s="37" t="n">
        <v>309</v>
      </c>
      <c r="LA27" s="37" t="n">
        <v>310</v>
      </c>
      <c r="LB27" s="37" t="n">
        <v>311</v>
      </c>
      <c r="LC27" s="37" t="n">
        <v>312</v>
      </c>
      <c r="LD27" s="37" t="n">
        <v>313</v>
      </c>
      <c r="LE27" s="37" t="n">
        <v>314</v>
      </c>
      <c r="LF27" s="37" t="n">
        <v>315</v>
      </c>
      <c r="LG27" s="37" t="n">
        <v>316</v>
      </c>
      <c r="LH27" s="37" t="n">
        <v>317</v>
      </c>
      <c r="LI27" s="37" t="n">
        <v>318</v>
      </c>
      <c r="LJ27" s="37" t="n">
        <v>319</v>
      </c>
      <c r="LK27" s="37" t="n">
        <v>320</v>
      </c>
      <c r="LL27" s="37" t="n">
        <v>321</v>
      </c>
      <c r="LM27" s="37" t="n">
        <v>322</v>
      </c>
      <c r="LN27" s="37" t="n">
        <v>323</v>
      </c>
      <c r="LO27" s="37" t="n">
        <v>324</v>
      </c>
      <c r="LP27" s="37" t="n">
        <v>325</v>
      </c>
      <c r="LQ27" s="37" t="n">
        <v>326</v>
      </c>
      <c r="LR27" s="37" t="n">
        <v>327</v>
      </c>
      <c r="LS27" s="37" t="n">
        <v>328</v>
      </c>
      <c r="LT27" s="37" t="n">
        <v>329</v>
      </c>
      <c r="LU27" s="37" t="n">
        <v>330</v>
      </c>
      <c r="LV27" s="37" t="n">
        <v>331</v>
      </c>
      <c r="LW27" s="37" t="n">
        <v>332</v>
      </c>
      <c r="LX27" s="37" t="n">
        <v>333</v>
      </c>
      <c r="LY27" s="37" t="n">
        <v>334</v>
      </c>
      <c r="LZ27" s="37" t="n">
        <v>335</v>
      </c>
      <c r="MA27" s="37" t="n">
        <v>336</v>
      </c>
      <c r="MB27" s="37" t="n">
        <v>337</v>
      </c>
      <c r="MC27" s="37" t="n">
        <v>338</v>
      </c>
      <c r="MD27" s="37" t="n">
        <v>339</v>
      </c>
      <c r="ME27" s="37" t="n">
        <v>340</v>
      </c>
      <c r="MF27" s="37" t="n">
        <v>341</v>
      </c>
      <c r="MG27" s="37" t="n">
        <v>342</v>
      </c>
      <c r="MH27" s="37" t="n">
        <v>343</v>
      </c>
      <c r="MI27" s="37" t="n">
        <v>344</v>
      </c>
      <c r="MJ27" s="37" t="n">
        <v>345</v>
      </c>
      <c r="MK27" s="37" t="n">
        <v>346</v>
      </c>
      <c r="ML27" s="37" t="n">
        <v>347</v>
      </c>
      <c r="MM27" s="37" t="n">
        <v>348</v>
      </c>
      <c r="MN27" s="37" t="n">
        <v>349</v>
      </c>
      <c r="MO27" s="37" t="n">
        <v>350</v>
      </c>
      <c r="MP27" s="37" t="n">
        <v>351</v>
      </c>
      <c r="MQ27" s="37" t="n">
        <v>352</v>
      </c>
      <c r="MR27" s="37" t="n">
        <v>353</v>
      </c>
      <c r="MS27" s="37" t="n">
        <v>354</v>
      </c>
      <c r="MT27" s="37" t="n">
        <v>355</v>
      </c>
      <c r="MU27" s="37" t="n">
        <v>356</v>
      </c>
      <c r="MV27" s="37" t="n">
        <v>357</v>
      </c>
      <c r="MW27" s="37" t="n">
        <v>358</v>
      </c>
      <c r="MX27" s="37" t="n">
        <v>359</v>
      </c>
      <c r="MY27" s="37" t="n">
        <v>360</v>
      </c>
      <c r="MZ27" s="37" t="n">
        <v>361</v>
      </c>
      <c r="NA27" s="37" t="n">
        <v>362</v>
      </c>
      <c r="NB27" s="37" t="n">
        <v>363</v>
      </c>
      <c r="NC27" s="37" t="n">
        <v>364</v>
      </c>
      <c r="ND27" s="37" t="n">
        <v>365</v>
      </c>
      <c r="NE27" s="37" t="n">
        <v>366</v>
      </c>
      <c r="NF27" s="37" t="n">
        <v>367</v>
      </c>
      <c r="NG27" s="37" t="n">
        <v>368</v>
      </c>
      <c r="NH27" s="37" t="n">
        <v>369</v>
      </c>
      <c r="NI27" s="37" t="n">
        <v>370</v>
      </c>
      <c r="NJ27" s="37" t="n">
        <v>371</v>
      </c>
      <c r="NK27" s="37" t="n">
        <v>372</v>
      </c>
    </row>
    <row r="28">
      <c r="A28" s="38" t="inlineStr">
        <is>
          <t>Month Start</t>
        </is>
      </c>
      <c r="D28" s="39">
        <f>EDATE(InceptionDate,0)</f>
        <v/>
      </c>
      <c r="E28" s="39">
        <f>EDATE(InceptionDate,1)</f>
        <v/>
      </c>
      <c r="F28" s="39">
        <f>EDATE(InceptionDate,2)</f>
        <v/>
      </c>
      <c r="G28" s="39">
        <f>EDATE(InceptionDate,3)</f>
        <v/>
      </c>
      <c r="H28" s="39">
        <f>EDATE(InceptionDate,4)</f>
        <v/>
      </c>
      <c r="I28" s="39">
        <f>EDATE(InceptionDate,5)</f>
        <v/>
      </c>
      <c r="J28" s="39">
        <f>EDATE(InceptionDate,6)</f>
        <v/>
      </c>
      <c r="K28" s="39">
        <f>EDATE(InceptionDate,7)</f>
        <v/>
      </c>
      <c r="L28" s="39">
        <f>EDATE(InceptionDate,8)</f>
        <v/>
      </c>
      <c r="M28" s="39">
        <f>EDATE(InceptionDate,9)</f>
        <v/>
      </c>
      <c r="N28" s="39">
        <f>EDATE(InceptionDate,10)</f>
        <v/>
      </c>
      <c r="O28" s="39">
        <f>EDATE(InceptionDate,11)</f>
        <v/>
      </c>
      <c r="P28" s="39">
        <f>EDATE(InceptionDate,12)</f>
        <v/>
      </c>
      <c r="Q28" s="39">
        <f>EDATE(InceptionDate,13)</f>
        <v/>
      </c>
      <c r="R28" s="39">
        <f>EDATE(InceptionDate,14)</f>
        <v/>
      </c>
      <c r="S28" s="39">
        <f>EDATE(InceptionDate,15)</f>
        <v/>
      </c>
      <c r="T28" s="39">
        <f>EDATE(InceptionDate,16)</f>
        <v/>
      </c>
      <c r="U28" s="39">
        <f>EDATE(InceptionDate,17)</f>
        <v/>
      </c>
      <c r="V28" s="39">
        <f>EDATE(InceptionDate,18)</f>
        <v/>
      </c>
      <c r="W28" s="39">
        <f>EDATE(InceptionDate,19)</f>
        <v/>
      </c>
      <c r="X28" s="39">
        <f>EDATE(InceptionDate,20)</f>
        <v/>
      </c>
      <c r="Y28" s="39">
        <f>EDATE(InceptionDate,21)</f>
        <v/>
      </c>
      <c r="Z28" s="39">
        <f>EDATE(InceptionDate,22)</f>
        <v/>
      </c>
      <c r="AA28" s="39">
        <f>EDATE(InceptionDate,23)</f>
        <v/>
      </c>
      <c r="AB28" s="39">
        <f>EDATE(InceptionDate,24)</f>
        <v/>
      </c>
      <c r="AC28" s="39">
        <f>EDATE(InceptionDate,25)</f>
        <v/>
      </c>
      <c r="AD28" s="39">
        <f>EDATE(InceptionDate,26)</f>
        <v/>
      </c>
      <c r="AE28" s="39">
        <f>EDATE(InceptionDate,27)</f>
        <v/>
      </c>
      <c r="AF28" s="39">
        <f>EDATE(InceptionDate,28)</f>
        <v/>
      </c>
      <c r="AG28" s="39">
        <f>EDATE(InceptionDate,29)</f>
        <v/>
      </c>
      <c r="AH28" s="39">
        <f>EDATE(InceptionDate,30)</f>
        <v/>
      </c>
      <c r="AI28" s="39">
        <f>EDATE(InceptionDate,31)</f>
        <v/>
      </c>
      <c r="AJ28" s="39">
        <f>EDATE(InceptionDate,32)</f>
        <v/>
      </c>
      <c r="AK28" s="39">
        <f>EDATE(InceptionDate,33)</f>
        <v/>
      </c>
      <c r="AL28" s="39">
        <f>EDATE(InceptionDate,34)</f>
        <v/>
      </c>
      <c r="AM28" s="39">
        <f>EDATE(InceptionDate,35)</f>
        <v/>
      </c>
      <c r="AN28" s="39">
        <f>EDATE(InceptionDate,36)</f>
        <v/>
      </c>
      <c r="AO28" s="39">
        <f>EDATE(InceptionDate,37)</f>
        <v/>
      </c>
      <c r="AP28" s="39">
        <f>EDATE(InceptionDate,38)</f>
        <v/>
      </c>
      <c r="AQ28" s="39">
        <f>EDATE(InceptionDate,39)</f>
        <v/>
      </c>
      <c r="AR28" s="39">
        <f>EDATE(InceptionDate,40)</f>
        <v/>
      </c>
      <c r="AS28" s="39">
        <f>EDATE(InceptionDate,41)</f>
        <v/>
      </c>
      <c r="AT28" s="39">
        <f>EDATE(InceptionDate,42)</f>
        <v/>
      </c>
      <c r="AU28" s="39">
        <f>EDATE(InceptionDate,43)</f>
        <v/>
      </c>
      <c r="AV28" s="39">
        <f>EDATE(InceptionDate,44)</f>
        <v/>
      </c>
      <c r="AW28" s="39">
        <f>EDATE(InceptionDate,45)</f>
        <v/>
      </c>
      <c r="AX28" s="39">
        <f>EDATE(InceptionDate,46)</f>
        <v/>
      </c>
      <c r="AY28" s="39">
        <f>EDATE(InceptionDate,47)</f>
        <v/>
      </c>
      <c r="AZ28" s="39">
        <f>EDATE(InceptionDate,48)</f>
        <v/>
      </c>
      <c r="BA28" s="39">
        <f>EDATE(InceptionDate,49)</f>
        <v/>
      </c>
      <c r="BB28" s="39">
        <f>EDATE(InceptionDate,50)</f>
        <v/>
      </c>
      <c r="BC28" s="39">
        <f>EDATE(InceptionDate,51)</f>
        <v/>
      </c>
      <c r="BD28" s="39">
        <f>EDATE(InceptionDate,52)</f>
        <v/>
      </c>
      <c r="BE28" s="39">
        <f>EDATE(InceptionDate,53)</f>
        <v/>
      </c>
      <c r="BF28" s="39">
        <f>EDATE(InceptionDate,54)</f>
        <v/>
      </c>
      <c r="BG28" s="39">
        <f>EDATE(InceptionDate,55)</f>
        <v/>
      </c>
      <c r="BH28" s="39">
        <f>EDATE(InceptionDate,56)</f>
        <v/>
      </c>
      <c r="BI28" s="39">
        <f>EDATE(InceptionDate,57)</f>
        <v/>
      </c>
      <c r="BJ28" s="39">
        <f>EDATE(InceptionDate,58)</f>
        <v/>
      </c>
      <c r="BK28" s="39">
        <f>EDATE(InceptionDate,59)</f>
        <v/>
      </c>
      <c r="BL28" s="39">
        <f>EDATE(InceptionDate,60)</f>
        <v/>
      </c>
      <c r="BM28" s="39">
        <f>EDATE(InceptionDate,61)</f>
        <v/>
      </c>
      <c r="BN28" s="39">
        <f>EDATE(InceptionDate,62)</f>
        <v/>
      </c>
      <c r="BO28" s="39">
        <f>EDATE(InceptionDate,63)</f>
        <v/>
      </c>
      <c r="BP28" s="39">
        <f>EDATE(InceptionDate,64)</f>
        <v/>
      </c>
      <c r="BQ28" s="39">
        <f>EDATE(InceptionDate,65)</f>
        <v/>
      </c>
      <c r="BR28" s="39">
        <f>EDATE(InceptionDate,66)</f>
        <v/>
      </c>
      <c r="BS28" s="39">
        <f>EDATE(InceptionDate,67)</f>
        <v/>
      </c>
      <c r="BT28" s="39">
        <f>EDATE(InceptionDate,68)</f>
        <v/>
      </c>
      <c r="BU28" s="39">
        <f>EDATE(InceptionDate,69)</f>
        <v/>
      </c>
      <c r="BV28" s="39">
        <f>EDATE(InceptionDate,70)</f>
        <v/>
      </c>
      <c r="BW28" s="39">
        <f>EDATE(InceptionDate,71)</f>
        <v/>
      </c>
      <c r="BX28" s="39">
        <f>EDATE(InceptionDate,72)</f>
        <v/>
      </c>
      <c r="BY28" s="39">
        <f>EDATE(InceptionDate,73)</f>
        <v/>
      </c>
      <c r="BZ28" s="39">
        <f>EDATE(InceptionDate,74)</f>
        <v/>
      </c>
      <c r="CA28" s="39">
        <f>EDATE(InceptionDate,75)</f>
        <v/>
      </c>
      <c r="CB28" s="39">
        <f>EDATE(InceptionDate,76)</f>
        <v/>
      </c>
      <c r="CC28" s="39">
        <f>EDATE(InceptionDate,77)</f>
        <v/>
      </c>
      <c r="CD28" s="39">
        <f>EDATE(InceptionDate,78)</f>
        <v/>
      </c>
      <c r="CE28" s="39">
        <f>EDATE(InceptionDate,79)</f>
        <v/>
      </c>
      <c r="CF28" s="39">
        <f>EDATE(InceptionDate,80)</f>
        <v/>
      </c>
      <c r="CG28" s="39">
        <f>EDATE(InceptionDate,81)</f>
        <v/>
      </c>
      <c r="CH28" s="39">
        <f>EDATE(InceptionDate,82)</f>
        <v/>
      </c>
      <c r="CI28" s="39">
        <f>EDATE(InceptionDate,83)</f>
        <v/>
      </c>
      <c r="CJ28" s="39">
        <f>EDATE(InceptionDate,84)</f>
        <v/>
      </c>
      <c r="CK28" s="39">
        <f>EDATE(InceptionDate,85)</f>
        <v/>
      </c>
      <c r="CL28" s="39">
        <f>EDATE(InceptionDate,86)</f>
        <v/>
      </c>
      <c r="CM28" s="39">
        <f>EDATE(InceptionDate,87)</f>
        <v/>
      </c>
      <c r="CN28" s="39">
        <f>EDATE(InceptionDate,88)</f>
        <v/>
      </c>
      <c r="CO28" s="39">
        <f>EDATE(InceptionDate,89)</f>
        <v/>
      </c>
      <c r="CP28" s="39">
        <f>EDATE(InceptionDate,90)</f>
        <v/>
      </c>
      <c r="CQ28" s="39">
        <f>EDATE(InceptionDate,91)</f>
        <v/>
      </c>
      <c r="CR28" s="39">
        <f>EDATE(InceptionDate,92)</f>
        <v/>
      </c>
      <c r="CS28" s="39">
        <f>EDATE(InceptionDate,93)</f>
        <v/>
      </c>
      <c r="CT28" s="39">
        <f>EDATE(InceptionDate,94)</f>
        <v/>
      </c>
      <c r="CU28" s="39">
        <f>EDATE(InceptionDate,95)</f>
        <v/>
      </c>
      <c r="CV28" s="39">
        <f>EDATE(InceptionDate,96)</f>
        <v/>
      </c>
      <c r="CW28" s="39">
        <f>EDATE(InceptionDate,97)</f>
        <v/>
      </c>
      <c r="CX28" s="39">
        <f>EDATE(InceptionDate,98)</f>
        <v/>
      </c>
      <c r="CY28" s="39">
        <f>EDATE(InceptionDate,99)</f>
        <v/>
      </c>
      <c r="CZ28" s="39">
        <f>EDATE(InceptionDate,100)</f>
        <v/>
      </c>
      <c r="DA28" s="39">
        <f>EDATE(InceptionDate,101)</f>
        <v/>
      </c>
      <c r="DB28" s="39">
        <f>EDATE(InceptionDate,102)</f>
        <v/>
      </c>
      <c r="DC28" s="39">
        <f>EDATE(InceptionDate,103)</f>
        <v/>
      </c>
      <c r="DD28" s="39">
        <f>EDATE(InceptionDate,104)</f>
        <v/>
      </c>
      <c r="DE28" s="39">
        <f>EDATE(InceptionDate,105)</f>
        <v/>
      </c>
      <c r="DF28" s="39">
        <f>EDATE(InceptionDate,106)</f>
        <v/>
      </c>
      <c r="DG28" s="39">
        <f>EDATE(InceptionDate,107)</f>
        <v/>
      </c>
      <c r="DH28" s="39">
        <f>EDATE(InceptionDate,108)</f>
        <v/>
      </c>
      <c r="DI28" s="39">
        <f>EDATE(InceptionDate,109)</f>
        <v/>
      </c>
      <c r="DJ28" s="39">
        <f>EDATE(InceptionDate,110)</f>
        <v/>
      </c>
      <c r="DK28" s="39">
        <f>EDATE(InceptionDate,111)</f>
        <v/>
      </c>
      <c r="DL28" s="39">
        <f>EDATE(InceptionDate,112)</f>
        <v/>
      </c>
      <c r="DM28" s="39">
        <f>EDATE(InceptionDate,113)</f>
        <v/>
      </c>
      <c r="DN28" s="39">
        <f>EDATE(InceptionDate,114)</f>
        <v/>
      </c>
      <c r="DO28" s="39">
        <f>EDATE(InceptionDate,115)</f>
        <v/>
      </c>
      <c r="DP28" s="39">
        <f>EDATE(InceptionDate,116)</f>
        <v/>
      </c>
      <c r="DQ28" s="39">
        <f>EDATE(InceptionDate,117)</f>
        <v/>
      </c>
      <c r="DR28" s="39">
        <f>EDATE(InceptionDate,118)</f>
        <v/>
      </c>
      <c r="DS28" s="39">
        <f>EDATE(InceptionDate,119)</f>
        <v/>
      </c>
      <c r="DT28" s="39">
        <f>EDATE(InceptionDate,120)</f>
        <v/>
      </c>
      <c r="DU28" s="39">
        <f>EDATE(InceptionDate,121)</f>
        <v/>
      </c>
      <c r="DV28" s="39">
        <f>EDATE(InceptionDate,122)</f>
        <v/>
      </c>
      <c r="DW28" s="39">
        <f>EDATE(InceptionDate,123)</f>
        <v/>
      </c>
      <c r="DX28" s="39">
        <f>EDATE(InceptionDate,124)</f>
        <v/>
      </c>
      <c r="DY28" s="39">
        <f>EDATE(InceptionDate,125)</f>
        <v/>
      </c>
      <c r="DZ28" s="39">
        <f>EDATE(InceptionDate,126)</f>
        <v/>
      </c>
      <c r="EA28" s="39">
        <f>EDATE(InceptionDate,127)</f>
        <v/>
      </c>
      <c r="EB28" s="39">
        <f>EDATE(InceptionDate,128)</f>
        <v/>
      </c>
      <c r="EC28" s="39">
        <f>EDATE(InceptionDate,129)</f>
        <v/>
      </c>
      <c r="ED28" s="39">
        <f>EDATE(InceptionDate,130)</f>
        <v/>
      </c>
      <c r="EE28" s="39">
        <f>EDATE(InceptionDate,131)</f>
        <v/>
      </c>
      <c r="EF28" s="39">
        <f>EDATE(InceptionDate,132)</f>
        <v/>
      </c>
      <c r="EG28" s="39">
        <f>EDATE(InceptionDate,133)</f>
        <v/>
      </c>
      <c r="EH28" s="39">
        <f>EDATE(InceptionDate,134)</f>
        <v/>
      </c>
      <c r="EI28" s="39">
        <f>EDATE(InceptionDate,135)</f>
        <v/>
      </c>
      <c r="EJ28" s="39">
        <f>EDATE(InceptionDate,136)</f>
        <v/>
      </c>
      <c r="EK28" s="39">
        <f>EDATE(InceptionDate,137)</f>
        <v/>
      </c>
      <c r="EL28" s="39">
        <f>EDATE(InceptionDate,138)</f>
        <v/>
      </c>
      <c r="EM28" s="39">
        <f>EDATE(InceptionDate,139)</f>
        <v/>
      </c>
      <c r="EN28" s="39">
        <f>EDATE(InceptionDate,140)</f>
        <v/>
      </c>
      <c r="EO28" s="39">
        <f>EDATE(InceptionDate,141)</f>
        <v/>
      </c>
      <c r="EP28" s="39">
        <f>EDATE(InceptionDate,142)</f>
        <v/>
      </c>
      <c r="EQ28" s="39">
        <f>EDATE(InceptionDate,143)</f>
        <v/>
      </c>
      <c r="ER28" s="39">
        <f>EDATE(InceptionDate,144)</f>
        <v/>
      </c>
      <c r="ES28" s="39">
        <f>EDATE(InceptionDate,145)</f>
        <v/>
      </c>
      <c r="ET28" s="39">
        <f>EDATE(InceptionDate,146)</f>
        <v/>
      </c>
      <c r="EU28" s="39">
        <f>EDATE(InceptionDate,147)</f>
        <v/>
      </c>
      <c r="EV28" s="39">
        <f>EDATE(InceptionDate,148)</f>
        <v/>
      </c>
      <c r="EW28" s="39">
        <f>EDATE(InceptionDate,149)</f>
        <v/>
      </c>
      <c r="EX28" s="39">
        <f>EDATE(InceptionDate,150)</f>
        <v/>
      </c>
      <c r="EY28" s="39">
        <f>EDATE(InceptionDate,151)</f>
        <v/>
      </c>
      <c r="EZ28" s="39">
        <f>EDATE(InceptionDate,152)</f>
        <v/>
      </c>
      <c r="FA28" s="39">
        <f>EDATE(InceptionDate,153)</f>
        <v/>
      </c>
      <c r="FB28" s="39">
        <f>EDATE(InceptionDate,154)</f>
        <v/>
      </c>
      <c r="FC28" s="39">
        <f>EDATE(InceptionDate,155)</f>
        <v/>
      </c>
      <c r="FD28" s="39">
        <f>EDATE(InceptionDate,156)</f>
        <v/>
      </c>
      <c r="FE28" s="39">
        <f>EDATE(InceptionDate,157)</f>
        <v/>
      </c>
      <c r="FF28" s="39">
        <f>EDATE(InceptionDate,158)</f>
        <v/>
      </c>
      <c r="FG28" s="39">
        <f>EDATE(InceptionDate,159)</f>
        <v/>
      </c>
      <c r="FH28" s="39">
        <f>EDATE(InceptionDate,160)</f>
        <v/>
      </c>
      <c r="FI28" s="39">
        <f>EDATE(InceptionDate,161)</f>
        <v/>
      </c>
      <c r="FJ28" s="39">
        <f>EDATE(InceptionDate,162)</f>
        <v/>
      </c>
      <c r="FK28" s="39">
        <f>EDATE(InceptionDate,163)</f>
        <v/>
      </c>
      <c r="FL28" s="39">
        <f>EDATE(InceptionDate,164)</f>
        <v/>
      </c>
      <c r="FM28" s="39">
        <f>EDATE(InceptionDate,165)</f>
        <v/>
      </c>
      <c r="FN28" s="39">
        <f>EDATE(InceptionDate,166)</f>
        <v/>
      </c>
      <c r="FO28" s="39">
        <f>EDATE(InceptionDate,167)</f>
        <v/>
      </c>
      <c r="FP28" s="39">
        <f>EDATE(InceptionDate,168)</f>
        <v/>
      </c>
      <c r="FQ28" s="39">
        <f>EDATE(InceptionDate,169)</f>
        <v/>
      </c>
      <c r="FR28" s="39">
        <f>EDATE(InceptionDate,170)</f>
        <v/>
      </c>
      <c r="FS28" s="39">
        <f>EDATE(InceptionDate,171)</f>
        <v/>
      </c>
      <c r="FT28" s="39">
        <f>EDATE(InceptionDate,172)</f>
        <v/>
      </c>
      <c r="FU28" s="39">
        <f>EDATE(InceptionDate,173)</f>
        <v/>
      </c>
      <c r="FV28" s="39">
        <f>EDATE(InceptionDate,174)</f>
        <v/>
      </c>
      <c r="FW28" s="39">
        <f>EDATE(InceptionDate,175)</f>
        <v/>
      </c>
      <c r="FX28" s="39">
        <f>EDATE(InceptionDate,176)</f>
        <v/>
      </c>
      <c r="FY28" s="39">
        <f>EDATE(InceptionDate,177)</f>
        <v/>
      </c>
      <c r="FZ28" s="39">
        <f>EDATE(InceptionDate,178)</f>
        <v/>
      </c>
      <c r="GA28" s="39">
        <f>EDATE(InceptionDate,179)</f>
        <v/>
      </c>
      <c r="GB28" s="39">
        <f>EDATE(InceptionDate,180)</f>
        <v/>
      </c>
      <c r="GC28" s="39">
        <f>EDATE(InceptionDate,181)</f>
        <v/>
      </c>
      <c r="GD28" s="39">
        <f>EDATE(InceptionDate,182)</f>
        <v/>
      </c>
      <c r="GE28" s="39">
        <f>EDATE(InceptionDate,183)</f>
        <v/>
      </c>
      <c r="GF28" s="39">
        <f>EDATE(InceptionDate,184)</f>
        <v/>
      </c>
      <c r="GG28" s="39">
        <f>EDATE(InceptionDate,185)</f>
        <v/>
      </c>
      <c r="GH28" s="39">
        <f>EDATE(InceptionDate,186)</f>
        <v/>
      </c>
      <c r="GI28" s="39">
        <f>EDATE(InceptionDate,187)</f>
        <v/>
      </c>
      <c r="GJ28" s="39">
        <f>EDATE(InceptionDate,188)</f>
        <v/>
      </c>
      <c r="GK28" s="39">
        <f>EDATE(InceptionDate,189)</f>
        <v/>
      </c>
      <c r="GL28" s="39">
        <f>EDATE(InceptionDate,190)</f>
        <v/>
      </c>
      <c r="GM28" s="39">
        <f>EDATE(InceptionDate,191)</f>
        <v/>
      </c>
      <c r="GN28" s="39">
        <f>EDATE(InceptionDate,192)</f>
        <v/>
      </c>
      <c r="GO28" s="39">
        <f>EDATE(InceptionDate,193)</f>
        <v/>
      </c>
      <c r="GP28" s="39">
        <f>EDATE(InceptionDate,194)</f>
        <v/>
      </c>
      <c r="GQ28" s="39">
        <f>EDATE(InceptionDate,195)</f>
        <v/>
      </c>
      <c r="GR28" s="39">
        <f>EDATE(InceptionDate,196)</f>
        <v/>
      </c>
      <c r="GS28" s="39">
        <f>EDATE(InceptionDate,197)</f>
        <v/>
      </c>
      <c r="GT28" s="39">
        <f>EDATE(InceptionDate,198)</f>
        <v/>
      </c>
      <c r="GU28" s="39">
        <f>EDATE(InceptionDate,199)</f>
        <v/>
      </c>
      <c r="GV28" s="39">
        <f>EDATE(InceptionDate,200)</f>
        <v/>
      </c>
      <c r="GW28" s="39">
        <f>EDATE(InceptionDate,201)</f>
        <v/>
      </c>
      <c r="GX28" s="39">
        <f>EDATE(InceptionDate,202)</f>
        <v/>
      </c>
      <c r="GY28" s="39">
        <f>EDATE(InceptionDate,203)</f>
        <v/>
      </c>
      <c r="GZ28" s="39">
        <f>EDATE(InceptionDate,204)</f>
        <v/>
      </c>
      <c r="HA28" s="39">
        <f>EDATE(InceptionDate,205)</f>
        <v/>
      </c>
      <c r="HB28" s="39">
        <f>EDATE(InceptionDate,206)</f>
        <v/>
      </c>
      <c r="HC28" s="39">
        <f>EDATE(InceptionDate,207)</f>
        <v/>
      </c>
      <c r="HD28" s="39">
        <f>EDATE(InceptionDate,208)</f>
        <v/>
      </c>
      <c r="HE28" s="39">
        <f>EDATE(InceptionDate,209)</f>
        <v/>
      </c>
      <c r="HF28" s="39">
        <f>EDATE(InceptionDate,210)</f>
        <v/>
      </c>
      <c r="HG28" s="39">
        <f>EDATE(InceptionDate,211)</f>
        <v/>
      </c>
      <c r="HH28" s="39">
        <f>EDATE(InceptionDate,212)</f>
        <v/>
      </c>
      <c r="HI28" s="39">
        <f>EDATE(InceptionDate,213)</f>
        <v/>
      </c>
      <c r="HJ28" s="39">
        <f>EDATE(InceptionDate,214)</f>
        <v/>
      </c>
      <c r="HK28" s="39">
        <f>EDATE(InceptionDate,215)</f>
        <v/>
      </c>
      <c r="HL28" s="39">
        <f>EDATE(InceptionDate,216)</f>
        <v/>
      </c>
      <c r="HM28" s="39">
        <f>EDATE(InceptionDate,217)</f>
        <v/>
      </c>
      <c r="HN28" s="39">
        <f>EDATE(InceptionDate,218)</f>
        <v/>
      </c>
      <c r="HO28" s="39">
        <f>EDATE(InceptionDate,219)</f>
        <v/>
      </c>
      <c r="HP28" s="39">
        <f>EDATE(InceptionDate,220)</f>
        <v/>
      </c>
      <c r="HQ28" s="39">
        <f>EDATE(InceptionDate,221)</f>
        <v/>
      </c>
      <c r="HR28" s="39">
        <f>EDATE(InceptionDate,222)</f>
        <v/>
      </c>
      <c r="HS28" s="39">
        <f>EDATE(InceptionDate,223)</f>
        <v/>
      </c>
      <c r="HT28" s="39">
        <f>EDATE(InceptionDate,224)</f>
        <v/>
      </c>
      <c r="HU28" s="39">
        <f>EDATE(InceptionDate,225)</f>
        <v/>
      </c>
      <c r="HV28" s="39">
        <f>EDATE(InceptionDate,226)</f>
        <v/>
      </c>
      <c r="HW28" s="39">
        <f>EDATE(InceptionDate,227)</f>
        <v/>
      </c>
      <c r="HX28" s="39">
        <f>EDATE(InceptionDate,228)</f>
        <v/>
      </c>
      <c r="HY28" s="39">
        <f>EDATE(InceptionDate,229)</f>
        <v/>
      </c>
      <c r="HZ28" s="39">
        <f>EDATE(InceptionDate,230)</f>
        <v/>
      </c>
      <c r="IA28" s="39">
        <f>EDATE(InceptionDate,231)</f>
        <v/>
      </c>
      <c r="IB28" s="39">
        <f>EDATE(InceptionDate,232)</f>
        <v/>
      </c>
      <c r="IC28" s="39">
        <f>EDATE(InceptionDate,233)</f>
        <v/>
      </c>
      <c r="ID28" s="39">
        <f>EDATE(InceptionDate,234)</f>
        <v/>
      </c>
      <c r="IE28" s="39">
        <f>EDATE(InceptionDate,235)</f>
        <v/>
      </c>
      <c r="IF28" s="39">
        <f>EDATE(InceptionDate,236)</f>
        <v/>
      </c>
      <c r="IG28" s="39">
        <f>EDATE(InceptionDate,237)</f>
        <v/>
      </c>
      <c r="IH28" s="39">
        <f>EDATE(InceptionDate,238)</f>
        <v/>
      </c>
      <c r="II28" s="39">
        <f>EDATE(InceptionDate,239)</f>
        <v/>
      </c>
      <c r="IJ28" s="39">
        <f>EDATE(InceptionDate,240)</f>
        <v/>
      </c>
      <c r="IK28" s="39">
        <f>EDATE(InceptionDate,241)</f>
        <v/>
      </c>
      <c r="IL28" s="39">
        <f>EDATE(InceptionDate,242)</f>
        <v/>
      </c>
      <c r="IM28" s="39">
        <f>EDATE(InceptionDate,243)</f>
        <v/>
      </c>
      <c r="IN28" s="39">
        <f>EDATE(InceptionDate,244)</f>
        <v/>
      </c>
      <c r="IO28" s="39">
        <f>EDATE(InceptionDate,245)</f>
        <v/>
      </c>
      <c r="IP28" s="39">
        <f>EDATE(InceptionDate,246)</f>
        <v/>
      </c>
      <c r="IQ28" s="39">
        <f>EDATE(InceptionDate,247)</f>
        <v/>
      </c>
      <c r="IR28" s="39">
        <f>EDATE(InceptionDate,248)</f>
        <v/>
      </c>
      <c r="IS28" s="39">
        <f>EDATE(InceptionDate,249)</f>
        <v/>
      </c>
      <c r="IT28" s="39">
        <f>EDATE(InceptionDate,250)</f>
        <v/>
      </c>
      <c r="IU28" s="39">
        <f>EDATE(InceptionDate,251)</f>
        <v/>
      </c>
      <c r="IV28" s="39">
        <f>EDATE(InceptionDate,252)</f>
        <v/>
      </c>
      <c r="IW28" s="39">
        <f>EDATE(InceptionDate,253)</f>
        <v/>
      </c>
      <c r="IX28" s="39">
        <f>EDATE(InceptionDate,254)</f>
        <v/>
      </c>
      <c r="IY28" s="39">
        <f>EDATE(InceptionDate,255)</f>
        <v/>
      </c>
      <c r="IZ28" s="39">
        <f>EDATE(InceptionDate,256)</f>
        <v/>
      </c>
      <c r="JA28" s="39">
        <f>EDATE(InceptionDate,257)</f>
        <v/>
      </c>
      <c r="JB28" s="39">
        <f>EDATE(InceptionDate,258)</f>
        <v/>
      </c>
      <c r="JC28" s="39">
        <f>EDATE(InceptionDate,259)</f>
        <v/>
      </c>
      <c r="JD28" s="39">
        <f>EDATE(InceptionDate,260)</f>
        <v/>
      </c>
      <c r="JE28" s="39">
        <f>EDATE(InceptionDate,261)</f>
        <v/>
      </c>
      <c r="JF28" s="39">
        <f>EDATE(InceptionDate,262)</f>
        <v/>
      </c>
      <c r="JG28" s="39">
        <f>EDATE(InceptionDate,263)</f>
        <v/>
      </c>
      <c r="JH28" s="39">
        <f>EDATE(InceptionDate,264)</f>
        <v/>
      </c>
      <c r="JI28" s="39">
        <f>EDATE(InceptionDate,265)</f>
        <v/>
      </c>
      <c r="JJ28" s="39">
        <f>EDATE(InceptionDate,266)</f>
        <v/>
      </c>
      <c r="JK28" s="39">
        <f>EDATE(InceptionDate,267)</f>
        <v/>
      </c>
      <c r="JL28" s="39">
        <f>EDATE(InceptionDate,268)</f>
        <v/>
      </c>
      <c r="JM28" s="39">
        <f>EDATE(InceptionDate,269)</f>
        <v/>
      </c>
      <c r="JN28" s="39">
        <f>EDATE(InceptionDate,270)</f>
        <v/>
      </c>
      <c r="JO28" s="39">
        <f>EDATE(InceptionDate,271)</f>
        <v/>
      </c>
      <c r="JP28" s="39">
        <f>EDATE(InceptionDate,272)</f>
        <v/>
      </c>
      <c r="JQ28" s="39">
        <f>EDATE(InceptionDate,273)</f>
        <v/>
      </c>
      <c r="JR28" s="39">
        <f>EDATE(InceptionDate,274)</f>
        <v/>
      </c>
      <c r="JS28" s="39">
        <f>EDATE(InceptionDate,275)</f>
        <v/>
      </c>
      <c r="JT28" s="39">
        <f>EDATE(InceptionDate,276)</f>
        <v/>
      </c>
      <c r="JU28" s="39">
        <f>EDATE(InceptionDate,277)</f>
        <v/>
      </c>
      <c r="JV28" s="39">
        <f>EDATE(InceptionDate,278)</f>
        <v/>
      </c>
      <c r="JW28" s="39">
        <f>EDATE(InceptionDate,279)</f>
        <v/>
      </c>
      <c r="JX28" s="39">
        <f>EDATE(InceptionDate,280)</f>
        <v/>
      </c>
      <c r="JY28" s="39">
        <f>EDATE(InceptionDate,281)</f>
        <v/>
      </c>
      <c r="JZ28" s="39">
        <f>EDATE(InceptionDate,282)</f>
        <v/>
      </c>
      <c r="KA28" s="39">
        <f>EDATE(InceptionDate,283)</f>
        <v/>
      </c>
      <c r="KB28" s="39">
        <f>EDATE(InceptionDate,284)</f>
        <v/>
      </c>
      <c r="KC28" s="39">
        <f>EDATE(InceptionDate,285)</f>
        <v/>
      </c>
      <c r="KD28" s="39">
        <f>EDATE(InceptionDate,286)</f>
        <v/>
      </c>
      <c r="KE28" s="39">
        <f>EDATE(InceptionDate,287)</f>
        <v/>
      </c>
      <c r="KF28" s="39">
        <f>EDATE(InceptionDate,288)</f>
        <v/>
      </c>
      <c r="KG28" s="39">
        <f>EDATE(InceptionDate,289)</f>
        <v/>
      </c>
      <c r="KH28" s="39">
        <f>EDATE(InceptionDate,290)</f>
        <v/>
      </c>
      <c r="KI28" s="39">
        <f>EDATE(InceptionDate,291)</f>
        <v/>
      </c>
      <c r="KJ28" s="39">
        <f>EDATE(InceptionDate,292)</f>
        <v/>
      </c>
      <c r="KK28" s="39">
        <f>EDATE(InceptionDate,293)</f>
        <v/>
      </c>
      <c r="KL28" s="39">
        <f>EDATE(InceptionDate,294)</f>
        <v/>
      </c>
      <c r="KM28" s="39">
        <f>EDATE(InceptionDate,295)</f>
        <v/>
      </c>
      <c r="KN28" s="39">
        <f>EDATE(InceptionDate,296)</f>
        <v/>
      </c>
      <c r="KO28" s="39">
        <f>EDATE(InceptionDate,297)</f>
        <v/>
      </c>
      <c r="KP28" s="39">
        <f>EDATE(InceptionDate,298)</f>
        <v/>
      </c>
      <c r="KQ28" s="39">
        <f>EDATE(InceptionDate,299)</f>
        <v/>
      </c>
      <c r="KR28" s="39">
        <f>EDATE(InceptionDate,300)</f>
        <v/>
      </c>
      <c r="KS28" s="39">
        <f>EDATE(InceptionDate,301)</f>
        <v/>
      </c>
      <c r="KT28" s="39">
        <f>EDATE(InceptionDate,302)</f>
        <v/>
      </c>
      <c r="KU28" s="39">
        <f>EDATE(InceptionDate,303)</f>
        <v/>
      </c>
      <c r="KV28" s="39">
        <f>EDATE(InceptionDate,304)</f>
        <v/>
      </c>
      <c r="KW28" s="39">
        <f>EDATE(InceptionDate,305)</f>
        <v/>
      </c>
      <c r="KX28" s="39">
        <f>EDATE(InceptionDate,306)</f>
        <v/>
      </c>
      <c r="KY28" s="39">
        <f>EDATE(InceptionDate,307)</f>
        <v/>
      </c>
      <c r="KZ28" s="39">
        <f>EDATE(InceptionDate,308)</f>
        <v/>
      </c>
      <c r="LA28" s="39">
        <f>EDATE(InceptionDate,309)</f>
        <v/>
      </c>
      <c r="LB28" s="39">
        <f>EDATE(InceptionDate,310)</f>
        <v/>
      </c>
      <c r="LC28" s="39">
        <f>EDATE(InceptionDate,311)</f>
        <v/>
      </c>
      <c r="LD28" s="39">
        <f>EDATE(InceptionDate,312)</f>
        <v/>
      </c>
      <c r="LE28" s="39">
        <f>EDATE(InceptionDate,313)</f>
        <v/>
      </c>
      <c r="LF28" s="39">
        <f>EDATE(InceptionDate,314)</f>
        <v/>
      </c>
      <c r="LG28" s="39">
        <f>EDATE(InceptionDate,315)</f>
        <v/>
      </c>
      <c r="LH28" s="39">
        <f>EDATE(InceptionDate,316)</f>
        <v/>
      </c>
      <c r="LI28" s="39">
        <f>EDATE(InceptionDate,317)</f>
        <v/>
      </c>
      <c r="LJ28" s="39">
        <f>EDATE(InceptionDate,318)</f>
        <v/>
      </c>
      <c r="LK28" s="39">
        <f>EDATE(InceptionDate,319)</f>
        <v/>
      </c>
      <c r="LL28" s="39">
        <f>EDATE(InceptionDate,320)</f>
        <v/>
      </c>
      <c r="LM28" s="39">
        <f>EDATE(InceptionDate,321)</f>
        <v/>
      </c>
      <c r="LN28" s="39">
        <f>EDATE(InceptionDate,322)</f>
        <v/>
      </c>
      <c r="LO28" s="39">
        <f>EDATE(InceptionDate,323)</f>
        <v/>
      </c>
      <c r="LP28" s="39">
        <f>EDATE(InceptionDate,324)</f>
        <v/>
      </c>
      <c r="LQ28" s="39">
        <f>EDATE(InceptionDate,325)</f>
        <v/>
      </c>
      <c r="LR28" s="39">
        <f>EDATE(InceptionDate,326)</f>
        <v/>
      </c>
      <c r="LS28" s="39">
        <f>EDATE(InceptionDate,327)</f>
        <v/>
      </c>
      <c r="LT28" s="39">
        <f>EDATE(InceptionDate,328)</f>
        <v/>
      </c>
      <c r="LU28" s="39">
        <f>EDATE(InceptionDate,329)</f>
        <v/>
      </c>
      <c r="LV28" s="39">
        <f>EDATE(InceptionDate,330)</f>
        <v/>
      </c>
      <c r="LW28" s="39">
        <f>EDATE(InceptionDate,331)</f>
        <v/>
      </c>
      <c r="LX28" s="39">
        <f>EDATE(InceptionDate,332)</f>
        <v/>
      </c>
      <c r="LY28" s="39">
        <f>EDATE(InceptionDate,333)</f>
        <v/>
      </c>
      <c r="LZ28" s="39">
        <f>EDATE(InceptionDate,334)</f>
        <v/>
      </c>
      <c r="MA28" s="39">
        <f>EDATE(InceptionDate,335)</f>
        <v/>
      </c>
      <c r="MB28" s="39">
        <f>EDATE(InceptionDate,336)</f>
        <v/>
      </c>
      <c r="MC28" s="39">
        <f>EDATE(InceptionDate,337)</f>
        <v/>
      </c>
      <c r="MD28" s="39">
        <f>EDATE(InceptionDate,338)</f>
        <v/>
      </c>
      <c r="ME28" s="39">
        <f>EDATE(InceptionDate,339)</f>
        <v/>
      </c>
      <c r="MF28" s="39">
        <f>EDATE(InceptionDate,340)</f>
        <v/>
      </c>
      <c r="MG28" s="39">
        <f>EDATE(InceptionDate,341)</f>
        <v/>
      </c>
      <c r="MH28" s="39">
        <f>EDATE(InceptionDate,342)</f>
        <v/>
      </c>
      <c r="MI28" s="39">
        <f>EDATE(InceptionDate,343)</f>
        <v/>
      </c>
      <c r="MJ28" s="39">
        <f>EDATE(InceptionDate,344)</f>
        <v/>
      </c>
      <c r="MK28" s="39">
        <f>EDATE(InceptionDate,345)</f>
        <v/>
      </c>
      <c r="ML28" s="39">
        <f>EDATE(InceptionDate,346)</f>
        <v/>
      </c>
      <c r="MM28" s="39">
        <f>EDATE(InceptionDate,347)</f>
        <v/>
      </c>
      <c r="MN28" s="39">
        <f>EDATE(InceptionDate,348)</f>
        <v/>
      </c>
      <c r="MO28" s="39">
        <f>EDATE(InceptionDate,349)</f>
        <v/>
      </c>
      <c r="MP28" s="39">
        <f>EDATE(InceptionDate,350)</f>
        <v/>
      </c>
      <c r="MQ28" s="39">
        <f>EDATE(InceptionDate,351)</f>
        <v/>
      </c>
      <c r="MR28" s="39">
        <f>EDATE(InceptionDate,352)</f>
        <v/>
      </c>
      <c r="MS28" s="39">
        <f>EDATE(InceptionDate,353)</f>
        <v/>
      </c>
      <c r="MT28" s="39">
        <f>EDATE(InceptionDate,354)</f>
        <v/>
      </c>
      <c r="MU28" s="39">
        <f>EDATE(InceptionDate,355)</f>
        <v/>
      </c>
      <c r="MV28" s="39">
        <f>EDATE(InceptionDate,356)</f>
        <v/>
      </c>
      <c r="MW28" s="39">
        <f>EDATE(InceptionDate,357)</f>
        <v/>
      </c>
      <c r="MX28" s="39">
        <f>EDATE(InceptionDate,358)</f>
        <v/>
      </c>
      <c r="MY28" s="39">
        <f>EDATE(InceptionDate,359)</f>
        <v/>
      </c>
      <c r="MZ28" s="39">
        <f>EDATE(InceptionDate,360)</f>
        <v/>
      </c>
      <c r="NA28" s="39">
        <f>EDATE(InceptionDate,361)</f>
        <v/>
      </c>
      <c r="NB28" s="39">
        <f>EDATE(InceptionDate,362)</f>
        <v/>
      </c>
      <c r="NC28" s="39">
        <f>EDATE(InceptionDate,363)</f>
        <v/>
      </c>
      <c r="ND28" s="39">
        <f>EDATE(InceptionDate,364)</f>
        <v/>
      </c>
      <c r="NE28" s="39">
        <f>EDATE(InceptionDate,365)</f>
        <v/>
      </c>
      <c r="NF28" s="39">
        <f>EDATE(InceptionDate,366)</f>
        <v/>
      </c>
      <c r="NG28" s="39">
        <f>EDATE(InceptionDate,367)</f>
        <v/>
      </c>
      <c r="NH28" s="39">
        <f>EDATE(InceptionDate,368)</f>
        <v/>
      </c>
      <c r="NI28" s="39">
        <f>EDATE(InceptionDate,369)</f>
        <v/>
      </c>
      <c r="NJ28" s="39">
        <f>EDATE(InceptionDate,370)</f>
        <v/>
      </c>
      <c r="NK28" s="39">
        <f>EDATE(InceptionDate,371)</f>
        <v/>
      </c>
    </row>
    <row r="29">
      <c r="A29" s="5" t="inlineStr">
        <is>
          <t>Flag: Open Escrow</t>
        </is>
      </c>
      <c r="C29" s="40" t="n"/>
      <c r="D29" s="17">
        <f>IF(AND(1&gt;=$B$4,1&lt;=$D$4),1,0)</f>
        <v/>
      </c>
      <c r="E29" s="17">
        <f>IF(AND(2&gt;=$B$4,2&lt;=$D$4),1,0)</f>
        <v/>
      </c>
      <c r="F29" s="17">
        <f>IF(AND(3&gt;=$B$4,3&lt;=$D$4),1,0)</f>
        <v/>
      </c>
      <c r="G29" s="17">
        <f>IF(AND(4&gt;=$B$4,4&lt;=$D$4),1,0)</f>
        <v/>
      </c>
      <c r="H29" s="17">
        <f>IF(AND(5&gt;=$B$4,5&lt;=$D$4),1,0)</f>
        <v/>
      </c>
      <c r="I29" s="17">
        <f>IF(AND(6&gt;=$B$4,6&lt;=$D$4),1,0)</f>
        <v/>
      </c>
      <c r="J29" s="17">
        <f>IF(AND(7&gt;=$B$4,7&lt;=$D$4),1,0)</f>
        <v/>
      </c>
      <c r="K29" s="17">
        <f>IF(AND(8&gt;=$B$4,8&lt;=$D$4),1,0)</f>
        <v/>
      </c>
      <c r="L29" s="17">
        <f>IF(AND(9&gt;=$B$4,9&lt;=$D$4),1,0)</f>
        <v/>
      </c>
      <c r="M29" s="17">
        <f>IF(AND(10&gt;=$B$4,10&lt;=$D$4),1,0)</f>
        <v/>
      </c>
      <c r="N29" s="17">
        <f>IF(AND(11&gt;=$B$4,11&lt;=$D$4),1,0)</f>
        <v/>
      </c>
      <c r="O29" s="17">
        <f>IF(AND(12&gt;=$B$4,12&lt;=$D$4),1,0)</f>
        <v/>
      </c>
      <c r="P29" s="17">
        <f>IF(AND(13&gt;=$B$4,13&lt;=$D$4),1,0)</f>
        <v/>
      </c>
      <c r="Q29" s="17">
        <f>IF(AND(14&gt;=$B$4,14&lt;=$D$4),1,0)</f>
        <v/>
      </c>
      <c r="R29" s="17">
        <f>IF(AND(15&gt;=$B$4,15&lt;=$D$4),1,0)</f>
        <v/>
      </c>
      <c r="S29" s="17">
        <f>IF(AND(16&gt;=$B$4,16&lt;=$D$4),1,0)</f>
        <v/>
      </c>
      <c r="T29" s="17">
        <f>IF(AND(17&gt;=$B$4,17&lt;=$D$4),1,0)</f>
        <v/>
      </c>
      <c r="U29" s="17">
        <f>IF(AND(18&gt;=$B$4,18&lt;=$D$4),1,0)</f>
        <v/>
      </c>
      <c r="V29" s="17">
        <f>IF(AND(19&gt;=$B$4,19&lt;=$D$4),1,0)</f>
        <v/>
      </c>
      <c r="W29" s="17">
        <f>IF(AND(20&gt;=$B$4,20&lt;=$D$4),1,0)</f>
        <v/>
      </c>
      <c r="X29" s="17">
        <f>IF(AND(21&gt;=$B$4,21&lt;=$D$4),1,0)</f>
        <v/>
      </c>
      <c r="Y29" s="17">
        <f>IF(AND(22&gt;=$B$4,22&lt;=$D$4),1,0)</f>
        <v/>
      </c>
      <c r="Z29" s="17">
        <f>IF(AND(23&gt;=$B$4,23&lt;=$D$4),1,0)</f>
        <v/>
      </c>
      <c r="AA29" s="17">
        <f>IF(AND(24&gt;=$B$4,24&lt;=$D$4),1,0)</f>
        <v/>
      </c>
      <c r="AB29" s="17">
        <f>IF(AND(25&gt;=$B$4,25&lt;=$D$4),1,0)</f>
        <v/>
      </c>
      <c r="AC29" s="17">
        <f>IF(AND(26&gt;=$B$4,26&lt;=$D$4),1,0)</f>
        <v/>
      </c>
      <c r="AD29" s="17">
        <f>IF(AND(27&gt;=$B$4,27&lt;=$D$4),1,0)</f>
        <v/>
      </c>
      <c r="AE29" s="17">
        <f>IF(AND(28&gt;=$B$4,28&lt;=$D$4),1,0)</f>
        <v/>
      </c>
      <c r="AF29" s="17">
        <f>IF(AND(29&gt;=$B$4,29&lt;=$D$4),1,0)</f>
        <v/>
      </c>
      <c r="AG29" s="17">
        <f>IF(AND(30&gt;=$B$4,30&lt;=$D$4),1,0)</f>
        <v/>
      </c>
      <c r="AH29" s="17">
        <f>IF(AND(31&gt;=$B$4,31&lt;=$D$4),1,0)</f>
        <v/>
      </c>
      <c r="AI29" s="17">
        <f>IF(AND(32&gt;=$B$4,32&lt;=$D$4),1,0)</f>
        <v/>
      </c>
      <c r="AJ29" s="17">
        <f>IF(AND(33&gt;=$B$4,33&lt;=$D$4),1,0)</f>
        <v/>
      </c>
      <c r="AK29" s="17">
        <f>IF(AND(34&gt;=$B$4,34&lt;=$D$4),1,0)</f>
        <v/>
      </c>
      <c r="AL29" s="17">
        <f>IF(AND(35&gt;=$B$4,35&lt;=$D$4),1,0)</f>
        <v/>
      </c>
      <c r="AM29" s="17">
        <f>IF(AND(36&gt;=$B$4,36&lt;=$D$4),1,0)</f>
        <v/>
      </c>
      <c r="AN29" s="17">
        <f>IF(AND(37&gt;=$B$4,37&lt;=$D$4),1,0)</f>
        <v/>
      </c>
      <c r="AO29" s="17">
        <f>IF(AND(38&gt;=$B$4,38&lt;=$D$4),1,0)</f>
        <v/>
      </c>
      <c r="AP29" s="17">
        <f>IF(AND(39&gt;=$B$4,39&lt;=$D$4),1,0)</f>
        <v/>
      </c>
      <c r="AQ29" s="17">
        <f>IF(AND(40&gt;=$B$4,40&lt;=$D$4),1,0)</f>
        <v/>
      </c>
      <c r="AR29" s="17">
        <f>IF(AND(41&gt;=$B$4,41&lt;=$D$4),1,0)</f>
        <v/>
      </c>
      <c r="AS29" s="17">
        <f>IF(AND(42&gt;=$B$4,42&lt;=$D$4),1,0)</f>
        <v/>
      </c>
      <c r="AT29" s="17">
        <f>IF(AND(43&gt;=$B$4,43&lt;=$D$4),1,0)</f>
        <v/>
      </c>
      <c r="AU29" s="17">
        <f>IF(AND(44&gt;=$B$4,44&lt;=$D$4),1,0)</f>
        <v/>
      </c>
      <c r="AV29" s="17">
        <f>IF(AND(45&gt;=$B$4,45&lt;=$D$4),1,0)</f>
        <v/>
      </c>
      <c r="AW29" s="17">
        <f>IF(AND(46&gt;=$B$4,46&lt;=$D$4),1,0)</f>
        <v/>
      </c>
      <c r="AX29" s="17">
        <f>IF(AND(47&gt;=$B$4,47&lt;=$D$4),1,0)</f>
        <v/>
      </c>
      <c r="AY29" s="17">
        <f>IF(AND(48&gt;=$B$4,48&lt;=$D$4),1,0)</f>
        <v/>
      </c>
      <c r="AZ29" s="17">
        <f>IF(AND(49&gt;=$B$4,49&lt;=$D$4),1,0)</f>
        <v/>
      </c>
      <c r="BA29" s="17">
        <f>IF(AND(50&gt;=$B$4,50&lt;=$D$4),1,0)</f>
        <v/>
      </c>
      <c r="BB29" s="17">
        <f>IF(AND(51&gt;=$B$4,51&lt;=$D$4),1,0)</f>
        <v/>
      </c>
      <c r="BC29" s="17">
        <f>IF(AND(52&gt;=$B$4,52&lt;=$D$4),1,0)</f>
        <v/>
      </c>
      <c r="BD29" s="17">
        <f>IF(AND(53&gt;=$B$4,53&lt;=$D$4),1,0)</f>
        <v/>
      </c>
      <c r="BE29" s="17">
        <f>IF(AND(54&gt;=$B$4,54&lt;=$D$4),1,0)</f>
        <v/>
      </c>
      <c r="BF29" s="17">
        <f>IF(AND(55&gt;=$B$4,55&lt;=$D$4),1,0)</f>
        <v/>
      </c>
      <c r="BG29" s="17">
        <f>IF(AND(56&gt;=$B$4,56&lt;=$D$4),1,0)</f>
        <v/>
      </c>
      <c r="BH29" s="17">
        <f>IF(AND(57&gt;=$B$4,57&lt;=$D$4),1,0)</f>
        <v/>
      </c>
      <c r="BI29" s="17">
        <f>IF(AND(58&gt;=$B$4,58&lt;=$D$4),1,0)</f>
        <v/>
      </c>
      <c r="BJ29" s="17">
        <f>IF(AND(59&gt;=$B$4,59&lt;=$D$4),1,0)</f>
        <v/>
      </c>
      <c r="BK29" s="17">
        <f>IF(AND(60&gt;=$B$4,60&lt;=$D$4),1,0)</f>
        <v/>
      </c>
      <c r="BL29" s="17">
        <f>IF(AND(61&gt;=$B$4,61&lt;=$D$4),1,0)</f>
        <v/>
      </c>
      <c r="BM29" s="17">
        <f>IF(AND(62&gt;=$B$4,62&lt;=$D$4),1,0)</f>
        <v/>
      </c>
      <c r="BN29" s="17">
        <f>IF(AND(63&gt;=$B$4,63&lt;=$D$4),1,0)</f>
        <v/>
      </c>
      <c r="BO29" s="17">
        <f>IF(AND(64&gt;=$B$4,64&lt;=$D$4),1,0)</f>
        <v/>
      </c>
      <c r="BP29" s="17">
        <f>IF(AND(65&gt;=$B$4,65&lt;=$D$4),1,0)</f>
        <v/>
      </c>
      <c r="BQ29" s="17">
        <f>IF(AND(66&gt;=$B$4,66&lt;=$D$4),1,0)</f>
        <v/>
      </c>
      <c r="BR29" s="17">
        <f>IF(AND(67&gt;=$B$4,67&lt;=$D$4),1,0)</f>
        <v/>
      </c>
      <c r="BS29" s="17">
        <f>IF(AND(68&gt;=$B$4,68&lt;=$D$4),1,0)</f>
        <v/>
      </c>
      <c r="BT29" s="17">
        <f>IF(AND(69&gt;=$B$4,69&lt;=$D$4),1,0)</f>
        <v/>
      </c>
      <c r="BU29" s="17">
        <f>IF(AND(70&gt;=$B$4,70&lt;=$D$4),1,0)</f>
        <v/>
      </c>
      <c r="BV29" s="17">
        <f>IF(AND(71&gt;=$B$4,71&lt;=$D$4),1,0)</f>
        <v/>
      </c>
      <c r="BW29" s="17">
        <f>IF(AND(72&gt;=$B$4,72&lt;=$D$4),1,0)</f>
        <v/>
      </c>
      <c r="BX29" s="17">
        <f>IF(AND(73&gt;=$B$4,73&lt;=$D$4),1,0)</f>
        <v/>
      </c>
      <c r="BY29" s="17">
        <f>IF(AND(74&gt;=$B$4,74&lt;=$D$4),1,0)</f>
        <v/>
      </c>
      <c r="BZ29" s="17">
        <f>IF(AND(75&gt;=$B$4,75&lt;=$D$4),1,0)</f>
        <v/>
      </c>
      <c r="CA29" s="17">
        <f>IF(AND(76&gt;=$B$4,76&lt;=$D$4),1,0)</f>
        <v/>
      </c>
      <c r="CB29" s="17">
        <f>IF(AND(77&gt;=$B$4,77&lt;=$D$4),1,0)</f>
        <v/>
      </c>
      <c r="CC29" s="17">
        <f>IF(AND(78&gt;=$B$4,78&lt;=$D$4),1,0)</f>
        <v/>
      </c>
      <c r="CD29" s="17">
        <f>IF(AND(79&gt;=$B$4,79&lt;=$D$4),1,0)</f>
        <v/>
      </c>
      <c r="CE29" s="17">
        <f>IF(AND(80&gt;=$B$4,80&lt;=$D$4),1,0)</f>
        <v/>
      </c>
      <c r="CF29" s="17">
        <f>IF(AND(81&gt;=$B$4,81&lt;=$D$4),1,0)</f>
        <v/>
      </c>
      <c r="CG29" s="17">
        <f>IF(AND(82&gt;=$B$4,82&lt;=$D$4),1,0)</f>
        <v/>
      </c>
      <c r="CH29" s="17">
        <f>IF(AND(83&gt;=$B$4,83&lt;=$D$4),1,0)</f>
        <v/>
      </c>
      <c r="CI29" s="17">
        <f>IF(AND(84&gt;=$B$4,84&lt;=$D$4),1,0)</f>
        <v/>
      </c>
      <c r="CJ29" s="17">
        <f>IF(AND(85&gt;=$B$4,85&lt;=$D$4),1,0)</f>
        <v/>
      </c>
      <c r="CK29" s="17">
        <f>IF(AND(86&gt;=$B$4,86&lt;=$D$4),1,0)</f>
        <v/>
      </c>
      <c r="CL29" s="17">
        <f>IF(AND(87&gt;=$B$4,87&lt;=$D$4),1,0)</f>
        <v/>
      </c>
      <c r="CM29" s="17">
        <f>IF(AND(88&gt;=$B$4,88&lt;=$D$4),1,0)</f>
        <v/>
      </c>
      <c r="CN29" s="17">
        <f>IF(AND(89&gt;=$B$4,89&lt;=$D$4),1,0)</f>
        <v/>
      </c>
      <c r="CO29" s="17">
        <f>IF(AND(90&gt;=$B$4,90&lt;=$D$4),1,0)</f>
        <v/>
      </c>
      <c r="CP29" s="17">
        <f>IF(AND(91&gt;=$B$4,91&lt;=$D$4),1,0)</f>
        <v/>
      </c>
      <c r="CQ29" s="17">
        <f>IF(AND(92&gt;=$B$4,92&lt;=$D$4),1,0)</f>
        <v/>
      </c>
      <c r="CR29" s="17">
        <f>IF(AND(93&gt;=$B$4,93&lt;=$D$4),1,0)</f>
        <v/>
      </c>
      <c r="CS29" s="17">
        <f>IF(AND(94&gt;=$B$4,94&lt;=$D$4),1,0)</f>
        <v/>
      </c>
      <c r="CT29" s="17">
        <f>IF(AND(95&gt;=$B$4,95&lt;=$D$4),1,0)</f>
        <v/>
      </c>
      <c r="CU29" s="17">
        <f>IF(AND(96&gt;=$B$4,96&lt;=$D$4),1,0)</f>
        <v/>
      </c>
      <c r="CV29" s="17">
        <f>IF(AND(97&gt;=$B$4,97&lt;=$D$4),1,0)</f>
        <v/>
      </c>
      <c r="CW29" s="17">
        <f>IF(AND(98&gt;=$B$4,98&lt;=$D$4),1,0)</f>
        <v/>
      </c>
      <c r="CX29" s="17">
        <f>IF(AND(99&gt;=$B$4,99&lt;=$D$4),1,0)</f>
        <v/>
      </c>
      <c r="CY29" s="17">
        <f>IF(AND(100&gt;=$B$4,100&lt;=$D$4),1,0)</f>
        <v/>
      </c>
      <c r="CZ29" s="17">
        <f>IF(AND(101&gt;=$B$4,101&lt;=$D$4),1,0)</f>
        <v/>
      </c>
      <c r="DA29" s="17">
        <f>IF(AND(102&gt;=$B$4,102&lt;=$D$4),1,0)</f>
        <v/>
      </c>
      <c r="DB29" s="17">
        <f>IF(AND(103&gt;=$B$4,103&lt;=$D$4),1,0)</f>
        <v/>
      </c>
      <c r="DC29" s="17">
        <f>IF(AND(104&gt;=$B$4,104&lt;=$D$4),1,0)</f>
        <v/>
      </c>
      <c r="DD29" s="17">
        <f>IF(AND(105&gt;=$B$4,105&lt;=$D$4),1,0)</f>
        <v/>
      </c>
      <c r="DE29" s="17">
        <f>IF(AND(106&gt;=$B$4,106&lt;=$D$4),1,0)</f>
        <v/>
      </c>
      <c r="DF29" s="17">
        <f>IF(AND(107&gt;=$B$4,107&lt;=$D$4),1,0)</f>
        <v/>
      </c>
      <c r="DG29" s="17">
        <f>IF(AND(108&gt;=$B$4,108&lt;=$D$4),1,0)</f>
        <v/>
      </c>
      <c r="DH29" s="17">
        <f>IF(AND(109&gt;=$B$4,109&lt;=$D$4),1,0)</f>
        <v/>
      </c>
      <c r="DI29" s="17">
        <f>IF(AND(110&gt;=$B$4,110&lt;=$D$4),1,0)</f>
        <v/>
      </c>
      <c r="DJ29" s="17">
        <f>IF(AND(111&gt;=$B$4,111&lt;=$D$4),1,0)</f>
        <v/>
      </c>
      <c r="DK29" s="17">
        <f>IF(AND(112&gt;=$B$4,112&lt;=$D$4),1,0)</f>
        <v/>
      </c>
      <c r="DL29" s="17">
        <f>IF(AND(113&gt;=$B$4,113&lt;=$D$4),1,0)</f>
        <v/>
      </c>
      <c r="DM29" s="17">
        <f>IF(AND(114&gt;=$B$4,114&lt;=$D$4),1,0)</f>
        <v/>
      </c>
      <c r="DN29" s="17">
        <f>IF(AND(115&gt;=$B$4,115&lt;=$D$4),1,0)</f>
        <v/>
      </c>
      <c r="DO29" s="17">
        <f>IF(AND(116&gt;=$B$4,116&lt;=$D$4),1,0)</f>
        <v/>
      </c>
      <c r="DP29" s="17">
        <f>IF(AND(117&gt;=$B$4,117&lt;=$D$4),1,0)</f>
        <v/>
      </c>
      <c r="DQ29" s="17">
        <f>IF(AND(118&gt;=$B$4,118&lt;=$D$4),1,0)</f>
        <v/>
      </c>
      <c r="DR29" s="17">
        <f>IF(AND(119&gt;=$B$4,119&lt;=$D$4),1,0)</f>
        <v/>
      </c>
      <c r="DS29" s="17">
        <f>IF(AND(120&gt;=$B$4,120&lt;=$D$4),1,0)</f>
        <v/>
      </c>
      <c r="DT29" s="17">
        <f>IF(AND(121&gt;=$B$4,121&lt;=$D$4),1,0)</f>
        <v/>
      </c>
      <c r="DU29" s="17">
        <f>IF(AND(122&gt;=$B$4,122&lt;=$D$4),1,0)</f>
        <v/>
      </c>
      <c r="DV29" s="17">
        <f>IF(AND(123&gt;=$B$4,123&lt;=$D$4),1,0)</f>
        <v/>
      </c>
      <c r="DW29" s="17">
        <f>IF(AND(124&gt;=$B$4,124&lt;=$D$4),1,0)</f>
        <v/>
      </c>
      <c r="DX29" s="17">
        <f>IF(AND(125&gt;=$B$4,125&lt;=$D$4),1,0)</f>
        <v/>
      </c>
      <c r="DY29" s="17">
        <f>IF(AND(126&gt;=$B$4,126&lt;=$D$4),1,0)</f>
        <v/>
      </c>
      <c r="DZ29" s="17">
        <f>IF(AND(127&gt;=$B$4,127&lt;=$D$4),1,0)</f>
        <v/>
      </c>
      <c r="EA29" s="17">
        <f>IF(AND(128&gt;=$B$4,128&lt;=$D$4),1,0)</f>
        <v/>
      </c>
      <c r="EB29" s="17">
        <f>IF(AND(129&gt;=$B$4,129&lt;=$D$4),1,0)</f>
        <v/>
      </c>
      <c r="EC29" s="17">
        <f>IF(AND(130&gt;=$B$4,130&lt;=$D$4),1,0)</f>
        <v/>
      </c>
      <c r="ED29" s="17">
        <f>IF(AND(131&gt;=$B$4,131&lt;=$D$4),1,0)</f>
        <v/>
      </c>
      <c r="EE29" s="17">
        <f>IF(AND(132&gt;=$B$4,132&lt;=$D$4),1,0)</f>
        <v/>
      </c>
      <c r="EF29" s="17">
        <f>IF(AND(133&gt;=$B$4,133&lt;=$D$4),1,0)</f>
        <v/>
      </c>
      <c r="EG29" s="17">
        <f>IF(AND(134&gt;=$B$4,134&lt;=$D$4),1,0)</f>
        <v/>
      </c>
      <c r="EH29" s="17">
        <f>IF(AND(135&gt;=$B$4,135&lt;=$D$4),1,0)</f>
        <v/>
      </c>
      <c r="EI29" s="17">
        <f>IF(AND(136&gt;=$B$4,136&lt;=$D$4),1,0)</f>
        <v/>
      </c>
      <c r="EJ29" s="17">
        <f>IF(AND(137&gt;=$B$4,137&lt;=$D$4),1,0)</f>
        <v/>
      </c>
      <c r="EK29" s="17">
        <f>IF(AND(138&gt;=$B$4,138&lt;=$D$4),1,0)</f>
        <v/>
      </c>
      <c r="EL29" s="17">
        <f>IF(AND(139&gt;=$B$4,139&lt;=$D$4),1,0)</f>
        <v/>
      </c>
      <c r="EM29" s="17">
        <f>IF(AND(140&gt;=$B$4,140&lt;=$D$4),1,0)</f>
        <v/>
      </c>
      <c r="EN29" s="17">
        <f>IF(AND(141&gt;=$B$4,141&lt;=$D$4),1,0)</f>
        <v/>
      </c>
      <c r="EO29" s="17">
        <f>IF(AND(142&gt;=$B$4,142&lt;=$D$4),1,0)</f>
        <v/>
      </c>
      <c r="EP29" s="17">
        <f>IF(AND(143&gt;=$B$4,143&lt;=$D$4),1,0)</f>
        <v/>
      </c>
      <c r="EQ29" s="17">
        <f>IF(AND(144&gt;=$B$4,144&lt;=$D$4),1,0)</f>
        <v/>
      </c>
      <c r="ER29" s="17">
        <f>IF(AND(145&gt;=$B$4,145&lt;=$D$4),1,0)</f>
        <v/>
      </c>
      <c r="ES29" s="17">
        <f>IF(AND(146&gt;=$B$4,146&lt;=$D$4),1,0)</f>
        <v/>
      </c>
      <c r="ET29" s="17">
        <f>IF(AND(147&gt;=$B$4,147&lt;=$D$4),1,0)</f>
        <v/>
      </c>
      <c r="EU29" s="17">
        <f>IF(AND(148&gt;=$B$4,148&lt;=$D$4),1,0)</f>
        <v/>
      </c>
      <c r="EV29" s="17">
        <f>IF(AND(149&gt;=$B$4,149&lt;=$D$4),1,0)</f>
        <v/>
      </c>
      <c r="EW29" s="17">
        <f>IF(AND(150&gt;=$B$4,150&lt;=$D$4),1,0)</f>
        <v/>
      </c>
      <c r="EX29" s="17">
        <f>IF(AND(151&gt;=$B$4,151&lt;=$D$4),1,0)</f>
        <v/>
      </c>
      <c r="EY29" s="17">
        <f>IF(AND(152&gt;=$B$4,152&lt;=$D$4),1,0)</f>
        <v/>
      </c>
      <c r="EZ29" s="17">
        <f>IF(AND(153&gt;=$B$4,153&lt;=$D$4),1,0)</f>
        <v/>
      </c>
      <c r="FA29" s="17">
        <f>IF(AND(154&gt;=$B$4,154&lt;=$D$4),1,0)</f>
        <v/>
      </c>
      <c r="FB29" s="17">
        <f>IF(AND(155&gt;=$B$4,155&lt;=$D$4),1,0)</f>
        <v/>
      </c>
      <c r="FC29" s="17">
        <f>IF(AND(156&gt;=$B$4,156&lt;=$D$4),1,0)</f>
        <v/>
      </c>
      <c r="FD29" s="17">
        <f>IF(AND(157&gt;=$B$4,157&lt;=$D$4),1,0)</f>
        <v/>
      </c>
      <c r="FE29" s="17">
        <f>IF(AND(158&gt;=$B$4,158&lt;=$D$4),1,0)</f>
        <v/>
      </c>
      <c r="FF29" s="17">
        <f>IF(AND(159&gt;=$B$4,159&lt;=$D$4),1,0)</f>
        <v/>
      </c>
      <c r="FG29" s="17">
        <f>IF(AND(160&gt;=$B$4,160&lt;=$D$4),1,0)</f>
        <v/>
      </c>
      <c r="FH29" s="17">
        <f>IF(AND(161&gt;=$B$4,161&lt;=$D$4),1,0)</f>
        <v/>
      </c>
      <c r="FI29" s="17">
        <f>IF(AND(162&gt;=$B$4,162&lt;=$D$4),1,0)</f>
        <v/>
      </c>
      <c r="FJ29" s="17">
        <f>IF(AND(163&gt;=$B$4,163&lt;=$D$4),1,0)</f>
        <v/>
      </c>
      <c r="FK29" s="17">
        <f>IF(AND(164&gt;=$B$4,164&lt;=$D$4),1,0)</f>
        <v/>
      </c>
      <c r="FL29" s="17">
        <f>IF(AND(165&gt;=$B$4,165&lt;=$D$4),1,0)</f>
        <v/>
      </c>
      <c r="FM29" s="17">
        <f>IF(AND(166&gt;=$B$4,166&lt;=$D$4),1,0)</f>
        <v/>
      </c>
      <c r="FN29" s="17">
        <f>IF(AND(167&gt;=$B$4,167&lt;=$D$4),1,0)</f>
        <v/>
      </c>
      <c r="FO29" s="17">
        <f>IF(AND(168&gt;=$B$4,168&lt;=$D$4),1,0)</f>
        <v/>
      </c>
      <c r="FP29" s="17">
        <f>IF(AND(169&gt;=$B$4,169&lt;=$D$4),1,0)</f>
        <v/>
      </c>
      <c r="FQ29" s="17">
        <f>IF(AND(170&gt;=$B$4,170&lt;=$D$4),1,0)</f>
        <v/>
      </c>
      <c r="FR29" s="17">
        <f>IF(AND(171&gt;=$B$4,171&lt;=$D$4),1,0)</f>
        <v/>
      </c>
      <c r="FS29" s="17">
        <f>IF(AND(172&gt;=$B$4,172&lt;=$D$4),1,0)</f>
        <v/>
      </c>
      <c r="FT29" s="17">
        <f>IF(AND(173&gt;=$B$4,173&lt;=$D$4),1,0)</f>
        <v/>
      </c>
      <c r="FU29" s="17">
        <f>IF(AND(174&gt;=$B$4,174&lt;=$D$4),1,0)</f>
        <v/>
      </c>
      <c r="FV29" s="17">
        <f>IF(AND(175&gt;=$B$4,175&lt;=$D$4),1,0)</f>
        <v/>
      </c>
      <c r="FW29" s="17">
        <f>IF(AND(176&gt;=$B$4,176&lt;=$D$4),1,0)</f>
        <v/>
      </c>
      <c r="FX29" s="17">
        <f>IF(AND(177&gt;=$B$4,177&lt;=$D$4),1,0)</f>
        <v/>
      </c>
      <c r="FY29" s="17">
        <f>IF(AND(178&gt;=$B$4,178&lt;=$D$4),1,0)</f>
        <v/>
      </c>
      <c r="FZ29" s="17">
        <f>IF(AND(179&gt;=$B$4,179&lt;=$D$4),1,0)</f>
        <v/>
      </c>
      <c r="GA29" s="17">
        <f>IF(AND(180&gt;=$B$4,180&lt;=$D$4),1,0)</f>
        <v/>
      </c>
      <c r="GB29" s="17">
        <f>IF(AND(181&gt;=$B$4,181&lt;=$D$4),1,0)</f>
        <v/>
      </c>
      <c r="GC29" s="17">
        <f>IF(AND(182&gt;=$B$4,182&lt;=$D$4),1,0)</f>
        <v/>
      </c>
      <c r="GD29" s="17">
        <f>IF(AND(183&gt;=$B$4,183&lt;=$D$4),1,0)</f>
        <v/>
      </c>
      <c r="GE29" s="17">
        <f>IF(AND(184&gt;=$B$4,184&lt;=$D$4),1,0)</f>
        <v/>
      </c>
      <c r="GF29" s="17">
        <f>IF(AND(185&gt;=$B$4,185&lt;=$D$4),1,0)</f>
        <v/>
      </c>
      <c r="GG29" s="17">
        <f>IF(AND(186&gt;=$B$4,186&lt;=$D$4),1,0)</f>
        <v/>
      </c>
      <c r="GH29" s="17">
        <f>IF(AND(187&gt;=$B$4,187&lt;=$D$4),1,0)</f>
        <v/>
      </c>
      <c r="GI29" s="17">
        <f>IF(AND(188&gt;=$B$4,188&lt;=$D$4),1,0)</f>
        <v/>
      </c>
      <c r="GJ29" s="17">
        <f>IF(AND(189&gt;=$B$4,189&lt;=$D$4),1,0)</f>
        <v/>
      </c>
      <c r="GK29" s="17">
        <f>IF(AND(190&gt;=$B$4,190&lt;=$D$4),1,0)</f>
        <v/>
      </c>
      <c r="GL29" s="17">
        <f>IF(AND(191&gt;=$B$4,191&lt;=$D$4),1,0)</f>
        <v/>
      </c>
      <c r="GM29" s="17">
        <f>IF(AND(192&gt;=$B$4,192&lt;=$D$4),1,0)</f>
        <v/>
      </c>
      <c r="GN29" s="17">
        <f>IF(AND(193&gt;=$B$4,193&lt;=$D$4),1,0)</f>
        <v/>
      </c>
      <c r="GO29" s="17">
        <f>IF(AND(194&gt;=$B$4,194&lt;=$D$4),1,0)</f>
        <v/>
      </c>
      <c r="GP29" s="17">
        <f>IF(AND(195&gt;=$B$4,195&lt;=$D$4),1,0)</f>
        <v/>
      </c>
      <c r="GQ29" s="17">
        <f>IF(AND(196&gt;=$B$4,196&lt;=$D$4),1,0)</f>
        <v/>
      </c>
      <c r="GR29" s="17">
        <f>IF(AND(197&gt;=$B$4,197&lt;=$D$4),1,0)</f>
        <v/>
      </c>
      <c r="GS29" s="17">
        <f>IF(AND(198&gt;=$B$4,198&lt;=$D$4),1,0)</f>
        <v/>
      </c>
      <c r="GT29" s="17">
        <f>IF(AND(199&gt;=$B$4,199&lt;=$D$4),1,0)</f>
        <v/>
      </c>
      <c r="GU29" s="17">
        <f>IF(AND(200&gt;=$B$4,200&lt;=$D$4),1,0)</f>
        <v/>
      </c>
      <c r="GV29" s="17">
        <f>IF(AND(201&gt;=$B$4,201&lt;=$D$4),1,0)</f>
        <v/>
      </c>
      <c r="GW29" s="17">
        <f>IF(AND(202&gt;=$B$4,202&lt;=$D$4),1,0)</f>
        <v/>
      </c>
      <c r="GX29" s="17">
        <f>IF(AND(203&gt;=$B$4,203&lt;=$D$4),1,0)</f>
        <v/>
      </c>
      <c r="GY29" s="17">
        <f>IF(AND(204&gt;=$B$4,204&lt;=$D$4),1,0)</f>
        <v/>
      </c>
      <c r="GZ29" s="17">
        <f>IF(AND(205&gt;=$B$4,205&lt;=$D$4),1,0)</f>
        <v/>
      </c>
      <c r="HA29" s="17">
        <f>IF(AND(206&gt;=$B$4,206&lt;=$D$4),1,0)</f>
        <v/>
      </c>
      <c r="HB29" s="17">
        <f>IF(AND(207&gt;=$B$4,207&lt;=$D$4),1,0)</f>
        <v/>
      </c>
      <c r="HC29" s="17">
        <f>IF(AND(208&gt;=$B$4,208&lt;=$D$4),1,0)</f>
        <v/>
      </c>
      <c r="HD29" s="17">
        <f>IF(AND(209&gt;=$B$4,209&lt;=$D$4),1,0)</f>
        <v/>
      </c>
      <c r="HE29" s="17">
        <f>IF(AND(210&gt;=$B$4,210&lt;=$D$4),1,0)</f>
        <v/>
      </c>
      <c r="HF29" s="17">
        <f>IF(AND(211&gt;=$B$4,211&lt;=$D$4),1,0)</f>
        <v/>
      </c>
      <c r="HG29" s="17">
        <f>IF(AND(212&gt;=$B$4,212&lt;=$D$4),1,0)</f>
        <v/>
      </c>
      <c r="HH29" s="17">
        <f>IF(AND(213&gt;=$B$4,213&lt;=$D$4),1,0)</f>
        <v/>
      </c>
      <c r="HI29" s="17">
        <f>IF(AND(214&gt;=$B$4,214&lt;=$D$4),1,0)</f>
        <v/>
      </c>
      <c r="HJ29" s="17">
        <f>IF(AND(215&gt;=$B$4,215&lt;=$D$4),1,0)</f>
        <v/>
      </c>
      <c r="HK29" s="17">
        <f>IF(AND(216&gt;=$B$4,216&lt;=$D$4),1,0)</f>
        <v/>
      </c>
      <c r="HL29" s="17">
        <f>IF(AND(217&gt;=$B$4,217&lt;=$D$4),1,0)</f>
        <v/>
      </c>
      <c r="HM29" s="17">
        <f>IF(AND(218&gt;=$B$4,218&lt;=$D$4),1,0)</f>
        <v/>
      </c>
      <c r="HN29" s="17">
        <f>IF(AND(219&gt;=$B$4,219&lt;=$D$4),1,0)</f>
        <v/>
      </c>
      <c r="HO29" s="17">
        <f>IF(AND(220&gt;=$B$4,220&lt;=$D$4),1,0)</f>
        <v/>
      </c>
      <c r="HP29" s="17">
        <f>IF(AND(221&gt;=$B$4,221&lt;=$D$4),1,0)</f>
        <v/>
      </c>
      <c r="HQ29" s="17">
        <f>IF(AND(222&gt;=$B$4,222&lt;=$D$4),1,0)</f>
        <v/>
      </c>
      <c r="HR29" s="17">
        <f>IF(AND(223&gt;=$B$4,223&lt;=$D$4),1,0)</f>
        <v/>
      </c>
      <c r="HS29" s="17">
        <f>IF(AND(224&gt;=$B$4,224&lt;=$D$4),1,0)</f>
        <v/>
      </c>
      <c r="HT29" s="17">
        <f>IF(AND(225&gt;=$B$4,225&lt;=$D$4),1,0)</f>
        <v/>
      </c>
      <c r="HU29" s="17">
        <f>IF(AND(226&gt;=$B$4,226&lt;=$D$4),1,0)</f>
        <v/>
      </c>
      <c r="HV29" s="17">
        <f>IF(AND(227&gt;=$B$4,227&lt;=$D$4),1,0)</f>
        <v/>
      </c>
      <c r="HW29" s="17">
        <f>IF(AND(228&gt;=$B$4,228&lt;=$D$4),1,0)</f>
        <v/>
      </c>
      <c r="HX29" s="17">
        <f>IF(AND(229&gt;=$B$4,229&lt;=$D$4),1,0)</f>
        <v/>
      </c>
      <c r="HY29" s="17">
        <f>IF(AND(230&gt;=$B$4,230&lt;=$D$4),1,0)</f>
        <v/>
      </c>
      <c r="HZ29" s="17">
        <f>IF(AND(231&gt;=$B$4,231&lt;=$D$4),1,0)</f>
        <v/>
      </c>
      <c r="IA29" s="17">
        <f>IF(AND(232&gt;=$B$4,232&lt;=$D$4),1,0)</f>
        <v/>
      </c>
      <c r="IB29" s="17">
        <f>IF(AND(233&gt;=$B$4,233&lt;=$D$4),1,0)</f>
        <v/>
      </c>
      <c r="IC29" s="17">
        <f>IF(AND(234&gt;=$B$4,234&lt;=$D$4),1,0)</f>
        <v/>
      </c>
      <c r="ID29" s="17">
        <f>IF(AND(235&gt;=$B$4,235&lt;=$D$4),1,0)</f>
        <v/>
      </c>
      <c r="IE29" s="17">
        <f>IF(AND(236&gt;=$B$4,236&lt;=$D$4),1,0)</f>
        <v/>
      </c>
      <c r="IF29" s="17">
        <f>IF(AND(237&gt;=$B$4,237&lt;=$D$4),1,0)</f>
        <v/>
      </c>
      <c r="IG29" s="17">
        <f>IF(AND(238&gt;=$B$4,238&lt;=$D$4),1,0)</f>
        <v/>
      </c>
      <c r="IH29" s="17">
        <f>IF(AND(239&gt;=$B$4,239&lt;=$D$4),1,0)</f>
        <v/>
      </c>
      <c r="II29" s="17">
        <f>IF(AND(240&gt;=$B$4,240&lt;=$D$4),1,0)</f>
        <v/>
      </c>
      <c r="IJ29" s="17">
        <f>IF(AND(241&gt;=$B$4,241&lt;=$D$4),1,0)</f>
        <v/>
      </c>
      <c r="IK29" s="17">
        <f>IF(AND(242&gt;=$B$4,242&lt;=$D$4),1,0)</f>
        <v/>
      </c>
      <c r="IL29" s="17">
        <f>IF(AND(243&gt;=$B$4,243&lt;=$D$4),1,0)</f>
        <v/>
      </c>
      <c r="IM29" s="17">
        <f>IF(AND(244&gt;=$B$4,244&lt;=$D$4),1,0)</f>
        <v/>
      </c>
      <c r="IN29" s="17">
        <f>IF(AND(245&gt;=$B$4,245&lt;=$D$4),1,0)</f>
        <v/>
      </c>
      <c r="IO29" s="17">
        <f>IF(AND(246&gt;=$B$4,246&lt;=$D$4),1,0)</f>
        <v/>
      </c>
      <c r="IP29" s="17">
        <f>IF(AND(247&gt;=$B$4,247&lt;=$D$4),1,0)</f>
        <v/>
      </c>
      <c r="IQ29" s="17">
        <f>IF(AND(248&gt;=$B$4,248&lt;=$D$4),1,0)</f>
        <v/>
      </c>
      <c r="IR29" s="17">
        <f>IF(AND(249&gt;=$B$4,249&lt;=$D$4),1,0)</f>
        <v/>
      </c>
      <c r="IS29" s="17">
        <f>IF(AND(250&gt;=$B$4,250&lt;=$D$4),1,0)</f>
        <v/>
      </c>
      <c r="IT29" s="17">
        <f>IF(AND(251&gt;=$B$4,251&lt;=$D$4),1,0)</f>
        <v/>
      </c>
      <c r="IU29" s="17">
        <f>IF(AND(252&gt;=$B$4,252&lt;=$D$4),1,0)</f>
        <v/>
      </c>
      <c r="IV29" s="17">
        <f>IF(AND(253&gt;=$B$4,253&lt;=$D$4),1,0)</f>
        <v/>
      </c>
      <c r="IW29" s="17">
        <f>IF(AND(254&gt;=$B$4,254&lt;=$D$4),1,0)</f>
        <v/>
      </c>
      <c r="IX29" s="17">
        <f>IF(AND(255&gt;=$B$4,255&lt;=$D$4),1,0)</f>
        <v/>
      </c>
      <c r="IY29" s="17">
        <f>IF(AND(256&gt;=$B$4,256&lt;=$D$4),1,0)</f>
        <v/>
      </c>
      <c r="IZ29" s="17">
        <f>IF(AND(257&gt;=$B$4,257&lt;=$D$4),1,0)</f>
        <v/>
      </c>
      <c r="JA29" s="17">
        <f>IF(AND(258&gt;=$B$4,258&lt;=$D$4),1,0)</f>
        <v/>
      </c>
      <c r="JB29" s="17">
        <f>IF(AND(259&gt;=$B$4,259&lt;=$D$4),1,0)</f>
        <v/>
      </c>
      <c r="JC29" s="17">
        <f>IF(AND(260&gt;=$B$4,260&lt;=$D$4),1,0)</f>
        <v/>
      </c>
      <c r="JD29" s="17">
        <f>IF(AND(261&gt;=$B$4,261&lt;=$D$4),1,0)</f>
        <v/>
      </c>
      <c r="JE29" s="17">
        <f>IF(AND(262&gt;=$B$4,262&lt;=$D$4),1,0)</f>
        <v/>
      </c>
      <c r="JF29" s="17">
        <f>IF(AND(263&gt;=$B$4,263&lt;=$D$4),1,0)</f>
        <v/>
      </c>
      <c r="JG29" s="17">
        <f>IF(AND(264&gt;=$B$4,264&lt;=$D$4),1,0)</f>
        <v/>
      </c>
      <c r="JH29" s="17">
        <f>IF(AND(265&gt;=$B$4,265&lt;=$D$4),1,0)</f>
        <v/>
      </c>
      <c r="JI29" s="17">
        <f>IF(AND(266&gt;=$B$4,266&lt;=$D$4),1,0)</f>
        <v/>
      </c>
      <c r="JJ29" s="17">
        <f>IF(AND(267&gt;=$B$4,267&lt;=$D$4),1,0)</f>
        <v/>
      </c>
      <c r="JK29" s="17">
        <f>IF(AND(268&gt;=$B$4,268&lt;=$D$4),1,0)</f>
        <v/>
      </c>
      <c r="JL29" s="17">
        <f>IF(AND(269&gt;=$B$4,269&lt;=$D$4),1,0)</f>
        <v/>
      </c>
      <c r="JM29" s="17">
        <f>IF(AND(270&gt;=$B$4,270&lt;=$D$4),1,0)</f>
        <v/>
      </c>
      <c r="JN29" s="17">
        <f>IF(AND(271&gt;=$B$4,271&lt;=$D$4),1,0)</f>
        <v/>
      </c>
      <c r="JO29" s="17">
        <f>IF(AND(272&gt;=$B$4,272&lt;=$D$4),1,0)</f>
        <v/>
      </c>
      <c r="JP29" s="17">
        <f>IF(AND(273&gt;=$B$4,273&lt;=$D$4),1,0)</f>
        <v/>
      </c>
      <c r="JQ29" s="17">
        <f>IF(AND(274&gt;=$B$4,274&lt;=$D$4),1,0)</f>
        <v/>
      </c>
      <c r="JR29" s="17">
        <f>IF(AND(275&gt;=$B$4,275&lt;=$D$4),1,0)</f>
        <v/>
      </c>
      <c r="JS29" s="17">
        <f>IF(AND(276&gt;=$B$4,276&lt;=$D$4),1,0)</f>
        <v/>
      </c>
      <c r="JT29" s="17">
        <f>IF(AND(277&gt;=$B$4,277&lt;=$D$4),1,0)</f>
        <v/>
      </c>
      <c r="JU29" s="17">
        <f>IF(AND(278&gt;=$B$4,278&lt;=$D$4),1,0)</f>
        <v/>
      </c>
      <c r="JV29" s="17">
        <f>IF(AND(279&gt;=$B$4,279&lt;=$D$4),1,0)</f>
        <v/>
      </c>
      <c r="JW29" s="17">
        <f>IF(AND(280&gt;=$B$4,280&lt;=$D$4),1,0)</f>
        <v/>
      </c>
      <c r="JX29" s="17">
        <f>IF(AND(281&gt;=$B$4,281&lt;=$D$4),1,0)</f>
        <v/>
      </c>
      <c r="JY29" s="17">
        <f>IF(AND(282&gt;=$B$4,282&lt;=$D$4),1,0)</f>
        <v/>
      </c>
      <c r="JZ29" s="17">
        <f>IF(AND(283&gt;=$B$4,283&lt;=$D$4),1,0)</f>
        <v/>
      </c>
      <c r="KA29" s="17">
        <f>IF(AND(284&gt;=$B$4,284&lt;=$D$4),1,0)</f>
        <v/>
      </c>
      <c r="KB29" s="17">
        <f>IF(AND(285&gt;=$B$4,285&lt;=$D$4),1,0)</f>
        <v/>
      </c>
      <c r="KC29" s="17">
        <f>IF(AND(286&gt;=$B$4,286&lt;=$D$4),1,0)</f>
        <v/>
      </c>
      <c r="KD29" s="17">
        <f>IF(AND(287&gt;=$B$4,287&lt;=$D$4),1,0)</f>
        <v/>
      </c>
      <c r="KE29" s="17">
        <f>IF(AND(288&gt;=$B$4,288&lt;=$D$4),1,0)</f>
        <v/>
      </c>
      <c r="KF29" s="17">
        <f>IF(AND(289&gt;=$B$4,289&lt;=$D$4),1,0)</f>
        <v/>
      </c>
      <c r="KG29" s="17">
        <f>IF(AND(290&gt;=$B$4,290&lt;=$D$4),1,0)</f>
        <v/>
      </c>
      <c r="KH29" s="17">
        <f>IF(AND(291&gt;=$B$4,291&lt;=$D$4),1,0)</f>
        <v/>
      </c>
      <c r="KI29" s="17">
        <f>IF(AND(292&gt;=$B$4,292&lt;=$D$4),1,0)</f>
        <v/>
      </c>
      <c r="KJ29" s="17">
        <f>IF(AND(293&gt;=$B$4,293&lt;=$D$4),1,0)</f>
        <v/>
      </c>
      <c r="KK29" s="17">
        <f>IF(AND(294&gt;=$B$4,294&lt;=$D$4),1,0)</f>
        <v/>
      </c>
      <c r="KL29" s="17">
        <f>IF(AND(295&gt;=$B$4,295&lt;=$D$4),1,0)</f>
        <v/>
      </c>
      <c r="KM29" s="17">
        <f>IF(AND(296&gt;=$B$4,296&lt;=$D$4),1,0)</f>
        <v/>
      </c>
      <c r="KN29" s="17">
        <f>IF(AND(297&gt;=$B$4,297&lt;=$D$4),1,0)</f>
        <v/>
      </c>
      <c r="KO29" s="17">
        <f>IF(AND(298&gt;=$B$4,298&lt;=$D$4),1,0)</f>
        <v/>
      </c>
      <c r="KP29" s="17">
        <f>IF(AND(299&gt;=$B$4,299&lt;=$D$4),1,0)</f>
        <v/>
      </c>
      <c r="KQ29" s="17">
        <f>IF(AND(300&gt;=$B$4,300&lt;=$D$4),1,0)</f>
        <v/>
      </c>
      <c r="KR29" s="17">
        <f>IF(AND(301&gt;=$B$4,301&lt;=$D$4),1,0)</f>
        <v/>
      </c>
      <c r="KS29" s="17">
        <f>IF(AND(302&gt;=$B$4,302&lt;=$D$4),1,0)</f>
        <v/>
      </c>
      <c r="KT29" s="17">
        <f>IF(AND(303&gt;=$B$4,303&lt;=$D$4),1,0)</f>
        <v/>
      </c>
      <c r="KU29" s="17">
        <f>IF(AND(304&gt;=$B$4,304&lt;=$D$4),1,0)</f>
        <v/>
      </c>
      <c r="KV29" s="17">
        <f>IF(AND(305&gt;=$B$4,305&lt;=$D$4),1,0)</f>
        <v/>
      </c>
      <c r="KW29" s="17">
        <f>IF(AND(306&gt;=$B$4,306&lt;=$D$4),1,0)</f>
        <v/>
      </c>
      <c r="KX29" s="17">
        <f>IF(AND(307&gt;=$B$4,307&lt;=$D$4),1,0)</f>
        <v/>
      </c>
      <c r="KY29" s="17">
        <f>IF(AND(308&gt;=$B$4,308&lt;=$D$4),1,0)</f>
        <v/>
      </c>
      <c r="KZ29" s="17">
        <f>IF(AND(309&gt;=$B$4,309&lt;=$D$4),1,0)</f>
        <v/>
      </c>
      <c r="LA29" s="17">
        <f>IF(AND(310&gt;=$B$4,310&lt;=$D$4),1,0)</f>
        <v/>
      </c>
      <c r="LB29" s="17">
        <f>IF(AND(311&gt;=$B$4,311&lt;=$D$4),1,0)</f>
        <v/>
      </c>
      <c r="LC29" s="17">
        <f>IF(AND(312&gt;=$B$4,312&lt;=$D$4),1,0)</f>
        <v/>
      </c>
      <c r="LD29" s="17">
        <f>IF(AND(313&gt;=$B$4,313&lt;=$D$4),1,0)</f>
        <v/>
      </c>
      <c r="LE29" s="17">
        <f>IF(AND(314&gt;=$B$4,314&lt;=$D$4),1,0)</f>
        <v/>
      </c>
      <c r="LF29" s="17">
        <f>IF(AND(315&gt;=$B$4,315&lt;=$D$4),1,0)</f>
        <v/>
      </c>
      <c r="LG29" s="17">
        <f>IF(AND(316&gt;=$B$4,316&lt;=$D$4),1,0)</f>
        <v/>
      </c>
      <c r="LH29" s="17">
        <f>IF(AND(317&gt;=$B$4,317&lt;=$D$4),1,0)</f>
        <v/>
      </c>
      <c r="LI29" s="17">
        <f>IF(AND(318&gt;=$B$4,318&lt;=$D$4),1,0)</f>
        <v/>
      </c>
      <c r="LJ29" s="17">
        <f>IF(AND(319&gt;=$B$4,319&lt;=$D$4),1,0)</f>
        <v/>
      </c>
      <c r="LK29" s="17">
        <f>IF(AND(320&gt;=$B$4,320&lt;=$D$4),1,0)</f>
        <v/>
      </c>
      <c r="LL29" s="17">
        <f>IF(AND(321&gt;=$B$4,321&lt;=$D$4),1,0)</f>
        <v/>
      </c>
      <c r="LM29" s="17">
        <f>IF(AND(322&gt;=$B$4,322&lt;=$D$4),1,0)</f>
        <v/>
      </c>
      <c r="LN29" s="17">
        <f>IF(AND(323&gt;=$B$4,323&lt;=$D$4),1,0)</f>
        <v/>
      </c>
      <c r="LO29" s="17">
        <f>IF(AND(324&gt;=$B$4,324&lt;=$D$4),1,0)</f>
        <v/>
      </c>
      <c r="LP29" s="17">
        <f>IF(AND(325&gt;=$B$4,325&lt;=$D$4),1,0)</f>
        <v/>
      </c>
      <c r="LQ29" s="17">
        <f>IF(AND(326&gt;=$B$4,326&lt;=$D$4),1,0)</f>
        <v/>
      </c>
      <c r="LR29" s="17">
        <f>IF(AND(327&gt;=$B$4,327&lt;=$D$4),1,0)</f>
        <v/>
      </c>
      <c r="LS29" s="17">
        <f>IF(AND(328&gt;=$B$4,328&lt;=$D$4),1,0)</f>
        <v/>
      </c>
      <c r="LT29" s="17">
        <f>IF(AND(329&gt;=$B$4,329&lt;=$D$4),1,0)</f>
        <v/>
      </c>
      <c r="LU29" s="17">
        <f>IF(AND(330&gt;=$B$4,330&lt;=$D$4),1,0)</f>
        <v/>
      </c>
      <c r="LV29" s="17">
        <f>IF(AND(331&gt;=$B$4,331&lt;=$D$4),1,0)</f>
        <v/>
      </c>
      <c r="LW29" s="17">
        <f>IF(AND(332&gt;=$B$4,332&lt;=$D$4),1,0)</f>
        <v/>
      </c>
      <c r="LX29" s="17">
        <f>IF(AND(333&gt;=$B$4,333&lt;=$D$4),1,0)</f>
        <v/>
      </c>
      <c r="LY29" s="17">
        <f>IF(AND(334&gt;=$B$4,334&lt;=$D$4),1,0)</f>
        <v/>
      </c>
      <c r="LZ29" s="17">
        <f>IF(AND(335&gt;=$B$4,335&lt;=$D$4),1,0)</f>
        <v/>
      </c>
      <c r="MA29" s="17">
        <f>IF(AND(336&gt;=$B$4,336&lt;=$D$4),1,0)</f>
        <v/>
      </c>
      <c r="MB29" s="17">
        <f>IF(AND(337&gt;=$B$4,337&lt;=$D$4),1,0)</f>
        <v/>
      </c>
      <c r="MC29" s="17">
        <f>IF(AND(338&gt;=$B$4,338&lt;=$D$4),1,0)</f>
        <v/>
      </c>
      <c r="MD29" s="17">
        <f>IF(AND(339&gt;=$B$4,339&lt;=$D$4),1,0)</f>
        <v/>
      </c>
      <c r="ME29" s="17">
        <f>IF(AND(340&gt;=$B$4,340&lt;=$D$4),1,0)</f>
        <v/>
      </c>
      <c r="MF29" s="17">
        <f>IF(AND(341&gt;=$B$4,341&lt;=$D$4),1,0)</f>
        <v/>
      </c>
      <c r="MG29" s="17">
        <f>IF(AND(342&gt;=$B$4,342&lt;=$D$4),1,0)</f>
        <v/>
      </c>
      <c r="MH29" s="17">
        <f>IF(AND(343&gt;=$B$4,343&lt;=$D$4),1,0)</f>
        <v/>
      </c>
      <c r="MI29" s="17">
        <f>IF(AND(344&gt;=$B$4,344&lt;=$D$4),1,0)</f>
        <v/>
      </c>
      <c r="MJ29" s="17">
        <f>IF(AND(345&gt;=$B$4,345&lt;=$D$4),1,0)</f>
        <v/>
      </c>
      <c r="MK29" s="17">
        <f>IF(AND(346&gt;=$B$4,346&lt;=$D$4),1,0)</f>
        <v/>
      </c>
      <c r="ML29" s="17">
        <f>IF(AND(347&gt;=$B$4,347&lt;=$D$4),1,0)</f>
        <v/>
      </c>
      <c r="MM29" s="17">
        <f>IF(AND(348&gt;=$B$4,348&lt;=$D$4),1,0)</f>
        <v/>
      </c>
      <c r="MN29" s="17">
        <f>IF(AND(349&gt;=$B$4,349&lt;=$D$4),1,0)</f>
        <v/>
      </c>
      <c r="MO29" s="17">
        <f>IF(AND(350&gt;=$B$4,350&lt;=$D$4),1,0)</f>
        <v/>
      </c>
      <c r="MP29" s="17">
        <f>IF(AND(351&gt;=$B$4,351&lt;=$D$4),1,0)</f>
        <v/>
      </c>
      <c r="MQ29" s="17">
        <f>IF(AND(352&gt;=$B$4,352&lt;=$D$4),1,0)</f>
        <v/>
      </c>
      <c r="MR29" s="17">
        <f>IF(AND(353&gt;=$B$4,353&lt;=$D$4),1,0)</f>
        <v/>
      </c>
      <c r="MS29" s="17">
        <f>IF(AND(354&gt;=$B$4,354&lt;=$D$4),1,0)</f>
        <v/>
      </c>
      <c r="MT29" s="17">
        <f>IF(AND(355&gt;=$B$4,355&lt;=$D$4),1,0)</f>
        <v/>
      </c>
      <c r="MU29" s="17">
        <f>IF(AND(356&gt;=$B$4,356&lt;=$D$4),1,0)</f>
        <v/>
      </c>
      <c r="MV29" s="17">
        <f>IF(AND(357&gt;=$B$4,357&lt;=$D$4),1,0)</f>
        <v/>
      </c>
      <c r="MW29" s="17">
        <f>IF(AND(358&gt;=$B$4,358&lt;=$D$4),1,0)</f>
        <v/>
      </c>
      <c r="MX29" s="17">
        <f>IF(AND(359&gt;=$B$4,359&lt;=$D$4),1,0)</f>
        <v/>
      </c>
      <c r="MY29" s="17">
        <f>IF(AND(360&gt;=$B$4,360&lt;=$D$4),1,0)</f>
        <v/>
      </c>
      <c r="MZ29" s="17">
        <f>IF(AND(361&gt;=$B$4,361&lt;=$D$4),1,0)</f>
        <v/>
      </c>
      <c r="NA29" s="17">
        <f>IF(AND(362&gt;=$B$4,362&lt;=$D$4),1,0)</f>
        <v/>
      </c>
      <c r="NB29" s="17">
        <f>IF(AND(363&gt;=$B$4,363&lt;=$D$4),1,0)</f>
        <v/>
      </c>
      <c r="NC29" s="17">
        <f>IF(AND(364&gt;=$B$4,364&lt;=$D$4),1,0)</f>
        <v/>
      </c>
      <c r="ND29" s="17">
        <f>IF(AND(365&gt;=$B$4,365&lt;=$D$4),1,0)</f>
        <v/>
      </c>
      <c r="NE29" s="17">
        <f>IF(AND(366&gt;=$B$4,366&lt;=$D$4),1,0)</f>
        <v/>
      </c>
      <c r="NF29" s="17">
        <f>IF(AND(367&gt;=$B$4,367&lt;=$D$4),1,0)</f>
        <v/>
      </c>
      <c r="NG29" s="17">
        <f>IF(AND(368&gt;=$B$4,368&lt;=$D$4),1,0)</f>
        <v/>
      </c>
      <c r="NH29" s="17">
        <f>IF(AND(369&gt;=$B$4,369&lt;=$D$4),1,0)</f>
        <v/>
      </c>
      <c r="NI29" s="17">
        <f>IF(AND(370&gt;=$B$4,370&lt;=$D$4),1,0)</f>
        <v/>
      </c>
      <c r="NJ29" s="17">
        <f>IF(AND(371&gt;=$B$4,371&lt;=$D$4),1,0)</f>
        <v/>
      </c>
      <c r="NK29" s="17">
        <f>IF(AND(372&gt;=$B$4,372&lt;=$D$4),1,0)</f>
        <v/>
      </c>
    </row>
    <row r="30">
      <c r="A30" s="5" t="inlineStr">
        <is>
          <t>Flag: Due Diligence</t>
        </is>
      </c>
      <c r="C30" s="40" t="n"/>
      <c r="D30" s="17">
        <f>IF(AND(1&gt;=$B$5,1&lt;=$D$5),1,0)</f>
        <v/>
      </c>
      <c r="E30" s="17">
        <f>IF(AND(2&gt;=$B$5,2&lt;=$D$5),1,0)</f>
        <v/>
      </c>
      <c r="F30" s="17">
        <f>IF(AND(3&gt;=$B$5,3&lt;=$D$5),1,0)</f>
        <v/>
      </c>
      <c r="G30" s="17">
        <f>IF(AND(4&gt;=$B$5,4&lt;=$D$5),1,0)</f>
        <v/>
      </c>
      <c r="H30" s="17">
        <f>IF(AND(5&gt;=$B$5,5&lt;=$D$5),1,0)</f>
        <v/>
      </c>
      <c r="I30" s="17">
        <f>IF(AND(6&gt;=$B$5,6&lt;=$D$5),1,0)</f>
        <v/>
      </c>
      <c r="J30" s="17">
        <f>IF(AND(7&gt;=$B$5,7&lt;=$D$5),1,0)</f>
        <v/>
      </c>
      <c r="K30" s="17">
        <f>IF(AND(8&gt;=$B$5,8&lt;=$D$5),1,0)</f>
        <v/>
      </c>
      <c r="L30" s="17">
        <f>IF(AND(9&gt;=$B$5,9&lt;=$D$5),1,0)</f>
        <v/>
      </c>
      <c r="M30" s="17">
        <f>IF(AND(10&gt;=$B$5,10&lt;=$D$5),1,0)</f>
        <v/>
      </c>
      <c r="N30" s="17">
        <f>IF(AND(11&gt;=$B$5,11&lt;=$D$5),1,0)</f>
        <v/>
      </c>
      <c r="O30" s="17">
        <f>IF(AND(12&gt;=$B$5,12&lt;=$D$5),1,0)</f>
        <v/>
      </c>
      <c r="P30" s="17">
        <f>IF(AND(13&gt;=$B$5,13&lt;=$D$5),1,0)</f>
        <v/>
      </c>
      <c r="Q30" s="17">
        <f>IF(AND(14&gt;=$B$5,14&lt;=$D$5),1,0)</f>
        <v/>
      </c>
      <c r="R30" s="17">
        <f>IF(AND(15&gt;=$B$5,15&lt;=$D$5),1,0)</f>
        <v/>
      </c>
      <c r="S30" s="17">
        <f>IF(AND(16&gt;=$B$5,16&lt;=$D$5),1,0)</f>
        <v/>
      </c>
      <c r="T30" s="17">
        <f>IF(AND(17&gt;=$B$5,17&lt;=$D$5),1,0)</f>
        <v/>
      </c>
      <c r="U30" s="17">
        <f>IF(AND(18&gt;=$B$5,18&lt;=$D$5),1,0)</f>
        <v/>
      </c>
      <c r="V30" s="17">
        <f>IF(AND(19&gt;=$B$5,19&lt;=$D$5),1,0)</f>
        <v/>
      </c>
      <c r="W30" s="17">
        <f>IF(AND(20&gt;=$B$5,20&lt;=$D$5),1,0)</f>
        <v/>
      </c>
      <c r="X30" s="17">
        <f>IF(AND(21&gt;=$B$5,21&lt;=$D$5),1,0)</f>
        <v/>
      </c>
      <c r="Y30" s="17">
        <f>IF(AND(22&gt;=$B$5,22&lt;=$D$5),1,0)</f>
        <v/>
      </c>
      <c r="Z30" s="17">
        <f>IF(AND(23&gt;=$B$5,23&lt;=$D$5),1,0)</f>
        <v/>
      </c>
      <c r="AA30" s="17">
        <f>IF(AND(24&gt;=$B$5,24&lt;=$D$5),1,0)</f>
        <v/>
      </c>
      <c r="AB30" s="17">
        <f>IF(AND(25&gt;=$B$5,25&lt;=$D$5),1,0)</f>
        <v/>
      </c>
      <c r="AC30" s="17">
        <f>IF(AND(26&gt;=$B$5,26&lt;=$D$5),1,0)</f>
        <v/>
      </c>
      <c r="AD30" s="17">
        <f>IF(AND(27&gt;=$B$5,27&lt;=$D$5),1,0)</f>
        <v/>
      </c>
      <c r="AE30" s="17">
        <f>IF(AND(28&gt;=$B$5,28&lt;=$D$5),1,0)</f>
        <v/>
      </c>
      <c r="AF30" s="17">
        <f>IF(AND(29&gt;=$B$5,29&lt;=$D$5),1,0)</f>
        <v/>
      </c>
      <c r="AG30" s="17">
        <f>IF(AND(30&gt;=$B$5,30&lt;=$D$5),1,0)</f>
        <v/>
      </c>
      <c r="AH30" s="17">
        <f>IF(AND(31&gt;=$B$5,31&lt;=$D$5),1,0)</f>
        <v/>
      </c>
      <c r="AI30" s="17">
        <f>IF(AND(32&gt;=$B$5,32&lt;=$D$5),1,0)</f>
        <v/>
      </c>
      <c r="AJ30" s="17">
        <f>IF(AND(33&gt;=$B$5,33&lt;=$D$5),1,0)</f>
        <v/>
      </c>
      <c r="AK30" s="17">
        <f>IF(AND(34&gt;=$B$5,34&lt;=$D$5),1,0)</f>
        <v/>
      </c>
      <c r="AL30" s="17">
        <f>IF(AND(35&gt;=$B$5,35&lt;=$D$5),1,0)</f>
        <v/>
      </c>
      <c r="AM30" s="17">
        <f>IF(AND(36&gt;=$B$5,36&lt;=$D$5),1,0)</f>
        <v/>
      </c>
      <c r="AN30" s="17">
        <f>IF(AND(37&gt;=$B$5,37&lt;=$D$5),1,0)</f>
        <v/>
      </c>
      <c r="AO30" s="17">
        <f>IF(AND(38&gt;=$B$5,38&lt;=$D$5),1,0)</f>
        <v/>
      </c>
      <c r="AP30" s="17">
        <f>IF(AND(39&gt;=$B$5,39&lt;=$D$5),1,0)</f>
        <v/>
      </c>
      <c r="AQ30" s="17">
        <f>IF(AND(40&gt;=$B$5,40&lt;=$D$5),1,0)</f>
        <v/>
      </c>
      <c r="AR30" s="17">
        <f>IF(AND(41&gt;=$B$5,41&lt;=$D$5),1,0)</f>
        <v/>
      </c>
      <c r="AS30" s="17">
        <f>IF(AND(42&gt;=$B$5,42&lt;=$D$5),1,0)</f>
        <v/>
      </c>
      <c r="AT30" s="17">
        <f>IF(AND(43&gt;=$B$5,43&lt;=$D$5),1,0)</f>
        <v/>
      </c>
      <c r="AU30" s="17">
        <f>IF(AND(44&gt;=$B$5,44&lt;=$D$5),1,0)</f>
        <v/>
      </c>
      <c r="AV30" s="17">
        <f>IF(AND(45&gt;=$B$5,45&lt;=$D$5),1,0)</f>
        <v/>
      </c>
      <c r="AW30" s="17">
        <f>IF(AND(46&gt;=$B$5,46&lt;=$D$5),1,0)</f>
        <v/>
      </c>
      <c r="AX30" s="17">
        <f>IF(AND(47&gt;=$B$5,47&lt;=$D$5),1,0)</f>
        <v/>
      </c>
      <c r="AY30" s="17">
        <f>IF(AND(48&gt;=$B$5,48&lt;=$D$5),1,0)</f>
        <v/>
      </c>
      <c r="AZ30" s="17">
        <f>IF(AND(49&gt;=$B$5,49&lt;=$D$5),1,0)</f>
        <v/>
      </c>
      <c r="BA30" s="17">
        <f>IF(AND(50&gt;=$B$5,50&lt;=$D$5),1,0)</f>
        <v/>
      </c>
      <c r="BB30" s="17">
        <f>IF(AND(51&gt;=$B$5,51&lt;=$D$5),1,0)</f>
        <v/>
      </c>
      <c r="BC30" s="17">
        <f>IF(AND(52&gt;=$B$5,52&lt;=$D$5),1,0)</f>
        <v/>
      </c>
      <c r="BD30" s="17">
        <f>IF(AND(53&gt;=$B$5,53&lt;=$D$5),1,0)</f>
        <v/>
      </c>
      <c r="BE30" s="17">
        <f>IF(AND(54&gt;=$B$5,54&lt;=$D$5),1,0)</f>
        <v/>
      </c>
      <c r="BF30" s="17">
        <f>IF(AND(55&gt;=$B$5,55&lt;=$D$5),1,0)</f>
        <v/>
      </c>
      <c r="BG30" s="17">
        <f>IF(AND(56&gt;=$B$5,56&lt;=$D$5),1,0)</f>
        <v/>
      </c>
      <c r="BH30" s="17">
        <f>IF(AND(57&gt;=$B$5,57&lt;=$D$5),1,0)</f>
        <v/>
      </c>
      <c r="BI30" s="17">
        <f>IF(AND(58&gt;=$B$5,58&lt;=$D$5),1,0)</f>
        <v/>
      </c>
      <c r="BJ30" s="17">
        <f>IF(AND(59&gt;=$B$5,59&lt;=$D$5),1,0)</f>
        <v/>
      </c>
      <c r="BK30" s="17">
        <f>IF(AND(60&gt;=$B$5,60&lt;=$D$5),1,0)</f>
        <v/>
      </c>
      <c r="BL30" s="17">
        <f>IF(AND(61&gt;=$B$5,61&lt;=$D$5),1,0)</f>
        <v/>
      </c>
      <c r="BM30" s="17">
        <f>IF(AND(62&gt;=$B$5,62&lt;=$D$5),1,0)</f>
        <v/>
      </c>
      <c r="BN30" s="17">
        <f>IF(AND(63&gt;=$B$5,63&lt;=$D$5),1,0)</f>
        <v/>
      </c>
      <c r="BO30" s="17">
        <f>IF(AND(64&gt;=$B$5,64&lt;=$D$5),1,0)</f>
        <v/>
      </c>
      <c r="BP30" s="17">
        <f>IF(AND(65&gt;=$B$5,65&lt;=$D$5),1,0)</f>
        <v/>
      </c>
      <c r="BQ30" s="17">
        <f>IF(AND(66&gt;=$B$5,66&lt;=$D$5),1,0)</f>
        <v/>
      </c>
      <c r="BR30" s="17">
        <f>IF(AND(67&gt;=$B$5,67&lt;=$D$5),1,0)</f>
        <v/>
      </c>
      <c r="BS30" s="17">
        <f>IF(AND(68&gt;=$B$5,68&lt;=$D$5),1,0)</f>
        <v/>
      </c>
      <c r="BT30" s="17">
        <f>IF(AND(69&gt;=$B$5,69&lt;=$D$5),1,0)</f>
        <v/>
      </c>
      <c r="BU30" s="17">
        <f>IF(AND(70&gt;=$B$5,70&lt;=$D$5),1,0)</f>
        <v/>
      </c>
      <c r="BV30" s="17">
        <f>IF(AND(71&gt;=$B$5,71&lt;=$D$5),1,0)</f>
        <v/>
      </c>
      <c r="BW30" s="17">
        <f>IF(AND(72&gt;=$B$5,72&lt;=$D$5),1,0)</f>
        <v/>
      </c>
      <c r="BX30" s="17">
        <f>IF(AND(73&gt;=$B$5,73&lt;=$D$5),1,0)</f>
        <v/>
      </c>
      <c r="BY30" s="17">
        <f>IF(AND(74&gt;=$B$5,74&lt;=$D$5),1,0)</f>
        <v/>
      </c>
      <c r="BZ30" s="17">
        <f>IF(AND(75&gt;=$B$5,75&lt;=$D$5),1,0)</f>
        <v/>
      </c>
      <c r="CA30" s="17">
        <f>IF(AND(76&gt;=$B$5,76&lt;=$D$5),1,0)</f>
        <v/>
      </c>
      <c r="CB30" s="17">
        <f>IF(AND(77&gt;=$B$5,77&lt;=$D$5),1,0)</f>
        <v/>
      </c>
      <c r="CC30" s="17">
        <f>IF(AND(78&gt;=$B$5,78&lt;=$D$5),1,0)</f>
        <v/>
      </c>
      <c r="CD30" s="17">
        <f>IF(AND(79&gt;=$B$5,79&lt;=$D$5),1,0)</f>
        <v/>
      </c>
      <c r="CE30" s="17">
        <f>IF(AND(80&gt;=$B$5,80&lt;=$D$5),1,0)</f>
        <v/>
      </c>
      <c r="CF30" s="17">
        <f>IF(AND(81&gt;=$B$5,81&lt;=$D$5),1,0)</f>
        <v/>
      </c>
      <c r="CG30" s="17">
        <f>IF(AND(82&gt;=$B$5,82&lt;=$D$5),1,0)</f>
        <v/>
      </c>
      <c r="CH30" s="17">
        <f>IF(AND(83&gt;=$B$5,83&lt;=$D$5),1,0)</f>
        <v/>
      </c>
      <c r="CI30" s="17">
        <f>IF(AND(84&gt;=$B$5,84&lt;=$D$5),1,0)</f>
        <v/>
      </c>
      <c r="CJ30" s="17">
        <f>IF(AND(85&gt;=$B$5,85&lt;=$D$5),1,0)</f>
        <v/>
      </c>
      <c r="CK30" s="17">
        <f>IF(AND(86&gt;=$B$5,86&lt;=$D$5),1,0)</f>
        <v/>
      </c>
      <c r="CL30" s="17">
        <f>IF(AND(87&gt;=$B$5,87&lt;=$D$5),1,0)</f>
        <v/>
      </c>
      <c r="CM30" s="17">
        <f>IF(AND(88&gt;=$B$5,88&lt;=$D$5),1,0)</f>
        <v/>
      </c>
      <c r="CN30" s="17">
        <f>IF(AND(89&gt;=$B$5,89&lt;=$D$5),1,0)</f>
        <v/>
      </c>
      <c r="CO30" s="17">
        <f>IF(AND(90&gt;=$B$5,90&lt;=$D$5),1,0)</f>
        <v/>
      </c>
      <c r="CP30" s="17">
        <f>IF(AND(91&gt;=$B$5,91&lt;=$D$5),1,0)</f>
        <v/>
      </c>
      <c r="CQ30" s="17">
        <f>IF(AND(92&gt;=$B$5,92&lt;=$D$5),1,0)</f>
        <v/>
      </c>
      <c r="CR30" s="17">
        <f>IF(AND(93&gt;=$B$5,93&lt;=$D$5),1,0)</f>
        <v/>
      </c>
      <c r="CS30" s="17">
        <f>IF(AND(94&gt;=$B$5,94&lt;=$D$5),1,0)</f>
        <v/>
      </c>
      <c r="CT30" s="17">
        <f>IF(AND(95&gt;=$B$5,95&lt;=$D$5),1,0)</f>
        <v/>
      </c>
      <c r="CU30" s="17">
        <f>IF(AND(96&gt;=$B$5,96&lt;=$D$5),1,0)</f>
        <v/>
      </c>
      <c r="CV30" s="17">
        <f>IF(AND(97&gt;=$B$5,97&lt;=$D$5),1,0)</f>
        <v/>
      </c>
      <c r="CW30" s="17">
        <f>IF(AND(98&gt;=$B$5,98&lt;=$D$5),1,0)</f>
        <v/>
      </c>
      <c r="CX30" s="17">
        <f>IF(AND(99&gt;=$B$5,99&lt;=$D$5),1,0)</f>
        <v/>
      </c>
      <c r="CY30" s="17">
        <f>IF(AND(100&gt;=$B$5,100&lt;=$D$5),1,0)</f>
        <v/>
      </c>
      <c r="CZ30" s="17">
        <f>IF(AND(101&gt;=$B$5,101&lt;=$D$5),1,0)</f>
        <v/>
      </c>
      <c r="DA30" s="17">
        <f>IF(AND(102&gt;=$B$5,102&lt;=$D$5),1,0)</f>
        <v/>
      </c>
      <c r="DB30" s="17">
        <f>IF(AND(103&gt;=$B$5,103&lt;=$D$5),1,0)</f>
        <v/>
      </c>
      <c r="DC30" s="17">
        <f>IF(AND(104&gt;=$B$5,104&lt;=$D$5),1,0)</f>
        <v/>
      </c>
      <c r="DD30" s="17">
        <f>IF(AND(105&gt;=$B$5,105&lt;=$D$5),1,0)</f>
        <v/>
      </c>
      <c r="DE30" s="17">
        <f>IF(AND(106&gt;=$B$5,106&lt;=$D$5),1,0)</f>
        <v/>
      </c>
      <c r="DF30" s="17">
        <f>IF(AND(107&gt;=$B$5,107&lt;=$D$5),1,0)</f>
        <v/>
      </c>
      <c r="DG30" s="17">
        <f>IF(AND(108&gt;=$B$5,108&lt;=$D$5),1,0)</f>
        <v/>
      </c>
      <c r="DH30" s="17">
        <f>IF(AND(109&gt;=$B$5,109&lt;=$D$5),1,0)</f>
        <v/>
      </c>
      <c r="DI30" s="17">
        <f>IF(AND(110&gt;=$B$5,110&lt;=$D$5),1,0)</f>
        <v/>
      </c>
      <c r="DJ30" s="17">
        <f>IF(AND(111&gt;=$B$5,111&lt;=$D$5),1,0)</f>
        <v/>
      </c>
      <c r="DK30" s="17">
        <f>IF(AND(112&gt;=$B$5,112&lt;=$D$5),1,0)</f>
        <v/>
      </c>
      <c r="DL30" s="17">
        <f>IF(AND(113&gt;=$B$5,113&lt;=$D$5),1,0)</f>
        <v/>
      </c>
      <c r="DM30" s="17">
        <f>IF(AND(114&gt;=$B$5,114&lt;=$D$5),1,0)</f>
        <v/>
      </c>
      <c r="DN30" s="17">
        <f>IF(AND(115&gt;=$B$5,115&lt;=$D$5),1,0)</f>
        <v/>
      </c>
      <c r="DO30" s="17">
        <f>IF(AND(116&gt;=$B$5,116&lt;=$D$5),1,0)</f>
        <v/>
      </c>
      <c r="DP30" s="17">
        <f>IF(AND(117&gt;=$B$5,117&lt;=$D$5),1,0)</f>
        <v/>
      </c>
      <c r="DQ30" s="17">
        <f>IF(AND(118&gt;=$B$5,118&lt;=$D$5),1,0)</f>
        <v/>
      </c>
      <c r="DR30" s="17">
        <f>IF(AND(119&gt;=$B$5,119&lt;=$D$5),1,0)</f>
        <v/>
      </c>
      <c r="DS30" s="17">
        <f>IF(AND(120&gt;=$B$5,120&lt;=$D$5),1,0)</f>
        <v/>
      </c>
      <c r="DT30" s="17">
        <f>IF(AND(121&gt;=$B$5,121&lt;=$D$5),1,0)</f>
        <v/>
      </c>
      <c r="DU30" s="17">
        <f>IF(AND(122&gt;=$B$5,122&lt;=$D$5),1,0)</f>
        <v/>
      </c>
      <c r="DV30" s="17">
        <f>IF(AND(123&gt;=$B$5,123&lt;=$D$5),1,0)</f>
        <v/>
      </c>
      <c r="DW30" s="17">
        <f>IF(AND(124&gt;=$B$5,124&lt;=$D$5),1,0)</f>
        <v/>
      </c>
      <c r="DX30" s="17">
        <f>IF(AND(125&gt;=$B$5,125&lt;=$D$5),1,0)</f>
        <v/>
      </c>
      <c r="DY30" s="17">
        <f>IF(AND(126&gt;=$B$5,126&lt;=$D$5),1,0)</f>
        <v/>
      </c>
      <c r="DZ30" s="17">
        <f>IF(AND(127&gt;=$B$5,127&lt;=$D$5),1,0)</f>
        <v/>
      </c>
      <c r="EA30" s="17">
        <f>IF(AND(128&gt;=$B$5,128&lt;=$D$5),1,0)</f>
        <v/>
      </c>
      <c r="EB30" s="17">
        <f>IF(AND(129&gt;=$B$5,129&lt;=$D$5),1,0)</f>
        <v/>
      </c>
      <c r="EC30" s="17">
        <f>IF(AND(130&gt;=$B$5,130&lt;=$D$5),1,0)</f>
        <v/>
      </c>
      <c r="ED30" s="17">
        <f>IF(AND(131&gt;=$B$5,131&lt;=$D$5),1,0)</f>
        <v/>
      </c>
      <c r="EE30" s="17">
        <f>IF(AND(132&gt;=$B$5,132&lt;=$D$5),1,0)</f>
        <v/>
      </c>
      <c r="EF30" s="17">
        <f>IF(AND(133&gt;=$B$5,133&lt;=$D$5),1,0)</f>
        <v/>
      </c>
      <c r="EG30" s="17">
        <f>IF(AND(134&gt;=$B$5,134&lt;=$D$5),1,0)</f>
        <v/>
      </c>
      <c r="EH30" s="17">
        <f>IF(AND(135&gt;=$B$5,135&lt;=$D$5),1,0)</f>
        <v/>
      </c>
      <c r="EI30" s="17">
        <f>IF(AND(136&gt;=$B$5,136&lt;=$D$5),1,0)</f>
        <v/>
      </c>
      <c r="EJ30" s="17">
        <f>IF(AND(137&gt;=$B$5,137&lt;=$D$5),1,0)</f>
        <v/>
      </c>
      <c r="EK30" s="17">
        <f>IF(AND(138&gt;=$B$5,138&lt;=$D$5),1,0)</f>
        <v/>
      </c>
      <c r="EL30" s="17">
        <f>IF(AND(139&gt;=$B$5,139&lt;=$D$5),1,0)</f>
        <v/>
      </c>
      <c r="EM30" s="17">
        <f>IF(AND(140&gt;=$B$5,140&lt;=$D$5),1,0)</f>
        <v/>
      </c>
      <c r="EN30" s="17">
        <f>IF(AND(141&gt;=$B$5,141&lt;=$D$5),1,0)</f>
        <v/>
      </c>
      <c r="EO30" s="17">
        <f>IF(AND(142&gt;=$B$5,142&lt;=$D$5),1,0)</f>
        <v/>
      </c>
      <c r="EP30" s="17">
        <f>IF(AND(143&gt;=$B$5,143&lt;=$D$5),1,0)</f>
        <v/>
      </c>
      <c r="EQ30" s="17">
        <f>IF(AND(144&gt;=$B$5,144&lt;=$D$5),1,0)</f>
        <v/>
      </c>
      <c r="ER30" s="17">
        <f>IF(AND(145&gt;=$B$5,145&lt;=$D$5),1,0)</f>
        <v/>
      </c>
      <c r="ES30" s="17">
        <f>IF(AND(146&gt;=$B$5,146&lt;=$D$5),1,0)</f>
        <v/>
      </c>
      <c r="ET30" s="17">
        <f>IF(AND(147&gt;=$B$5,147&lt;=$D$5),1,0)</f>
        <v/>
      </c>
      <c r="EU30" s="17">
        <f>IF(AND(148&gt;=$B$5,148&lt;=$D$5),1,0)</f>
        <v/>
      </c>
      <c r="EV30" s="17">
        <f>IF(AND(149&gt;=$B$5,149&lt;=$D$5),1,0)</f>
        <v/>
      </c>
      <c r="EW30" s="17">
        <f>IF(AND(150&gt;=$B$5,150&lt;=$D$5),1,0)</f>
        <v/>
      </c>
      <c r="EX30" s="17">
        <f>IF(AND(151&gt;=$B$5,151&lt;=$D$5),1,0)</f>
        <v/>
      </c>
      <c r="EY30" s="17">
        <f>IF(AND(152&gt;=$B$5,152&lt;=$D$5),1,0)</f>
        <v/>
      </c>
      <c r="EZ30" s="17">
        <f>IF(AND(153&gt;=$B$5,153&lt;=$D$5),1,0)</f>
        <v/>
      </c>
      <c r="FA30" s="17">
        <f>IF(AND(154&gt;=$B$5,154&lt;=$D$5),1,0)</f>
        <v/>
      </c>
      <c r="FB30" s="17">
        <f>IF(AND(155&gt;=$B$5,155&lt;=$D$5),1,0)</f>
        <v/>
      </c>
      <c r="FC30" s="17">
        <f>IF(AND(156&gt;=$B$5,156&lt;=$D$5),1,0)</f>
        <v/>
      </c>
      <c r="FD30" s="17">
        <f>IF(AND(157&gt;=$B$5,157&lt;=$D$5),1,0)</f>
        <v/>
      </c>
      <c r="FE30" s="17">
        <f>IF(AND(158&gt;=$B$5,158&lt;=$D$5),1,0)</f>
        <v/>
      </c>
      <c r="FF30" s="17">
        <f>IF(AND(159&gt;=$B$5,159&lt;=$D$5),1,0)</f>
        <v/>
      </c>
      <c r="FG30" s="17">
        <f>IF(AND(160&gt;=$B$5,160&lt;=$D$5),1,0)</f>
        <v/>
      </c>
      <c r="FH30" s="17">
        <f>IF(AND(161&gt;=$B$5,161&lt;=$D$5),1,0)</f>
        <v/>
      </c>
      <c r="FI30" s="17">
        <f>IF(AND(162&gt;=$B$5,162&lt;=$D$5),1,0)</f>
        <v/>
      </c>
      <c r="FJ30" s="17">
        <f>IF(AND(163&gt;=$B$5,163&lt;=$D$5),1,0)</f>
        <v/>
      </c>
      <c r="FK30" s="17">
        <f>IF(AND(164&gt;=$B$5,164&lt;=$D$5),1,0)</f>
        <v/>
      </c>
      <c r="FL30" s="17">
        <f>IF(AND(165&gt;=$B$5,165&lt;=$D$5),1,0)</f>
        <v/>
      </c>
      <c r="FM30" s="17">
        <f>IF(AND(166&gt;=$B$5,166&lt;=$D$5),1,0)</f>
        <v/>
      </c>
      <c r="FN30" s="17">
        <f>IF(AND(167&gt;=$B$5,167&lt;=$D$5),1,0)</f>
        <v/>
      </c>
      <c r="FO30" s="17">
        <f>IF(AND(168&gt;=$B$5,168&lt;=$D$5),1,0)</f>
        <v/>
      </c>
      <c r="FP30" s="17">
        <f>IF(AND(169&gt;=$B$5,169&lt;=$D$5),1,0)</f>
        <v/>
      </c>
      <c r="FQ30" s="17">
        <f>IF(AND(170&gt;=$B$5,170&lt;=$D$5),1,0)</f>
        <v/>
      </c>
      <c r="FR30" s="17">
        <f>IF(AND(171&gt;=$B$5,171&lt;=$D$5),1,0)</f>
        <v/>
      </c>
      <c r="FS30" s="17">
        <f>IF(AND(172&gt;=$B$5,172&lt;=$D$5),1,0)</f>
        <v/>
      </c>
      <c r="FT30" s="17">
        <f>IF(AND(173&gt;=$B$5,173&lt;=$D$5),1,0)</f>
        <v/>
      </c>
      <c r="FU30" s="17">
        <f>IF(AND(174&gt;=$B$5,174&lt;=$D$5),1,0)</f>
        <v/>
      </c>
      <c r="FV30" s="17">
        <f>IF(AND(175&gt;=$B$5,175&lt;=$D$5),1,0)</f>
        <v/>
      </c>
      <c r="FW30" s="17">
        <f>IF(AND(176&gt;=$B$5,176&lt;=$D$5),1,0)</f>
        <v/>
      </c>
      <c r="FX30" s="17">
        <f>IF(AND(177&gt;=$B$5,177&lt;=$D$5),1,0)</f>
        <v/>
      </c>
      <c r="FY30" s="17">
        <f>IF(AND(178&gt;=$B$5,178&lt;=$D$5),1,0)</f>
        <v/>
      </c>
      <c r="FZ30" s="17">
        <f>IF(AND(179&gt;=$B$5,179&lt;=$D$5),1,0)</f>
        <v/>
      </c>
      <c r="GA30" s="17">
        <f>IF(AND(180&gt;=$B$5,180&lt;=$D$5),1,0)</f>
        <v/>
      </c>
      <c r="GB30" s="17">
        <f>IF(AND(181&gt;=$B$5,181&lt;=$D$5),1,0)</f>
        <v/>
      </c>
      <c r="GC30" s="17">
        <f>IF(AND(182&gt;=$B$5,182&lt;=$D$5),1,0)</f>
        <v/>
      </c>
      <c r="GD30" s="17">
        <f>IF(AND(183&gt;=$B$5,183&lt;=$D$5),1,0)</f>
        <v/>
      </c>
      <c r="GE30" s="17">
        <f>IF(AND(184&gt;=$B$5,184&lt;=$D$5),1,0)</f>
        <v/>
      </c>
      <c r="GF30" s="17">
        <f>IF(AND(185&gt;=$B$5,185&lt;=$D$5),1,0)</f>
        <v/>
      </c>
      <c r="GG30" s="17">
        <f>IF(AND(186&gt;=$B$5,186&lt;=$D$5),1,0)</f>
        <v/>
      </c>
      <c r="GH30" s="17">
        <f>IF(AND(187&gt;=$B$5,187&lt;=$D$5),1,0)</f>
        <v/>
      </c>
      <c r="GI30" s="17">
        <f>IF(AND(188&gt;=$B$5,188&lt;=$D$5),1,0)</f>
        <v/>
      </c>
      <c r="GJ30" s="17">
        <f>IF(AND(189&gt;=$B$5,189&lt;=$D$5),1,0)</f>
        <v/>
      </c>
      <c r="GK30" s="17">
        <f>IF(AND(190&gt;=$B$5,190&lt;=$D$5),1,0)</f>
        <v/>
      </c>
      <c r="GL30" s="17">
        <f>IF(AND(191&gt;=$B$5,191&lt;=$D$5),1,0)</f>
        <v/>
      </c>
      <c r="GM30" s="17">
        <f>IF(AND(192&gt;=$B$5,192&lt;=$D$5),1,0)</f>
        <v/>
      </c>
      <c r="GN30" s="17">
        <f>IF(AND(193&gt;=$B$5,193&lt;=$D$5),1,0)</f>
        <v/>
      </c>
      <c r="GO30" s="17">
        <f>IF(AND(194&gt;=$B$5,194&lt;=$D$5),1,0)</f>
        <v/>
      </c>
      <c r="GP30" s="17">
        <f>IF(AND(195&gt;=$B$5,195&lt;=$D$5),1,0)</f>
        <v/>
      </c>
      <c r="GQ30" s="17">
        <f>IF(AND(196&gt;=$B$5,196&lt;=$D$5),1,0)</f>
        <v/>
      </c>
      <c r="GR30" s="17">
        <f>IF(AND(197&gt;=$B$5,197&lt;=$D$5),1,0)</f>
        <v/>
      </c>
      <c r="GS30" s="17">
        <f>IF(AND(198&gt;=$B$5,198&lt;=$D$5),1,0)</f>
        <v/>
      </c>
      <c r="GT30" s="17">
        <f>IF(AND(199&gt;=$B$5,199&lt;=$D$5),1,0)</f>
        <v/>
      </c>
      <c r="GU30" s="17">
        <f>IF(AND(200&gt;=$B$5,200&lt;=$D$5),1,0)</f>
        <v/>
      </c>
      <c r="GV30" s="17">
        <f>IF(AND(201&gt;=$B$5,201&lt;=$D$5),1,0)</f>
        <v/>
      </c>
      <c r="GW30" s="17">
        <f>IF(AND(202&gt;=$B$5,202&lt;=$D$5),1,0)</f>
        <v/>
      </c>
      <c r="GX30" s="17">
        <f>IF(AND(203&gt;=$B$5,203&lt;=$D$5),1,0)</f>
        <v/>
      </c>
      <c r="GY30" s="17">
        <f>IF(AND(204&gt;=$B$5,204&lt;=$D$5),1,0)</f>
        <v/>
      </c>
      <c r="GZ30" s="17">
        <f>IF(AND(205&gt;=$B$5,205&lt;=$D$5),1,0)</f>
        <v/>
      </c>
      <c r="HA30" s="17">
        <f>IF(AND(206&gt;=$B$5,206&lt;=$D$5),1,0)</f>
        <v/>
      </c>
      <c r="HB30" s="17">
        <f>IF(AND(207&gt;=$B$5,207&lt;=$D$5),1,0)</f>
        <v/>
      </c>
      <c r="HC30" s="17">
        <f>IF(AND(208&gt;=$B$5,208&lt;=$D$5),1,0)</f>
        <v/>
      </c>
      <c r="HD30" s="17">
        <f>IF(AND(209&gt;=$B$5,209&lt;=$D$5),1,0)</f>
        <v/>
      </c>
      <c r="HE30" s="17">
        <f>IF(AND(210&gt;=$B$5,210&lt;=$D$5),1,0)</f>
        <v/>
      </c>
      <c r="HF30" s="17">
        <f>IF(AND(211&gt;=$B$5,211&lt;=$D$5),1,0)</f>
        <v/>
      </c>
      <c r="HG30" s="17">
        <f>IF(AND(212&gt;=$B$5,212&lt;=$D$5),1,0)</f>
        <v/>
      </c>
      <c r="HH30" s="17">
        <f>IF(AND(213&gt;=$B$5,213&lt;=$D$5),1,0)</f>
        <v/>
      </c>
      <c r="HI30" s="17">
        <f>IF(AND(214&gt;=$B$5,214&lt;=$D$5),1,0)</f>
        <v/>
      </c>
      <c r="HJ30" s="17">
        <f>IF(AND(215&gt;=$B$5,215&lt;=$D$5),1,0)</f>
        <v/>
      </c>
      <c r="HK30" s="17">
        <f>IF(AND(216&gt;=$B$5,216&lt;=$D$5),1,0)</f>
        <v/>
      </c>
      <c r="HL30" s="17">
        <f>IF(AND(217&gt;=$B$5,217&lt;=$D$5),1,0)</f>
        <v/>
      </c>
      <c r="HM30" s="17">
        <f>IF(AND(218&gt;=$B$5,218&lt;=$D$5),1,0)</f>
        <v/>
      </c>
      <c r="HN30" s="17">
        <f>IF(AND(219&gt;=$B$5,219&lt;=$D$5),1,0)</f>
        <v/>
      </c>
      <c r="HO30" s="17">
        <f>IF(AND(220&gt;=$B$5,220&lt;=$D$5),1,0)</f>
        <v/>
      </c>
      <c r="HP30" s="17">
        <f>IF(AND(221&gt;=$B$5,221&lt;=$D$5),1,0)</f>
        <v/>
      </c>
      <c r="HQ30" s="17">
        <f>IF(AND(222&gt;=$B$5,222&lt;=$D$5),1,0)</f>
        <v/>
      </c>
      <c r="HR30" s="17">
        <f>IF(AND(223&gt;=$B$5,223&lt;=$D$5),1,0)</f>
        <v/>
      </c>
      <c r="HS30" s="17">
        <f>IF(AND(224&gt;=$B$5,224&lt;=$D$5),1,0)</f>
        <v/>
      </c>
      <c r="HT30" s="17">
        <f>IF(AND(225&gt;=$B$5,225&lt;=$D$5),1,0)</f>
        <v/>
      </c>
      <c r="HU30" s="17">
        <f>IF(AND(226&gt;=$B$5,226&lt;=$D$5),1,0)</f>
        <v/>
      </c>
      <c r="HV30" s="17">
        <f>IF(AND(227&gt;=$B$5,227&lt;=$D$5),1,0)</f>
        <v/>
      </c>
      <c r="HW30" s="17">
        <f>IF(AND(228&gt;=$B$5,228&lt;=$D$5),1,0)</f>
        <v/>
      </c>
      <c r="HX30" s="17">
        <f>IF(AND(229&gt;=$B$5,229&lt;=$D$5),1,0)</f>
        <v/>
      </c>
      <c r="HY30" s="17">
        <f>IF(AND(230&gt;=$B$5,230&lt;=$D$5),1,0)</f>
        <v/>
      </c>
      <c r="HZ30" s="17">
        <f>IF(AND(231&gt;=$B$5,231&lt;=$D$5),1,0)</f>
        <v/>
      </c>
      <c r="IA30" s="17">
        <f>IF(AND(232&gt;=$B$5,232&lt;=$D$5),1,0)</f>
        <v/>
      </c>
      <c r="IB30" s="17">
        <f>IF(AND(233&gt;=$B$5,233&lt;=$D$5),1,0)</f>
        <v/>
      </c>
      <c r="IC30" s="17">
        <f>IF(AND(234&gt;=$B$5,234&lt;=$D$5),1,0)</f>
        <v/>
      </c>
      <c r="ID30" s="17">
        <f>IF(AND(235&gt;=$B$5,235&lt;=$D$5),1,0)</f>
        <v/>
      </c>
      <c r="IE30" s="17">
        <f>IF(AND(236&gt;=$B$5,236&lt;=$D$5),1,0)</f>
        <v/>
      </c>
      <c r="IF30" s="17">
        <f>IF(AND(237&gt;=$B$5,237&lt;=$D$5),1,0)</f>
        <v/>
      </c>
      <c r="IG30" s="17">
        <f>IF(AND(238&gt;=$B$5,238&lt;=$D$5),1,0)</f>
        <v/>
      </c>
      <c r="IH30" s="17">
        <f>IF(AND(239&gt;=$B$5,239&lt;=$D$5),1,0)</f>
        <v/>
      </c>
      <c r="II30" s="17">
        <f>IF(AND(240&gt;=$B$5,240&lt;=$D$5),1,0)</f>
        <v/>
      </c>
      <c r="IJ30" s="17">
        <f>IF(AND(241&gt;=$B$5,241&lt;=$D$5),1,0)</f>
        <v/>
      </c>
      <c r="IK30" s="17">
        <f>IF(AND(242&gt;=$B$5,242&lt;=$D$5),1,0)</f>
        <v/>
      </c>
      <c r="IL30" s="17">
        <f>IF(AND(243&gt;=$B$5,243&lt;=$D$5),1,0)</f>
        <v/>
      </c>
      <c r="IM30" s="17">
        <f>IF(AND(244&gt;=$B$5,244&lt;=$D$5),1,0)</f>
        <v/>
      </c>
      <c r="IN30" s="17">
        <f>IF(AND(245&gt;=$B$5,245&lt;=$D$5),1,0)</f>
        <v/>
      </c>
      <c r="IO30" s="17">
        <f>IF(AND(246&gt;=$B$5,246&lt;=$D$5),1,0)</f>
        <v/>
      </c>
      <c r="IP30" s="17">
        <f>IF(AND(247&gt;=$B$5,247&lt;=$D$5),1,0)</f>
        <v/>
      </c>
      <c r="IQ30" s="17">
        <f>IF(AND(248&gt;=$B$5,248&lt;=$D$5),1,0)</f>
        <v/>
      </c>
      <c r="IR30" s="17">
        <f>IF(AND(249&gt;=$B$5,249&lt;=$D$5),1,0)</f>
        <v/>
      </c>
      <c r="IS30" s="17">
        <f>IF(AND(250&gt;=$B$5,250&lt;=$D$5),1,0)</f>
        <v/>
      </c>
      <c r="IT30" s="17">
        <f>IF(AND(251&gt;=$B$5,251&lt;=$D$5),1,0)</f>
        <v/>
      </c>
      <c r="IU30" s="17">
        <f>IF(AND(252&gt;=$B$5,252&lt;=$D$5),1,0)</f>
        <v/>
      </c>
      <c r="IV30" s="17">
        <f>IF(AND(253&gt;=$B$5,253&lt;=$D$5),1,0)</f>
        <v/>
      </c>
      <c r="IW30" s="17">
        <f>IF(AND(254&gt;=$B$5,254&lt;=$D$5),1,0)</f>
        <v/>
      </c>
      <c r="IX30" s="17">
        <f>IF(AND(255&gt;=$B$5,255&lt;=$D$5),1,0)</f>
        <v/>
      </c>
      <c r="IY30" s="17">
        <f>IF(AND(256&gt;=$B$5,256&lt;=$D$5),1,0)</f>
        <v/>
      </c>
      <c r="IZ30" s="17">
        <f>IF(AND(257&gt;=$B$5,257&lt;=$D$5),1,0)</f>
        <v/>
      </c>
      <c r="JA30" s="17">
        <f>IF(AND(258&gt;=$B$5,258&lt;=$D$5),1,0)</f>
        <v/>
      </c>
      <c r="JB30" s="17">
        <f>IF(AND(259&gt;=$B$5,259&lt;=$D$5),1,0)</f>
        <v/>
      </c>
      <c r="JC30" s="17">
        <f>IF(AND(260&gt;=$B$5,260&lt;=$D$5),1,0)</f>
        <v/>
      </c>
      <c r="JD30" s="17">
        <f>IF(AND(261&gt;=$B$5,261&lt;=$D$5),1,0)</f>
        <v/>
      </c>
      <c r="JE30" s="17">
        <f>IF(AND(262&gt;=$B$5,262&lt;=$D$5),1,0)</f>
        <v/>
      </c>
      <c r="JF30" s="17">
        <f>IF(AND(263&gt;=$B$5,263&lt;=$D$5),1,0)</f>
        <v/>
      </c>
      <c r="JG30" s="17">
        <f>IF(AND(264&gt;=$B$5,264&lt;=$D$5),1,0)</f>
        <v/>
      </c>
      <c r="JH30" s="17">
        <f>IF(AND(265&gt;=$B$5,265&lt;=$D$5),1,0)</f>
        <v/>
      </c>
      <c r="JI30" s="17">
        <f>IF(AND(266&gt;=$B$5,266&lt;=$D$5),1,0)</f>
        <v/>
      </c>
      <c r="JJ30" s="17">
        <f>IF(AND(267&gt;=$B$5,267&lt;=$D$5),1,0)</f>
        <v/>
      </c>
      <c r="JK30" s="17">
        <f>IF(AND(268&gt;=$B$5,268&lt;=$D$5),1,0)</f>
        <v/>
      </c>
      <c r="JL30" s="17">
        <f>IF(AND(269&gt;=$B$5,269&lt;=$D$5),1,0)</f>
        <v/>
      </c>
      <c r="JM30" s="17">
        <f>IF(AND(270&gt;=$B$5,270&lt;=$D$5),1,0)</f>
        <v/>
      </c>
      <c r="JN30" s="17">
        <f>IF(AND(271&gt;=$B$5,271&lt;=$D$5),1,0)</f>
        <v/>
      </c>
      <c r="JO30" s="17">
        <f>IF(AND(272&gt;=$B$5,272&lt;=$D$5),1,0)</f>
        <v/>
      </c>
      <c r="JP30" s="17">
        <f>IF(AND(273&gt;=$B$5,273&lt;=$D$5),1,0)</f>
        <v/>
      </c>
      <c r="JQ30" s="17">
        <f>IF(AND(274&gt;=$B$5,274&lt;=$D$5),1,0)</f>
        <v/>
      </c>
      <c r="JR30" s="17">
        <f>IF(AND(275&gt;=$B$5,275&lt;=$D$5),1,0)</f>
        <v/>
      </c>
      <c r="JS30" s="17">
        <f>IF(AND(276&gt;=$B$5,276&lt;=$D$5),1,0)</f>
        <v/>
      </c>
      <c r="JT30" s="17">
        <f>IF(AND(277&gt;=$B$5,277&lt;=$D$5),1,0)</f>
        <v/>
      </c>
      <c r="JU30" s="17">
        <f>IF(AND(278&gt;=$B$5,278&lt;=$D$5),1,0)</f>
        <v/>
      </c>
      <c r="JV30" s="17">
        <f>IF(AND(279&gt;=$B$5,279&lt;=$D$5),1,0)</f>
        <v/>
      </c>
      <c r="JW30" s="17">
        <f>IF(AND(280&gt;=$B$5,280&lt;=$D$5),1,0)</f>
        <v/>
      </c>
      <c r="JX30" s="17">
        <f>IF(AND(281&gt;=$B$5,281&lt;=$D$5),1,0)</f>
        <v/>
      </c>
      <c r="JY30" s="17">
        <f>IF(AND(282&gt;=$B$5,282&lt;=$D$5),1,0)</f>
        <v/>
      </c>
      <c r="JZ30" s="17">
        <f>IF(AND(283&gt;=$B$5,283&lt;=$D$5),1,0)</f>
        <v/>
      </c>
      <c r="KA30" s="17">
        <f>IF(AND(284&gt;=$B$5,284&lt;=$D$5),1,0)</f>
        <v/>
      </c>
      <c r="KB30" s="17">
        <f>IF(AND(285&gt;=$B$5,285&lt;=$D$5),1,0)</f>
        <v/>
      </c>
      <c r="KC30" s="17">
        <f>IF(AND(286&gt;=$B$5,286&lt;=$D$5),1,0)</f>
        <v/>
      </c>
      <c r="KD30" s="17">
        <f>IF(AND(287&gt;=$B$5,287&lt;=$D$5),1,0)</f>
        <v/>
      </c>
      <c r="KE30" s="17">
        <f>IF(AND(288&gt;=$B$5,288&lt;=$D$5),1,0)</f>
        <v/>
      </c>
      <c r="KF30" s="17">
        <f>IF(AND(289&gt;=$B$5,289&lt;=$D$5),1,0)</f>
        <v/>
      </c>
      <c r="KG30" s="17">
        <f>IF(AND(290&gt;=$B$5,290&lt;=$D$5),1,0)</f>
        <v/>
      </c>
      <c r="KH30" s="17">
        <f>IF(AND(291&gt;=$B$5,291&lt;=$D$5),1,0)</f>
        <v/>
      </c>
      <c r="KI30" s="17">
        <f>IF(AND(292&gt;=$B$5,292&lt;=$D$5),1,0)</f>
        <v/>
      </c>
      <c r="KJ30" s="17">
        <f>IF(AND(293&gt;=$B$5,293&lt;=$D$5),1,0)</f>
        <v/>
      </c>
      <c r="KK30" s="17">
        <f>IF(AND(294&gt;=$B$5,294&lt;=$D$5),1,0)</f>
        <v/>
      </c>
      <c r="KL30" s="17">
        <f>IF(AND(295&gt;=$B$5,295&lt;=$D$5),1,0)</f>
        <v/>
      </c>
      <c r="KM30" s="17">
        <f>IF(AND(296&gt;=$B$5,296&lt;=$D$5),1,0)</f>
        <v/>
      </c>
      <c r="KN30" s="17">
        <f>IF(AND(297&gt;=$B$5,297&lt;=$D$5),1,0)</f>
        <v/>
      </c>
      <c r="KO30" s="17">
        <f>IF(AND(298&gt;=$B$5,298&lt;=$D$5),1,0)</f>
        <v/>
      </c>
      <c r="KP30" s="17">
        <f>IF(AND(299&gt;=$B$5,299&lt;=$D$5),1,0)</f>
        <v/>
      </c>
      <c r="KQ30" s="17">
        <f>IF(AND(300&gt;=$B$5,300&lt;=$D$5),1,0)</f>
        <v/>
      </c>
      <c r="KR30" s="17">
        <f>IF(AND(301&gt;=$B$5,301&lt;=$D$5),1,0)</f>
        <v/>
      </c>
      <c r="KS30" s="17">
        <f>IF(AND(302&gt;=$B$5,302&lt;=$D$5),1,0)</f>
        <v/>
      </c>
      <c r="KT30" s="17">
        <f>IF(AND(303&gt;=$B$5,303&lt;=$D$5),1,0)</f>
        <v/>
      </c>
      <c r="KU30" s="17">
        <f>IF(AND(304&gt;=$B$5,304&lt;=$D$5),1,0)</f>
        <v/>
      </c>
      <c r="KV30" s="17">
        <f>IF(AND(305&gt;=$B$5,305&lt;=$D$5),1,0)</f>
        <v/>
      </c>
      <c r="KW30" s="17">
        <f>IF(AND(306&gt;=$B$5,306&lt;=$D$5),1,0)</f>
        <v/>
      </c>
      <c r="KX30" s="17">
        <f>IF(AND(307&gt;=$B$5,307&lt;=$D$5),1,0)</f>
        <v/>
      </c>
      <c r="KY30" s="17">
        <f>IF(AND(308&gt;=$B$5,308&lt;=$D$5),1,0)</f>
        <v/>
      </c>
      <c r="KZ30" s="17">
        <f>IF(AND(309&gt;=$B$5,309&lt;=$D$5),1,0)</f>
        <v/>
      </c>
      <c r="LA30" s="17">
        <f>IF(AND(310&gt;=$B$5,310&lt;=$D$5),1,0)</f>
        <v/>
      </c>
      <c r="LB30" s="17">
        <f>IF(AND(311&gt;=$B$5,311&lt;=$D$5),1,0)</f>
        <v/>
      </c>
      <c r="LC30" s="17">
        <f>IF(AND(312&gt;=$B$5,312&lt;=$D$5),1,0)</f>
        <v/>
      </c>
      <c r="LD30" s="17">
        <f>IF(AND(313&gt;=$B$5,313&lt;=$D$5),1,0)</f>
        <v/>
      </c>
      <c r="LE30" s="17">
        <f>IF(AND(314&gt;=$B$5,314&lt;=$D$5),1,0)</f>
        <v/>
      </c>
      <c r="LF30" s="17">
        <f>IF(AND(315&gt;=$B$5,315&lt;=$D$5),1,0)</f>
        <v/>
      </c>
      <c r="LG30" s="17">
        <f>IF(AND(316&gt;=$B$5,316&lt;=$D$5),1,0)</f>
        <v/>
      </c>
      <c r="LH30" s="17">
        <f>IF(AND(317&gt;=$B$5,317&lt;=$D$5),1,0)</f>
        <v/>
      </c>
      <c r="LI30" s="17">
        <f>IF(AND(318&gt;=$B$5,318&lt;=$D$5),1,0)</f>
        <v/>
      </c>
      <c r="LJ30" s="17">
        <f>IF(AND(319&gt;=$B$5,319&lt;=$D$5),1,0)</f>
        <v/>
      </c>
      <c r="LK30" s="17">
        <f>IF(AND(320&gt;=$B$5,320&lt;=$D$5),1,0)</f>
        <v/>
      </c>
      <c r="LL30" s="17">
        <f>IF(AND(321&gt;=$B$5,321&lt;=$D$5),1,0)</f>
        <v/>
      </c>
      <c r="LM30" s="17">
        <f>IF(AND(322&gt;=$B$5,322&lt;=$D$5),1,0)</f>
        <v/>
      </c>
      <c r="LN30" s="17">
        <f>IF(AND(323&gt;=$B$5,323&lt;=$D$5),1,0)</f>
        <v/>
      </c>
      <c r="LO30" s="17">
        <f>IF(AND(324&gt;=$B$5,324&lt;=$D$5),1,0)</f>
        <v/>
      </c>
      <c r="LP30" s="17">
        <f>IF(AND(325&gt;=$B$5,325&lt;=$D$5),1,0)</f>
        <v/>
      </c>
      <c r="LQ30" s="17">
        <f>IF(AND(326&gt;=$B$5,326&lt;=$D$5),1,0)</f>
        <v/>
      </c>
      <c r="LR30" s="17">
        <f>IF(AND(327&gt;=$B$5,327&lt;=$D$5),1,0)</f>
        <v/>
      </c>
      <c r="LS30" s="17">
        <f>IF(AND(328&gt;=$B$5,328&lt;=$D$5),1,0)</f>
        <v/>
      </c>
      <c r="LT30" s="17">
        <f>IF(AND(329&gt;=$B$5,329&lt;=$D$5),1,0)</f>
        <v/>
      </c>
      <c r="LU30" s="17">
        <f>IF(AND(330&gt;=$B$5,330&lt;=$D$5),1,0)</f>
        <v/>
      </c>
      <c r="LV30" s="17">
        <f>IF(AND(331&gt;=$B$5,331&lt;=$D$5),1,0)</f>
        <v/>
      </c>
      <c r="LW30" s="17">
        <f>IF(AND(332&gt;=$B$5,332&lt;=$D$5),1,0)</f>
        <v/>
      </c>
      <c r="LX30" s="17">
        <f>IF(AND(333&gt;=$B$5,333&lt;=$D$5),1,0)</f>
        <v/>
      </c>
      <c r="LY30" s="17">
        <f>IF(AND(334&gt;=$B$5,334&lt;=$D$5),1,0)</f>
        <v/>
      </c>
      <c r="LZ30" s="17">
        <f>IF(AND(335&gt;=$B$5,335&lt;=$D$5),1,0)</f>
        <v/>
      </c>
      <c r="MA30" s="17">
        <f>IF(AND(336&gt;=$B$5,336&lt;=$D$5),1,0)</f>
        <v/>
      </c>
      <c r="MB30" s="17">
        <f>IF(AND(337&gt;=$B$5,337&lt;=$D$5),1,0)</f>
        <v/>
      </c>
      <c r="MC30" s="17">
        <f>IF(AND(338&gt;=$B$5,338&lt;=$D$5),1,0)</f>
        <v/>
      </c>
      <c r="MD30" s="17">
        <f>IF(AND(339&gt;=$B$5,339&lt;=$D$5),1,0)</f>
        <v/>
      </c>
      <c r="ME30" s="17">
        <f>IF(AND(340&gt;=$B$5,340&lt;=$D$5),1,0)</f>
        <v/>
      </c>
      <c r="MF30" s="17">
        <f>IF(AND(341&gt;=$B$5,341&lt;=$D$5),1,0)</f>
        <v/>
      </c>
      <c r="MG30" s="17">
        <f>IF(AND(342&gt;=$B$5,342&lt;=$D$5),1,0)</f>
        <v/>
      </c>
      <c r="MH30" s="17">
        <f>IF(AND(343&gt;=$B$5,343&lt;=$D$5),1,0)</f>
        <v/>
      </c>
      <c r="MI30" s="17">
        <f>IF(AND(344&gt;=$B$5,344&lt;=$D$5),1,0)</f>
        <v/>
      </c>
      <c r="MJ30" s="17">
        <f>IF(AND(345&gt;=$B$5,345&lt;=$D$5),1,0)</f>
        <v/>
      </c>
      <c r="MK30" s="17">
        <f>IF(AND(346&gt;=$B$5,346&lt;=$D$5),1,0)</f>
        <v/>
      </c>
      <c r="ML30" s="17">
        <f>IF(AND(347&gt;=$B$5,347&lt;=$D$5),1,0)</f>
        <v/>
      </c>
      <c r="MM30" s="17">
        <f>IF(AND(348&gt;=$B$5,348&lt;=$D$5),1,0)</f>
        <v/>
      </c>
      <c r="MN30" s="17">
        <f>IF(AND(349&gt;=$B$5,349&lt;=$D$5),1,0)</f>
        <v/>
      </c>
      <c r="MO30" s="17">
        <f>IF(AND(350&gt;=$B$5,350&lt;=$D$5),1,0)</f>
        <v/>
      </c>
      <c r="MP30" s="17">
        <f>IF(AND(351&gt;=$B$5,351&lt;=$D$5),1,0)</f>
        <v/>
      </c>
      <c r="MQ30" s="17">
        <f>IF(AND(352&gt;=$B$5,352&lt;=$D$5),1,0)</f>
        <v/>
      </c>
      <c r="MR30" s="17">
        <f>IF(AND(353&gt;=$B$5,353&lt;=$D$5),1,0)</f>
        <v/>
      </c>
      <c r="MS30" s="17">
        <f>IF(AND(354&gt;=$B$5,354&lt;=$D$5),1,0)</f>
        <v/>
      </c>
      <c r="MT30" s="17">
        <f>IF(AND(355&gt;=$B$5,355&lt;=$D$5),1,0)</f>
        <v/>
      </c>
      <c r="MU30" s="17">
        <f>IF(AND(356&gt;=$B$5,356&lt;=$D$5),1,0)</f>
        <v/>
      </c>
      <c r="MV30" s="17">
        <f>IF(AND(357&gt;=$B$5,357&lt;=$D$5),1,0)</f>
        <v/>
      </c>
      <c r="MW30" s="17">
        <f>IF(AND(358&gt;=$B$5,358&lt;=$D$5),1,0)</f>
        <v/>
      </c>
      <c r="MX30" s="17">
        <f>IF(AND(359&gt;=$B$5,359&lt;=$D$5),1,0)</f>
        <v/>
      </c>
      <c r="MY30" s="17">
        <f>IF(AND(360&gt;=$B$5,360&lt;=$D$5),1,0)</f>
        <v/>
      </c>
      <c r="MZ30" s="17">
        <f>IF(AND(361&gt;=$B$5,361&lt;=$D$5),1,0)</f>
        <v/>
      </c>
      <c r="NA30" s="17">
        <f>IF(AND(362&gt;=$B$5,362&lt;=$D$5),1,0)</f>
        <v/>
      </c>
      <c r="NB30" s="17">
        <f>IF(AND(363&gt;=$B$5,363&lt;=$D$5),1,0)</f>
        <v/>
      </c>
      <c r="NC30" s="17">
        <f>IF(AND(364&gt;=$B$5,364&lt;=$D$5),1,0)</f>
        <v/>
      </c>
      <c r="ND30" s="17">
        <f>IF(AND(365&gt;=$B$5,365&lt;=$D$5),1,0)</f>
        <v/>
      </c>
      <c r="NE30" s="17">
        <f>IF(AND(366&gt;=$B$5,366&lt;=$D$5),1,0)</f>
        <v/>
      </c>
      <c r="NF30" s="17">
        <f>IF(AND(367&gt;=$B$5,367&lt;=$D$5),1,0)</f>
        <v/>
      </c>
      <c r="NG30" s="17">
        <f>IF(AND(368&gt;=$B$5,368&lt;=$D$5),1,0)</f>
        <v/>
      </c>
      <c r="NH30" s="17">
        <f>IF(AND(369&gt;=$B$5,369&lt;=$D$5),1,0)</f>
        <v/>
      </c>
      <c r="NI30" s="17">
        <f>IF(AND(370&gt;=$B$5,370&lt;=$D$5),1,0)</f>
        <v/>
      </c>
      <c r="NJ30" s="17">
        <f>IF(AND(371&gt;=$B$5,371&lt;=$D$5),1,0)</f>
        <v/>
      </c>
      <c r="NK30" s="17">
        <f>IF(AND(372&gt;=$B$5,372&lt;=$D$5),1,0)</f>
        <v/>
      </c>
    </row>
    <row r="31">
      <c r="A31" s="5" t="inlineStr">
        <is>
          <t>Flag: Entitlement</t>
        </is>
      </c>
      <c r="C31" s="40" t="n"/>
      <c r="D31" s="17">
        <f>IF(AND(1&gt;=$B$6,1&lt;=$D$6),1,0)</f>
        <v/>
      </c>
      <c r="E31" s="17">
        <f>IF(AND(2&gt;=$B$6,2&lt;=$D$6),1,0)</f>
        <v/>
      </c>
      <c r="F31" s="17">
        <f>IF(AND(3&gt;=$B$6,3&lt;=$D$6),1,0)</f>
        <v/>
      </c>
      <c r="G31" s="17">
        <f>IF(AND(4&gt;=$B$6,4&lt;=$D$6),1,0)</f>
        <v/>
      </c>
      <c r="H31" s="17">
        <f>IF(AND(5&gt;=$B$6,5&lt;=$D$6),1,0)</f>
        <v/>
      </c>
      <c r="I31" s="17">
        <f>IF(AND(6&gt;=$B$6,6&lt;=$D$6),1,0)</f>
        <v/>
      </c>
      <c r="J31" s="17">
        <f>IF(AND(7&gt;=$B$6,7&lt;=$D$6),1,0)</f>
        <v/>
      </c>
      <c r="K31" s="17">
        <f>IF(AND(8&gt;=$B$6,8&lt;=$D$6),1,0)</f>
        <v/>
      </c>
      <c r="L31" s="17">
        <f>IF(AND(9&gt;=$B$6,9&lt;=$D$6),1,0)</f>
        <v/>
      </c>
      <c r="M31" s="17">
        <f>IF(AND(10&gt;=$B$6,10&lt;=$D$6),1,0)</f>
        <v/>
      </c>
      <c r="N31" s="17">
        <f>IF(AND(11&gt;=$B$6,11&lt;=$D$6),1,0)</f>
        <v/>
      </c>
      <c r="O31" s="17">
        <f>IF(AND(12&gt;=$B$6,12&lt;=$D$6),1,0)</f>
        <v/>
      </c>
      <c r="P31" s="17">
        <f>IF(AND(13&gt;=$B$6,13&lt;=$D$6),1,0)</f>
        <v/>
      </c>
      <c r="Q31" s="17">
        <f>IF(AND(14&gt;=$B$6,14&lt;=$D$6),1,0)</f>
        <v/>
      </c>
      <c r="R31" s="17">
        <f>IF(AND(15&gt;=$B$6,15&lt;=$D$6),1,0)</f>
        <v/>
      </c>
      <c r="S31" s="17">
        <f>IF(AND(16&gt;=$B$6,16&lt;=$D$6),1,0)</f>
        <v/>
      </c>
      <c r="T31" s="17">
        <f>IF(AND(17&gt;=$B$6,17&lt;=$D$6),1,0)</f>
        <v/>
      </c>
      <c r="U31" s="17">
        <f>IF(AND(18&gt;=$B$6,18&lt;=$D$6),1,0)</f>
        <v/>
      </c>
      <c r="V31" s="17">
        <f>IF(AND(19&gt;=$B$6,19&lt;=$D$6),1,0)</f>
        <v/>
      </c>
      <c r="W31" s="17">
        <f>IF(AND(20&gt;=$B$6,20&lt;=$D$6),1,0)</f>
        <v/>
      </c>
      <c r="X31" s="17">
        <f>IF(AND(21&gt;=$B$6,21&lt;=$D$6),1,0)</f>
        <v/>
      </c>
      <c r="Y31" s="17">
        <f>IF(AND(22&gt;=$B$6,22&lt;=$D$6),1,0)</f>
        <v/>
      </c>
      <c r="Z31" s="17">
        <f>IF(AND(23&gt;=$B$6,23&lt;=$D$6),1,0)</f>
        <v/>
      </c>
      <c r="AA31" s="17">
        <f>IF(AND(24&gt;=$B$6,24&lt;=$D$6),1,0)</f>
        <v/>
      </c>
      <c r="AB31" s="17">
        <f>IF(AND(25&gt;=$B$6,25&lt;=$D$6),1,0)</f>
        <v/>
      </c>
      <c r="AC31" s="17">
        <f>IF(AND(26&gt;=$B$6,26&lt;=$D$6),1,0)</f>
        <v/>
      </c>
      <c r="AD31" s="17">
        <f>IF(AND(27&gt;=$B$6,27&lt;=$D$6),1,0)</f>
        <v/>
      </c>
      <c r="AE31" s="17">
        <f>IF(AND(28&gt;=$B$6,28&lt;=$D$6),1,0)</f>
        <v/>
      </c>
      <c r="AF31" s="17">
        <f>IF(AND(29&gt;=$B$6,29&lt;=$D$6),1,0)</f>
        <v/>
      </c>
      <c r="AG31" s="17">
        <f>IF(AND(30&gt;=$B$6,30&lt;=$D$6),1,0)</f>
        <v/>
      </c>
      <c r="AH31" s="17">
        <f>IF(AND(31&gt;=$B$6,31&lt;=$D$6),1,0)</f>
        <v/>
      </c>
      <c r="AI31" s="17">
        <f>IF(AND(32&gt;=$B$6,32&lt;=$D$6),1,0)</f>
        <v/>
      </c>
      <c r="AJ31" s="17">
        <f>IF(AND(33&gt;=$B$6,33&lt;=$D$6),1,0)</f>
        <v/>
      </c>
      <c r="AK31" s="17">
        <f>IF(AND(34&gt;=$B$6,34&lt;=$D$6),1,0)</f>
        <v/>
      </c>
      <c r="AL31" s="17">
        <f>IF(AND(35&gt;=$B$6,35&lt;=$D$6),1,0)</f>
        <v/>
      </c>
      <c r="AM31" s="17">
        <f>IF(AND(36&gt;=$B$6,36&lt;=$D$6),1,0)</f>
        <v/>
      </c>
      <c r="AN31" s="17">
        <f>IF(AND(37&gt;=$B$6,37&lt;=$D$6),1,0)</f>
        <v/>
      </c>
      <c r="AO31" s="17">
        <f>IF(AND(38&gt;=$B$6,38&lt;=$D$6),1,0)</f>
        <v/>
      </c>
      <c r="AP31" s="17">
        <f>IF(AND(39&gt;=$B$6,39&lt;=$D$6),1,0)</f>
        <v/>
      </c>
      <c r="AQ31" s="17">
        <f>IF(AND(40&gt;=$B$6,40&lt;=$D$6),1,0)</f>
        <v/>
      </c>
      <c r="AR31" s="17">
        <f>IF(AND(41&gt;=$B$6,41&lt;=$D$6),1,0)</f>
        <v/>
      </c>
      <c r="AS31" s="17">
        <f>IF(AND(42&gt;=$B$6,42&lt;=$D$6),1,0)</f>
        <v/>
      </c>
      <c r="AT31" s="17">
        <f>IF(AND(43&gt;=$B$6,43&lt;=$D$6),1,0)</f>
        <v/>
      </c>
      <c r="AU31" s="17">
        <f>IF(AND(44&gt;=$B$6,44&lt;=$D$6),1,0)</f>
        <v/>
      </c>
      <c r="AV31" s="17">
        <f>IF(AND(45&gt;=$B$6,45&lt;=$D$6),1,0)</f>
        <v/>
      </c>
      <c r="AW31" s="17">
        <f>IF(AND(46&gt;=$B$6,46&lt;=$D$6),1,0)</f>
        <v/>
      </c>
      <c r="AX31" s="17">
        <f>IF(AND(47&gt;=$B$6,47&lt;=$D$6),1,0)</f>
        <v/>
      </c>
      <c r="AY31" s="17">
        <f>IF(AND(48&gt;=$B$6,48&lt;=$D$6),1,0)</f>
        <v/>
      </c>
      <c r="AZ31" s="17">
        <f>IF(AND(49&gt;=$B$6,49&lt;=$D$6),1,0)</f>
        <v/>
      </c>
      <c r="BA31" s="17">
        <f>IF(AND(50&gt;=$B$6,50&lt;=$D$6),1,0)</f>
        <v/>
      </c>
      <c r="BB31" s="17">
        <f>IF(AND(51&gt;=$B$6,51&lt;=$D$6),1,0)</f>
        <v/>
      </c>
      <c r="BC31" s="17">
        <f>IF(AND(52&gt;=$B$6,52&lt;=$D$6),1,0)</f>
        <v/>
      </c>
      <c r="BD31" s="17">
        <f>IF(AND(53&gt;=$B$6,53&lt;=$D$6),1,0)</f>
        <v/>
      </c>
      <c r="BE31" s="17">
        <f>IF(AND(54&gt;=$B$6,54&lt;=$D$6),1,0)</f>
        <v/>
      </c>
      <c r="BF31" s="17">
        <f>IF(AND(55&gt;=$B$6,55&lt;=$D$6),1,0)</f>
        <v/>
      </c>
      <c r="BG31" s="17">
        <f>IF(AND(56&gt;=$B$6,56&lt;=$D$6),1,0)</f>
        <v/>
      </c>
      <c r="BH31" s="17">
        <f>IF(AND(57&gt;=$B$6,57&lt;=$D$6),1,0)</f>
        <v/>
      </c>
      <c r="BI31" s="17">
        <f>IF(AND(58&gt;=$B$6,58&lt;=$D$6),1,0)</f>
        <v/>
      </c>
      <c r="BJ31" s="17">
        <f>IF(AND(59&gt;=$B$6,59&lt;=$D$6),1,0)</f>
        <v/>
      </c>
      <c r="BK31" s="17">
        <f>IF(AND(60&gt;=$B$6,60&lt;=$D$6),1,0)</f>
        <v/>
      </c>
      <c r="BL31" s="17">
        <f>IF(AND(61&gt;=$B$6,61&lt;=$D$6),1,0)</f>
        <v/>
      </c>
      <c r="BM31" s="17">
        <f>IF(AND(62&gt;=$B$6,62&lt;=$D$6),1,0)</f>
        <v/>
      </c>
      <c r="BN31" s="17">
        <f>IF(AND(63&gt;=$B$6,63&lt;=$D$6),1,0)</f>
        <v/>
      </c>
      <c r="BO31" s="17">
        <f>IF(AND(64&gt;=$B$6,64&lt;=$D$6),1,0)</f>
        <v/>
      </c>
      <c r="BP31" s="17">
        <f>IF(AND(65&gt;=$B$6,65&lt;=$D$6),1,0)</f>
        <v/>
      </c>
      <c r="BQ31" s="17">
        <f>IF(AND(66&gt;=$B$6,66&lt;=$D$6),1,0)</f>
        <v/>
      </c>
      <c r="BR31" s="17">
        <f>IF(AND(67&gt;=$B$6,67&lt;=$D$6),1,0)</f>
        <v/>
      </c>
      <c r="BS31" s="17">
        <f>IF(AND(68&gt;=$B$6,68&lt;=$D$6),1,0)</f>
        <v/>
      </c>
      <c r="BT31" s="17">
        <f>IF(AND(69&gt;=$B$6,69&lt;=$D$6),1,0)</f>
        <v/>
      </c>
      <c r="BU31" s="17">
        <f>IF(AND(70&gt;=$B$6,70&lt;=$D$6),1,0)</f>
        <v/>
      </c>
      <c r="BV31" s="17">
        <f>IF(AND(71&gt;=$B$6,71&lt;=$D$6),1,0)</f>
        <v/>
      </c>
      <c r="BW31" s="17">
        <f>IF(AND(72&gt;=$B$6,72&lt;=$D$6),1,0)</f>
        <v/>
      </c>
      <c r="BX31" s="17">
        <f>IF(AND(73&gt;=$B$6,73&lt;=$D$6),1,0)</f>
        <v/>
      </c>
      <c r="BY31" s="17">
        <f>IF(AND(74&gt;=$B$6,74&lt;=$D$6),1,0)</f>
        <v/>
      </c>
      <c r="BZ31" s="17">
        <f>IF(AND(75&gt;=$B$6,75&lt;=$D$6),1,0)</f>
        <v/>
      </c>
      <c r="CA31" s="17">
        <f>IF(AND(76&gt;=$B$6,76&lt;=$D$6),1,0)</f>
        <v/>
      </c>
      <c r="CB31" s="17">
        <f>IF(AND(77&gt;=$B$6,77&lt;=$D$6),1,0)</f>
        <v/>
      </c>
      <c r="CC31" s="17">
        <f>IF(AND(78&gt;=$B$6,78&lt;=$D$6),1,0)</f>
        <v/>
      </c>
      <c r="CD31" s="17">
        <f>IF(AND(79&gt;=$B$6,79&lt;=$D$6),1,0)</f>
        <v/>
      </c>
      <c r="CE31" s="17">
        <f>IF(AND(80&gt;=$B$6,80&lt;=$D$6),1,0)</f>
        <v/>
      </c>
      <c r="CF31" s="17">
        <f>IF(AND(81&gt;=$B$6,81&lt;=$D$6),1,0)</f>
        <v/>
      </c>
      <c r="CG31" s="17">
        <f>IF(AND(82&gt;=$B$6,82&lt;=$D$6),1,0)</f>
        <v/>
      </c>
      <c r="CH31" s="17">
        <f>IF(AND(83&gt;=$B$6,83&lt;=$D$6),1,0)</f>
        <v/>
      </c>
      <c r="CI31" s="17">
        <f>IF(AND(84&gt;=$B$6,84&lt;=$D$6),1,0)</f>
        <v/>
      </c>
      <c r="CJ31" s="17">
        <f>IF(AND(85&gt;=$B$6,85&lt;=$D$6),1,0)</f>
        <v/>
      </c>
      <c r="CK31" s="17">
        <f>IF(AND(86&gt;=$B$6,86&lt;=$D$6),1,0)</f>
        <v/>
      </c>
      <c r="CL31" s="17">
        <f>IF(AND(87&gt;=$B$6,87&lt;=$D$6),1,0)</f>
        <v/>
      </c>
      <c r="CM31" s="17">
        <f>IF(AND(88&gt;=$B$6,88&lt;=$D$6),1,0)</f>
        <v/>
      </c>
      <c r="CN31" s="17">
        <f>IF(AND(89&gt;=$B$6,89&lt;=$D$6),1,0)</f>
        <v/>
      </c>
      <c r="CO31" s="17">
        <f>IF(AND(90&gt;=$B$6,90&lt;=$D$6),1,0)</f>
        <v/>
      </c>
      <c r="CP31" s="17">
        <f>IF(AND(91&gt;=$B$6,91&lt;=$D$6),1,0)</f>
        <v/>
      </c>
      <c r="CQ31" s="17">
        <f>IF(AND(92&gt;=$B$6,92&lt;=$D$6),1,0)</f>
        <v/>
      </c>
      <c r="CR31" s="17">
        <f>IF(AND(93&gt;=$B$6,93&lt;=$D$6),1,0)</f>
        <v/>
      </c>
      <c r="CS31" s="17">
        <f>IF(AND(94&gt;=$B$6,94&lt;=$D$6),1,0)</f>
        <v/>
      </c>
      <c r="CT31" s="17">
        <f>IF(AND(95&gt;=$B$6,95&lt;=$D$6),1,0)</f>
        <v/>
      </c>
      <c r="CU31" s="17">
        <f>IF(AND(96&gt;=$B$6,96&lt;=$D$6),1,0)</f>
        <v/>
      </c>
      <c r="CV31" s="17">
        <f>IF(AND(97&gt;=$B$6,97&lt;=$D$6),1,0)</f>
        <v/>
      </c>
      <c r="CW31" s="17">
        <f>IF(AND(98&gt;=$B$6,98&lt;=$D$6),1,0)</f>
        <v/>
      </c>
      <c r="CX31" s="17">
        <f>IF(AND(99&gt;=$B$6,99&lt;=$D$6),1,0)</f>
        <v/>
      </c>
      <c r="CY31" s="17">
        <f>IF(AND(100&gt;=$B$6,100&lt;=$D$6),1,0)</f>
        <v/>
      </c>
      <c r="CZ31" s="17">
        <f>IF(AND(101&gt;=$B$6,101&lt;=$D$6),1,0)</f>
        <v/>
      </c>
      <c r="DA31" s="17">
        <f>IF(AND(102&gt;=$B$6,102&lt;=$D$6),1,0)</f>
        <v/>
      </c>
      <c r="DB31" s="17">
        <f>IF(AND(103&gt;=$B$6,103&lt;=$D$6),1,0)</f>
        <v/>
      </c>
      <c r="DC31" s="17">
        <f>IF(AND(104&gt;=$B$6,104&lt;=$D$6),1,0)</f>
        <v/>
      </c>
      <c r="DD31" s="17">
        <f>IF(AND(105&gt;=$B$6,105&lt;=$D$6),1,0)</f>
        <v/>
      </c>
      <c r="DE31" s="17">
        <f>IF(AND(106&gt;=$B$6,106&lt;=$D$6),1,0)</f>
        <v/>
      </c>
      <c r="DF31" s="17">
        <f>IF(AND(107&gt;=$B$6,107&lt;=$D$6),1,0)</f>
        <v/>
      </c>
      <c r="DG31" s="17">
        <f>IF(AND(108&gt;=$B$6,108&lt;=$D$6),1,0)</f>
        <v/>
      </c>
      <c r="DH31" s="17">
        <f>IF(AND(109&gt;=$B$6,109&lt;=$D$6),1,0)</f>
        <v/>
      </c>
      <c r="DI31" s="17">
        <f>IF(AND(110&gt;=$B$6,110&lt;=$D$6),1,0)</f>
        <v/>
      </c>
      <c r="DJ31" s="17">
        <f>IF(AND(111&gt;=$B$6,111&lt;=$D$6),1,0)</f>
        <v/>
      </c>
      <c r="DK31" s="17">
        <f>IF(AND(112&gt;=$B$6,112&lt;=$D$6),1,0)</f>
        <v/>
      </c>
      <c r="DL31" s="17">
        <f>IF(AND(113&gt;=$B$6,113&lt;=$D$6),1,0)</f>
        <v/>
      </c>
      <c r="DM31" s="17">
        <f>IF(AND(114&gt;=$B$6,114&lt;=$D$6),1,0)</f>
        <v/>
      </c>
      <c r="DN31" s="17">
        <f>IF(AND(115&gt;=$B$6,115&lt;=$D$6),1,0)</f>
        <v/>
      </c>
      <c r="DO31" s="17">
        <f>IF(AND(116&gt;=$B$6,116&lt;=$D$6),1,0)</f>
        <v/>
      </c>
      <c r="DP31" s="17">
        <f>IF(AND(117&gt;=$B$6,117&lt;=$D$6),1,0)</f>
        <v/>
      </c>
      <c r="DQ31" s="17">
        <f>IF(AND(118&gt;=$B$6,118&lt;=$D$6),1,0)</f>
        <v/>
      </c>
      <c r="DR31" s="17">
        <f>IF(AND(119&gt;=$B$6,119&lt;=$D$6),1,0)</f>
        <v/>
      </c>
      <c r="DS31" s="17">
        <f>IF(AND(120&gt;=$B$6,120&lt;=$D$6),1,0)</f>
        <v/>
      </c>
      <c r="DT31" s="17">
        <f>IF(AND(121&gt;=$B$6,121&lt;=$D$6),1,0)</f>
        <v/>
      </c>
      <c r="DU31" s="17">
        <f>IF(AND(122&gt;=$B$6,122&lt;=$D$6),1,0)</f>
        <v/>
      </c>
      <c r="DV31" s="17">
        <f>IF(AND(123&gt;=$B$6,123&lt;=$D$6),1,0)</f>
        <v/>
      </c>
      <c r="DW31" s="17">
        <f>IF(AND(124&gt;=$B$6,124&lt;=$D$6),1,0)</f>
        <v/>
      </c>
      <c r="DX31" s="17">
        <f>IF(AND(125&gt;=$B$6,125&lt;=$D$6),1,0)</f>
        <v/>
      </c>
      <c r="DY31" s="17">
        <f>IF(AND(126&gt;=$B$6,126&lt;=$D$6),1,0)</f>
        <v/>
      </c>
      <c r="DZ31" s="17">
        <f>IF(AND(127&gt;=$B$6,127&lt;=$D$6),1,0)</f>
        <v/>
      </c>
      <c r="EA31" s="17">
        <f>IF(AND(128&gt;=$B$6,128&lt;=$D$6),1,0)</f>
        <v/>
      </c>
      <c r="EB31" s="17">
        <f>IF(AND(129&gt;=$B$6,129&lt;=$D$6),1,0)</f>
        <v/>
      </c>
      <c r="EC31" s="17">
        <f>IF(AND(130&gt;=$B$6,130&lt;=$D$6),1,0)</f>
        <v/>
      </c>
      <c r="ED31" s="17">
        <f>IF(AND(131&gt;=$B$6,131&lt;=$D$6),1,0)</f>
        <v/>
      </c>
      <c r="EE31" s="17">
        <f>IF(AND(132&gt;=$B$6,132&lt;=$D$6),1,0)</f>
        <v/>
      </c>
      <c r="EF31" s="17">
        <f>IF(AND(133&gt;=$B$6,133&lt;=$D$6),1,0)</f>
        <v/>
      </c>
      <c r="EG31" s="17">
        <f>IF(AND(134&gt;=$B$6,134&lt;=$D$6),1,0)</f>
        <v/>
      </c>
      <c r="EH31" s="17">
        <f>IF(AND(135&gt;=$B$6,135&lt;=$D$6),1,0)</f>
        <v/>
      </c>
      <c r="EI31" s="17">
        <f>IF(AND(136&gt;=$B$6,136&lt;=$D$6),1,0)</f>
        <v/>
      </c>
      <c r="EJ31" s="17">
        <f>IF(AND(137&gt;=$B$6,137&lt;=$D$6),1,0)</f>
        <v/>
      </c>
      <c r="EK31" s="17">
        <f>IF(AND(138&gt;=$B$6,138&lt;=$D$6),1,0)</f>
        <v/>
      </c>
      <c r="EL31" s="17">
        <f>IF(AND(139&gt;=$B$6,139&lt;=$D$6),1,0)</f>
        <v/>
      </c>
      <c r="EM31" s="17">
        <f>IF(AND(140&gt;=$B$6,140&lt;=$D$6),1,0)</f>
        <v/>
      </c>
      <c r="EN31" s="17">
        <f>IF(AND(141&gt;=$B$6,141&lt;=$D$6),1,0)</f>
        <v/>
      </c>
      <c r="EO31" s="17">
        <f>IF(AND(142&gt;=$B$6,142&lt;=$D$6),1,0)</f>
        <v/>
      </c>
      <c r="EP31" s="17">
        <f>IF(AND(143&gt;=$B$6,143&lt;=$D$6),1,0)</f>
        <v/>
      </c>
      <c r="EQ31" s="17">
        <f>IF(AND(144&gt;=$B$6,144&lt;=$D$6),1,0)</f>
        <v/>
      </c>
      <c r="ER31" s="17">
        <f>IF(AND(145&gt;=$B$6,145&lt;=$D$6),1,0)</f>
        <v/>
      </c>
      <c r="ES31" s="17">
        <f>IF(AND(146&gt;=$B$6,146&lt;=$D$6),1,0)</f>
        <v/>
      </c>
      <c r="ET31" s="17">
        <f>IF(AND(147&gt;=$B$6,147&lt;=$D$6),1,0)</f>
        <v/>
      </c>
      <c r="EU31" s="17">
        <f>IF(AND(148&gt;=$B$6,148&lt;=$D$6),1,0)</f>
        <v/>
      </c>
      <c r="EV31" s="17">
        <f>IF(AND(149&gt;=$B$6,149&lt;=$D$6),1,0)</f>
        <v/>
      </c>
      <c r="EW31" s="17">
        <f>IF(AND(150&gt;=$B$6,150&lt;=$D$6),1,0)</f>
        <v/>
      </c>
      <c r="EX31" s="17">
        <f>IF(AND(151&gt;=$B$6,151&lt;=$D$6),1,0)</f>
        <v/>
      </c>
      <c r="EY31" s="17">
        <f>IF(AND(152&gt;=$B$6,152&lt;=$D$6),1,0)</f>
        <v/>
      </c>
      <c r="EZ31" s="17">
        <f>IF(AND(153&gt;=$B$6,153&lt;=$D$6),1,0)</f>
        <v/>
      </c>
      <c r="FA31" s="17">
        <f>IF(AND(154&gt;=$B$6,154&lt;=$D$6),1,0)</f>
        <v/>
      </c>
      <c r="FB31" s="17">
        <f>IF(AND(155&gt;=$B$6,155&lt;=$D$6),1,0)</f>
        <v/>
      </c>
      <c r="FC31" s="17">
        <f>IF(AND(156&gt;=$B$6,156&lt;=$D$6),1,0)</f>
        <v/>
      </c>
      <c r="FD31" s="17">
        <f>IF(AND(157&gt;=$B$6,157&lt;=$D$6),1,0)</f>
        <v/>
      </c>
      <c r="FE31" s="17">
        <f>IF(AND(158&gt;=$B$6,158&lt;=$D$6),1,0)</f>
        <v/>
      </c>
      <c r="FF31" s="17">
        <f>IF(AND(159&gt;=$B$6,159&lt;=$D$6),1,0)</f>
        <v/>
      </c>
      <c r="FG31" s="17">
        <f>IF(AND(160&gt;=$B$6,160&lt;=$D$6),1,0)</f>
        <v/>
      </c>
      <c r="FH31" s="17">
        <f>IF(AND(161&gt;=$B$6,161&lt;=$D$6),1,0)</f>
        <v/>
      </c>
      <c r="FI31" s="17">
        <f>IF(AND(162&gt;=$B$6,162&lt;=$D$6),1,0)</f>
        <v/>
      </c>
      <c r="FJ31" s="17">
        <f>IF(AND(163&gt;=$B$6,163&lt;=$D$6),1,0)</f>
        <v/>
      </c>
      <c r="FK31" s="17">
        <f>IF(AND(164&gt;=$B$6,164&lt;=$D$6),1,0)</f>
        <v/>
      </c>
      <c r="FL31" s="17">
        <f>IF(AND(165&gt;=$B$6,165&lt;=$D$6),1,0)</f>
        <v/>
      </c>
      <c r="FM31" s="17">
        <f>IF(AND(166&gt;=$B$6,166&lt;=$D$6),1,0)</f>
        <v/>
      </c>
      <c r="FN31" s="17">
        <f>IF(AND(167&gt;=$B$6,167&lt;=$D$6),1,0)</f>
        <v/>
      </c>
      <c r="FO31" s="17">
        <f>IF(AND(168&gt;=$B$6,168&lt;=$D$6),1,0)</f>
        <v/>
      </c>
      <c r="FP31" s="17">
        <f>IF(AND(169&gt;=$B$6,169&lt;=$D$6),1,0)</f>
        <v/>
      </c>
      <c r="FQ31" s="17">
        <f>IF(AND(170&gt;=$B$6,170&lt;=$D$6),1,0)</f>
        <v/>
      </c>
      <c r="FR31" s="17">
        <f>IF(AND(171&gt;=$B$6,171&lt;=$D$6),1,0)</f>
        <v/>
      </c>
      <c r="FS31" s="17">
        <f>IF(AND(172&gt;=$B$6,172&lt;=$D$6),1,0)</f>
        <v/>
      </c>
      <c r="FT31" s="17">
        <f>IF(AND(173&gt;=$B$6,173&lt;=$D$6),1,0)</f>
        <v/>
      </c>
      <c r="FU31" s="17">
        <f>IF(AND(174&gt;=$B$6,174&lt;=$D$6),1,0)</f>
        <v/>
      </c>
      <c r="FV31" s="17">
        <f>IF(AND(175&gt;=$B$6,175&lt;=$D$6),1,0)</f>
        <v/>
      </c>
      <c r="FW31" s="17">
        <f>IF(AND(176&gt;=$B$6,176&lt;=$D$6),1,0)</f>
        <v/>
      </c>
      <c r="FX31" s="17">
        <f>IF(AND(177&gt;=$B$6,177&lt;=$D$6),1,0)</f>
        <v/>
      </c>
      <c r="FY31" s="17">
        <f>IF(AND(178&gt;=$B$6,178&lt;=$D$6),1,0)</f>
        <v/>
      </c>
      <c r="FZ31" s="17">
        <f>IF(AND(179&gt;=$B$6,179&lt;=$D$6),1,0)</f>
        <v/>
      </c>
      <c r="GA31" s="17">
        <f>IF(AND(180&gt;=$B$6,180&lt;=$D$6),1,0)</f>
        <v/>
      </c>
      <c r="GB31" s="17">
        <f>IF(AND(181&gt;=$B$6,181&lt;=$D$6),1,0)</f>
        <v/>
      </c>
      <c r="GC31" s="17">
        <f>IF(AND(182&gt;=$B$6,182&lt;=$D$6),1,0)</f>
        <v/>
      </c>
      <c r="GD31" s="17">
        <f>IF(AND(183&gt;=$B$6,183&lt;=$D$6),1,0)</f>
        <v/>
      </c>
      <c r="GE31" s="17">
        <f>IF(AND(184&gt;=$B$6,184&lt;=$D$6),1,0)</f>
        <v/>
      </c>
      <c r="GF31" s="17">
        <f>IF(AND(185&gt;=$B$6,185&lt;=$D$6),1,0)</f>
        <v/>
      </c>
      <c r="GG31" s="17">
        <f>IF(AND(186&gt;=$B$6,186&lt;=$D$6),1,0)</f>
        <v/>
      </c>
      <c r="GH31" s="17">
        <f>IF(AND(187&gt;=$B$6,187&lt;=$D$6),1,0)</f>
        <v/>
      </c>
      <c r="GI31" s="17">
        <f>IF(AND(188&gt;=$B$6,188&lt;=$D$6),1,0)</f>
        <v/>
      </c>
      <c r="GJ31" s="17">
        <f>IF(AND(189&gt;=$B$6,189&lt;=$D$6),1,0)</f>
        <v/>
      </c>
      <c r="GK31" s="17">
        <f>IF(AND(190&gt;=$B$6,190&lt;=$D$6),1,0)</f>
        <v/>
      </c>
      <c r="GL31" s="17">
        <f>IF(AND(191&gt;=$B$6,191&lt;=$D$6),1,0)</f>
        <v/>
      </c>
      <c r="GM31" s="17">
        <f>IF(AND(192&gt;=$B$6,192&lt;=$D$6),1,0)</f>
        <v/>
      </c>
      <c r="GN31" s="17">
        <f>IF(AND(193&gt;=$B$6,193&lt;=$D$6),1,0)</f>
        <v/>
      </c>
      <c r="GO31" s="17">
        <f>IF(AND(194&gt;=$B$6,194&lt;=$D$6),1,0)</f>
        <v/>
      </c>
      <c r="GP31" s="17">
        <f>IF(AND(195&gt;=$B$6,195&lt;=$D$6),1,0)</f>
        <v/>
      </c>
      <c r="GQ31" s="17">
        <f>IF(AND(196&gt;=$B$6,196&lt;=$D$6),1,0)</f>
        <v/>
      </c>
      <c r="GR31" s="17">
        <f>IF(AND(197&gt;=$B$6,197&lt;=$D$6),1,0)</f>
        <v/>
      </c>
      <c r="GS31" s="17">
        <f>IF(AND(198&gt;=$B$6,198&lt;=$D$6),1,0)</f>
        <v/>
      </c>
      <c r="GT31" s="17">
        <f>IF(AND(199&gt;=$B$6,199&lt;=$D$6),1,0)</f>
        <v/>
      </c>
      <c r="GU31" s="17">
        <f>IF(AND(200&gt;=$B$6,200&lt;=$D$6),1,0)</f>
        <v/>
      </c>
      <c r="GV31" s="17">
        <f>IF(AND(201&gt;=$B$6,201&lt;=$D$6),1,0)</f>
        <v/>
      </c>
      <c r="GW31" s="17">
        <f>IF(AND(202&gt;=$B$6,202&lt;=$D$6),1,0)</f>
        <v/>
      </c>
      <c r="GX31" s="17">
        <f>IF(AND(203&gt;=$B$6,203&lt;=$D$6),1,0)</f>
        <v/>
      </c>
      <c r="GY31" s="17">
        <f>IF(AND(204&gt;=$B$6,204&lt;=$D$6),1,0)</f>
        <v/>
      </c>
      <c r="GZ31" s="17">
        <f>IF(AND(205&gt;=$B$6,205&lt;=$D$6),1,0)</f>
        <v/>
      </c>
      <c r="HA31" s="17">
        <f>IF(AND(206&gt;=$B$6,206&lt;=$D$6),1,0)</f>
        <v/>
      </c>
      <c r="HB31" s="17">
        <f>IF(AND(207&gt;=$B$6,207&lt;=$D$6),1,0)</f>
        <v/>
      </c>
      <c r="HC31" s="17">
        <f>IF(AND(208&gt;=$B$6,208&lt;=$D$6),1,0)</f>
        <v/>
      </c>
      <c r="HD31" s="17">
        <f>IF(AND(209&gt;=$B$6,209&lt;=$D$6),1,0)</f>
        <v/>
      </c>
      <c r="HE31" s="17">
        <f>IF(AND(210&gt;=$B$6,210&lt;=$D$6),1,0)</f>
        <v/>
      </c>
      <c r="HF31" s="17">
        <f>IF(AND(211&gt;=$B$6,211&lt;=$D$6),1,0)</f>
        <v/>
      </c>
      <c r="HG31" s="17">
        <f>IF(AND(212&gt;=$B$6,212&lt;=$D$6),1,0)</f>
        <v/>
      </c>
      <c r="HH31" s="17">
        <f>IF(AND(213&gt;=$B$6,213&lt;=$D$6),1,0)</f>
        <v/>
      </c>
      <c r="HI31" s="17">
        <f>IF(AND(214&gt;=$B$6,214&lt;=$D$6),1,0)</f>
        <v/>
      </c>
      <c r="HJ31" s="17">
        <f>IF(AND(215&gt;=$B$6,215&lt;=$D$6),1,0)</f>
        <v/>
      </c>
      <c r="HK31" s="17">
        <f>IF(AND(216&gt;=$B$6,216&lt;=$D$6),1,0)</f>
        <v/>
      </c>
      <c r="HL31" s="17">
        <f>IF(AND(217&gt;=$B$6,217&lt;=$D$6),1,0)</f>
        <v/>
      </c>
      <c r="HM31" s="17">
        <f>IF(AND(218&gt;=$B$6,218&lt;=$D$6),1,0)</f>
        <v/>
      </c>
      <c r="HN31" s="17">
        <f>IF(AND(219&gt;=$B$6,219&lt;=$D$6),1,0)</f>
        <v/>
      </c>
      <c r="HO31" s="17">
        <f>IF(AND(220&gt;=$B$6,220&lt;=$D$6),1,0)</f>
        <v/>
      </c>
      <c r="HP31" s="17">
        <f>IF(AND(221&gt;=$B$6,221&lt;=$D$6),1,0)</f>
        <v/>
      </c>
      <c r="HQ31" s="17">
        <f>IF(AND(222&gt;=$B$6,222&lt;=$D$6),1,0)</f>
        <v/>
      </c>
      <c r="HR31" s="17">
        <f>IF(AND(223&gt;=$B$6,223&lt;=$D$6),1,0)</f>
        <v/>
      </c>
      <c r="HS31" s="17">
        <f>IF(AND(224&gt;=$B$6,224&lt;=$D$6),1,0)</f>
        <v/>
      </c>
      <c r="HT31" s="17">
        <f>IF(AND(225&gt;=$B$6,225&lt;=$D$6),1,0)</f>
        <v/>
      </c>
      <c r="HU31" s="17">
        <f>IF(AND(226&gt;=$B$6,226&lt;=$D$6),1,0)</f>
        <v/>
      </c>
      <c r="HV31" s="17">
        <f>IF(AND(227&gt;=$B$6,227&lt;=$D$6),1,0)</f>
        <v/>
      </c>
      <c r="HW31" s="17">
        <f>IF(AND(228&gt;=$B$6,228&lt;=$D$6),1,0)</f>
        <v/>
      </c>
      <c r="HX31" s="17">
        <f>IF(AND(229&gt;=$B$6,229&lt;=$D$6),1,0)</f>
        <v/>
      </c>
      <c r="HY31" s="17">
        <f>IF(AND(230&gt;=$B$6,230&lt;=$D$6),1,0)</f>
        <v/>
      </c>
      <c r="HZ31" s="17">
        <f>IF(AND(231&gt;=$B$6,231&lt;=$D$6),1,0)</f>
        <v/>
      </c>
      <c r="IA31" s="17">
        <f>IF(AND(232&gt;=$B$6,232&lt;=$D$6),1,0)</f>
        <v/>
      </c>
      <c r="IB31" s="17">
        <f>IF(AND(233&gt;=$B$6,233&lt;=$D$6),1,0)</f>
        <v/>
      </c>
      <c r="IC31" s="17">
        <f>IF(AND(234&gt;=$B$6,234&lt;=$D$6),1,0)</f>
        <v/>
      </c>
      <c r="ID31" s="17">
        <f>IF(AND(235&gt;=$B$6,235&lt;=$D$6),1,0)</f>
        <v/>
      </c>
      <c r="IE31" s="17">
        <f>IF(AND(236&gt;=$B$6,236&lt;=$D$6),1,0)</f>
        <v/>
      </c>
      <c r="IF31" s="17">
        <f>IF(AND(237&gt;=$B$6,237&lt;=$D$6),1,0)</f>
        <v/>
      </c>
      <c r="IG31" s="17">
        <f>IF(AND(238&gt;=$B$6,238&lt;=$D$6),1,0)</f>
        <v/>
      </c>
      <c r="IH31" s="17">
        <f>IF(AND(239&gt;=$B$6,239&lt;=$D$6),1,0)</f>
        <v/>
      </c>
      <c r="II31" s="17">
        <f>IF(AND(240&gt;=$B$6,240&lt;=$D$6),1,0)</f>
        <v/>
      </c>
      <c r="IJ31" s="17">
        <f>IF(AND(241&gt;=$B$6,241&lt;=$D$6),1,0)</f>
        <v/>
      </c>
      <c r="IK31" s="17">
        <f>IF(AND(242&gt;=$B$6,242&lt;=$D$6),1,0)</f>
        <v/>
      </c>
      <c r="IL31" s="17">
        <f>IF(AND(243&gt;=$B$6,243&lt;=$D$6),1,0)</f>
        <v/>
      </c>
      <c r="IM31" s="17">
        <f>IF(AND(244&gt;=$B$6,244&lt;=$D$6),1,0)</f>
        <v/>
      </c>
      <c r="IN31" s="17">
        <f>IF(AND(245&gt;=$B$6,245&lt;=$D$6),1,0)</f>
        <v/>
      </c>
      <c r="IO31" s="17">
        <f>IF(AND(246&gt;=$B$6,246&lt;=$D$6),1,0)</f>
        <v/>
      </c>
      <c r="IP31" s="17">
        <f>IF(AND(247&gt;=$B$6,247&lt;=$D$6),1,0)</f>
        <v/>
      </c>
      <c r="IQ31" s="17">
        <f>IF(AND(248&gt;=$B$6,248&lt;=$D$6),1,0)</f>
        <v/>
      </c>
      <c r="IR31" s="17">
        <f>IF(AND(249&gt;=$B$6,249&lt;=$D$6),1,0)</f>
        <v/>
      </c>
      <c r="IS31" s="17">
        <f>IF(AND(250&gt;=$B$6,250&lt;=$D$6),1,0)</f>
        <v/>
      </c>
      <c r="IT31" s="17">
        <f>IF(AND(251&gt;=$B$6,251&lt;=$D$6),1,0)</f>
        <v/>
      </c>
      <c r="IU31" s="17">
        <f>IF(AND(252&gt;=$B$6,252&lt;=$D$6),1,0)</f>
        <v/>
      </c>
      <c r="IV31" s="17">
        <f>IF(AND(253&gt;=$B$6,253&lt;=$D$6),1,0)</f>
        <v/>
      </c>
      <c r="IW31" s="17">
        <f>IF(AND(254&gt;=$B$6,254&lt;=$D$6),1,0)</f>
        <v/>
      </c>
      <c r="IX31" s="17">
        <f>IF(AND(255&gt;=$B$6,255&lt;=$D$6),1,0)</f>
        <v/>
      </c>
      <c r="IY31" s="17">
        <f>IF(AND(256&gt;=$B$6,256&lt;=$D$6),1,0)</f>
        <v/>
      </c>
      <c r="IZ31" s="17">
        <f>IF(AND(257&gt;=$B$6,257&lt;=$D$6),1,0)</f>
        <v/>
      </c>
      <c r="JA31" s="17">
        <f>IF(AND(258&gt;=$B$6,258&lt;=$D$6),1,0)</f>
        <v/>
      </c>
      <c r="JB31" s="17">
        <f>IF(AND(259&gt;=$B$6,259&lt;=$D$6),1,0)</f>
        <v/>
      </c>
      <c r="JC31" s="17">
        <f>IF(AND(260&gt;=$B$6,260&lt;=$D$6),1,0)</f>
        <v/>
      </c>
      <c r="JD31" s="17">
        <f>IF(AND(261&gt;=$B$6,261&lt;=$D$6),1,0)</f>
        <v/>
      </c>
      <c r="JE31" s="17">
        <f>IF(AND(262&gt;=$B$6,262&lt;=$D$6),1,0)</f>
        <v/>
      </c>
      <c r="JF31" s="17">
        <f>IF(AND(263&gt;=$B$6,263&lt;=$D$6),1,0)</f>
        <v/>
      </c>
      <c r="JG31" s="17">
        <f>IF(AND(264&gt;=$B$6,264&lt;=$D$6),1,0)</f>
        <v/>
      </c>
      <c r="JH31" s="17">
        <f>IF(AND(265&gt;=$B$6,265&lt;=$D$6),1,0)</f>
        <v/>
      </c>
      <c r="JI31" s="17">
        <f>IF(AND(266&gt;=$B$6,266&lt;=$D$6),1,0)</f>
        <v/>
      </c>
      <c r="JJ31" s="17">
        <f>IF(AND(267&gt;=$B$6,267&lt;=$D$6),1,0)</f>
        <v/>
      </c>
      <c r="JK31" s="17">
        <f>IF(AND(268&gt;=$B$6,268&lt;=$D$6),1,0)</f>
        <v/>
      </c>
      <c r="JL31" s="17">
        <f>IF(AND(269&gt;=$B$6,269&lt;=$D$6),1,0)</f>
        <v/>
      </c>
      <c r="JM31" s="17">
        <f>IF(AND(270&gt;=$B$6,270&lt;=$D$6),1,0)</f>
        <v/>
      </c>
      <c r="JN31" s="17">
        <f>IF(AND(271&gt;=$B$6,271&lt;=$D$6),1,0)</f>
        <v/>
      </c>
      <c r="JO31" s="17">
        <f>IF(AND(272&gt;=$B$6,272&lt;=$D$6),1,0)</f>
        <v/>
      </c>
      <c r="JP31" s="17">
        <f>IF(AND(273&gt;=$B$6,273&lt;=$D$6),1,0)</f>
        <v/>
      </c>
      <c r="JQ31" s="17">
        <f>IF(AND(274&gt;=$B$6,274&lt;=$D$6),1,0)</f>
        <v/>
      </c>
      <c r="JR31" s="17">
        <f>IF(AND(275&gt;=$B$6,275&lt;=$D$6),1,0)</f>
        <v/>
      </c>
      <c r="JS31" s="17">
        <f>IF(AND(276&gt;=$B$6,276&lt;=$D$6),1,0)</f>
        <v/>
      </c>
      <c r="JT31" s="17">
        <f>IF(AND(277&gt;=$B$6,277&lt;=$D$6),1,0)</f>
        <v/>
      </c>
      <c r="JU31" s="17">
        <f>IF(AND(278&gt;=$B$6,278&lt;=$D$6),1,0)</f>
        <v/>
      </c>
      <c r="JV31" s="17">
        <f>IF(AND(279&gt;=$B$6,279&lt;=$D$6),1,0)</f>
        <v/>
      </c>
      <c r="JW31" s="17">
        <f>IF(AND(280&gt;=$B$6,280&lt;=$D$6),1,0)</f>
        <v/>
      </c>
      <c r="JX31" s="17">
        <f>IF(AND(281&gt;=$B$6,281&lt;=$D$6),1,0)</f>
        <v/>
      </c>
      <c r="JY31" s="17">
        <f>IF(AND(282&gt;=$B$6,282&lt;=$D$6),1,0)</f>
        <v/>
      </c>
      <c r="JZ31" s="17">
        <f>IF(AND(283&gt;=$B$6,283&lt;=$D$6),1,0)</f>
        <v/>
      </c>
      <c r="KA31" s="17">
        <f>IF(AND(284&gt;=$B$6,284&lt;=$D$6),1,0)</f>
        <v/>
      </c>
      <c r="KB31" s="17">
        <f>IF(AND(285&gt;=$B$6,285&lt;=$D$6),1,0)</f>
        <v/>
      </c>
      <c r="KC31" s="17">
        <f>IF(AND(286&gt;=$B$6,286&lt;=$D$6),1,0)</f>
        <v/>
      </c>
      <c r="KD31" s="17">
        <f>IF(AND(287&gt;=$B$6,287&lt;=$D$6),1,0)</f>
        <v/>
      </c>
      <c r="KE31" s="17">
        <f>IF(AND(288&gt;=$B$6,288&lt;=$D$6),1,0)</f>
        <v/>
      </c>
      <c r="KF31" s="17">
        <f>IF(AND(289&gt;=$B$6,289&lt;=$D$6),1,0)</f>
        <v/>
      </c>
      <c r="KG31" s="17">
        <f>IF(AND(290&gt;=$B$6,290&lt;=$D$6),1,0)</f>
        <v/>
      </c>
      <c r="KH31" s="17">
        <f>IF(AND(291&gt;=$B$6,291&lt;=$D$6),1,0)</f>
        <v/>
      </c>
      <c r="KI31" s="17">
        <f>IF(AND(292&gt;=$B$6,292&lt;=$D$6),1,0)</f>
        <v/>
      </c>
      <c r="KJ31" s="17">
        <f>IF(AND(293&gt;=$B$6,293&lt;=$D$6),1,0)</f>
        <v/>
      </c>
      <c r="KK31" s="17">
        <f>IF(AND(294&gt;=$B$6,294&lt;=$D$6),1,0)</f>
        <v/>
      </c>
      <c r="KL31" s="17">
        <f>IF(AND(295&gt;=$B$6,295&lt;=$D$6),1,0)</f>
        <v/>
      </c>
      <c r="KM31" s="17">
        <f>IF(AND(296&gt;=$B$6,296&lt;=$D$6),1,0)</f>
        <v/>
      </c>
      <c r="KN31" s="17">
        <f>IF(AND(297&gt;=$B$6,297&lt;=$D$6),1,0)</f>
        <v/>
      </c>
      <c r="KO31" s="17">
        <f>IF(AND(298&gt;=$B$6,298&lt;=$D$6),1,0)</f>
        <v/>
      </c>
      <c r="KP31" s="17">
        <f>IF(AND(299&gt;=$B$6,299&lt;=$D$6),1,0)</f>
        <v/>
      </c>
      <c r="KQ31" s="17">
        <f>IF(AND(300&gt;=$B$6,300&lt;=$D$6),1,0)</f>
        <v/>
      </c>
      <c r="KR31" s="17">
        <f>IF(AND(301&gt;=$B$6,301&lt;=$D$6),1,0)</f>
        <v/>
      </c>
      <c r="KS31" s="17">
        <f>IF(AND(302&gt;=$B$6,302&lt;=$D$6),1,0)</f>
        <v/>
      </c>
      <c r="KT31" s="17">
        <f>IF(AND(303&gt;=$B$6,303&lt;=$D$6),1,0)</f>
        <v/>
      </c>
      <c r="KU31" s="17">
        <f>IF(AND(304&gt;=$B$6,304&lt;=$D$6),1,0)</f>
        <v/>
      </c>
      <c r="KV31" s="17">
        <f>IF(AND(305&gt;=$B$6,305&lt;=$D$6),1,0)</f>
        <v/>
      </c>
      <c r="KW31" s="17">
        <f>IF(AND(306&gt;=$B$6,306&lt;=$D$6),1,0)</f>
        <v/>
      </c>
      <c r="KX31" s="17">
        <f>IF(AND(307&gt;=$B$6,307&lt;=$D$6),1,0)</f>
        <v/>
      </c>
      <c r="KY31" s="17">
        <f>IF(AND(308&gt;=$B$6,308&lt;=$D$6),1,0)</f>
        <v/>
      </c>
      <c r="KZ31" s="17">
        <f>IF(AND(309&gt;=$B$6,309&lt;=$D$6),1,0)</f>
        <v/>
      </c>
      <c r="LA31" s="17">
        <f>IF(AND(310&gt;=$B$6,310&lt;=$D$6),1,0)</f>
        <v/>
      </c>
      <c r="LB31" s="17">
        <f>IF(AND(311&gt;=$B$6,311&lt;=$D$6),1,0)</f>
        <v/>
      </c>
      <c r="LC31" s="17">
        <f>IF(AND(312&gt;=$B$6,312&lt;=$D$6),1,0)</f>
        <v/>
      </c>
      <c r="LD31" s="17">
        <f>IF(AND(313&gt;=$B$6,313&lt;=$D$6),1,0)</f>
        <v/>
      </c>
      <c r="LE31" s="17">
        <f>IF(AND(314&gt;=$B$6,314&lt;=$D$6),1,0)</f>
        <v/>
      </c>
      <c r="LF31" s="17">
        <f>IF(AND(315&gt;=$B$6,315&lt;=$D$6),1,0)</f>
        <v/>
      </c>
      <c r="LG31" s="17">
        <f>IF(AND(316&gt;=$B$6,316&lt;=$D$6),1,0)</f>
        <v/>
      </c>
      <c r="LH31" s="17">
        <f>IF(AND(317&gt;=$B$6,317&lt;=$D$6),1,0)</f>
        <v/>
      </c>
      <c r="LI31" s="17">
        <f>IF(AND(318&gt;=$B$6,318&lt;=$D$6),1,0)</f>
        <v/>
      </c>
      <c r="LJ31" s="17">
        <f>IF(AND(319&gt;=$B$6,319&lt;=$D$6),1,0)</f>
        <v/>
      </c>
      <c r="LK31" s="17">
        <f>IF(AND(320&gt;=$B$6,320&lt;=$D$6),1,0)</f>
        <v/>
      </c>
      <c r="LL31" s="17">
        <f>IF(AND(321&gt;=$B$6,321&lt;=$D$6),1,0)</f>
        <v/>
      </c>
      <c r="LM31" s="17">
        <f>IF(AND(322&gt;=$B$6,322&lt;=$D$6),1,0)</f>
        <v/>
      </c>
      <c r="LN31" s="17">
        <f>IF(AND(323&gt;=$B$6,323&lt;=$D$6),1,0)</f>
        <v/>
      </c>
      <c r="LO31" s="17">
        <f>IF(AND(324&gt;=$B$6,324&lt;=$D$6),1,0)</f>
        <v/>
      </c>
      <c r="LP31" s="17">
        <f>IF(AND(325&gt;=$B$6,325&lt;=$D$6),1,0)</f>
        <v/>
      </c>
      <c r="LQ31" s="17">
        <f>IF(AND(326&gt;=$B$6,326&lt;=$D$6),1,0)</f>
        <v/>
      </c>
      <c r="LR31" s="17">
        <f>IF(AND(327&gt;=$B$6,327&lt;=$D$6),1,0)</f>
        <v/>
      </c>
      <c r="LS31" s="17">
        <f>IF(AND(328&gt;=$B$6,328&lt;=$D$6),1,0)</f>
        <v/>
      </c>
      <c r="LT31" s="17">
        <f>IF(AND(329&gt;=$B$6,329&lt;=$D$6),1,0)</f>
        <v/>
      </c>
      <c r="LU31" s="17">
        <f>IF(AND(330&gt;=$B$6,330&lt;=$D$6),1,0)</f>
        <v/>
      </c>
      <c r="LV31" s="17">
        <f>IF(AND(331&gt;=$B$6,331&lt;=$D$6),1,0)</f>
        <v/>
      </c>
      <c r="LW31" s="17">
        <f>IF(AND(332&gt;=$B$6,332&lt;=$D$6),1,0)</f>
        <v/>
      </c>
      <c r="LX31" s="17">
        <f>IF(AND(333&gt;=$B$6,333&lt;=$D$6),1,0)</f>
        <v/>
      </c>
      <c r="LY31" s="17">
        <f>IF(AND(334&gt;=$B$6,334&lt;=$D$6),1,0)</f>
        <v/>
      </c>
      <c r="LZ31" s="17">
        <f>IF(AND(335&gt;=$B$6,335&lt;=$D$6),1,0)</f>
        <v/>
      </c>
      <c r="MA31" s="17">
        <f>IF(AND(336&gt;=$B$6,336&lt;=$D$6),1,0)</f>
        <v/>
      </c>
      <c r="MB31" s="17">
        <f>IF(AND(337&gt;=$B$6,337&lt;=$D$6),1,0)</f>
        <v/>
      </c>
      <c r="MC31" s="17">
        <f>IF(AND(338&gt;=$B$6,338&lt;=$D$6),1,0)</f>
        <v/>
      </c>
      <c r="MD31" s="17">
        <f>IF(AND(339&gt;=$B$6,339&lt;=$D$6),1,0)</f>
        <v/>
      </c>
      <c r="ME31" s="17">
        <f>IF(AND(340&gt;=$B$6,340&lt;=$D$6),1,0)</f>
        <v/>
      </c>
      <c r="MF31" s="17">
        <f>IF(AND(341&gt;=$B$6,341&lt;=$D$6),1,0)</f>
        <v/>
      </c>
      <c r="MG31" s="17">
        <f>IF(AND(342&gt;=$B$6,342&lt;=$D$6),1,0)</f>
        <v/>
      </c>
      <c r="MH31" s="17">
        <f>IF(AND(343&gt;=$B$6,343&lt;=$D$6),1,0)</f>
        <v/>
      </c>
      <c r="MI31" s="17">
        <f>IF(AND(344&gt;=$B$6,344&lt;=$D$6),1,0)</f>
        <v/>
      </c>
      <c r="MJ31" s="17">
        <f>IF(AND(345&gt;=$B$6,345&lt;=$D$6),1,0)</f>
        <v/>
      </c>
      <c r="MK31" s="17">
        <f>IF(AND(346&gt;=$B$6,346&lt;=$D$6),1,0)</f>
        <v/>
      </c>
      <c r="ML31" s="17">
        <f>IF(AND(347&gt;=$B$6,347&lt;=$D$6),1,0)</f>
        <v/>
      </c>
      <c r="MM31" s="17">
        <f>IF(AND(348&gt;=$B$6,348&lt;=$D$6),1,0)</f>
        <v/>
      </c>
      <c r="MN31" s="17">
        <f>IF(AND(349&gt;=$B$6,349&lt;=$D$6),1,0)</f>
        <v/>
      </c>
      <c r="MO31" s="17">
        <f>IF(AND(350&gt;=$B$6,350&lt;=$D$6),1,0)</f>
        <v/>
      </c>
      <c r="MP31" s="17">
        <f>IF(AND(351&gt;=$B$6,351&lt;=$D$6),1,0)</f>
        <v/>
      </c>
      <c r="MQ31" s="17">
        <f>IF(AND(352&gt;=$B$6,352&lt;=$D$6),1,0)</f>
        <v/>
      </c>
      <c r="MR31" s="17">
        <f>IF(AND(353&gt;=$B$6,353&lt;=$D$6),1,0)</f>
        <v/>
      </c>
      <c r="MS31" s="17">
        <f>IF(AND(354&gt;=$B$6,354&lt;=$D$6),1,0)</f>
        <v/>
      </c>
      <c r="MT31" s="17">
        <f>IF(AND(355&gt;=$B$6,355&lt;=$D$6),1,0)</f>
        <v/>
      </c>
      <c r="MU31" s="17">
        <f>IF(AND(356&gt;=$B$6,356&lt;=$D$6),1,0)</f>
        <v/>
      </c>
      <c r="MV31" s="17">
        <f>IF(AND(357&gt;=$B$6,357&lt;=$D$6),1,0)</f>
        <v/>
      </c>
      <c r="MW31" s="17">
        <f>IF(AND(358&gt;=$B$6,358&lt;=$D$6),1,0)</f>
        <v/>
      </c>
      <c r="MX31" s="17">
        <f>IF(AND(359&gt;=$B$6,359&lt;=$D$6),1,0)</f>
        <v/>
      </c>
      <c r="MY31" s="17">
        <f>IF(AND(360&gt;=$B$6,360&lt;=$D$6),1,0)</f>
        <v/>
      </c>
      <c r="MZ31" s="17">
        <f>IF(AND(361&gt;=$B$6,361&lt;=$D$6),1,0)</f>
        <v/>
      </c>
      <c r="NA31" s="17">
        <f>IF(AND(362&gt;=$B$6,362&lt;=$D$6),1,0)</f>
        <v/>
      </c>
      <c r="NB31" s="17">
        <f>IF(AND(363&gt;=$B$6,363&lt;=$D$6),1,0)</f>
        <v/>
      </c>
      <c r="NC31" s="17">
        <f>IF(AND(364&gt;=$B$6,364&lt;=$D$6),1,0)</f>
        <v/>
      </c>
      <c r="ND31" s="17">
        <f>IF(AND(365&gt;=$B$6,365&lt;=$D$6),1,0)</f>
        <v/>
      </c>
      <c r="NE31" s="17">
        <f>IF(AND(366&gt;=$B$6,366&lt;=$D$6),1,0)</f>
        <v/>
      </c>
      <c r="NF31" s="17">
        <f>IF(AND(367&gt;=$B$6,367&lt;=$D$6),1,0)</f>
        <v/>
      </c>
      <c r="NG31" s="17">
        <f>IF(AND(368&gt;=$B$6,368&lt;=$D$6),1,0)</f>
        <v/>
      </c>
      <c r="NH31" s="17">
        <f>IF(AND(369&gt;=$B$6,369&lt;=$D$6),1,0)</f>
        <v/>
      </c>
      <c r="NI31" s="17">
        <f>IF(AND(370&gt;=$B$6,370&lt;=$D$6),1,0)</f>
        <v/>
      </c>
      <c r="NJ31" s="17">
        <f>IF(AND(371&gt;=$B$6,371&lt;=$D$6),1,0)</f>
        <v/>
      </c>
      <c r="NK31" s="17">
        <f>IF(AND(372&gt;=$B$6,372&lt;=$D$6),1,0)</f>
        <v/>
      </c>
    </row>
    <row r="32">
      <c r="A32" s="5" t="inlineStr">
        <is>
          <t>Flag: Pre-Construction</t>
        </is>
      </c>
      <c r="C32" s="40" t="n"/>
      <c r="D32" s="17">
        <f>IF(AND(1&gt;=$B$7,1&lt;=$D$7),1,0)</f>
        <v/>
      </c>
      <c r="E32" s="17">
        <f>IF(AND(2&gt;=$B$7,2&lt;=$D$7),1,0)</f>
        <v/>
      </c>
      <c r="F32" s="17">
        <f>IF(AND(3&gt;=$B$7,3&lt;=$D$7),1,0)</f>
        <v/>
      </c>
      <c r="G32" s="17">
        <f>IF(AND(4&gt;=$B$7,4&lt;=$D$7),1,0)</f>
        <v/>
      </c>
      <c r="H32" s="17">
        <f>IF(AND(5&gt;=$B$7,5&lt;=$D$7),1,0)</f>
        <v/>
      </c>
      <c r="I32" s="17">
        <f>IF(AND(6&gt;=$B$7,6&lt;=$D$7),1,0)</f>
        <v/>
      </c>
      <c r="J32" s="17">
        <f>IF(AND(7&gt;=$B$7,7&lt;=$D$7),1,0)</f>
        <v/>
      </c>
      <c r="K32" s="17">
        <f>IF(AND(8&gt;=$B$7,8&lt;=$D$7),1,0)</f>
        <v/>
      </c>
      <c r="L32" s="17">
        <f>IF(AND(9&gt;=$B$7,9&lt;=$D$7),1,0)</f>
        <v/>
      </c>
      <c r="M32" s="17">
        <f>IF(AND(10&gt;=$B$7,10&lt;=$D$7),1,0)</f>
        <v/>
      </c>
      <c r="N32" s="17">
        <f>IF(AND(11&gt;=$B$7,11&lt;=$D$7),1,0)</f>
        <v/>
      </c>
      <c r="O32" s="17">
        <f>IF(AND(12&gt;=$B$7,12&lt;=$D$7),1,0)</f>
        <v/>
      </c>
      <c r="P32" s="17">
        <f>IF(AND(13&gt;=$B$7,13&lt;=$D$7),1,0)</f>
        <v/>
      </c>
      <c r="Q32" s="17">
        <f>IF(AND(14&gt;=$B$7,14&lt;=$D$7),1,0)</f>
        <v/>
      </c>
      <c r="R32" s="17">
        <f>IF(AND(15&gt;=$B$7,15&lt;=$D$7),1,0)</f>
        <v/>
      </c>
      <c r="S32" s="17">
        <f>IF(AND(16&gt;=$B$7,16&lt;=$D$7),1,0)</f>
        <v/>
      </c>
      <c r="T32" s="17">
        <f>IF(AND(17&gt;=$B$7,17&lt;=$D$7),1,0)</f>
        <v/>
      </c>
      <c r="U32" s="17">
        <f>IF(AND(18&gt;=$B$7,18&lt;=$D$7),1,0)</f>
        <v/>
      </c>
      <c r="V32" s="17">
        <f>IF(AND(19&gt;=$B$7,19&lt;=$D$7),1,0)</f>
        <v/>
      </c>
      <c r="W32" s="17">
        <f>IF(AND(20&gt;=$B$7,20&lt;=$D$7),1,0)</f>
        <v/>
      </c>
      <c r="X32" s="17">
        <f>IF(AND(21&gt;=$B$7,21&lt;=$D$7),1,0)</f>
        <v/>
      </c>
      <c r="Y32" s="17">
        <f>IF(AND(22&gt;=$B$7,22&lt;=$D$7),1,0)</f>
        <v/>
      </c>
      <c r="Z32" s="17">
        <f>IF(AND(23&gt;=$B$7,23&lt;=$D$7),1,0)</f>
        <v/>
      </c>
      <c r="AA32" s="17">
        <f>IF(AND(24&gt;=$B$7,24&lt;=$D$7),1,0)</f>
        <v/>
      </c>
      <c r="AB32" s="17">
        <f>IF(AND(25&gt;=$B$7,25&lt;=$D$7),1,0)</f>
        <v/>
      </c>
      <c r="AC32" s="17">
        <f>IF(AND(26&gt;=$B$7,26&lt;=$D$7),1,0)</f>
        <v/>
      </c>
      <c r="AD32" s="17">
        <f>IF(AND(27&gt;=$B$7,27&lt;=$D$7),1,0)</f>
        <v/>
      </c>
      <c r="AE32" s="17">
        <f>IF(AND(28&gt;=$B$7,28&lt;=$D$7),1,0)</f>
        <v/>
      </c>
      <c r="AF32" s="17">
        <f>IF(AND(29&gt;=$B$7,29&lt;=$D$7),1,0)</f>
        <v/>
      </c>
      <c r="AG32" s="17">
        <f>IF(AND(30&gt;=$B$7,30&lt;=$D$7),1,0)</f>
        <v/>
      </c>
      <c r="AH32" s="17">
        <f>IF(AND(31&gt;=$B$7,31&lt;=$D$7),1,0)</f>
        <v/>
      </c>
      <c r="AI32" s="17">
        <f>IF(AND(32&gt;=$B$7,32&lt;=$D$7),1,0)</f>
        <v/>
      </c>
      <c r="AJ32" s="17">
        <f>IF(AND(33&gt;=$B$7,33&lt;=$D$7),1,0)</f>
        <v/>
      </c>
      <c r="AK32" s="17">
        <f>IF(AND(34&gt;=$B$7,34&lt;=$D$7),1,0)</f>
        <v/>
      </c>
      <c r="AL32" s="17">
        <f>IF(AND(35&gt;=$B$7,35&lt;=$D$7),1,0)</f>
        <v/>
      </c>
      <c r="AM32" s="17">
        <f>IF(AND(36&gt;=$B$7,36&lt;=$D$7),1,0)</f>
        <v/>
      </c>
      <c r="AN32" s="17">
        <f>IF(AND(37&gt;=$B$7,37&lt;=$D$7),1,0)</f>
        <v/>
      </c>
      <c r="AO32" s="17">
        <f>IF(AND(38&gt;=$B$7,38&lt;=$D$7),1,0)</f>
        <v/>
      </c>
      <c r="AP32" s="17">
        <f>IF(AND(39&gt;=$B$7,39&lt;=$D$7),1,0)</f>
        <v/>
      </c>
      <c r="AQ32" s="17">
        <f>IF(AND(40&gt;=$B$7,40&lt;=$D$7),1,0)</f>
        <v/>
      </c>
      <c r="AR32" s="17">
        <f>IF(AND(41&gt;=$B$7,41&lt;=$D$7),1,0)</f>
        <v/>
      </c>
      <c r="AS32" s="17">
        <f>IF(AND(42&gt;=$B$7,42&lt;=$D$7),1,0)</f>
        <v/>
      </c>
      <c r="AT32" s="17">
        <f>IF(AND(43&gt;=$B$7,43&lt;=$D$7),1,0)</f>
        <v/>
      </c>
      <c r="AU32" s="17">
        <f>IF(AND(44&gt;=$B$7,44&lt;=$D$7),1,0)</f>
        <v/>
      </c>
      <c r="AV32" s="17">
        <f>IF(AND(45&gt;=$B$7,45&lt;=$D$7),1,0)</f>
        <v/>
      </c>
      <c r="AW32" s="17">
        <f>IF(AND(46&gt;=$B$7,46&lt;=$D$7),1,0)</f>
        <v/>
      </c>
      <c r="AX32" s="17">
        <f>IF(AND(47&gt;=$B$7,47&lt;=$D$7),1,0)</f>
        <v/>
      </c>
      <c r="AY32" s="17">
        <f>IF(AND(48&gt;=$B$7,48&lt;=$D$7),1,0)</f>
        <v/>
      </c>
      <c r="AZ32" s="17">
        <f>IF(AND(49&gt;=$B$7,49&lt;=$D$7),1,0)</f>
        <v/>
      </c>
      <c r="BA32" s="17">
        <f>IF(AND(50&gt;=$B$7,50&lt;=$D$7),1,0)</f>
        <v/>
      </c>
      <c r="BB32" s="17">
        <f>IF(AND(51&gt;=$B$7,51&lt;=$D$7),1,0)</f>
        <v/>
      </c>
      <c r="BC32" s="17">
        <f>IF(AND(52&gt;=$B$7,52&lt;=$D$7),1,0)</f>
        <v/>
      </c>
      <c r="BD32" s="17">
        <f>IF(AND(53&gt;=$B$7,53&lt;=$D$7),1,0)</f>
        <v/>
      </c>
      <c r="BE32" s="17">
        <f>IF(AND(54&gt;=$B$7,54&lt;=$D$7),1,0)</f>
        <v/>
      </c>
      <c r="BF32" s="17">
        <f>IF(AND(55&gt;=$B$7,55&lt;=$D$7),1,0)</f>
        <v/>
      </c>
      <c r="BG32" s="17">
        <f>IF(AND(56&gt;=$B$7,56&lt;=$D$7),1,0)</f>
        <v/>
      </c>
      <c r="BH32" s="17">
        <f>IF(AND(57&gt;=$B$7,57&lt;=$D$7),1,0)</f>
        <v/>
      </c>
      <c r="BI32" s="17">
        <f>IF(AND(58&gt;=$B$7,58&lt;=$D$7),1,0)</f>
        <v/>
      </c>
      <c r="BJ32" s="17">
        <f>IF(AND(59&gt;=$B$7,59&lt;=$D$7),1,0)</f>
        <v/>
      </c>
      <c r="BK32" s="17">
        <f>IF(AND(60&gt;=$B$7,60&lt;=$D$7),1,0)</f>
        <v/>
      </c>
      <c r="BL32" s="17">
        <f>IF(AND(61&gt;=$B$7,61&lt;=$D$7),1,0)</f>
        <v/>
      </c>
      <c r="BM32" s="17">
        <f>IF(AND(62&gt;=$B$7,62&lt;=$D$7),1,0)</f>
        <v/>
      </c>
      <c r="BN32" s="17">
        <f>IF(AND(63&gt;=$B$7,63&lt;=$D$7),1,0)</f>
        <v/>
      </c>
      <c r="BO32" s="17">
        <f>IF(AND(64&gt;=$B$7,64&lt;=$D$7),1,0)</f>
        <v/>
      </c>
      <c r="BP32" s="17">
        <f>IF(AND(65&gt;=$B$7,65&lt;=$D$7),1,0)</f>
        <v/>
      </c>
      <c r="BQ32" s="17">
        <f>IF(AND(66&gt;=$B$7,66&lt;=$D$7),1,0)</f>
        <v/>
      </c>
      <c r="BR32" s="17">
        <f>IF(AND(67&gt;=$B$7,67&lt;=$D$7),1,0)</f>
        <v/>
      </c>
      <c r="BS32" s="17">
        <f>IF(AND(68&gt;=$B$7,68&lt;=$D$7),1,0)</f>
        <v/>
      </c>
      <c r="BT32" s="17">
        <f>IF(AND(69&gt;=$B$7,69&lt;=$D$7),1,0)</f>
        <v/>
      </c>
      <c r="BU32" s="17">
        <f>IF(AND(70&gt;=$B$7,70&lt;=$D$7),1,0)</f>
        <v/>
      </c>
      <c r="BV32" s="17">
        <f>IF(AND(71&gt;=$B$7,71&lt;=$D$7),1,0)</f>
        <v/>
      </c>
      <c r="BW32" s="17">
        <f>IF(AND(72&gt;=$B$7,72&lt;=$D$7),1,0)</f>
        <v/>
      </c>
      <c r="BX32" s="17">
        <f>IF(AND(73&gt;=$B$7,73&lt;=$D$7),1,0)</f>
        <v/>
      </c>
      <c r="BY32" s="17">
        <f>IF(AND(74&gt;=$B$7,74&lt;=$D$7),1,0)</f>
        <v/>
      </c>
      <c r="BZ32" s="17">
        <f>IF(AND(75&gt;=$B$7,75&lt;=$D$7),1,0)</f>
        <v/>
      </c>
      <c r="CA32" s="17">
        <f>IF(AND(76&gt;=$B$7,76&lt;=$D$7),1,0)</f>
        <v/>
      </c>
      <c r="CB32" s="17">
        <f>IF(AND(77&gt;=$B$7,77&lt;=$D$7),1,0)</f>
        <v/>
      </c>
      <c r="CC32" s="17">
        <f>IF(AND(78&gt;=$B$7,78&lt;=$D$7),1,0)</f>
        <v/>
      </c>
      <c r="CD32" s="17">
        <f>IF(AND(79&gt;=$B$7,79&lt;=$D$7),1,0)</f>
        <v/>
      </c>
      <c r="CE32" s="17">
        <f>IF(AND(80&gt;=$B$7,80&lt;=$D$7),1,0)</f>
        <v/>
      </c>
      <c r="CF32" s="17">
        <f>IF(AND(81&gt;=$B$7,81&lt;=$D$7),1,0)</f>
        <v/>
      </c>
      <c r="CG32" s="17">
        <f>IF(AND(82&gt;=$B$7,82&lt;=$D$7),1,0)</f>
        <v/>
      </c>
      <c r="CH32" s="17">
        <f>IF(AND(83&gt;=$B$7,83&lt;=$D$7),1,0)</f>
        <v/>
      </c>
      <c r="CI32" s="17">
        <f>IF(AND(84&gt;=$B$7,84&lt;=$D$7),1,0)</f>
        <v/>
      </c>
      <c r="CJ32" s="17">
        <f>IF(AND(85&gt;=$B$7,85&lt;=$D$7),1,0)</f>
        <v/>
      </c>
      <c r="CK32" s="17">
        <f>IF(AND(86&gt;=$B$7,86&lt;=$D$7),1,0)</f>
        <v/>
      </c>
      <c r="CL32" s="17">
        <f>IF(AND(87&gt;=$B$7,87&lt;=$D$7),1,0)</f>
        <v/>
      </c>
      <c r="CM32" s="17">
        <f>IF(AND(88&gt;=$B$7,88&lt;=$D$7),1,0)</f>
        <v/>
      </c>
      <c r="CN32" s="17">
        <f>IF(AND(89&gt;=$B$7,89&lt;=$D$7),1,0)</f>
        <v/>
      </c>
      <c r="CO32" s="17">
        <f>IF(AND(90&gt;=$B$7,90&lt;=$D$7),1,0)</f>
        <v/>
      </c>
      <c r="CP32" s="17">
        <f>IF(AND(91&gt;=$B$7,91&lt;=$D$7),1,0)</f>
        <v/>
      </c>
      <c r="CQ32" s="17">
        <f>IF(AND(92&gt;=$B$7,92&lt;=$D$7),1,0)</f>
        <v/>
      </c>
      <c r="CR32" s="17">
        <f>IF(AND(93&gt;=$B$7,93&lt;=$D$7),1,0)</f>
        <v/>
      </c>
      <c r="CS32" s="17">
        <f>IF(AND(94&gt;=$B$7,94&lt;=$D$7),1,0)</f>
        <v/>
      </c>
      <c r="CT32" s="17">
        <f>IF(AND(95&gt;=$B$7,95&lt;=$D$7),1,0)</f>
        <v/>
      </c>
      <c r="CU32" s="17">
        <f>IF(AND(96&gt;=$B$7,96&lt;=$D$7),1,0)</f>
        <v/>
      </c>
      <c r="CV32" s="17">
        <f>IF(AND(97&gt;=$B$7,97&lt;=$D$7),1,0)</f>
        <v/>
      </c>
      <c r="CW32" s="17">
        <f>IF(AND(98&gt;=$B$7,98&lt;=$D$7),1,0)</f>
        <v/>
      </c>
      <c r="CX32" s="17">
        <f>IF(AND(99&gt;=$B$7,99&lt;=$D$7),1,0)</f>
        <v/>
      </c>
      <c r="CY32" s="17">
        <f>IF(AND(100&gt;=$B$7,100&lt;=$D$7),1,0)</f>
        <v/>
      </c>
      <c r="CZ32" s="17">
        <f>IF(AND(101&gt;=$B$7,101&lt;=$D$7),1,0)</f>
        <v/>
      </c>
      <c r="DA32" s="17">
        <f>IF(AND(102&gt;=$B$7,102&lt;=$D$7),1,0)</f>
        <v/>
      </c>
      <c r="DB32" s="17">
        <f>IF(AND(103&gt;=$B$7,103&lt;=$D$7),1,0)</f>
        <v/>
      </c>
      <c r="DC32" s="17">
        <f>IF(AND(104&gt;=$B$7,104&lt;=$D$7),1,0)</f>
        <v/>
      </c>
      <c r="DD32" s="17">
        <f>IF(AND(105&gt;=$B$7,105&lt;=$D$7),1,0)</f>
        <v/>
      </c>
      <c r="DE32" s="17">
        <f>IF(AND(106&gt;=$B$7,106&lt;=$D$7),1,0)</f>
        <v/>
      </c>
      <c r="DF32" s="17">
        <f>IF(AND(107&gt;=$B$7,107&lt;=$D$7),1,0)</f>
        <v/>
      </c>
      <c r="DG32" s="17">
        <f>IF(AND(108&gt;=$B$7,108&lt;=$D$7),1,0)</f>
        <v/>
      </c>
      <c r="DH32" s="17">
        <f>IF(AND(109&gt;=$B$7,109&lt;=$D$7),1,0)</f>
        <v/>
      </c>
      <c r="DI32" s="17">
        <f>IF(AND(110&gt;=$B$7,110&lt;=$D$7),1,0)</f>
        <v/>
      </c>
      <c r="DJ32" s="17">
        <f>IF(AND(111&gt;=$B$7,111&lt;=$D$7),1,0)</f>
        <v/>
      </c>
      <c r="DK32" s="17">
        <f>IF(AND(112&gt;=$B$7,112&lt;=$D$7),1,0)</f>
        <v/>
      </c>
      <c r="DL32" s="17">
        <f>IF(AND(113&gt;=$B$7,113&lt;=$D$7),1,0)</f>
        <v/>
      </c>
      <c r="DM32" s="17">
        <f>IF(AND(114&gt;=$B$7,114&lt;=$D$7),1,0)</f>
        <v/>
      </c>
      <c r="DN32" s="17">
        <f>IF(AND(115&gt;=$B$7,115&lt;=$D$7),1,0)</f>
        <v/>
      </c>
      <c r="DO32" s="17">
        <f>IF(AND(116&gt;=$B$7,116&lt;=$D$7),1,0)</f>
        <v/>
      </c>
      <c r="DP32" s="17">
        <f>IF(AND(117&gt;=$B$7,117&lt;=$D$7),1,0)</f>
        <v/>
      </c>
      <c r="DQ32" s="17">
        <f>IF(AND(118&gt;=$B$7,118&lt;=$D$7),1,0)</f>
        <v/>
      </c>
      <c r="DR32" s="17">
        <f>IF(AND(119&gt;=$B$7,119&lt;=$D$7),1,0)</f>
        <v/>
      </c>
      <c r="DS32" s="17">
        <f>IF(AND(120&gt;=$B$7,120&lt;=$D$7),1,0)</f>
        <v/>
      </c>
      <c r="DT32" s="17">
        <f>IF(AND(121&gt;=$B$7,121&lt;=$D$7),1,0)</f>
        <v/>
      </c>
      <c r="DU32" s="17">
        <f>IF(AND(122&gt;=$B$7,122&lt;=$D$7),1,0)</f>
        <v/>
      </c>
      <c r="DV32" s="17">
        <f>IF(AND(123&gt;=$B$7,123&lt;=$D$7),1,0)</f>
        <v/>
      </c>
      <c r="DW32" s="17">
        <f>IF(AND(124&gt;=$B$7,124&lt;=$D$7),1,0)</f>
        <v/>
      </c>
      <c r="DX32" s="17">
        <f>IF(AND(125&gt;=$B$7,125&lt;=$D$7),1,0)</f>
        <v/>
      </c>
      <c r="DY32" s="17">
        <f>IF(AND(126&gt;=$B$7,126&lt;=$D$7),1,0)</f>
        <v/>
      </c>
      <c r="DZ32" s="17">
        <f>IF(AND(127&gt;=$B$7,127&lt;=$D$7),1,0)</f>
        <v/>
      </c>
      <c r="EA32" s="17">
        <f>IF(AND(128&gt;=$B$7,128&lt;=$D$7),1,0)</f>
        <v/>
      </c>
      <c r="EB32" s="17">
        <f>IF(AND(129&gt;=$B$7,129&lt;=$D$7),1,0)</f>
        <v/>
      </c>
      <c r="EC32" s="17">
        <f>IF(AND(130&gt;=$B$7,130&lt;=$D$7),1,0)</f>
        <v/>
      </c>
      <c r="ED32" s="17">
        <f>IF(AND(131&gt;=$B$7,131&lt;=$D$7),1,0)</f>
        <v/>
      </c>
      <c r="EE32" s="17">
        <f>IF(AND(132&gt;=$B$7,132&lt;=$D$7),1,0)</f>
        <v/>
      </c>
      <c r="EF32" s="17">
        <f>IF(AND(133&gt;=$B$7,133&lt;=$D$7),1,0)</f>
        <v/>
      </c>
      <c r="EG32" s="17">
        <f>IF(AND(134&gt;=$B$7,134&lt;=$D$7),1,0)</f>
        <v/>
      </c>
      <c r="EH32" s="17">
        <f>IF(AND(135&gt;=$B$7,135&lt;=$D$7),1,0)</f>
        <v/>
      </c>
      <c r="EI32" s="17">
        <f>IF(AND(136&gt;=$B$7,136&lt;=$D$7),1,0)</f>
        <v/>
      </c>
      <c r="EJ32" s="17">
        <f>IF(AND(137&gt;=$B$7,137&lt;=$D$7),1,0)</f>
        <v/>
      </c>
      <c r="EK32" s="17">
        <f>IF(AND(138&gt;=$B$7,138&lt;=$D$7),1,0)</f>
        <v/>
      </c>
      <c r="EL32" s="17">
        <f>IF(AND(139&gt;=$B$7,139&lt;=$D$7),1,0)</f>
        <v/>
      </c>
      <c r="EM32" s="17">
        <f>IF(AND(140&gt;=$B$7,140&lt;=$D$7),1,0)</f>
        <v/>
      </c>
      <c r="EN32" s="17">
        <f>IF(AND(141&gt;=$B$7,141&lt;=$D$7),1,0)</f>
        <v/>
      </c>
      <c r="EO32" s="17">
        <f>IF(AND(142&gt;=$B$7,142&lt;=$D$7),1,0)</f>
        <v/>
      </c>
      <c r="EP32" s="17">
        <f>IF(AND(143&gt;=$B$7,143&lt;=$D$7),1,0)</f>
        <v/>
      </c>
      <c r="EQ32" s="17">
        <f>IF(AND(144&gt;=$B$7,144&lt;=$D$7),1,0)</f>
        <v/>
      </c>
      <c r="ER32" s="17">
        <f>IF(AND(145&gt;=$B$7,145&lt;=$D$7),1,0)</f>
        <v/>
      </c>
      <c r="ES32" s="17">
        <f>IF(AND(146&gt;=$B$7,146&lt;=$D$7),1,0)</f>
        <v/>
      </c>
      <c r="ET32" s="17">
        <f>IF(AND(147&gt;=$B$7,147&lt;=$D$7),1,0)</f>
        <v/>
      </c>
      <c r="EU32" s="17">
        <f>IF(AND(148&gt;=$B$7,148&lt;=$D$7),1,0)</f>
        <v/>
      </c>
      <c r="EV32" s="17">
        <f>IF(AND(149&gt;=$B$7,149&lt;=$D$7),1,0)</f>
        <v/>
      </c>
      <c r="EW32" s="17">
        <f>IF(AND(150&gt;=$B$7,150&lt;=$D$7),1,0)</f>
        <v/>
      </c>
      <c r="EX32" s="17">
        <f>IF(AND(151&gt;=$B$7,151&lt;=$D$7),1,0)</f>
        <v/>
      </c>
      <c r="EY32" s="17">
        <f>IF(AND(152&gt;=$B$7,152&lt;=$D$7),1,0)</f>
        <v/>
      </c>
      <c r="EZ32" s="17">
        <f>IF(AND(153&gt;=$B$7,153&lt;=$D$7),1,0)</f>
        <v/>
      </c>
      <c r="FA32" s="17">
        <f>IF(AND(154&gt;=$B$7,154&lt;=$D$7),1,0)</f>
        <v/>
      </c>
      <c r="FB32" s="17">
        <f>IF(AND(155&gt;=$B$7,155&lt;=$D$7),1,0)</f>
        <v/>
      </c>
      <c r="FC32" s="17">
        <f>IF(AND(156&gt;=$B$7,156&lt;=$D$7),1,0)</f>
        <v/>
      </c>
      <c r="FD32" s="17">
        <f>IF(AND(157&gt;=$B$7,157&lt;=$D$7),1,0)</f>
        <v/>
      </c>
      <c r="FE32" s="17">
        <f>IF(AND(158&gt;=$B$7,158&lt;=$D$7),1,0)</f>
        <v/>
      </c>
      <c r="FF32" s="17">
        <f>IF(AND(159&gt;=$B$7,159&lt;=$D$7),1,0)</f>
        <v/>
      </c>
      <c r="FG32" s="17">
        <f>IF(AND(160&gt;=$B$7,160&lt;=$D$7),1,0)</f>
        <v/>
      </c>
      <c r="FH32" s="17">
        <f>IF(AND(161&gt;=$B$7,161&lt;=$D$7),1,0)</f>
        <v/>
      </c>
      <c r="FI32" s="17">
        <f>IF(AND(162&gt;=$B$7,162&lt;=$D$7),1,0)</f>
        <v/>
      </c>
      <c r="FJ32" s="17">
        <f>IF(AND(163&gt;=$B$7,163&lt;=$D$7),1,0)</f>
        <v/>
      </c>
      <c r="FK32" s="17">
        <f>IF(AND(164&gt;=$B$7,164&lt;=$D$7),1,0)</f>
        <v/>
      </c>
      <c r="FL32" s="17">
        <f>IF(AND(165&gt;=$B$7,165&lt;=$D$7),1,0)</f>
        <v/>
      </c>
      <c r="FM32" s="17">
        <f>IF(AND(166&gt;=$B$7,166&lt;=$D$7),1,0)</f>
        <v/>
      </c>
      <c r="FN32" s="17">
        <f>IF(AND(167&gt;=$B$7,167&lt;=$D$7),1,0)</f>
        <v/>
      </c>
      <c r="FO32" s="17">
        <f>IF(AND(168&gt;=$B$7,168&lt;=$D$7),1,0)</f>
        <v/>
      </c>
      <c r="FP32" s="17">
        <f>IF(AND(169&gt;=$B$7,169&lt;=$D$7),1,0)</f>
        <v/>
      </c>
      <c r="FQ32" s="17">
        <f>IF(AND(170&gt;=$B$7,170&lt;=$D$7),1,0)</f>
        <v/>
      </c>
      <c r="FR32" s="17">
        <f>IF(AND(171&gt;=$B$7,171&lt;=$D$7),1,0)</f>
        <v/>
      </c>
      <c r="FS32" s="17">
        <f>IF(AND(172&gt;=$B$7,172&lt;=$D$7),1,0)</f>
        <v/>
      </c>
      <c r="FT32" s="17">
        <f>IF(AND(173&gt;=$B$7,173&lt;=$D$7),1,0)</f>
        <v/>
      </c>
      <c r="FU32" s="17">
        <f>IF(AND(174&gt;=$B$7,174&lt;=$D$7),1,0)</f>
        <v/>
      </c>
      <c r="FV32" s="17">
        <f>IF(AND(175&gt;=$B$7,175&lt;=$D$7),1,0)</f>
        <v/>
      </c>
      <c r="FW32" s="17">
        <f>IF(AND(176&gt;=$B$7,176&lt;=$D$7),1,0)</f>
        <v/>
      </c>
      <c r="FX32" s="17">
        <f>IF(AND(177&gt;=$B$7,177&lt;=$D$7),1,0)</f>
        <v/>
      </c>
      <c r="FY32" s="17">
        <f>IF(AND(178&gt;=$B$7,178&lt;=$D$7),1,0)</f>
        <v/>
      </c>
      <c r="FZ32" s="17">
        <f>IF(AND(179&gt;=$B$7,179&lt;=$D$7),1,0)</f>
        <v/>
      </c>
      <c r="GA32" s="17">
        <f>IF(AND(180&gt;=$B$7,180&lt;=$D$7),1,0)</f>
        <v/>
      </c>
      <c r="GB32" s="17">
        <f>IF(AND(181&gt;=$B$7,181&lt;=$D$7),1,0)</f>
        <v/>
      </c>
      <c r="GC32" s="17">
        <f>IF(AND(182&gt;=$B$7,182&lt;=$D$7),1,0)</f>
        <v/>
      </c>
      <c r="GD32" s="17">
        <f>IF(AND(183&gt;=$B$7,183&lt;=$D$7),1,0)</f>
        <v/>
      </c>
      <c r="GE32" s="17">
        <f>IF(AND(184&gt;=$B$7,184&lt;=$D$7),1,0)</f>
        <v/>
      </c>
      <c r="GF32" s="17">
        <f>IF(AND(185&gt;=$B$7,185&lt;=$D$7),1,0)</f>
        <v/>
      </c>
      <c r="GG32" s="17">
        <f>IF(AND(186&gt;=$B$7,186&lt;=$D$7),1,0)</f>
        <v/>
      </c>
      <c r="GH32" s="17">
        <f>IF(AND(187&gt;=$B$7,187&lt;=$D$7),1,0)</f>
        <v/>
      </c>
      <c r="GI32" s="17">
        <f>IF(AND(188&gt;=$B$7,188&lt;=$D$7),1,0)</f>
        <v/>
      </c>
      <c r="GJ32" s="17">
        <f>IF(AND(189&gt;=$B$7,189&lt;=$D$7),1,0)</f>
        <v/>
      </c>
      <c r="GK32" s="17">
        <f>IF(AND(190&gt;=$B$7,190&lt;=$D$7),1,0)</f>
        <v/>
      </c>
      <c r="GL32" s="17">
        <f>IF(AND(191&gt;=$B$7,191&lt;=$D$7),1,0)</f>
        <v/>
      </c>
      <c r="GM32" s="17">
        <f>IF(AND(192&gt;=$B$7,192&lt;=$D$7),1,0)</f>
        <v/>
      </c>
      <c r="GN32" s="17">
        <f>IF(AND(193&gt;=$B$7,193&lt;=$D$7),1,0)</f>
        <v/>
      </c>
      <c r="GO32" s="17">
        <f>IF(AND(194&gt;=$B$7,194&lt;=$D$7),1,0)</f>
        <v/>
      </c>
      <c r="GP32" s="17">
        <f>IF(AND(195&gt;=$B$7,195&lt;=$D$7),1,0)</f>
        <v/>
      </c>
      <c r="GQ32" s="17">
        <f>IF(AND(196&gt;=$B$7,196&lt;=$D$7),1,0)</f>
        <v/>
      </c>
      <c r="GR32" s="17">
        <f>IF(AND(197&gt;=$B$7,197&lt;=$D$7),1,0)</f>
        <v/>
      </c>
      <c r="GS32" s="17">
        <f>IF(AND(198&gt;=$B$7,198&lt;=$D$7),1,0)</f>
        <v/>
      </c>
      <c r="GT32" s="17">
        <f>IF(AND(199&gt;=$B$7,199&lt;=$D$7),1,0)</f>
        <v/>
      </c>
      <c r="GU32" s="17">
        <f>IF(AND(200&gt;=$B$7,200&lt;=$D$7),1,0)</f>
        <v/>
      </c>
      <c r="GV32" s="17">
        <f>IF(AND(201&gt;=$B$7,201&lt;=$D$7),1,0)</f>
        <v/>
      </c>
      <c r="GW32" s="17">
        <f>IF(AND(202&gt;=$B$7,202&lt;=$D$7),1,0)</f>
        <v/>
      </c>
      <c r="GX32" s="17">
        <f>IF(AND(203&gt;=$B$7,203&lt;=$D$7),1,0)</f>
        <v/>
      </c>
      <c r="GY32" s="17">
        <f>IF(AND(204&gt;=$B$7,204&lt;=$D$7),1,0)</f>
        <v/>
      </c>
      <c r="GZ32" s="17">
        <f>IF(AND(205&gt;=$B$7,205&lt;=$D$7),1,0)</f>
        <v/>
      </c>
      <c r="HA32" s="17">
        <f>IF(AND(206&gt;=$B$7,206&lt;=$D$7),1,0)</f>
        <v/>
      </c>
      <c r="HB32" s="17">
        <f>IF(AND(207&gt;=$B$7,207&lt;=$D$7),1,0)</f>
        <v/>
      </c>
      <c r="HC32" s="17">
        <f>IF(AND(208&gt;=$B$7,208&lt;=$D$7),1,0)</f>
        <v/>
      </c>
      <c r="HD32" s="17">
        <f>IF(AND(209&gt;=$B$7,209&lt;=$D$7),1,0)</f>
        <v/>
      </c>
      <c r="HE32" s="17">
        <f>IF(AND(210&gt;=$B$7,210&lt;=$D$7),1,0)</f>
        <v/>
      </c>
      <c r="HF32" s="17">
        <f>IF(AND(211&gt;=$B$7,211&lt;=$D$7),1,0)</f>
        <v/>
      </c>
      <c r="HG32" s="17">
        <f>IF(AND(212&gt;=$B$7,212&lt;=$D$7),1,0)</f>
        <v/>
      </c>
      <c r="HH32" s="17">
        <f>IF(AND(213&gt;=$B$7,213&lt;=$D$7),1,0)</f>
        <v/>
      </c>
      <c r="HI32" s="17">
        <f>IF(AND(214&gt;=$B$7,214&lt;=$D$7),1,0)</f>
        <v/>
      </c>
      <c r="HJ32" s="17">
        <f>IF(AND(215&gt;=$B$7,215&lt;=$D$7),1,0)</f>
        <v/>
      </c>
      <c r="HK32" s="17">
        <f>IF(AND(216&gt;=$B$7,216&lt;=$D$7),1,0)</f>
        <v/>
      </c>
      <c r="HL32" s="17">
        <f>IF(AND(217&gt;=$B$7,217&lt;=$D$7),1,0)</f>
        <v/>
      </c>
      <c r="HM32" s="17">
        <f>IF(AND(218&gt;=$B$7,218&lt;=$D$7),1,0)</f>
        <v/>
      </c>
      <c r="HN32" s="17">
        <f>IF(AND(219&gt;=$B$7,219&lt;=$D$7),1,0)</f>
        <v/>
      </c>
      <c r="HO32" s="17">
        <f>IF(AND(220&gt;=$B$7,220&lt;=$D$7),1,0)</f>
        <v/>
      </c>
      <c r="HP32" s="17">
        <f>IF(AND(221&gt;=$B$7,221&lt;=$D$7),1,0)</f>
        <v/>
      </c>
      <c r="HQ32" s="17">
        <f>IF(AND(222&gt;=$B$7,222&lt;=$D$7),1,0)</f>
        <v/>
      </c>
      <c r="HR32" s="17">
        <f>IF(AND(223&gt;=$B$7,223&lt;=$D$7),1,0)</f>
        <v/>
      </c>
      <c r="HS32" s="17">
        <f>IF(AND(224&gt;=$B$7,224&lt;=$D$7),1,0)</f>
        <v/>
      </c>
      <c r="HT32" s="17">
        <f>IF(AND(225&gt;=$B$7,225&lt;=$D$7),1,0)</f>
        <v/>
      </c>
      <c r="HU32" s="17">
        <f>IF(AND(226&gt;=$B$7,226&lt;=$D$7),1,0)</f>
        <v/>
      </c>
      <c r="HV32" s="17">
        <f>IF(AND(227&gt;=$B$7,227&lt;=$D$7),1,0)</f>
        <v/>
      </c>
      <c r="HW32" s="17">
        <f>IF(AND(228&gt;=$B$7,228&lt;=$D$7),1,0)</f>
        <v/>
      </c>
      <c r="HX32" s="17">
        <f>IF(AND(229&gt;=$B$7,229&lt;=$D$7),1,0)</f>
        <v/>
      </c>
      <c r="HY32" s="17">
        <f>IF(AND(230&gt;=$B$7,230&lt;=$D$7),1,0)</f>
        <v/>
      </c>
      <c r="HZ32" s="17">
        <f>IF(AND(231&gt;=$B$7,231&lt;=$D$7),1,0)</f>
        <v/>
      </c>
      <c r="IA32" s="17">
        <f>IF(AND(232&gt;=$B$7,232&lt;=$D$7),1,0)</f>
        <v/>
      </c>
      <c r="IB32" s="17">
        <f>IF(AND(233&gt;=$B$7,233&lt;=$D$7),1,0)</f>
        <v/>
      </c>
      <c r="IC32" s="17">
        <f>IF(AND(234&gt;=$B$7,234&lt;=$D$7),1,0)</f>
        <v/>
      </c>
      <c r="ID32" s="17">
        <f>IF(AND(235&gt;=$B$7,235&lt;=$D$7),1,0)</f>
        <v/>
      </c>
      <c r="IE32" s="17">
        <f>IF(AND(236&gt;=$B$7,236&lt;=$D$7),1,0)</f>
        <v/>
      </c>
      <c r="IF32" s="17">
        <f>IF(AND(237&gt;=$B$7,237&lt;=$D$7),1,0)</f>
        <v/>
      </c>
      <c r="IG32" s="17">
        <f>IF(AND(238&gt;=$B$7,238&lt;=$D$7),1,0)</f>
        <v/>
      </c>
      <c r="IH32" s="17">
        <f>IF(AND(239&gt;=$B$7,239&lt;=$D$7),1,0)</f>
        <v/>
      </c>
      <c r="II32" s="17">
        <f>IF(AND(240&gt;=$B$7,240&lt;=$D$7),1,0)</f>
        <v/>
      </c>
      <c r="IJ32" s="17">
        <f>IF(AND(241&gt;=$B$7,241&lt;=$D$7),1,0)</f>
        <v/>
      </c>
      <c r="IK32" s="17">
        <f>IF(AND(242&gt;=$B$7,242&lt;=$D$7),1,0)</f>
        <v/>
      </c>
      <c r="IL32" s="17">
        <f>IF(AND(243&gt;=$B$7,243&lt;=$D$7),1,0)</f>
        <v/>
      </c>
      <c r="IM32" s="17">
        <f>IF(AND(244&gt;=$B$7,244&lt;=$D$7),1,0)</f>
        <v/>
      </c>
      <c r="IN32" s="17">
        <f>IF(AND(245&gt;=$B$7,245&lt;=$D$7),1,0)</f>
        <v/>
      </c>
      <c r="IO32" s="17">
        <f>IF(AND(246&gt;=$B$7,246&lt;=$D$7),1,0)</f>
        <v/>
      </c>
      <c r="IP32" s="17">
        <f>IF(AND(247&gt;=$B$7,247&lt;=$D$7),1,0)</f>
        <v/>
      </c>
      <c r="IQ32" s="17">
        <f>IF(AND(248&gt;=$B$7,248&lt;=$D$7),1,0)</f>
        <v/>
      </c>
      <c r="IR32" s="17">
        <f>IF(AND(249&gt;=$B$7,249&lt;=$D$7),1,0)</f>
        <v/>
      </c>
      <c r="IS32" s="17">
        <f>IF(AND(250&gt;=$B$7,250&lt;=$D$7),1,0)</f>
        <v/>
      </c>
      <c r="IT32" s="17">
        <f>IF(AND(251&gt;=$B$7,251&lt;=$D$7),1,0)</f>
        <v/>
      </c>
      <c r="IU32" s="17">
        <f>IF(AND(252&gt;=$B$7,252&lt;=$D$7),1,0)</f>
        <v/>
      </c>
      <c r="IV32" s="17">
        <f>IF(AND(253&gt;=$B$7,253&lt;=$D$7),1,0)</f>
        <v/>
      </c>
      <c r="IW32" s="17">
        <f>IF(AND(254&gt;=$B$7,254&lt;=$D$7),1,0)</f>
        <v/>
      </c>
      <c r="IX32" s="17">
        <f>IF(AND(255&gt;=$B$7,255&lt;=$D$7),1,0)</f>
        <v/>
      </c>
      <c r="IY32" s="17">
        <f>IF(AND(256&gt;=$B$7,256&lt;=$D$7),1,0)</f>
        <v/>
      </c>
      <c r="IZ32" s="17">
        <f>IF(AND(257&gt;=$B$7,257&lt;=$D$7),1,0)</f>
        <v/>
      </c>
      <c r="JA32" s="17">
        <f>IF(AND(258&gt;=$B$7,258&lt;=$D$7),1,0)</f>
        <v/>
      </c>
      <c r="JB32" s="17">
        <f>IF(AND(259&gt;=$B$7,259&lt;=$D$7),1,0)</f>
        <v/>
      </c>
      <c r="JC32" s="17">
        <f>IF(AND(260&gt;=$B$7,260&lt;=$D$7),1,0)</f>
        <v/>
      </c>
      <c r="JD32" s="17">
        <f>IF(AND(261&gt;=$B$7,261&lt;=$D$7),1,0)</f>
        <v/>
      </c>
      <c r="JE32" s="17">
        <f>IF(AND(262&gt;=$B$7,262&lt;=$D$7),1,0)</f>
        <v/>
      </c>
      <c r="JF32" s="17">
        <f>IF(AND(263&gt;=$B$7,263&lt;=$D$7),1,0)</f>
        <v/>
      </c>
      <c r="JG32" s="17">
        <f>IF(AND(264&gt;=$B$7,264&lt;=$D$7),1,0)</f>
        <v/>
      </c>
      <c r="JH32" s="17">
        <f>IF(AND(265&gt;=$B$7,265&lt;=$D$7),1,0)</f>
        <v/>
      </c>
      <c r="JI32" s="17">
        <f>IF(AND(266&gt;=$B$7,266&lt;=$D$7),1,0)</f>
        <v/>
      </c>
      <c r="JJ32" s="17">
        <f>IF(AND(267&gt;=$B$7,267&lt;=$D$7),1,0)</f>
        <v/>
      </c>
      <c r="JK32" s="17">
        <f>IF(AND(268&gt;=$B$7,268&lt;=$D$7),1,0)</f>
        <v/>
      </c>
      <c r="JL32" s="17">
        <f>IF(AND(269&gt;=$B$7,269&lt;=$D$7),1,0)</f>
        <v/>
      </c>
      <c r="JM32" s="17">
        <f>IF(AND(270&gt;=$B$7,270&lt;=$D$7),1,0)</f>
        <v/>
      </c>
      <c r="JN32" s="17">
        <f>IF(AND(271&gt;=$B$7,271&lt;=$D$7),1,0)</f>
        <v/>
      </c>
      <c r="JO32" s="17">
        <f>IF(AND(272&gt;=$B$7,272&lt;=$D$7),1,0)</f>
        <v/>
      </c>
      <c r="JP32" s="17">
        <f>IF(AND(273&gt;=$B$7,273&lt;=$D$7),1,0)</f>
        <v/>
      </c>
      <c r="JQ32" s="17">
        <f>IF(AND(274&gt;=$B$7,274&lt;=$D$7),1,0)</f>
        <v/>
      </c>
      <c r="JR32" s="17">
        <f>IF(AND(275&gt;=$B$7,275&lt;=$D$7),1,0)</f>
        <v/>
      </c>
      <c r="JS32" s="17">
        <f>IF(AND(276&gt;=$B$7,276&lt;=$D$7),1,0)</f>
        <v/>
      </c>
      <c r="JT32" s="17">
        <f>IF(AND(277&gt;=$B$7,277&lt;=$D$7),1,0)</f>
        <v/>
      </c>
      <c r="JU32" s="17">
        <f>IF(AND(278&gt;=$B$7,278&lt;=$D$7),1,0)</f>
        <v/>
      </c>
      <c r="JV32" s="17">
        <f>IF(AND(279&gt;=$B$7,279&lt;=$D$7),1,0)</f>
        <v/>
      </c>
      <c r="JW32" s="17">
        <f>IF(AND(280&gt;=$B$7,280&lt;=$D$7),1,0)</f>
        <v/>
      </c>
      <c r="JX32" s="17">
        <f>IF(AND(281&gt;=$B$7,281&lt;=$D$7),1,0)</f>
        <v/>
      </c>
      <c r="JY32" s="17">
        <f>IF(AND(282&gt;=$B$7,282&lt;=$D$7),1,0)</f>
        <v/>
      </c>
      <c r="JZ32" s="17">
        <f>IF(AND(283&gt;=$B$7,283&lt;=$D$7),1,0)</f>
        <v/>
      </c>
      <c r="KA32" s="17">
        <f>IF(AND(284&gt;=$B$7,284&lt;=$D$7),1,0)</f>
        <v/>
      </c>
      <c r="KB32" s="17">
        <f>IF(AND(285&gt;=$B$7,285&lt;=$D$7),1,0)</f>
        <v/>
      </c>
      <c r="KC32" s="17">
        <f>IF(AND(286&gt;=$B$7,286&lt;=$D$7),1,0)</f>
        <v/>
      </c>
      <c r="KD32" s="17">
        <f>IF(AND(287&gt;=$B$7,287&lt;=$D$7),1,0)</f>
        <v/>
      </c>
      <c r="KE32" s="17">
        <f>IF(AND(288&gt;=$B$7,288&lt;=$D$7),1,0)</f>
        <v/>
      </c>
      <c r="KF32" s="17">
        <f>IF(AND(289&gt;=$B$7,289&lt;=$D$7),1,0)</f>
        <v/>
      </c>
      <c r="KG32" s="17">
        <f>IF(AND(290&gt;=$B$7,290&lt;=$D$7),1,0)</f>
        <v/>
      </c>
      <c r="KH32" s="17">
        <f>IF(AND(291&gt;=$B$7,291&lt;=$D$7),1,0)</f>
        <v/>
      </c>
      <c r="KI32" s="17">
        <f>IF(AND(292&gt;=$B$7,292&lt;=$D$7),1,0)</f>
        <v/>
      </c>
      <c r="KJ32" s="17">
        <f>IF(AND(293&gt;=$B$7,293&lt;=$D$7),1,0)</f>
        <v/>
      </c>
      <c r="KK32" s="17">
        <f>IF(AND(294&gt;=$B$7,294&lt;=$D$7),1,0)</f>
        <v/>
      </c>
      <c r="KL32" s="17">
        <f>IF(AND(295&gt;=$B$7,295&lt;=$D$7),1,0)</f>
        <v/>
      </c>
      <c r="KM32" s="17">
        <f>IF(AND(296&gt;=$B$7,296&lt;=$D$7),1,0)</f>
        <v/>
      </c>
      <c r="KN32" s="17">
        <f>IF(AND(297&gt;=$B$7,297&lt;=$D$7),1,0)</f>
        <v/>
      </c>
      <c r="KO32" s="17">
        <f>IF(AND(298&gt;=$B$7,298&lt;=$D$7),1,0)</f>
        <v/>
      </c>
      <c r="KP32" s="17">
        <f>IF(AND(299&gt;=$B$7,299&lt;=$D$7),1,0)</f>
        <v/>
      </c>
      <c r="KQ32" s="17">
        <f>IF(AND(300&gt;=$B$7,300&lt;=$D$7),1,0)</f>
        <v/>
      </c>
      <c r="KR32" s="17">
        <f>IF(AND(301&gt;=$B$7,301&lt;=$D$7),1,0)</f>
        <v/>
      </c>
      <c r="KS32" s="17">
        <f>IF(AND(302&gt;=$B$7,302&lt;=$D$7),1,0)</f>
        <v/>
      </c>
      <c r="KT32" s="17">
        <f>IF(AND(303&gt;=$B$7,303&lt;=$D$7),1,0)</f>
        <v/>
      </c>
      <c r="KU32" s="17">
        <f>IF(AND(304&gt;=$B$7,304&lt;=$D$7),1,0)</f>
        <v/>
      </c>
      <c r="KV32" s="17">
        <f>IF(AND(305&gt;=$B$7,305&lt;=$D$7),1,0)</f>
        <v/>
      </c>
      <c r="KW32" s="17">
        <f>IF(AND(306&gt;=$B$7,306&lt;=$D$7),1,0)</f>
        <v/>
      </c>
      <c r="KX32" s="17">
        <f>IF(AND(307&gt;=$B$7,307&lt;=$D$7),1,0)</f>
        <v/>
      </c>
      <c r="KY32" s="17">
        <f>IF(AND(308&gt;=$B$7,308&lt;=$D$7),1,0)</f>
        <v/>
      </c>
      <c r="KZ32" s="17">
        <f>IF(AND(309&gt;=$B$7,309&lt;=$D$7),1,0)</f>
        <v/>
      </c>
      <c r="LA32" s="17">
        <f>IF(AND(310&gt;=$B$7,310&lt;=$D$7),1,0)</f>
        <v/>
      </c>
      <c r="LB32" s="17">
        <f>IF(AND(311&gt;=$B$7,311&lt;=$D$7),1,0)</f>
        <v/>
      </c>
      <c r="LC32" s="17">
        <f>IF(AND(312&gt;=$B$7,312&lt;=$D$7),1,0)</f>
        <v/>
      </c>
      <c r="LD32" s="17">
        <f>IF(AND(313&gt;=$B$7,313&lt;=$D$7),1,0)</f>
        <v/>
      </c>
      <c r="LE32" s="17">
        <f>IF(AND(314&gt;=$B$7,314&lt;=$D$7),1,0)</f>
        <v/>
      </c>
      <c r="LF32" s="17">
        <f>IF(AND(315&gt;=$B$7,315&lt;=$D$7),1,0)</f>
        <v/>
      </c>
      <c r="LG32" s="17">
        <f>IF(AND(316&gt;=$B$7,316&lt;=$D$7),1,0)</f>
        <v/>
      </c>
      <c r="LH32" s="17">
        <f>IF(AND(317&gt;=$B$7,317&lt;=$D$7),1,0)</f>
        <v/>
      </c>
      <c r="LI32" s="17">
        <f>IF(AND(318&gt;=$B$7,318&lt;=$D$7),1,0)</f>
        <v/>
      </c>
      <c r="LJ32" s="17">
        <f>IF(AND(319&gt;=$B$7,319&lt;=$D$7),1,0)</f>
        <v/>
      </c>
      <c r="LK32" s="17">
        <f>IF(AND(320&gt;=$B$7,320&lt;=$D$7),1,0)</f>
        <v/>
      </c>
      <c r="LL32" s="17">
        <f>IF(AND(321&gt;=$B$7,321&lt;=$D$7),1,0)</f>
        <v/>
      </c>
      <c r="LM32" s="17">
        <f>IF(AND(322&gt;=$B$7,322&lt;=$D$7),1,0)</f>
        <v/>
      </c>
      <c r="LN32" s="17">
        <f>IF(AND(323&gt;=$B$7,323&lt;=$D$7),1,0)</f>
        <v/>
      </c>
      <c r="LO32" s="17">
        <f>IF(AND(324&gt;=$B$7,324&lt;=$D$7),1,0)</f>
        <v/>
      </c>
      <c r="LP32" s="17">
        <f>IF(AND(325&gt;=$B$7,325&lt;=$D$7),1,0)</f>
        <v/>
      </c>
      <c r="LQ32" s="17">
        <f>IF(AND(326&gt;=$B$7,326&lt;=$D$7),1,0)</f>
        <v/>
      </c>
      <c r="LR32" s="17">
        <f>IF(AND(327&gt;=$B$7,327&lt;=$D$7),1,0)</f>
        <v/>
      </c>
      <c r="LS32" s="17">
        <f>IF(AND(328&gt;=$B$7,328&lt;=$D$7),1,0)</f>
        <v/>
      </c>
      <c r="LT32" s="17">
        <f>IF(AND(329&gt;=$B$7,329&lt;=$D$7),1,0)</f>
        <v/>
      </c>
      <c r="LU32" s="17">
        <f>IF(AND(330&gt;=$B$7,330&lt;=$D$7),1,0)</f>
        <v/>
      </c>
      <c r="LV32" s="17">
        <f>IF(AND(331&gt;=$B$7,331&lt;=$D$7),1,0)</f>
        <v/>
      </c>
      <c r="LW32" s="17">
        <f>IF(AND(332&gt;=$B$7,332&lt;=$D$7),1,0)</f>
        <v/>
      </c>
      <c r="LX32" s="17">
        <f>IF(AND(333&gt;=$B$7,333&lt;=$D$7),1,0)</f>
        <v/>
      </c>
      <c r="LY32" s="17">
        <f>IF(AND(334&gt;=$B$7,334&lt;=$D$7),1,0)</f>
        <v/>
      </c>
      <c r="LZ32" s="17">
        <f>IF(AND(335&gt;=$B$7,335&lt;=$D$7),1,0)</f>
        <v/>
      </c>
      <c r="MA32" s="17">
        <f>IF(AND(336&gt;=$B$7,336&lt;=$D$7),1,0)</f>
        <v/>
      </c>
      <c r="MB32" s="17">
        <f>IF(AND(337&gt;=$B$7,337&lt;=$D$7),1,0)</f>
        <v/>
      </c>
      <c r="MC32" s="17">
        <f>IF(AND(338&gt;=$B$7,338&lt;=$D$7),1,0)</f>
        <v/>
      </c>
      <c r="MD32" s="17">
        <f>IF(AND(339&gt;=$B$7,339&lt;=$D$7),1,0)</f>
        <v/>
      </c>
      <c r="ME32" s="17">
        <f>IF(AND(340&gt;=$B$7,340&lt;=$D$7),1,0)</f>
        <v/>
      </c>
      <c r="MF32" s="17">
        <f>IF(AND(341&gt;=$B$7,341&lt;=$D$7),1,0)</f>
        <v/>
      </c>
      <c r="MG32" s="17">
        <f>IF(AND(342&gt;=$B$7,342&lt;=$D$7),1,0)</f>
        <v/>
      </c>
      <c r="MH32" s="17">
        <f>IF(AND(343&gt;=$B$7,343&lt;=$D$7),1,0)</f>
        <v/>
      </c>
      <c r="MI32" s="17">
        <f>IF(AND(344&gt;=$B$7,344&lt;=$D$7),1,0)</f>
        <v/>
      </c>
      <c r="MJ32" s="17">
        <f>IF(AND(345&gt;=$B$7,345&lt;=$D$7),1,0)</f>
        <v/>
      </c>
      <c r="MK32" s="17">
        <f>IF(AND(346&gt;=$B$7,346&lt;=$D$7),1,0)</f>
        <v/>
      </c>
      <c r="ML32" s="17">
        <f>IF(AND(347&gt;=$B$7,347&lt;=$D$7),1,0)</f>
        <v/>
      </c>
      <c r="MM32" s="17">
        <f>IF(AND(348&gt;=$B$7,348&lt;=$D$7),1,0)</f>
        <v/>
      </c>
      <c r="MN32" s="17">
        <f>IF(AND(349&gt;=$B$7,349&lt;=$D$7),1,0)</f>
        <v/>
      </c>
      <c r="MO32" s="17">
        <f>IF(AND(350&gt;=$B$7,350&lt;=$D$7),1,0)</f>
        <v/>
      </c>
      <c r="MP32" s="17">
        <f>IF(AND(351&gt;=$B$7,351&lt;=$D$7),1,0)</f>
        <v/>
      </c>
      <c r="MQ32" s="17">
        <f>IF(AND(352&gt;=$B$7,352&lt;=$D$7),1,0)</f>
        <v/>
      </c>
      <c r="MR32" s="17">
        <f>IF(AND(353&gt;=$B$7,353&lt;=$D$7),1,0)</f>
        <v/>
      </c>
      <c r="MS32" s="17">
        <f>IF(AND(354&gt;=$B$7,354&lt;=$D$7),1,0)</f>
        <v/>
      </c>
      <c r="MT32" s="17">
        <f>IF(AND(355&gt;=$B$7,355&lt;=$D$7),1,0)</f>
        <v/>
      </c>
      <c r="MU32" s="17">
        <f>IF(AND(356&gt;=$B$7,356&lt;=$D$7),1,0)</f>
        <v/>
      </c>
      <c r="MV32" s="17">
        <f>IF(AND(357&gt;=$B$7,357&lt;=$D$7),1,0)</f>
        <v/>
      </c>
      <c r="MW32" s="17">
        <f>IF(AND(358&gt;=$B$7,358&lt;=$D$7),1,0)</f>
        <v/>
      </c>
      <c r="MX32" s="17">
        <f>IF(AND(359&gt;=$B$7,359&lt;=$D$7),1,0)</f>
        <v/>
      </c>
      <c r="MY32" s="17">
        <f>IF(AND(360&gt;=$B$7,360&lt;=$D$7),1,0)</f>
        <v/>
      </c>
      <c r="MZ32" s="17">
        <f>IF(AND(361&gt;=$B$7,361&lt;=$D$7),1,0)</f>
        <v/>
      </c>
      <c r="NA32" s="17">
        <f>IF(AND(362&gt;=$B$7,362&lt;=$D$7),1,0)</f>
        <v/>
      </c>
      <c r="NB32" s="17">
        <f>IF(AND(363&gt;=$B$7,363&lt;=$D$7),1,0)</f>
        <v/>
      </c>
      <c r="NC32" s="17">
        <f>IF(AND(364&gt;=$B$7,364&lt;=$D$7),1,0)</f>
        <v/>
      </c>
      <c r="ND32" s="17">
        <f>IF(AND(365&gt;=$B$7,365&lt;=$D$7),1,0)</f>
        <v/>
      </c>
      <c r="NE32" s="17">
        <f>IF(AND(366&gt;=$B$7,366&lt;=$D$7),1,0)</f>
        <v/>
      </c>
      <c r="NF32" s="17">
        <f>IF(AND(367&gt;=$B$7,367&lt;=$D$7),1,0)</f>
        <v/>
      </c>
      <c r="NG32" s="17">
        <f>IF(AND(368&gt;=$B$7,368&lt;=$D$7),1,0)</f>
        <v/>
      </c>
      <c r="NH32" s="17">
        <f>IF(AND(369&gt;=$B$7,369&lt;=$D$7),1,0)</f>
        <v/>
      </c>
      <c r="NI32" s="17">
        <f>IF(AND(370&gt;=$B$7,370&lt;=$D$7),1,0)</f>
        <v/>
      </c>
      <c r="NJ32" s="17">
        <f>IF(AND(371&gt;=$B$7,371&lt;=$D$7),1,0)</f>
        <v/>
      </c>
      <c r="NK32" s="17">
        <f>IF(AND(372&gt;=$B$7,372&lt;=$D$7),1,0)</f>
        <v/>
      </c>
    </row>
    <row r="33">
      <c r="A33" s="5" t="inlineStr">
        <is>
          <t>Flag: Initial Closing</t>
        </is>
      </c>
      <c r="C33" s="40" t="n"/>
      <c r="D33" s="17">
        <f>IF(AND(1&gt;=$B$8,1&lt;=$D$8),1,0)</f>
        <v/>
      </c>
      <c r="E33" s="17">
        <f>IF(AND(2&gt;=$B$8,2&lt;=$D$8),1,0)</f>
        <v/>
      </c>
      <c r="F33" s="17">
        <f>IF(AND(3&gt;=$B$8,3&lt;=$D$8),1,0)</f>
        <v/>
      </c>
      <c r="G33" s="17">
        <f>IF(AND(4&gt;=$B$8,4&lt;=$D$8),1,0)</f>
        <v/>
      </c>
      <c r="H33" s="17">
        <f>IF(AND(5&gt;=$B$8,5&lt;=$D$8),1,0)</f>
        <v/>
      </c>
      <c r="I33" s="17">
        <f>IF(AND(6&gt;=$B$8,6&lt;=$D$8),1,0)</f>
        <v/>
      </c>
      <c r="J33" s="17">
        <f>IF(AND(7&gt;=$B$8,7&lt;=$D$8),1,0)</f>
        <v/>
      </c>
      <c r="K33" s="17">
        <f>IF(AND(8&gt;=$B$8,8&lt;=$D$8),1,0)</f>
        <v/>
      </c>
      <c r="L33" s="17">
        <f>IF(AND(9&gt;=$B$8,9&lt;=$D$8),1,0)</f>
        <v/>
      </c>
      <c r="M33" s="17">
        <f>IF(AND(10&gt;=$B$8,10&lt;=$D$8),1,0)</f>
        <v/>
      </c>
      <c r="N33" s="17">
        <f>IF(AND(11&gt;=$B$8,11&lt;=$D$8),1,0)</f>
        <v/>
      </c>
      <c r="O33" s="17">
        <f>IF(AND(12&gt;=$B$8,12&lt;=$D$8),1,0)</f>
        <v/>
      </c>
      <c r="P33" s="17">
        <f>IF(AND(13&gt;=$B$8,13&lt;=$D$8),1,0)</f>
        <v/>
      </c>
      <c r="Q33" s="17">
        <f>IF(AND(14&gt;=$B$8,14&lt;=$D$8),1,0)</f>
        <v/>
      </c>
      <c r="R33" s="17">
        <f>IF(AND(15&gt;=$B$8,15&lt;=$D$8),1,0)</f>
        <v/>
      </c>
      <c r="S33" s="17">
        <f>IF(AND(16&gt;=$B$8,16&lt;=$D$8),1,0)</f>
        <v/>
      </c>
      <c r="T33" s="17">
        <f>IF(AND(17&gt;=$B$8,17&lt;=$D$8),1,0)</f>
        <v/>
      </c>
      <c r="U33" s="17">
        <f>IF(AND(18&gt;=$B$8,18&lt;=$D$8),1,0)</f>
        <v/>
      </c>
      <c r="V33" s="17">
        <f>IF(AND(19&gt;=$B$8,19&lt;=$D$8),1,0)</f>
        <v/>
      </c>
      <c r="W33" s="17">
        <f>IF(AND(20&gt;=$B$8,20&lt;=$D$8),1,0)</f>
        <v/>
      </c>
      <c r="X33" s="17">
        <f>IF(AND(21&gt;=$B$8,21&lt;=$D$8),1,0)</f>
        <v/>
      </c>
      <c r="Y33" s="17">
        <f>IF(AND(22&gt;=$B$8,22&lt;=$D$8),1,0)</f>
        <v/>
      </c>
      <c r="Z33" s="17">
        <f>IF(AND(23&gt;=$B$8,23&lt;=$D$8),1,0)</f>
        <v/>
      </c>
      <c r="AA33" s="17">
        <f>IF(AND(24&gt;=$B$8,24&lt;=$D$8),1,0)</f>
        <v/>
      </c>
      <c r="AB33" s="17">
        <f>IF(AND(25&gt;=$B$8,25&lt;=$D$8),1,0)</f>
        <v/>
      </c>
      <c r="AC33" s="17">
        <f>IF(AND(26&gt;=$B$8,26&lt;=$D$8),1,0)</f>
        <v/>
      </c>
      <c r="AD33" s="17">
        <f>IF(AND(27&gt;=$B$8,27&lt;=$D$8),1,0)</f>
        <v/>
      </c>
      <c r="AE33" s="17">
        <f>IF(AND(28&gt;=$B$8,28&lt;=$D$8),1,0)</f>
        <v/>
      </c>
      <c r="AF33" s="17">
        <f>IF(AND(29&gt;=$B$8,29&lt;=$D$8),1,0)</f>
        <v/>
      </c>
      <c r="AG33" s="17">
        <f>IF(AND(30&gt;=$B$8,30&lt;=$D$8),1,0)</f>
        <v/>
      </c>
      <c r="AH33" s="17">
        <f>IF(AND(31&gt;=$B$8,31&lt;=$D$8),1,0)</f>
        <v/>
      </c>
      <c r="AI33" s="17">
        <f>IF(AND(32&gt;=$B$8,32&lt;=$D$8),1,0)</f>
        <v/>
      </c>
      <c r="AJ33" s="17">
        <f>IF(AND(33&gt;=$B$8,33&lt;=$D$8),1,0)</f>
        <v/>
      </c>
      <c r="AK33" s="17">
        <f>IF(AND(34&gt;=$B$8,34&lt;=$D$8),1,0)</f>
        <v/>
      </c>
      <c r="AL33" s="17">
        <f>IF(AND(35&gt;=$B$8,35&lt;=$D$8),1,0)</f>
        <v/>
      </c>
      <c r="AM33" s="17">
        <f>IF(AND(36&gt;=$B$8,36&lt;=$D$8),1,0)</f>
        <v/>
      </c>
      <c r="AN33" s="17">
        <f>IF(AND(37&gt;=$B$8,37&lt;=$D$8),1,0)</f>
        <v/>
      </c>
      <c r="AO33" s="17">
        <f>IF(AND(38&gt;=$B$8,38&lt;=$D$8),1,0)</f>
        <v/>
      </c>
      <c r="AP33" s="17">
        <f>IF(AND(39&gt;=$B$8,39&lt;=$D$8),1,0)</f>
        <v/>
      </c>
      <c r="AQ33" s="17">
        <f>IF(AND(40&gt;=$B$8,40&lt;=$D$8),1,0)</f>
        <v/>
      </c>
      <c r="AR33" s="17">
        <f>IF(AND(41&gt;=$B$8,41&lt;=$D$8),1,0)</f>
        <v/>
      </c>
      <c r="AS33" s="17">
        <f>IF(AND(42&gt;=$B$8,42&lt;=$D$8),1,0)</f>
        <v/>
      </c>
      <c r="AT33" s="17">
        <f>IF(AND(43&gt;=$B$8,43&lt;=$D$8),1,0)</f>
        <v/>
      </c>
      <c r="AU33" s="17">
        <f>IF(AND(44&gt;=$B$8,44&lt;=$D$8),1,0)</f>
        <v/>
      </c>
      <c r="AV33" s="17">
        <f>IF(AND(45&gt;=$B$8,45&lt;=$D$8),1,0)</f>
        <v/>
      </c>
      <c r="AW33" s="17">
        <f>IF(AND(46&gt;=$B$8,46&lt;=$D$8),1,0)</f>
        <v/>
      </c>
      <c r="AX33" s="17">
        <f>IF(AND(47&gt;=$B$8,47&lt;=$D$8),1,0)</f>
        <v/>
      </c>
      <c r="AY33" s="17">
        <f>IF(AND(48&gt;=$B$8,48&lt;=$D$8),1,0)</f>
        <v/>
      </c>
      <c r="AZ33" s="17">
        <f>IF(AND(49&gt;=$B$8,49&lt;=$D$8),1,0)</f>
        <v/>
      </c>
      <c r="BA33" s="17">
        <f>IF(AND(50&gt;=$B$8,50&lt;=$D$8),1,0)</f>
        <v/>
      </c>
      <c r="BB33" s="17">
        <f>IF(AND(51&gt;=$B$8,51&lt;=$D$8),1,0)</f>
        <v/>
      </c>
      <c r="BC33" s="17">
        <f>IF(AND(52&gt;=$B$8,52&lt;=$D$8),1,0)</f>
        <v/>
      </c>
      <c r="BD33" s="17">
        <f>IF(AND(53&gt;=$B$8,53&lt;=$D$8),1,0)</f>
        <v/>
      </c>
      <c r="BE33" s="17">
        <f>IF(AND(54&gt;=$B$8,54&lt;=$D$8),1,0)</f>
        <v/>
      </c>
      <c r="BF33" s="17">
        <f>IF(AND(55&gt;=$B$8,55&lt;=$D$8),1,0)</f>
        <v/>
      </c>
      <c r="BG33" s="17">
        <f>IF(AND(56&gt;=$B$8,56&lt;=$D$8),1,0)</f>
        <v/>
      </c>
      <c r="BH33" s="17">
        <f>IF(AND(57&gt;=$B$8,57&lt;=$D$8),1,0)</f>
        <v/>
      </c>
      <c r="BI33" s="17">
        <f>IF(AND(58&gt;=$B$8,58&lt;=$D$8),1,0)</f>
        <v/>
      </c>
      <c r="BJ33" s="17">
        <f>IF(AND(59&gt;=$B$8,59&lt;=$D$8),1,0)</f>
        <v/>
      </c>
      <c r="BK33" s="17">
        <f>IF(AND(60&gt;=$B$8,60&lt;=$D$8),1,0)</f>
        <v/>
      </c>
      <c r="BL33" s="17">
        <f>IF(AND(61&gt;=$B$8,61&lt;=$D$8),1,0)</f>
        <v/>
      </c>
      <c r="BM33" s="17">
        <f>IF(AND(62&gt;=$B$8,62&lt;=$D$8),1,0)</f>
        <v/>
      </c>
      <c r="BN33" s="17">
        <f>IF(AND(63&gt;=$B$8,63&lt;=$D$8),1,0)</f>
        <v/>
      </c>
      <c r="BO33" s="17">
        <f>IF(AND(64&gt;=$B$8,64&lt;=$D$8),1,0)</f>
        <v/>
      </c>
      <c r="BP33" s="17">
        <f>IF(AND(65&gt;=$B$8,65&lt;=$D$8),1,0)</f>
        <v/>
      </c>
      <c r="BQ33" s="17">
        <f>IF(AND(66&gt;=$B$8,66&lt;=$D$8),1,0)</f>
        <v/>
      </c>
      <c r="BR33" s="17">
        <f>IF(AND(67&gt;=$B$8,67&lt;=$D$8),1,0)</f>
        <v/>
      </c>
      <c r="BS33" s="17">
        <f>IF(AND(68&gt;=$B$8,68&lt;=$D$8),1,0)</f>
        <v/>
      </c>
      <c r="BT33" s="17">
        <f>IF(AND(69&gt;=$B$8,69&lt;=$D$8),1,0)</f>
        <v/>
      </c>
      <c r="BU33" s="17">
        <f>IF(AND(70&gt;=$B$8,70&lt;=$D$8),1,0)</f>
        <v/>
      </c>
      <c r="BV33" s="17">
        <f>IF(AND(71&gt;=$B$8,71&lt;=$D$8),1,0)</f>
        <v/>
      </c>
      <c r="BW33" s="17">
        <f>IF(AND(72&gt;=$B$8,72&lt;=$D$8),1,0)</f>
        <v/>
      </c>
      <c r="BX33" s="17">
        <f>IF(AND(73&gt;=$B$8,73&lt;=$D$8),1,0)</f>
        <v/>
      </c>
      <c r="BY33" s="17">
        <f>IF(AND(74&gt;=$B$8,74&lt;=$D$8),1,0)</f>
        <v/>
      </c>
      <c r="BZ33" s="17">
        <f>IF(AND(75&gt;=$B$8,75&lt;=$D$8),1,0)</f>
        <v/>
      </c>
      <c r="CA33" s="17">
        <f>IF(AND(76&gt;=$B$8,76&lt;=$D$8),1,0)</f>
        <v/>
      </c>
      <c r="CB33" s="17">
        <f>IF(AND(77&gt;=$B$8,77&lt;=$D$8),1,0)</f>
        <v/>
      </c>
      <c r="CC33" s="17">
        <f>IF(AND(78&gt;=$B$8,78&lt;=$D$8),1,0)</f>
        <v/>
      </c>
      <c r="CD33" s="17">
        <f>IF(AND(79&gt;=$B$8,79&lt;=$D$8),1,0)</f>
        <v/>
      </c>
      <c r="CE33" s="17">
        <f>IF(AND(80&gt;=$B$8,80&lt;=$D$8),1,0)</f>
        <v/>
      </c>
      <c r="CF33" s="17">
        <f>IF(AND(81&gt;=$B$8,81&lt;=$D$8),1,0)</f>
        <v/>
      </c>
      <c r="CG33" s="17">
        <f>IF(AND(82&gt;=$B$8,82&lt;=$D$8),1,0)</f>
        <v/>
      </c>
      <c r="CH33" s="17">
        <f>IF(AND(83&gt;=$B$8,83&lt;=$D$8),1,0)</f>
        <v/>
      </c>
      <c r="CI33" s="17">
        <f>IF(AND(84&gt;=$B$8,84&lt;=$D$8),1,0)</f>
        <v/>
      </c>
      <c r="CJ33" s="17">
        <f>IF(AND(85&gt;=$B$8,85&lt;=$D$8),1,0)</f>
        <v/>
      </c>
      <c r="CK33" s="17">
        <f>IF(AND(86&gt;=$B$8,86&lt;=$D$8),1,0)</f>
        <v/>
      </c>
      <c r="CL33" s="17">
        <f>IF(AND(87&gt;=$B$8,87&lt;=$D$8),1,0)</f>
        <v/>
      </c>
      <c r="CM33" s="17">
        <f>IF(AND(88&gt;=$B$8,88&lt;=$D$8),1,0)</f>
        <v/>
      </c>
      <c r="CN33" s="17">
        <f>IF(AND(89&gt;=$B$8,89&lt;=$D$8),1,0)</f>
        <v/>
      </c>
      <c r="CO33" s="17">
        <f>IF(AND(90&gt;=$B$8,90&lt;=$D$8),1,0)</f>
        <v/>
      </c>
      <c r="CP33" s="17">
        <f>IF(AND(91&gt;=$B$8,91&lt;=$D$8),1,0)</f>
        <v/>
      </c>
      <c r="CQ33" s="17">
        <f>IF(AND(92&gt;=$B$8,92&lt;=$D$8),1,0)</f>
        <v/>
      </c>
      <c r="CR33" s="17">
        <f>IF(AND(93&gt;=$B$8,93&lt;=$D$8),1,0)</f>
        <v/>
      </c>
      <c r="CS33" s="17">
        <f>IF(AND(94&gt;=$B$8,94&lt;=$D$8),1,0)</f>
        <v/>
      </c>
      <c r="CT33" s="17">
        <f>IF(AND(95&gt;=$B$8,95&lt;=$D$8),1,0)</f>
        <v/>
      </c>
      <c r="CU33" s="17">
        <f>IF(AND(96&gt;=$B$8,96&lt;=$D$8),1,0)</f>
        <v/>
      </c>
      <c r="CV33" s="17">
        <f>IF(AND(97&gt;=$B$8,97&lt;=$D$8),1,0)</f>
        <v/>
      </c>
      <c r="CW33" s="17">
        <f>IF(AND(98&gt;=$B$8,98&lt;=$D$8),1,0)</f>
        <v/>
      </c>
      <c r="CX33" s="17">
        <f>IF(AND(99&gt;=$B$8,99&lt;=$D$8),1,0)</f>
        <v/>
      </c>
      <c r="CY33" s="17">
        <f>IF(AND(100&gt;=$B$8,100&lt;=$D$8),1,0)</f>
        <v/>
      </c>
      <c r="CZ33" s="17">
        <f>IF(AND(101&gt;=$B$8,101&lt;=$D$8),1,0)</f>
        <v/>
      </c>
      <c r="DA33" s="17">
        <f>IF(AND(102&gt;=$B$8,102&lt;=$D$8),1,0)</f>
        <v/>
      </c>
      <c r="DB33" s="17">
        <f>IF(AND(103&gt;=$B$8,103&lt;=$D$8),1,0)</f>
        <v/>
      </c>
      <c r="DC33" s="17">
        <f>IF(AND(104&gt;=$B$8,104&lt;=$D$8),1,0)</f>
        <v/>
      </c>
      <c r="DD33" s="17">
        <f>IF(AND(105&gt;=$B$8,105&lt;=$D$8),1,0)</f>
        <v/>
      </c>
      <c r="DE33" s="17">
        <f>IF(AND(106&gt;=$B$8,106&lt;=$D$8),1,0)</f>
        <v/>
      </c>
      <c r="DF33" s="17">
        <f>IF(AND(107&gt;=$B$8,107&lt;=$D$8),1,0)</f>
        <v/>
      </c>
      <c r="DG33" s="17">
        <f>IF(AND(108&gt;=$B$8,108&lt;=$D$8),1,0)</f>
        <v/>
      </c>
      <c r="DH33" s="17">
        <f>IF(AND(109&gt;=$B$8,109&lt;=$D$8),1,0)</f>
        <v/>
      </c>
      <c r="DI33" s="17">
        <f>IF(AND(110&gt;=$B$8,110&lt;=$D$8),1,0)</f>
        <v/>
      </c>
      <c r="DJ33" s="17">
        <f>IF(AND(111&gt;=$B$8,111&lt;=$D$8),1,0)</f>
        <v/>
      </c>
      <c r="DK33" s="17">
        <f>IF(AND(112&gt;=$B$8,112&lt;=$D$8),1,0)</f>
        <v/>
      </c>
      <c r="DL33" s="17">
        <f>IF(AND(113&gt;=$B$8,113&lt;=$D$8),1,0)</f>
        <v/>
      </c>
      <c r="DM33" s="17">
        <f>IF(AND(114&gt;=$B$8,114&lt;=$D$8),1,0)</f>
        <v/>
      </c>
      <c r="DN33" s="17">
        <f>IF(AND(115&gt;=$B$8,115&lt;=$D$8),1,0)</f>
        <v/>
      </c>
      <c r="DO33" s="17">
        <f>IF(AND(116&gt;=$B$8,116&lt;=$D$8),1,0)</f>
        <v/>
      </c>
      <c r="DP33" s="17">
        <f>IF(AND(117&gt;=$B$8,117&lt;=$D$8),1,0)</f>
        <v/>
      </c>
      <c r="DQ33" s="17">
        <f>IF(AND(118&gt;=$B$8,118&lt;=$D$8),1,0)</f>
        <v/>
      </c>
      <c r="DR33" s="17">
        <f>IF(AND(119&gt;=$B$8,119&lt;=$D$8),1,0)</f>
        <v/>
      </c>
      <c r="DS33" s="17">
        <f>IF(AND(120&gt;=$B$8,120&lt;=$D$8),1,0)</f>
        <v/>
      </c>
      <c r="DT33" s="17">
        <f>IF(AND(121&gt;=$B$8,121&lt;=$D$8),1,0)</f>
        <v/>
      </c>
      <c r="DU33" s="17">
        <f>IF(AND(122&gt;=$B$8,122&lt;=$D$8),1,0)</f>
        <v/>
      </c>
      <c r="DV33" s="17">
        <f>IF(AND(123&gt;=$B$8,123&lt;=$D$8),1,0)</f>
        <v/>
      </c>
      <c r="DW33" s="17">
        <f>IF(AND(124&gt;=$B$8,124&lt;=$D$8),1,0)</f>
        <v/>
      </c>
      <c r="DX33" s="17">
        <f>IF(AND(125&gt;=$B$8,125&lt;=$D$8),1,0)</f>
        <v/>
      </c>
      <c r="DY33" s="17">
        <f>IF(AND(126&gt;=$B$8,126&lt;=$D$8),1,0)</f>
        <v/>
      </c>
      <c r="DZ33" s="17">
        <f>IF(AND(127&gt;=$B$8,127&lt;=$D$8),1,0)</f>
        <v/>
      </c>
      <c r="EA33" s="17">
        <f>IF(AND(128&gt;=$B$8,128&lt;=$D$8),1,0)</f>
        <v/>
      </c>
      <c r="EB33" s="17">
        <f>IF(AND(129&gt;=$B$8,129&lt;=$D$8),1,0)</f>
        <v/>
      </c>
      <c r="EC33" s="17">
        <f>IF(AND(130&gt;=$B$8,130&lt;=$D$8),1,0)</f>
        <v/>
      </c>
      <c r="ED33" s="17">
        <f>IF(AND(131&gt;=$B$8,131&lt;=$D$8),1,0)</f>
        <v/>
      </c>
      <c r="EE33" s="17">
        <f>IF(AND(132&gt;=$B$8,132&lt;=$D$8),1,0)</f>
        <v/>
      </c>
      <c r="EF33" s="17">
        <f>IF(AND(133&gt;=$B$8,133&lt;=$D$8),1,0)</f>
        <v/>
      </c>
      <c r="EG33" s="17">
        <f>IF(AND(134&gt;=$B$8,134&lt;=$D$8),1,0)</f>
        <v/>
      </c>
      <c r="EH33" s="17">
        <f>IF(AND(135&gt;=$B$8,135&lt;=$D$8),1,0)</f>
        <v/>
      </c>
      <c r="EI33" s="17">
        <f>IF(AND(136&gt;=$B$8,136&lt;=$D$8),1,0)</f>
        <v/>
      </c>
      <c r="EJ33" s="17">
        <f>IF(AND(137&gt;=$B$8,137&lt;=$D$8),1,0)</f>
        <v/>
      </c>
      <c r="EK33" s="17">
        <f>IF(AND(138&gt;=$B$8,138&lt;=$D$8),1,0)</f>
        <v/>
      </c>
      <c r="EL33" s="17">
        <f>IF(AND(139&gt;=$B$8,139&lt;=$D$8),1,0)</f>
        <v/>
      </c>
      <c r="EM33" s="17">
        <f>IF(AND(140&gt;=$B$8,140&lt;=$D$8),1,0)</f>
        <v/>
      </c>
      <c r="EN33" s="17">
        <f>IF(AND(141&gt;=$B$8,141&lt;=$D$8),1,0)</f>
        <v/>
      </c>
      <c r="EO33" s="17">
        <f>IF(AND(142&gt;=$B$8,142&lt;=$D$8),1,0)</f>
        <v/>
      </c>
      <c r="EP33" s="17">
        <f>IF(AND(143&gt;=$B$8,143&lt;=$D$8),1,0)</f>
        <v/>
      </c>
      <c r="EQ33" s="17">
        <f>IF(AND(144&gt;=$B$8,144&lt;=$D$8),1,0)</f>
        <v/>
      </c>
      <c r="ER33" s="17">
        <f>IF(AND(145&gt;=$B$8,145&lt;=$D$8),1,0)</f>
        <v/>
      </c>
      <c r="ES33" s="17">
        <f>IF(AND(146&gt;=$B$8,146&lt;=$D$8),1,0)</f>
        <v/>
      </c>
      <c r="ET33" s="17">
        <f>IF(AND(147&gt;=$B$8,147&lt;=$D$8),1,0)</f>
        <v/>
      </c>
      <c r="EU33" s="17">
        <f>IF(AND(148&gt;=$B$8,148&lt;=$D$8),1,0)</f>
        <v/>
      </c>
      <c r="EV33" s="17">
        <f>IF(AND(149&gt;=$B$8,149&lt;=$D$8),1,0)</f>
        <v/>
      </c>
      <c r="EW33" s="17">
        <f>IF(AND(150&gt;=$B$8,150&lt;=$D$8),1,0)</f>
        <v/>
      </c>
      <c r="EX33" s="17">
        <f>IF(AND(151&gt;=$B$8,151&lt;=$D$8),1,0)</f>
        <v/>
      </c>
      <c r="EY33" s="17">
        <f>IF(AND(152&gt;=$B$8,152&lt;=$D$8),1,0)</f>
        <v/>
      </c>
      <c r="EZ33" s="17">
        <f>IF(AND(153&gt;=$B$8,153&lt;=$D$8),1,0)</f>
        <v/>
      </c>
      <c r="FA33" s="17">
        <f>IF(AND(154&gt;=$B$8,154&lt;=$D$8),1,0)</f>
        <v/>
      </c>
      <c r="FB33" s="17">
        <f>IF(AND(155&gt;=$B$8,155&lt;=$D$8),1,0)</f>
        <v/>
      </c>
      <c r="FC33" s="17">
        <f>IF(AND(156&gt;=$B$8,156&lt;=$D$8),1,0)</f>
        <v/>
      </c>
      <c r="FD33" s="17">
        <f>IF(AND(157&gt;=$B$8,157&lt;=$D$8),1,0)</f>
        <v/>
      </c>
      <c r="FE33" s="17">
        <f>IF(AND(158&gt;=$B$8,158&lt;=$D$8),1,0)</f>
        <v/>
      </c>
      <c r="FF33" s="17">
        <f>IF(AND(159&gt;=$B$8,159&lt;=$D$8),1,0)</f>
        <v/>
      </c>
      <c r="FG33" s="17">
        <f>IF(AND(160&gt;=$B$8,160&lt;=$D$8),1,0)</f>
        <v/>
      </c>
      <c r="FH33" s="17">
        <f>IF(AND(161&gt;=$B$8,161&lt;=$D$8),1,0)</f>
        <v/>
      </c>
      <c r="FI33" s="17">
        <f>IF(AND(162&gt;=$B$8,162&lt;=$D$8),1,0)</f>
        <v/>
      </c>
      <c r="FJ33" s="17">
        <f>IF(AND(163&gt;=$B$8,163&lt;=$D$8),1,0)</f>
        <v/>
      </c>
      <c r="FK33" s="17">
        <f>IF(AND(164&gt;=$B$8,164&lt;=$D$8),1,0)</f>
        <v/>
      </c>
      <c r="FL33" s="17">
        <f>IF(AND(165&gt;=$B$8,165&lt;=$D$8),1,0)</f>
        <v/>
      </c>
      <c r="FM33" s="17">
        <f>IF(AND(166&gt;=$B$8,166&lt;=$D$8),1,0)</f>
        <v/>
      </c>
      <c r="FN33" s="17">
        <f>IF(AND(167&gt;=$B$8,167&lt;=$D$8),1,0)</f>
        <v/>
      </c>
      <c r="FO33" s="17">
        <f>IF(AND(168&gt;=$B$8,168&lt;=$D$8),1,0)</f>
        <v/>
      </c>
      <c r="FP33" s="17">
        <f>IF(AND(169&gt;=$B$8,169&lt;=$D$8),1,0)</f>
        <v/>
      </c>
      <c r="FQ33" s="17">
        <f>IF(AND(170&gt;=$B$8,170&lt;=$D$8),1,0)</f>
        <v/>
      </c>
      <c r="FR33" s="17">
        <f>IF(AND(171&gt;=$B$8,171&lt;=$D$8),1,0)</f>
        <v/>
      </c>
      <c r="FS33" s="17">
        <f>IF(AND(172&gt;=$B$8,172&lt;=$D$8),1,0)</f>
        <v/>
      </c>
      <c r="FT33" s="17">
        <f>IF(AND(173&gt;=$B$8,173&lt;=$D$8),1,0)</f>
        <v/>
      </c>
      <c r="FU33" s="17">
        <f>IF(AND(174&gt;=$B$8,174&lt;=$D$8),1,0)</f>
        <v/>
      </c>
      <c r="FV33" s="17">
        <f>IF(AND(175&gt;=$B$8,175&lt;=$D$8),1,0)</f>
        <v/>
      </c>
      <c r="FW33" s="17">
        <f>IF(AND(176&gt;=$B$8,176&lt;=$D$8),1,0)</f>
        <v/>
      </c>
      <c r="FX33" s="17">
        <f>IF(AND(177&gt;=$B$8,177&lt;=$D$8),1,0)</f>
        <v/>
      </c>
      <c r="FY33" s="17">
        <f>IF(AND(178&gt;=$B$8,178&lt;=$D$8),1,0)</f>
        <v/>
      </c>
      <c r="FZ33" s="17">
        <f>IF(AND(179&gt;=$B$8,179&lt;=$D$8),1,0)</f>
        <v/>
      </c>
      <c r="GA33" s="17">
        <f>IF(AND(180&gt;=$B$8,180&lt;=$D$8),1,0)</f>
        <v/>
      </c>
      <c r="GB33" s="17">
        <f>IF(AND(181&gt;=$B$8,181&lt;=$D$8),1,0)</f>
        <v/>
      </c>
      <c r="GC33" s="17">
        <f>IF(AND(182&gt;=$B$8,182&lt;=$D$8),1,0)</f>
        <v/>
      </c>
      <c r="GD33" s="17">
        <f>IF(AND(183&gt;=$B$8,183&lt;=$D$8),1,0)</f>
        <v/>
      </c>
      <c r="GE33" s="17">
        <f>IF(AND(184&gt;=$B$8,184&lt;=$D$8),1,0)</f>
        <v/>
      </c>
      <c r="GF33" s="17">
        <f>IF(AND(185&gt;=$B$8,185&lt;=$D$8),1,0)</f>
        <v/>
      </c>
      <c r="GG33" s="17">
        <f>IF(AND(186&gt;=$B$8,186&lt;=$D$8),1,0)</f>
        <v/>
      </c>
      <c r="GH33" s="17">
        <f>IF(AND(187&gt;=$B$8,187&lt;=$D$8),1,0)</f>
        <v/>
      </c>
      <c r="GI33" s="17">
        <f>IF(AND(188&gt;=$B$8,188&lt;=$D$8),1,0)</f>
        <v/>
      </c>
      <c r="GJ33" s="17">
        <f>IF(AND(189&gt;=$B$8,189&lt;=$D$8),1,0)</f>
        <v/>
      </c>
      <c r="GK33" s="17">
        <f>IF(AND(190&gt;=$B$8,190&lt;=$D$8),1,0)</f>
        <v/>
      </c>
      <c r="GL33" s="17">
        <f>IF(AND(191&gt;=$B$8,191&lt;=$D$8),1,0)</f>
        <v/>
      </c>
      <c r="GM33" s="17">
        <f>IF(AND(192&gt;=$B$8,192&lt;=$D$8),1,0)</f>
        <v/>
      </c>
      <c r="GN33" s="17">
        <f>IF(AND(193&gt;=$B$8,193&lt;=$D$8),1,0)</f>
        <v/>
      </c>
      <c r="GO33" s="17">
        <f>IF(AND(194&gt;=$B$8,194&lt;=$D$8),1,0)</f>
        <v/>
      </c>
      <c r="GP33" s="17">
        <f>IF(AND(195&gt;=$B$8,195&lt;=$D$8),1,0)</f>
        <v/>
      </c>
      <c r="GQ33" s="17">
        <f>IF(AND(196&gt;=$B$8,196&lt;=$D$8),1,0)</f>
        <v/>
      </c>
      <c r="GR33" s="17">
        <f>IF(AND(197&gt;=$B$8,197&lt;=$D$8),1,0)</f>
        <v/>
      </c>
      <c r="GS33" s="17">
        <f>IF(AND(198&gt;=$B$8,198&lt;=$D$8),1,0)</f>
        <v/>
      </c>
      <c r="GT33" s="17">
        <f>IF(AND(199&gt;=$B$8,199&lt;=$D$8),1,0)</f>
        <v/>
      </c>
      <c r="GU33" s="17">
        <f>IF(AND(200&gt;=$B$8,200&lt;=$D$8),1,0)</f>
        <v/>
      </c>
      <c r="GV33" s="17">
        <f>IF(AND(201&gt;=$B$8,201&lt;=$D$8),1,0)</f>
        <v/>
      </c>
      <c r="GW33" s="17">
        <f>IF(AND(202&gt;=$B$8,202&lt;=$D$8),1,0)</f>
        <v/>
      </c>
      <c r="GX33" s="17">
        <f>IF(AND(203&gt;=$B$8,203&lt;=$D$8),1,0)</f>
        <v/>
      </c>
      <c r="GY33" s="17">
        <f>IF(AND(204&gt;=$B$8,204&lt;=$D$8),1,0)</f>
        <v/>
      </c>
      <c r="GZ33" s="17">
        <f>IF(AND(205&gt;=$B$8,205&lt;=$D$8),1,0)</f>
        <v/>
      </c>
      <c r="HA33" s="17">
        <f>IF(AND(206&gt;=$B$8,206&lt;=$D$8),1,0)</f>
        <v/>
      </c>
      <c r="HB33" s="17">
        <f>IF(AND(207&gt;=$B$8,207&lt;=$D$8),1,0)</f>
        <v/>
      </c>
      <c r="HC33" s="17">
        <f>IF(AND(208&gt;=$B$8,208&lt;=$D$8),1,0)</f>
        <v/>
      </c>
      <c r="HD33" s="17">
        <f>IF(AND(209&gt;=$B$8,209&lt;=$D$8),1,0)</f>
        <v/>
      </c>
      <c r="HE33" s="17">
        <f>IF(AND(210&gt;=$B$8,210&lt;=$D$8),1,0)</f>
        <v/>
      </c>
      <c r="HF33" s="17">
        <f>IF(AND(211&gt;=$B$8,211&lt;=$D$8),1,0)</f>
        <v/>
      </c>
      <c r="HG33" s="17">
        <f>IF(AND(212&gt;=$B$8,212&lt;=$D$8),1,0)</f>
        <v/>
      </c>
      <c r="HH33" s="17">
        <f>IF(AND(213&gt;=$B$8,213&lt;=$D$8),1,0)</f>
        <v/>
      </c>
      <c r="HI33" s="17">
        <f>IF(AND(214&gt;=$B$8,214&lt;=$D$8),1,0)</f>
        <v/>
      </c>
      <c r="HJ33" s="17">
        <f>IF(AND(215&gt;=$B$8,215&lt;=$D$8),1,0)</f>
        <v/>
      </c>
      <c r="HK33" s="17">
        <f>IF(AND(216&gt;=$B$8,216&lt;=$D$8),1,0)</f>
        <v/>
      </c>
      <c r="HL33" s="17">
        <f>IF(AND(217&gt;=$B$8,217&lt;=$D$8),1,0)</f>
        <v/>
      </c>
      <c r="HM33" s="17">
        <f>IF(AND(218&gt;=$B$8,218&lt;=$D$8),1,0)</f>
        <v/>
      </c>
      <c r="HN33" s="17">
        <f>IF(AND(219&gt;=$B$8,219&lt;=$D$8),1,0)</f>
        <v/>
      </c>
      <c r="HO33" s="17">
        <f>IF(AND(220&gt;=$B$8,220&lt;=$D$8),1,0)</f>
        <v/>
      </c>
      <c r="HP33" s="17">
        <f>IF(AND(221&gt;=$B$8,221&lt;=$D$8),1,0)</f>
        <v/>
      </c>
      <c r="HQ33" s="17">
        <f>IF(AND(222&gt;=$B$8,222&lt;=$D$8),1,0)</f>
        <v/>
      </c>
      <c r="HR33" s="17">
        <f>IF(AND(223&gt;=$B$8,223&lt;=$D$8),1,0)</f>
        <v/>
      </c>
      <c r="HS33" s="17">
        <f>IF(AND(224&gt;=$B$8,224&lt;=$D$8),1,0)</f>
        <v/>
      </c>
      <c r="HT33" s="17">
        <f>IF(AND(225&gt;=$B$8,225&lt;=$D$8),1,0)</f>
        <v/>
      </c>
      <c r="HU33" s="17">
        <f>IF(AND(226&gt;=$B$8,226&lt;=$D$8),1,0)</f>
        <v/>
      </c>
      <c r="HV33" s="17">
        <f>IF(AND(227&gt;=$B$8,227&lt;=$D$8),1,0)</f>
        <v/>
      </c>
      <c r="HW33" s="17">
        <f>IF(AND(228&gt;=$B$8,228&lt;=$D$8),1,0)</f>
        <v/>
      </c>
      <c r="HX33" s="17">
        <f>IF(AND(229&gt;=$B$8,229&lt;=$D$8),1,0)</f>
        <v/>
      </c>
      <c r="HY33" s="17">
        <f>IF(AND(230&gt;=$B$8,230&lt;=$D$8),1,0)</f>
        <v/>
      </c>
      <c r="HZ33" s="17">
        <f>IF(AND(231&gt;=$B$8,231&lt;=$D$8),1,0)</f>
        <v/>
      </c>
      <c r="IA33" s="17">
        <f>IF(AND(232&gt;=$B$8,232&lt;=$D$8),1,0)</f>
        <v/>
      </c>
      <c r="IB33" s="17">
        <f>IF(AND(233&gt;=$B$8,233&lt;=$D$8),1,0)</f>
        <v/>
      </c>
      <c r="IC33" s="17">
        <f>IF(AND(234&gt;=$B$8,234&lt;=$D$8),1,0)</f>
        <v/>
      </c>
      <c r="ID33" s="17">
        <f>IF(AND(235&gt;=$B$8,235&lt;=$D$8),1,0)</f>
        <v/>
      </c>
      <c r="IE33" s="17">
        <f>IF(AND(236&gt;=$B$8,236&lt;=$D$8),1,0)</f>
        <v/>
      </c>
      <c r="IF33" s="17">
        <f>IF(AND(237&gt;=$B$8,237&lt;=$D$8),1,0)</f>
        <v/>
      </c>
      <c r="IG33" s="17">
        <f>IF(AND(238&gt;=$B$8,238&lt;=$D$8),1,0)</f>
        <v/>
      </c>
      <c r="IH33" s="17">
        <f>IF(AND(239&gt;=$B$8,239&lt;=$D$8),1,0)</f>
        <v/>
      </c>
      <c r="II33" s="17">
        <f>IF(AND(240&gt;=$B$8,240&lt;=$D$8),1,0)</f>
        <v/>
      </c>
      <c r="IJ33" s="17">
        <f>IF(AND(241&gt;=$B$8,241&lt;=$D$8),1,0)</f>
        <v/>
      </c>
      <c r="IK33" s="17">
        <f>IF(AND(242&gt;=$B$8,242&lt;=$D$8),1,0)</f>
        <v/>
      </c>
      <c r="IL33" s="17">
        <f>IF(AND(243&gt;=$B$8,243&lt;=$D$8),1,0)</f>
        <v/>
      </c>
      <c r="IM33" s="17">
        <f>IF(AND(244&gt;=$B$8,244&lt;=$D$8),1,0)</f>
        <v/>
      </c>
      <c r="IN33" s="17">
        <f>IF(AND(245&gt;=$B$8,245&lt;=$D$8),1,0)</f>
        <v/>
      </c>
      <c r="IO33" s="17">
        <f>IF(AND(246&gt;=$B$8,246&lt;=$D$8),1,0)</f>
        <v/>
      </c>
      <c r="IP33" s="17">
        <f>IF(AND(247&gt;=$B$8,247&lt;=$D$8),1,0)</f>
        <v/>
      </c>
      <c r="IQ33" s="17">
        <f>IF(AND(248&gt;=$B$8,248&lt;=$D$8),1,0)</f>
        <v/>
      </c>
      <c r="IR33" s="17">
        <f>IF(AND(249&gt;=$B$8,249&lt;=$D$8),1,0)</f>
        <v/>
      </c>
      <c r="IS33" s="17">
        <f>IF(AND(250&gt;=$B$8,250&lt;=$D$8),1,0)</f>
        <v/>
      </c>
      <c r="IT33" s="17">
        <f>IF(AND(251&gt;=$B$8,251&lt;=$D$8),1,0)</f>
        <v/>
      </c>
      <c r="IU33" s="17">
        <f>IF(AND(252&gt;=$B$8,252&lt;=$D$8),1,0)</f>
        <v/>
      </c>
      <c r="IV33" s="17">
        <f>IF(AND(253&gt;=$B$8,253&lt;=$D$8),1,0)</f>
        <v/>
      </c>
      <c r="IW33" s="17">
        <f>IF(AND(254&gt;=$B$8,254&lt;=$D$8),1,0)</f>
        <v/>
      </c>
      <c r="IX33" s="17">
        <f>IF(AND(255&gt;=$B$8,255&lt;=$D$8),1,0)</f>
        <v/>
      </c>
      <c r="IY33" s="17">
        <f>IF(AND(256&gt;=$B$8,256&lt;=$D$8),1,0)</f>
        <v/>
      </c>
      <c r="IZ33" s="17">
        <f>IF(AND(257&gt;=$B$8,257&lt;=$D$8),1,0)</f>
        <v/>
      </c>
      <c r="JA33" s="17">
        <f>IF(AND(258&gt;=$B$8,258&lt;=$D$8),1,0)</f>
        <v/>
      </c>
      <c r="JB33" s="17">
        <f>IF(AND(259&gt;=$B$8,259&lt;=$D$8),1,0)</f>
        <v/>
      </c>
      <c r="JC33" s="17">
        <f>IF(AND(260&gt;=$B$8,260&lt;=$D$8),1,0)</f>
        <v/>
      </c>
      <c r="JD33" s="17">
        <f>IF(AND(261&gt;=$B$8,261&lt;=$D$8),1,0)</f>
        <v/>
      </c>
      <c r="JE33" s="17">
        <f>IF(AND(262&gt;=$B$8,262&lt;=$D$8),1,0)</f>
        <v/>
      </c>
      <c r="JF33" s="17">
        <f>IF(AND(263&gt;=$B$8,263&lt;=$D$8),1,0)</f>
        <v/>
      </c>
      <c r="JG33" s="17">
        <f>IF(AND(264&gt;=$B$8,264&lt;=$D$8),1,0)</f>
        <v/>
      </c>
      <c r="JH33" s="17">
        <f>IF(AND(265&gt;=$B$8,265&lt;=$D$8),1,0)</f>
        <v/>
      </c>
      <c r="JI33" s="17">
        <f>IF(AND(266&gt;=$B$8,266&lt;=$D$8),1,0)</f>
        <v/>
      </c>
      <c r="JJ33" s="17">
        <f>IF(AND(267&gt;=$B$8,267&lt;=$D$8),1,0)</f>
        <v/>
      </c>
      <c r="JK33" s="17">
        <f>IF(AND(268&gt;=$B$8,268&lt;=$D$8),1,0)</f>
        <v/>
      </c>
      <c r="JL33" s="17">
        <f>IF(AND(269&gt;=$B$8,269&lt;=$D$8),1,0)</f>
        <v/>
      </c>
      <c r="JM33" s="17">
        <f>IF(AND(270&gt;=$B$8,270&lt;=$D$8),1,0)</f>
        <v/>
      </c>
      <c r="JN33" s="17">
        <f>IF(AND(271&gt;=$B$8,271&lt;=$D$8),1,0)</f>
        <v/>
      </c>
      <c r="JO33" s="17">
        <f>IF(AND(272&gt;=$B$8,272&lt;=$D$8),1,0)</f>
        <v/>
      </c>
      <c r="JP33" s="17">
        <f>IF(AND(273&gt;=$B$8,273&lt;=$D$8),1,0)</f>
        <v/>
      </c>
      <c r="JQ33" s="17">
        <f>IF(AND(274&gt;=$B$8,274&lt;=$D$8),1,0)</f>
        <v/>
      </c>
      <c r="JR33" s="17">
        <f>IF(AND(275&gt;=$B$8,275&lt;=$D$8),1,0)</f>
        <v/>
      </c>
      <c r="JS33" s="17">
        <f>IF(AND(276&gt;=$B$8,276&lt;=$D$8),1,0)</f>
        <v/>
      </c>
      <c r="JT33" s="17">
        <f>IF(AND(277&gt;=$B$8,277&lt;=$D$8),1,0)</f>
        <v/>
      </c>
      <c r="JU33" s="17">
        <f>IF(AND(278&gt;=$B$8,278&lt;=$D$8),1,0)</f>
        <v/>
      </c>
      <c r="JV33" s="17">
        <f>IF(AND(279&gt;=$B$8,279&lt;=$D$8),1,0)</f>
        <v/>
      </c>
      <c r="JW33" s="17">
        <f>IF(AND(280&gt;=$B$8,280&lt;=$D$8),1,0)</f>
        <v/>
      </c>
      <c r="JX33" s="17">
        <f>IF(AND(281&gt;=$B$8,281&lt;=$D$8),1,0)</f>
        <v/>
      </c>
      <c r="JY33" s="17">
        <f>IF(AND(282&gt;=$B$8,282&lt;=$D$8),1,0)</f>
        <v/>
      </c>
      <c r="JZ33" s="17">
        <f>IF(AND(283&gt;=$B$8,283&lt;=$D$8),1,0)</f>
        <v/>
      </c>
      <c r="KA33" s="17">
        <f>IF(AND(284&gt;=$B$8,284&lt;=$D$8),1,0)</f>
        <v/>
      </c>
      <c r="KB33" s="17">
        <f>IF(AND(285&gt;=$B$8,285&lt;=$D$8),1,0)</f>
        <v/>
      </c>
      <c r="KC33" s="17">
        <f>IF(AND(286&gt;=$B$8,286&lt;=$D$8),1,0)</f>
        <v/>
      </c>
      <c r="KD33" s="17">
        <f>IF(AND(287&gt;=$B$8,287&lt;=$D$8),1,0)</f>
        <v/>
      </c>
      <c r="KE33" s="17">
        <f>IF(AND(288&gt;=$B$8,288&lt;=$D$8),1,0)</f>
        <v/>
      </c>
      <c r="KF33" s="17">
        <f>IF(AND(289&gt;=$B$8,289&lt;=$D$8),1,0)</f>
        <v/>
      </c>
      <c r="KG33" s="17">
        <f>IF(AND(290&gt;=$B$8,290&lt;=$D$8),1,0)</f>
        <v/>
      </c>
      <c r="KH33" s="17">
        <f>IF(AND(291&gt;=$B$8,291&lt;=$D$8),1,0)</f>
        <v/>
      </c>
      <c r="KI33" s="17">
        <f>IF(AND(292&gt;=$B$8,292&lt;=$D$8),1,0)</f>
        <v/>
      </c>
      <c r="KJ33" s="17">
        <f>IF(AND(293&gt;=$B$8,293&lt;=$D$8),1,0)</f>
        <v/>
      </c>
      <c r="KK33" s="17">
        <f>IF(AND(294&gt;=$B$8,294&lt;=$D$8),1,0)</f>
        <v/>
      </c>
      <c r="KL33" s="17">
        <f>IF(AND(295&gt;=$B$8,295&lt;=$D$8),1,0)</f>
        <v/>
      </c>
      <c r="KM33" s="17">
        <f>IF(AND(296&gt;=$B$8,296&lt;=$D$8),1,0)</f>
        <v/>
      </c>
      <c r="KN33" s="17">
        <f>IF(AND(297&gt;=$B$8,297&lt;=$D$8),1,0)</f>
        <v/>
      </c>
      <c r="KO33" s="17">
        <f>IF(AND(298&gt;=$B$8,298&lt;=$D$8),1,0)</f>
        <v/>
      </c>
      <c r="KP33" s="17">
        <f>IF(AND(299&gt;=$B$8,299&lt;=$D$8),1,0)</f>
        <v/>
      </c>
      <c r="KQ33" s="17">
        <f>IF(AND(300&gt;=$B$8,300&lt;=$D$8),1,0)</f>
        <v/>
      </c>
      <c r="KR33" s="17">
        <f>IF(AND(301&gt;=$B$8,301&lt;=$D$8),1,0)</f>
        <v/>
      </c>
      <c r="KS33" s="17">
        <f>IF(AND(302&gt;=$B$8,302&lt;=$D$8),1,0)</f>
        <v/>
      </c>
      <c r="KT33" s="17">
        <f>IF(AND(303&gt;=$B$8,303&lt;=$D$8),1,0)</f>
        <v/>
      </c>
      <c r="KU33" s="17">
        <f>IF(AND(304&gt;=$B$8,304&lt;=$D$8),1,0)</f>
        <v/>
      </c>
      <c r="KV33" s="17">
        <f>IF(AND(305&gt;=$B$8,305&lt;=$D$8),1,0)</f>
        <v/>
      </c>
      <c r="KW33" s="17">
        <f>IF(AND(306&gt;=$B$8,306&lt;=$D$8),1,0)</f>
        <v/>
      </c>
      <c r="KX33" s="17">
        <f>IF(AND(307&gt;=$B$8,307&lt;=$D$8),1,0)</f>
        <v/>
      </c>
      <c r="KY33" s="17">
        <f>IF(AND(308&gt;=$B$8,308&lt;=$D$8),1,0)</f>
        <v/>
      </c>
      <c r="KZ33" s="17">
        <f>IF(AND(309&gt;=$B$8,309&lt;=$D$8),1,0)</f>
        <v/>
      </c>
      <c r="LA33" s="17">
        <f>IF(AND(310&gt;=$B$8,310&lt;=$D$8),1,0)</f>
        <v/>
      </c>
      <c r="LB33" s="17">
        <f>IF(AND(311&gt;=$B$8,311&lt;=$D$8),1,0)</f>
        <v/>
      </c>
      <c r="LC33" s="17">
        <f>IF(AND(312&gt;=$B$8,312&lt;=$D$8),1,0)</f>
        <v/>
      </c>
      <c r="LD33" s="17">
        <f>IF(AND(313&gt;=$B$8,313&lt;=$D$8),1,0)</f>
        <v/>
      </c>
      <c r="LE33" s="17">
        <f>IF(AND(314&gt;=$B$8,314&lt;=$D$8),1,0)</f>
        <v/>
      </c>
      <c r="LF33" s="17">
        <f>IF(AND(315&gt;=$B$8,315&lt;=$D$8),1,0)</f>
        <v/>
      </c>
      <c r="LG33" s="17">
        <f>IF(AND(316&gt;=$B$8,316&lt;=$D$8),1,0)</f>
        <v/>
      </c>
      <c r="LH33" s="17">
        <f>IF(AND(317&gt;=$B$8,317&lt;=$D$8),1,0)</f>
        <v/>
      </c>
      <c r="LI33" s="17">
        <f>IF(AND(318&gt;=$B$8,318&lt;=$D$8),1,0)</f>
        <v/>
      </c>
      <c r="LJ33" s="17">
        <f>IF(AND(319&gt;=$B$8,319&lt;=$D$8),1,0)</f>
        <v/>
      </c>
      <c r="LK33" s="17">
        <f>IF(AND(320&gt;=$B$8,320&lt;=$D$8),1,0)</f>
        <v/>
      </c>
      <c r="LL33" s="17">
        <f>IF(AND(321&gt;=$B$8,321&lt;=$D$8),1,0)</f>
        <v/>
      </c>
      <c r="LM33" s="17">
        <f>IF(AND(322&gt;=$B$8,322&lt;=$D$8),1,0)</f>
        <v/>
      </c>
      <c r="LN33" s="17">
        <f>IF(AND(323&gt;=$B$8,323&lt;=$D$8),1,0)</f>
        <v/>
      </c>
      <c r="LO33" s="17">
        <f>IF(AND(324&gt;=$B$8,324&lt;=$D$8),1,0)</f>
        <v/>
      </c>
      <c r="LP33" s="17">
        <f>IF(AND(325&gt;=$B$8,325&lt;=$D$8),1,0)</f>
        <v/>
      </c>
      <c r="LQ33" s="17">
        <f>IF(AND(326&gt;=$B$8,326&lt;=$D$8),1,0)</f>
        <v/>
      </c>
      <c r="LR33" s="17">
        <f>IF(AND(327&gt;=$B$8,327&lt;=$D$8),1,0)</f>
        <v/>
      </c>
      <c r="LS33" s="17">
        <f>IF(AND(328&gt;=$B$8,328&lt;=$D$8),1,0)</f>
        <v/>
      </c>
      <c r="LT33" s="17">
        <f>IF(AND(329&gt;=$B$8,329&lt;=$D$8),1,0)</f>
        <v/>
      </c>
      <c r="LU33" s="17">
        <f>IF(AND(330&gt;=$B$8,330&lt;=$D$8),1,0)</f>
        <v/>
      </c>
      <c r="LV33" s="17">
        <f>IF(AND(331&gt;=$B$8,331&lt;=$D$8),1,0)</f>
        <v/>
      </c>
      <c r="LW33" s="17">
        <f>IF(AND(332&gt;=$B$8,332&lt;=$D$8),1,0)</f>
        <v/>
      </c>
      <c r="LX33" s="17">
        <f>IF(AND(333&gt;=$B$8,333&lt;=$D$8),1,0)</f>
        <v/>
      </c>
      <c r="LY33" s="17">
        <f>IF(AND(334&gt;=$B$8,334&lt;=$D$8),1,0)</f>
        <v/>
      </c>
      <c r="LZ33" s="17">
        <f>IF(AND(335&gt;=$B$8,335&lt;=$D$8),1,0)</f>
        <v/>
      </c>
      <c r="MA33" s="17">
        <f>IF(AND(336&gt;=$B$8,336&lt;=$D$8),1,0)</f>
        <v/>
      </c>
      <c r="MB33" s="17">
        <f>IF(AND(337&gt;=$B$8,337&lt;=$D$8),1,0)</f>
        <v/>
      </c>
      <c r="MC33" s="17">
        <f>IF(AND(338&gt;=$B$8,338&lt;=$D$8),1,0)</f>
        <v/>
      </c>
      <c r="MD33" s="17">
        <f>IF(AND(339&gt;=$B$8,339&lt;=$D$8),1,0)</f>
        <v/>
      </c>
      <c r="ME33" s="17">
        <f>IF(AND(340&gt;=$B$8,340&lt;=$D$8),1,0)</f>
        <v/>
      </c>
      <c r="MF33" s="17">
        <f>IF(AND(341&gt;=$B$8,341&lt;=$D$8),1,0)</f>
        <v/>
      </c>
      <c r="MG33" s="17">
        <f>IF(AND(342&gt;=$B$8,342&lt;=$D$8),1,0)</f>
        <v/>
      </c>
      <c r="MH33" s="17">
        <f>IF(AND(343&gt;=$B$8,343&lt;=$D$8),1,0)</f>
        <v/>
      </c>
      <c r="MI33" s="17">
        <f>IF(AND(344&gt;=$B$8,344&lt;=$D$8),1,0)</f>
        <v/>
      </c>
      <c r="MJ33" s="17">
        <f>IF(AND(345&gt;=$B$8,345&lt;=$D$8),1,0)</f>
        <v/>
      </c>
      <c r="MK33" s="17">
        <f>IF(AND(346&gt;=$B$8,346&lt;=$D$8),1,0)</f>
        <v/>
      </c>
      <c r="ML33" s="17">
        <f>IF(AND(347&gt;=$B$8,347&lt;=$D$8),1,0)</f>
        <v/>
      </c>
      <c r="MM33" s="17">
        <f>IF(AND(348&gt;=$B$8,348&lt;=$D$8),1,0)</f>
        <v/>
      </c>
      <c r="MN33" s="17">
        <f>IF(AND(349&gt;=$B$8,349&lt;=$D$8),1,0)</f>
        <v/>
      </c>
      <c r="MO33" s="17">
        <f>IF(AND(350&gt;=$B$8,350&lt;=$D$8),1,0)</f>
        <v/>
      </c>
      <c r="MP33" s="17">
        <f>IF(AND(351&gt;=$B$8,351&lt;=$D$8),1,0)</f>
        <v/>
      </c>
      <c r="MQ33" s="17">
        <f>IF(AND(352&gt;=$B$8,352&lt;=$D$8),1,0)</f>
        <v/>
      </c>
      <c r="MR33" s="17">
        <f>IF(AND(353&gt;=$B$8,353&lt;=$D$8),1,0)</f>
        <v/>
      </c>
      <c r="MS33" s="17">
        <f>IF(AND(354&gt;=$B$8,354&lt;=$D$8),1,0)</f>
        <v/>
      </c>
      <c r="MT33" s="17">
        <f>IF(AND(355&gt;=$B$8,355&lt;=$D$8),1,0)</f>
        <v/>
      </c>
      <c r="MU33" s="17">
        <f>IF(AND(356&gt;=$B$8,356&lt;=$D$8),1,0)</f>
        <v/>
      </c>
      <c r="MV33" s="17">
        <f>IF(AND(357&gt;=$B$8,357&lt;=$D$8),1,0)</f>
        <v/>
      </c>
      <c r="MW33" s="17">
        <f>IF(AND(358&gt;=$B$8,358&lt;=$D$8),1,0)</f>
        <v/>
      </c>
      <c r="MX33" s="17">
        <f>IF(AND(359&gt;=$B$8,359&lt;=$D$8),1,0)</f>
        <v/>
      </c>
      <c r="MY33" s="17">
        <f>IF(AND(360&gt;=$B$8,360&lt;=$D$8),1,0)</f>
        <v/>
      </c>
      <c r="MZ33" s="17">
        <f>IF(AND(361&gt;=$B$8,361&lt;=$D$8),1,0)</f>
        <v/>
      </c>
      <c r="NA33" s="17">
        <f>IF(AND(362&gt;=$B$8,362&lt;=$D$8),1,0)</f>
        <v/>
      </c>
      <c r="NB33" s="17">
        <f>IF(AND(363&gt;=$B$8,363&lt;=$D$8),1,0)</f>
        <v/>
      </c>
      <c r="NC33" s="17">
        <f>IF(AND(364&gt;=$B$8,364&lt;=$D$8),1,0)</f>
        <v/>
      </c>
      <c r="ND33" s="17">
        <f>IF(AND(365&gt;=$B$8,365&lt;=$D$8),1,0)</f>
        <v/>
      </c>
      <c r="NE33" s="17">
        <f>IF(AND(366&gt;=$B$8,366&lt;=$D$8),1,0)</f>
        <v/>
      </c>
      <c r="NF33" s="17">
        <f>IF(AND(367&gt;=$B$8,367&lt;=$D$8),1,0)</f>
        <v/>
      </c>
      <c r="NG33" s="17">
        <f>IF(AND(368&gt;=$B$8,368&lt;=$D$8),1,0)</f>
        <v/>
      </c>
      <c r="NH33" s="17">
        <f>IF(AND(369&gt;=$B$8,369&lt;=$D$8),1,0)</f>
        <v/>
      </c>
      <c r="NI33" s="17">
        <f>IF(AND(370&gt;=$B$8,370&lt;=$D$8),1,0)</f>
        <v/>
      </c>
      <c r="NJ33" s="17">
        <f>IF(AND(371&gt;=$B$8,371&lt;=$D$8),1,0)</f>
        <v/>
      </c>
      <c r="NK33" s="17">
        <f>IF(AND(372&gt;=$B$8,372&lt;=$D$8),1,0)</f>
        <v/>
      </c>
    </row>
    <row r="34">
      <c r="A34" s="5" t="inlineStr">
        <is>
          <t>Flag: Construction</t>
        </is>
      </c>
      <c r="C34" s="40" t="n"/>
      <c r="D34" s="17">
        <f>IF(AND(1&gt;=$B$9,1&lt;=$D$9),1,0)</f>
        <v/>
      </c>
      <c r="E34" s="17">
        <f>IF(AND(2&gt;=$B$9,2&lt;=$D$9),1,0)</f>
        <v/>
      </c>
      <c r="F34" s="17">
        <f>IF(AND(3&gt;=$B$9,3&lt;=$D$9),1,0)</f>
        <v/>
      </c>
      <c r="G34" s="17">
        <f>IF(AND(4&gt;=$B$9,4&lt;=$D$9),1,0)</f>
        <v/>
      </c>
      <c r="H34" s="17">
        <f>IF(AND(5&gt;=$B$9,5&lt;=$D$9),1,0)</f>
        <v/>
      </c>
      <c r="I34" s="17">
        <f>IF(AND(6&gt;=$B$9,6&lt;=$D$9),1,0)</f>
        <v/>
      </c>
      <c r="J34" s="17">
        <f>IF(AND(7&gt;=$B$9,7&lt;=$D$9),1,0)</f>
        <v/>
      </c>
      <c r="K34" s="17">
        <f>IF(AND(8&gt;=$B$9,8&lt;=$D$9),1,0)</f>
        <v/>
      </c>
      <c r="L34" s="17">
        <f>IF(AND(9&gt;=$B$9,9&lt;=$D$9),1,0)</f>
        <v/>
      </c>
      <c r="M34" s="17">
        <f>IF(AND(10&gt;=$B$9,10&lt;=$D$9),1,0)</f>
        <v/>
      </c>
      <c r="N34" s="17">
        <f>IF(AND(11&gt;=$B$9,11&lt;=$D$9),1,0)</f>
        <v/>
      </c>
      <c r="O34" s="17">
        <f>IF(AND(12&gt;=$B$9,12&lt;=$D$9),1,0)</f>
        <v/>
      </c>
      <c r="P34" s="17">
        <f>IF(AND(13&gt;=$B$9,13&lt;=$D$9),1,0)</f>
        <v/>
      </c>
      <c r="Q34" s="17">
        <f>IF(AND(14&gt;=$B$9,14&lt;=$D$9),1,0)</f>
        <v/>
      </c>
      <c r="R34" s="17">
        <f>IF(AND(15&gt;=$B$9,15&lt;=$D$9),1,0)</f>
        <v/>
      </c>
      <c r="S34" s="17">
        <f>IF(AND(16&gt;=$B$9,16&lt;=$D$9),1,0)</f>
        <v/>
      </c>
      <c r="T34" s="17">
        <f>IF(AND(17&gt;=$B$9,17&lt;=$D$9),1,0)</f>
        <v/>
      </c>
      <c r="U34" s="17">
        <f>IF(AND(18&gt;=$B$9,18&lt;=$D$9),1,0)</f>
        <v/>
      </c>
      <c r="V34" s="17">
        <f>IF(AND(19&gt;=$B$9,19&lt;=$D$9),1,0)</f>
        <v/>
      </c>
      <c r="W34" s="17">
        <f>IF(AND(20&gt;=$B$9,20&lt;=$D$9),1,0)</f>
        <v/>
      </c>
      <c r="X34" s="17">
        <f>IF(AND(21&gt;=$B$9,21&lt;=$D$9),1,0)</f>
        <v/>
      </c>
      <c r="Y34" s="17">
        <f>IF(AND(22&gt;=$B$9,22&lt;=$D$9),1,0)</f>
        <v/>
      </c>
      <c r="Z34" s="17">
        <f>IF(AND(23&gt;=$B$9,23&lt;=$D$9),1,0)</f>
        <v/>
      </c>
      <c r="AA34" s="17">
        <f>IF(AND(24&gt;=$B$9,24&lt;=$D$9),1,0)</f>
        <v/>
      </c>
      <c r="AB34" s="17">
        <f>IF(AND(25&gt;=$B$9,25&lt;=$D$9),1,0)</f>
        <v/>
      </c>
      <c r="AC34" s="17">
        <f>IF(AND(26&gt;=$B$9,26&lt;=$D$9),1,0)</f>
        <v/>
      </c>
      <c r="AD34" s="17">
        <f>IF(AND(27&gt;=$B$9,27&lt;=$D$9),1,0)</f>
        <v/>
      </c>
      <c r="AE34" s="17">
        <f>IF(AND(28&gt;=$B$9,28&lt;=$D$9),1,0)</f>
        <v/>
      </c>
      <c r="AF34" s="17">
        <f>IF(AND(29&gt;=$B$9,29&lt;=$D$9),1,0)</f>
        <v/>
      </c>
      <c r="AG34" s="17">
        <f>IF(AND(30&gt;=$B$9,30&lt;=$D$9),1,0)</f>
        <v/>
      </c>
      <c r="AH34" s="17">
        <f>IF(AND(31&gt;=$B$9,31&lt;=$D$9),1,0)</f>
        <v/>
      </c>
      <c r="AI34" s="17">
        <f>IF(AND(32&gt;=$B$9,32&lt;=$D$9),1,0)</f>
        <v/>
      </c>
      <c r="AJ34" s="17">
        <f>IF(AND(33&gt;=$B$9,33&lt;=$D$9),1,0)</f>
        <v/>
      </c>
      <c r="AK34" s="17">
        <f>IF(AND(34&gt;=$B$9,34&lt;=$D$9),1,0)</f>
        <v/>
      </c>
      <c r="AL34" s="17">
        <f>IF(AND(35&gt;=$B$9,35&lt;=$D$9),1,0)</f>
        <v/>
      </c>
      <c r="AM34" s="17">
        <f>IF(AND(36&gt;=$B$9,36&lt;=$D$9),1,0)</f>
        <v/>
      </c>
      <c r="AN34" s="17">
        <f>IF(AND(37&gt;=$B$9,37&lt;=$D$9),1,0)</f>
        <v/>
      </c>
      <c r="AO34" s="17">
        <f>IF(AND(38&gt;=$B$9,38&lt;=$D$9),1,0)</f>
        <v/>
      </c>
      <c r="AP34" s="17">
        <f>IF(AND(39&gt;=$B$9,39&lt;=$D$9),1,0)</f>
        <v/>
      </c>
      <c r="AQ34" s="17">
        <f>IF(AND(40&gt;=$B$9,40&lt;=$D$9),1,0)</f>
        <v/>
      </c>
      <c r="AR34" s="17">
        <f>IF(AND(41&gt;=$B$9,41&lt;=$D$9),1,0)</f>
        <v/>
      </c>
      <c r="AS34" s="17">
        <f>IF(AND(42&gt;=$B$9,42&lt;=$D$9),1,0)</f>
        <v/>
      </c>
      <c r="AT34" s="17">
        <f>IF(AND(43&gt;=$B$9,43&lt;=$D$9),1,0)</f>
        <v/>
      </c>
      <c r="AU34" s="17">
        <f>IF(AND(44&gt;=$B$9,44&lt;=$D$9),1,0)</f>
        <v/>
      </c>
      <c r="AV34" s="17">
        <f>IF(AND(45&gt;=$B$9,45&lt;=$D$9),1,0)</f>
        <v/>
      </c>
      <c r="AW34" s="17">
        <f>IF(AND(46&gt;=$B$9,46&lt;=$D$9),1,0)</f>
        <v/>
      </c>
      <c r="AX34" s="17">
        <f>IF(AND(47&gt;=$B$9,47&lt;=$D$9),1,0)</f>
        <v/>
      </c>
      <c r="AY34" s="17">
        <f>IF(AND(48&gt;=$B$9,48&lt;=$D$9),1,0)</f>
        <v/>
      </c>
      <c r="AZ34" s="17">
        <f>IF(AND(49&gt;=$B$9,49&lt;=$D$9),1,0)</f>
        <v/>
      </c>
      <c r="BA34" s="17">
        <f>IF(AND(50&gt;=$B$9,50&lt;=$D$9),1,0)</f>
        <v/>
      </c>
      <c r="BB34" s="17">
        <f>IF(AND(51&gt;=$B$9,51&lt;=$D$9),1,0)</f>
        <v/>
      </c>
      <c r="BC34" s="17">
        <f>IF(AND(52&gt;=$B$9,52&lt;=$D$9),1,0)</f>
        <v/>
      </c>
      <c r="BD34" s="17">
        <f>IF(AND(53&gt;=$B$9,53&lt;=$D$9),1,0)</f>
        <v/>
      </c>
      <c r="BE34" s="17">
        <f>IF(AND(54&gt;=$B$9,54&lt;=$D$9),1,0)</f>
        <v/>
      </c>
      <c r="BF34" s="17">
        <f>IF(AND(55&gt;=$B$9,55&lt;=$D$9),1,0)</f>
        <v/>
      </c>
      <c r="BG34" s="17">
        <f>IF(AND(56&gt;=$B$9,56&lt;=$D$9),1,0)</f>
        <v/>
      </c>
      <c r="BH34" s="17">
        <f>IF(AND(57&gt;=$B$9,57&lt;=$D$9),1,0)</f>
        <v/>
      </c>
      <c r="BI34" s="17">
        <f>IF(AND(58&gt;=$B$9,58&lt;=$D$9),1,0)</f>
        <v/>
      </c>
      <c r="BJ34" s="17">
        <f>IF(AND(59&gt;=$B$9,59&lt;=$D$9),1,0)</f>
        <v/>
      </c>
      <c r="BK34" s="17">
        <f>IF(AND(60&gt;=$B$9,60&lt;=$D$9),1,0)</f>
        <v/>
      </c>
      <c r="BL34" s="17">
        <f>IF(AND(61&gt;=$B$9,61&lt;=$D$9),1,0)</f>
        <v/>
      </c>
      <c r="BM34" s="17">
        <f>IF(AND(62&gt;=$B$9,62&lt;=$D$9),1,0)</f>
        <v/>
      </c>
      <c r="BN34" s="17">
        <f>IF(AND(63&gt;=$B$9,63&lt;=$D$9),1,0)</f>
        <v/>
      </c>
      <c r="BO34" s="17">
        <f>IF(AND(64&gt;=$B$9,64&lt;=$D$9),1,0)</f>
        <v/>
      </c>
      <c r="BP34" s="17">
        <f>IF(AND(65&gt;=$B$9,65&lt;=$D$9),1,0)</f>
        <v/>
      </c>
      <c r="BQ34" s="17">
        <f>IF(AND(66&gt;=$B$9,66&lt;=$D$9),1,0)</f>
        <v/>
      </c>
      <c r="BR34" s="17">
        <f>IF(AND(67&gt;=$B$9,67&lt;=$D$9),1,0)</f>
        <v/>
      </c>
      <c r="BS34" s="17">
        <f>IF(AND(68&gt;=$B$9,68&lt;=$D$9),1,0)</f>
        <v/>
      </c>
      <c r="BT34" s="17">
        <f>IF(AND(69&gt;=$B$9,69&lt;=$D$9),1,0)</f>
        <v/>
      </c>
      <c r="BU34" s="17">
        <f>IF(AND(70&gt;=$B$9,70&lt;=$D$9),1,0)</f>
        <v/>
      </c>
      <c r="BV34" s="17">
        <f>IF(AND(71&gt;=$B$9,71&lt;=$D$9),1,0)</f>
        <v/>
      </c>
      <c r="BW34" s="17">
        <f>IF(AND(72&gt;=$B$9,72&lt;=$D$9),1,0)</f>
        <v/>
      </c>
      <c r="BX34" s="17">
        <f>IF(AND(73&gt;=$B$9,73&lt;=$D$9),1,0)</f>
        <v/>
      </c>
      <c r="BY34" s="17">
        <f>IF(AND(74&gt;=$B$9,74&lt;=$D$9),1,0)</f>
        <v/>
      </c>
      <c r="BZ34" s="17">
        <f>IF(AND(75&gt;=$B$9,75&lt;=$D$9),1,0)</f>
        <v/>
      </c>
      <c r="CA34" s="17">
        <f>IF(AND(76&gt;=$B$9,76&lt;=$D$9),1,0)</f>
        <v/>
      </c>
      <c r="CB34" s="17">
        <f>IF(AND(77&gt;=$B$9,77&lt;=$D$9),1,0)</f>
        <v/>
      </c>
      <c r="CC34" s="17">
        <f>IF(AND(78&gt;=$B$9,78&lt;=$D$9),1,0)</f>
        <v/>
      </c>
      <c r="CD34" s="17">
        <f>IF(AND(79&gt;=$B$9,79&lt;=$D$9),1,0)</f>
        <v/>
      </c>
      <c r="CE34" s="17">
        <f>IF(AND(80&gt;=$B$9,80&lt;=$D$9),1,0)</f>
        <v/>
      </c>
      <c r="CF34" s="17">
        <f>IF(AND(81&gt;=$B$9,81&lt;=$D$9),1,0)</f>
        <v/>
      </c>
      <c r="CG34" s="17">
        <f>IF(AND(82&gt;=$B$9,82&lt;=$D$9),1,0)</f>
        <v/>
      </c>
      <c r="CH34" s="17">
        <f>IF(AND(83&gt;=$B$9,83&lt;=$D$9),1,0)</f>
        <v/>
      </c>
      <c r="CI34" s="17">
        <f>IF(AND(84&gt;=$B$9,84&lt;=$D$9),1,0)</f>
        <v/>
      </c>
      <c r="CJ34" s="17">
        <f>IF(AND(85&gt;=$B$9,85&lt;=$D$9),1,0)</f>
        <v/>
      </c>
      <c r="CK34" s="17">
        <f>IF(AND(86&gt;=$B$9,86&lt;=$D$9),1,0)</f>
        <v/>
      </c>
      <c r="CL34" s="17">
        <f>IF(AND(87&gt;=$B$9,87&lt;=$D$9),1,0)</f>
        <v/>
      </c>
      <c r="CM34" s="17">
        <f>IF(AND(88&gt;=$B$9,88&lt;=$D$9),1,0)</f>
        <v/>
      </c>
      <c r="CN34" s="17">
        <f>IF(AND(89&gt;=$B$9,89&lt;=$D$9),1,0)</f>
        <v/>
      </c>
      <c r="CO34" s="17">
        <f>IF(AND(90&gt;=$B$9,90&lt;=$D$9),1,0)</f>
        <v/>
      </c>
      <c r="CP34" s="17">
        <f>IF(AND(91&gt;=$B$9,91&lt;=$D$9),1,0)</f>
        <v/>
      </c>
      <c r="CQ34" s="17">
        <f>IF(AND(92&gt;=$B$9,92&lt;=$D$9),1,0)</f>
        <v/>
      </c>
      <c r="CR34" s="17">
        <f>IF(AND(93&gt;=$B$9,93&lt;=$D$9),1,0)</f>
        <v/>
      </c>
      <c r="CS34" s="17">
        <f>IF(AND(94&gt;=$B$9,94&lt;=$D$9),1,0)</f>
        <v/>
      </c>
      <c r="CT34" s="17">
        <f>IF(AND(95&gt;=$B$9,95&lt;=$D$9),1,0)</f>
        <v/>
      </c>
      <c r="CU34" s="17">
        <f>IF(AND(96&gt;=$B$9,96&lt;=$D$9),1,0)</f>
        <v/>
      </c>
      <c r="CV34" s="17">
        <f>IF(AND(97&gt;=$B$9,97&lt;=$D$9),1,0)</f>
        <v/>
      </c>
      <c r="CW34" s="17">
        <f>IF(AND(98&gt;=$B$9,98&lt;=$D$9),1,0)</f>
        <v/>
      </c>
      <c r="CX34" s="17">
        <f>IF(AND(99&gt;=$B$9,99&lt;=$D$9),1,0)</f>
        <v/>
      </c>
      <c r="CY34" s="17">
        <f>IF(AND(100&gt;=$B$9,100&lt;=$D$9),1,0)</f>
        <v/>
      </c>
      <c r="CZ34" s="17">
        <f>IF(AND(101&gt;=$B$9,101&lt;=$D$9),1,0)</f>
        <v/>
      </c>
      <c r="DA34" s="17">
        <f>IF(AND(102&gt;=$B$9,102&lt;=$D$9),1,0)</f>
        <v/>
      </c>
      <c r="DB34" s="17">
        <f>IF(AND(103&gt;=$B$9,103&lt;=$D$9),1,0)</f>
        <v/>
      </c>
      <c r="DC34" s="17">
        <f>IF(AND(104&gt;=$B$9,104&lt;=$D$9),1,0)</f>
        <v/>
      </c>
      <c r="DD34" s="17">
        <f>IF(AND(105&gt;=$B$9,105&lt;=$D$9),1,0)</f>
        <v/>
      </c>
      <c r="DE34" s="17">
        <f>IF(AND(106&gt;=$B$9,106&lt;=$D$9),1,0)</f>
        <v/>
      </c>
      <c r="DF34" s="17">
        <f>IF(AND(107&gt;=$B$9,107&lt;=$D$9),1,0)</f>
        <v/>
      </c>
      <c r="DG34" s="17">
        <f>IF(AND(108&gt;=$B$9,108&lt;=$D$9),1,0)</f>
        <v/>
      </c>
      <c r="DH34" s="17">
        <f>IF(AND(109&gt;=$B$9,109&lt;=$D$9),1,0)</f>
        <v/>
      </c>
      <c r="DI34" s="17">
        <f>IF(AND(110&gt;=$B$9,110&lt;=$D$9),1,0)</f>
        <v/>
      </c>
      <c r="DJ34" s="17">
        <f>IF(AND(111&gt;=$B$9,111&lt;=$D$9),1,0)</f>
        <v/>
      </c>
      <c r="DK34" s="17">
        <f>IF(AND(112&gt;=$B$9,112&lt;=$D$9),1,0)</f>
        <v/>
      </c>
      <c r="DL34" s="17">
        <f>IF(AND(113&gt;=$B$9,113&lt;=$D$9),1,0)</f>
        <v/>
      </c>
      <c r="DM34" s="17">
        <f>IF(AND(114&gt;=$B$9,114&lt;=$D$9),1,0)</f>
        <v/>
      </c>
      <c r="DN34" s="17">
        <f>IF(AND(115&gt;=$B$9,115&lt;=$D$9),1,0)</f>
        <v/>
      </c>
      <c r="DO34" s="17">
        <f>IF(AND(116&gt;=$B$9,116&lt;=$D$9),1,0)</f>
        <v/>
      </c>
      <c r="DP34" s="17">
        <f>IF(AND(117&gt;=$B$9,117&lt;=$D$9),1,0)</f>
        <v/>
      </c>
      <c r="DQ34" s="17">
        <f>IF(AND(118&gt;=$B$9,118&lt;=$D$9),1,0)</f>
        <v/>
      </c>
      <c r="DR34" s="17">
        <f>IF(AND(119&gt;=$B$9,119&lt;=$D$9),1,0)</f>
        <v/>
      </c>
      <c r="DS34" s="17">
        <f>IF(AND(120&gt;=$B$9,120&lt;=$D$9),1,0)</f>
        <v/>
      </c>
      <c r="DT34" s="17">
        <f>IF(AND(121&gt;=$B$9,121&lt;=$D$9),1,0)</f>
        <v/>
      </c>
      <c r="DU34" s="17">
        <f>IF(AND(122&gt;=$B$9,122&lt;=$D$9),1,0)</f>
        <v/>
      </c>
      <c r="DV34" s="17">
        <f>IF(AND(123&gt;=$B$9,123&lt;=$D$9),1,0)</f>
        <v/>
      </c>
      <c r="DW34" s="17">
        <f>IF(AND(124&gt;=$B$9,124&lt;=$D$9),1,0)</f>
        <v/>
      </c>
      <c r="DX34" s="17">
        <f>IF(AND(125&gt;=$B$9,125&lt;=$D$9),1,0)</f>
        <v/>
      </c>
      <c r="DY34" s="17">
        <f>IF(AND(126&gt;=$B$9,126&lt;=$D$9),1,0)</f>
        <v/>
      </c>
      <c r="DZ34" s="17">
        <f>IF(AND(127&gt;=$B$9,127&lt;=$D$9),1,0)</f>
        <v/>
      </c>
      <c r="EA34" s="17">
        <f>IF(AND(128&gt;=$B$9,128&lt;=$D$9),1,0)</f>
        <v/>
      </c>
      <c r="EB34" s="17">
        <f>IF(AND(129&gt;=$B$9,129&lt;=$D$9),1,0)</f>
        <v/>
      </c>
      <c r="EC34" s="17">
        <f>IF(AND(130&gt;=$B$9,130&lt;=$D$9),1,0)</f>
        <v/>
      </c>
      <c r="ED34" s="17">
        <f>IF(AND(131&gt;=$B$9,131&lt;=$D$9),1,0)</f>
        <v/>
      </c>
      <c r="EE34" s="17">
        <f>IF(AND(132&gt;=$B$9,132&lt;=$D$9),1,0)</f>
        <v/>
      </c>
      <c r="EF34" s="17">
        <f>IF(AND(133&gt;=$B$9,133&lt;=$D$9),1,0)</f>
        <v/>
      </c>
      <c r="EG34" s="17">
        <f>IF(AND(134&gt;=$B$9,134&lt;=$D$9),1,0)</f>
        <v/>
      </c>
      <c r="EH34" s="17">
        <f>IF(AND(135&gt;=$B$9,135&lt;=$D$9),1,0)</f>
        <v/>
      </c>
      <c r="EI34" s="17">
        <f>IF(AND(136&gt;=$B$9,136&lt;=$D$9),1,0)</f>
        <v/>
      </c>
      <c r="EJ34" s="17">
        <f>IF(AND(137&gt;=$B$9,137&lt;=$D$9),1,0)</f>
        <v/>
      </c>
      <c r="EK34" s="17">
        <f>IF(AND(138&gt;=$B$9,138&lt;=$D$9),1,0)</f>
        <v/>
      </c>
      <c r="EL34" s="17">
        <f>IF(AND(139&gt;=$B$9,139&lt;=$D$9),1,0)</f>
        <v/>
      </c>
      <c r="EM34" s="17">
        <f>IF(AND(140&gt;=$B$9,140&lt;=$D$9),1,0)</f>
        <v/>
      </c>
      <c r="EN34" s="17">
        <f>IF(AND(141&gt;=$B$9,141&lt;=$D$9),1,0)</f>
        <v/>
      </c>
      <c r="EO34" s="17">
        <f>IF(AND(142&gt;=$B$9,142&lt;=$D$9),1,0)</f>
        <v/>
      </c>
      <c r="EP34" s="17">
        <f>IF(AND(143&gt;=$B$9,143&lt;=$D$9),1,0)</f>
        <v/>
      </c>
      <c r="EQ34" s="17">
        <f>IF(AND(144&gt;=$B$9,144&lt;=$D$9),1,0)</f>
        <v/>
      </c>
      <c r="ER34" s="17">
        <f>IF(AND(145&gt;=$B$9,145&lt;=$D$9),1,0)</f>
        <v/>
      </c>
      <c r="ES34" s="17">
        <f>IF(AND(146&gt;=$B$9,146&lt;=$D$9),1,0)</f>
        <v/>
      </c>
      <c r="ET34" s="17">
        <f>IF(AND(147&gt;=$B$9,147&lt;=$D$9),1,0)</f>
        <v/>
      </c>
      <c r="EU34" s="17">
        <f>IF(AND(148&gt;=$B$9,148&lt;=$D$9),1,0)</f>
        <v/>
      </c>
      <c r="EV34" s="17">
        <f>IF(AND(149&gt;=$B$9,149&lt;=$D$9),1,0)</f>
        <v/>
      </c>
      <c r="EW34" s="17">
        <f>IF(AND(150&gt;=$B$9,150&lt;=$D$9),1,0)</f>
        <v/>
      </c>
      <c r="EX34" s="17">
        <f>IF(AND(151&gt;=$B$9,151&lt;=$D$9),1,0)</f>
        <v/>
      </c>
      <c r="EY34" s="17">
        <f>IF(AND(152&gt;=$B$9,152&lt;=$D$9),1,0)</f>
        <v/>
      </c>
      <c r="EZ34" s="17">
        <f>IF(AND(153&gt;=$B$9,153&lt;=$D$9),1,0)</f>
        <v/>
      </c>
      <c r="FA34" s="17">
        <f>IF(AND(154&gt;=$B$9,154&lt;=$D$9),1,0)</f>
        <v/>
      </c>
      <c r="FB34" s="17">
        <f>IF(AND(155&gt;=$B$9,155&lt;=$D$9),1,0)</f>
        <v/>
      </c>
      <c r="FC34" s="17">
        <f>IF(AND(156&gt;=$B$9,156&lt;=$D$9),1,0)</f>
        <v/>
      </c>
      <c r="FD34" s="17">
        <f>IF(AND(157&gt;=$B$9,157&lt;=$D$9),1,0)</f>
        <v/>
      </c>
      <c r="FE34" s="17">
        <f>IF(AND(158&gt;=$B$9,158&lt;=$D$9),1,0)</f>
        <v/>
      </c>
      <c r="FF34" s="17">
        <f>IF(AND(159&gt;=$B$9,159&lt;=$D$9),1,0)</f>
        <v/>
      </c>
      <c r="FG34" s="17">
        <f>IF(AND(160&gt;=$B$9,160&lt;=$D$9),1,0)</f>
        <v/>
      </c>
      <c r="FH34" s="17">
        <f>IF(AND(161&gt;=$B$9,161&lt;=$D$9),1,0)</f>
        <v/>
      </c>
      <c r="FI34" s="17">
        <f>IF(AND(162&gt;=$B$9,162&lt;=$D$9),1,0)</f>
        <v/>
      </c>
      <c r="FJ34" s="17">
        <f>IF(AND(163&gt;=$B$9,163&lt;=$D$9),1,0)</f>
        <v/>
      </c>
      <c r="FK34" s="17">
        <f>IF(AND(164&gt;=$B$9,164&lt;=$D$9),1,0)</f>
        <v/>
      </c>
      <c r="FL34" s="17">
        <f>IF(AND(165&gt;=$B$9,165&lt;=$D$9),1,0)</f>
        <v/>
      </c>
      <c r="FM34" s="17">
        <f>IF(AND(166&gt;=$B$9,166&lt;=$D$9),1,0)</f>
        <v/>
      </c>
      <c r="FN34" s="17">
        <f>IF(AND(167&gt;=$B$9,167&lt;=$D$9),1,0)</f>
        <v/>
      </c>
      <c r="FO34" s="17">
        <f>IF(AND(168&gt;=$B$9,168&lt;=$D$9),1,0)</f>
        <v/>
      </c>
      <c r="FP34" s="17">
        <f>IF(AND(169&gt;=$B$9,169&lt;=$D$9),1,0)</f>
        <v/>
      </c>
      <c r="FQ34" s="17">
        <f>IF(AND(170&gt;=$B$9,170&lt;=$D$9),1,0)</f>
        <v/>
      </c>
      <c r="FR34" s="17">
        <f>IF(AND(171&gt;=$B$9,171&lt;=$D$9),1,0)</f>
        <v/>
      </c>
      <c r="FS34" s="17">
        <f>IF(AND(172&gt;=$B$9,172&lt;=$D$9),1,0)</f>
        <v/>
      </c>
      <c r="FT34" s="17">
        <f>IF(AND(173&gt;=$B$9,173&lt;=$D$9),1,0)</f>
        <v/>
      </c>
      <c r="FU34" s="17">
        <f>IF(AND(174&gt;=$B$9,174&lt;=$D$9),1,0)</f>
        <v/>
      </c>
      <c r="FV34" s="17">
        <f>IF(AND(175&gt;=$B$9,175&lt;=$D$9),1,0)</f>
        <v/>
      </c>
      <c r="FW34" s="17">
        <f>IF(AND(176&gt;=$B$9,176&lt;=$D$9),1,0)</f>
        <v/>
      </c>
      <c r="FX34" s="17">
        <f>IF(AND(177&gt;=$B$9,177&lt;=$D$9),1,0)</f>
        <v/>
      </c>
      <c r="FY34" s="17">
        <f>IF(AND(178&gt;=$B$9,178&lt;=$D$9),1,0)</f>
        <v/>
      </c>
      <c r="FZ34" s="17">
        <f>IF(AND(179&gt;=$B$9,179&lt;=$D$9),1,0)</f>
        <v/>
      </c>
      <c r="GA34" s="17">
        <f>IF(AND(180&gt;=$B$9,180&lt;=$D$9),1,0)</f>
        <v/>
      </c>
      <c r="GB34" s="17">
        <f>IF(AND(181&gt;=$B$9,181&lt;=$D$9),1,0)</f>
        <v/>
      </c>
      <c r="GC34" s="17">
        <f>IF(AND(182&gt;=$B$9,182&lt;=$D$9),1,0)</f>
        <v/>
      </c>
      <c r="GD34" s="17">
        <f>IF(AND(183&gt;=$B$9,183&lt;=$D$9),1,0)</f>
        <v/>
      </c>
      <c r="GE34" s="17">
        <f>IF(AND(184&gt;=$B$9,184&lt;=$D$9),1,0)</f>
        <v/>
      </c>
      <c r="GF34" s="17">
        <f>IF(AND(185&gt;=$B$9,185&lt;=$D$9),1,0)</f>
        <v/>
      </c>
      <c r="GG34" s="17">
        <f>IF(AND(186&gt;=$B$9,186&lt;=$D$9),1,0)</f>
        <v/>
      </c>
      <c r="GH34" s="17">
        <f>IF(AND(187&gt;=$B$9,187&lt;=$D$9),1,0)</f>
        <v/>
      </c>
      <c r="GI34" s="17">
        <f>IF(AND(188&gt;=$B$9,188&lt;=$D$9),1,0)</f>
        <v/>
      </c>
      <c r="GJ34" s="17">
        <f>IF(AND(189&gt;=$B$9,189&lt;=$D$9),1,0)</f>
        <v/>
      </c>
      <c r="GK34" s="17">
        <f>IF(AND(190&gt;=$B$9,190&lt;=$D$9),1,0)</f>
        <v/>
      </c>
      <c r="GL34" s="17">
        <f>IF(AND(191&gt;=$B$9,191&lt;=$D$9),1,0)</f>
        <v/>
      </c>
      <c r="GM34" s="17">
        <f>IF(AND(192&gt;=$B$9,192&lt;=$D$9),1,0)</f>
        <v/>
      </c>
      <c r="GN34" s="17">
        <f>IF(AND(193&gt;=$B$9,193&lt;=$D$9),1,0)</f>
        <v/>
      </c>
      <c r="GO34" s="17">
        <f>IF(AND(194&gt;=$B$9,194&lt;=$D$9),1,0)</f>
        <v/>
      </c>
      <c r="GP34" s="17">
        <f>IF(AND(195&gt;=$B$9,195&lt;=$D$9),1,0)</f>
        <v/>
      </c>
      <c r="GQ34" s="17">
        <f>IF(AND(196&gt;=$B$9,196&lt;=$D$9),1,0)</f>
        <v/>
      </c>
      <c r="GR34" s="17">
        <f>IF(AND(197&gt;=$B$9,197&lt;=$D$9),1,0)</f>
        <v/>
      </c>
      <c r="GS34" s="17">
        <f>IF(AND(198&gt;=$B$9,198&lt;=$D$9),1,0)</f>
        <v/>
      </c>
      <c r="GT34" s="17">
        <f>IF(AND(199&gt;=$B$9,199&lt;=$D$9),1,0)</f>
        <v/>
      </c>
      <c r="GU34" s="17">
        <f>IF(AND(200&gt;=$B$9,200&lt;=$D$9),1,0)</f>
        <v/>
      </c>
      <c r="GV34" s="17">
        <f>IF(AND(201&gt;=$B$9,201&lt;=$D$9),1,0)</f>
        <v/>
      </c>
      <c r="GW34" s="17">
        <f>IF(AND(202&gt;=$B$9,202&lt;=$D$9),1,0)</f>
        <v/>
      </c>
      <c r="GX34" s="17">
        <f>IF(AND(203&gt;=$B$9,203&lt;=$D$9),1,0)</f>
        <v/>
      </c>
      <c r="GY34" s="17">
        <f>IF(AND(204&gt;=$B$9,204&lt;=$D$9),1,0)</f>
        <v/>
      </c>
      <c r="GZ34" s="17">
        <f>IF(AND(205&gt;=$B$9,205&lt;=$D$9),1,0)</f>
        <v/>
      </c>
      <c r="HA34" s="17">
        <f>IF(AND(206&gt;=$B$9,206&lt;=$D$9),1,0)</f>
        <v/>
      </c>
      <c r="HB34" s="17">
        <f>IF(AND(207&gt;=$B$9,207&lt;=$D$9),1,0)</f>
        <v/>
      </c>
      <c r="HC34" s="17">
        <f>IF(AND(208&gt;=$B$9,208&lt;=$D$9),1,0)</f>
        <v/>
      </c>
      <c r="HD34" s="17">
        <f>IF(AND(209&gt;=$B$9,209&lt;=$D$9),1,0)</f>
        <v/>
      </c>
      <c r="HE34" s="17">
        <f>IF(AND(210&gt;=$B$9,210&lt;=$D$9),1,0)</f>
        <v/>
      </c>
      <c r="HF34" s="17">
        <f>IF(AND(211&gt;=$B$9,211&lt;=$D$9),1,0)</f>
        <v/>
      </c>
      <c r="HG34" s="17">
        <f>IF(AND(212&gt;=$B$9,212&lt;=$D$9),1,0)</f>
        <v/>
      </c>
      <c r="HH34" s="17">
        <f>IF(AND(213&gt;=$B$9,213&lt;=$D$9),1,0)</f>
        <v/>
      </c>
      <c r="HI34" s="17">
        <f>IF(AND(214&gt;=$B$9,214&lt;=$D$9),1,0)</f>
        <v/>
      </c>
      <c r="HJ34" s="17">
        <f>IF(AND(215&gt;=$B$9,215&lt;=$D$9),1,0)</f>
        <v/>
      </c>
      <c r="HK34" s="17">
        <f>IF(AND(216&gt;=$B$9,216&lt;=$D$9),1,0)</f>
        <v/>
      </c>
      <c r="HL34" s="17">
        <f>IF(AND(217&gt;=$B$9,217&lt;=$D$9),1,0)</f>
        <v/>
      </c>
      <c r="HM34" s="17">
        <f>IF(AND(218&gt;=$B$9,218&lt;=$D$9),1,0)</f>
        <v/>
      </c>
      <c r="HN34" s="17">
        <f>IF(AND(219&gt;=$B$9,219&lt;=$D$9),1,0)</f>
        <v/>
      </c>
      <c r="HO34" s="17">
        <f>IF(AND(220&gt;=$B$9,220&lt;=$D$9),1,0)</f>
        <v/>
      </c>
      <c r="HP34" s="17">
        <f>IF(AND(221&gt;=$B$9,221&lt;=$D$9),1,0)</f>
        <v/>
      </c>
      <c r="HQ34" s="17">
        <f>IF(AND(222&gt;=$B$9,222&lt;=$D$9),1,0)</f>
        <v/>
      </c>
      <c r="HR34" s="17">
        <f>IF(AND(223&gt;=$B$9,223&lt;=$D$9),1,0)</f>
        <v/>
      </c>
      <c r="HS34" s="17">
        <f>IF(AND(224&gt;=$B$9,224&lt;=$D$9),1,0)</f>
        <v/>
      </c>
      <c r="HT34" s="17">
        <f>IF(AND(225&gt;=$B$9,225&lt;=$D$9),1,0)</f>
        <v/>
      </c>
      <c r="HU34" s="17">
        <f>IF(AND(226&gt;=$B$9,226&lt;=$D$9),1,0)</f>
        <v/>
      </c>
      <c r="HV34" s="17">
        <f>IF(AND(227&gt;=$B$9,227&lt;=$D$9),1,0)</f>
        <v/>
      </c>
      <c r="HW34" s="17">
        <f>IF(AND(228&gt;=$B$9,228&lt;=$D$9),1,0)</f>
        <v/>
      </c>
      <c r="HX34" s="17">
        <f>IF(AND(229&gt;=$B$9,229&lt;=$D$9),1,0)</f>
        <v/>
      </c>
      <c r="HY34" s="17">
        <f>IF(AND(230&gt;=$B$9,230&lt;=$D$9),1,0)</f>
        <v/>
      </c>
      <c r="HZ34" s="17">
        <f>IF(AND(231&gt;=$B$9,231&lt;=$D$9),1,0)</f>
        <v/>
      </c>
      <c r="IA34" s="17">
        <f>IF(AND(232&gt;=$B$9,232&lt;=$D$9),1,0)</f>
        <v/>
      </c>
      <c r="IB34" s="17">
        <f>IF(AND(233&gt;=$B$9,233&lt;=$D$9),1,0)</f>
        <v/>
      </c>
      <c r="IC34" s="17">
        <f>IF(AND(234&gt;=$B$9,234&lt;=$D$9),1,0)</f>
        <v/>
      </c>
      <c r="ID34" s="17">
        <f>IF(AND(235&gt;=$B$9,235&lt;=$D$9),1,0)</f>
        <v/>
      </c>
      <c r="IE34" s="17">
        <f>IF(AND(236&gt;=$B$9,236&lt;=$D$9),1,0)</f>
        <v/>
      </c>
      <c r="IF34" s="17">
        <f>IF(AND(237&gt;=$B$9,237&lt;=$D$9),1,0)</f>
        <v/>
      </c>
      <c r="IG34" s="17">
        <f>IF(AND(238&gt;=$B$9,238&lt;=$D$9),1,0)</f>
        <v/>
      </c>
      <c r="IH34" s="17">
        <f>IF(AND(239&gt;=$B$9,239&lt;=$D$9),1,0)</f>
        <v/>
      </c>
      <c r="II34" s="17">
        <f>IF(AND(240&gt;=$B$9,240&lt;=$D$9),1,0)</f>
        <v/>
      </c>
      <c r="IJ34" s="17">
        <f>IF(AND(241&gt;=$B$9,241&lt;=$D$9),1,0)</f>
        <v/>
      </c>
      <c r="IK34" s="17">
        <f>IF(AND(242&gt;=$B$9,242&lt;=$D$9),1,0)</f>
        <v/>
      </c>
      <c r="IL34" s="17">
        <f>IF(AND(243&gt;=$B$9,243&lt;=$D$9),1,0)</f>
        <v/>
      </c>
      <c r="IM34" s="17">
        <f>IF(AND(244&gt;=$B$9,244&lt;=$D$9),1,0)</f>
        <v/>
      </c>
      <c r="IN34" s="17">
        <f>IF(AND(245&gt;=$B$9,245&lt;=$D$9),1,0)</f>
        <v/>
      </c>
      <c r="IO34" s="17">
        <f>IF(AND(246&gt;=$B$9,246&lt;=$D$9),1,0)</f>
        <v/>
      </c>
      <c r="IP34" s="17">
        <f>IF(AND(247&gt;=$B$9,247&lt;=$D$9),1,0)</f>
        <v/>
      </c>
      <c r="IQ34" s="17">
        <f>IF(AND(248&gt;=$B$9,248&lt;=$D$9),1,0)</f>
        <v/>
      </c>
      <c r="IR34" s="17">
        <f>IF(AND(249&gt;=$B$9,249&lt;=$D$9),1,0)</f>
        <v/>
      </c>
      <c r="IS34" s="17">
        <f>IF(AND(250&gt;=$B$9,250&lt;=$D$9),1,0)</f>
        <v/>
      </c>
      <c r="IT34" s="17">
        <f>IF(AND(251&gt;=$B$9,251&lt;=$D$9),1,0)</f>
        <v/>
      </c>
      <c r="IU34" s="17">
        <f>IF(AND(252&gt;=$B$9,252&lt;=$D$9),1,0)</f>
        <v/>
      </c>
      <c r="IV34" s="17">
        <f>IF(AND(253&gt;=$B$9,253&lt;=$D$9),1,0)</f>
        <v/>
      </c>
      <c r="IW34" s="17">
        <f>IF(AND(254&gt;=$B$9,254&lt;=$D$9),1,0)</f>
        <v/>
      </c>
      <c r="IX34" s="17">
        <f>IF(AND(255&gt;=$B$9,255&lt;=$D$9),1,0)</f>
        <v/>
      </c>
      <c r="IY34" s="17">
        <f>IF(AND(256&gt;=$B$9,256&lt;=$D$9),1,0)</f>
        <v/>
      </c>
      <c r="IZ34" s="17">
        <f>IF(AND(257&gt;=$B$9,257&lt;=$D$9),1,0)</f>
        <v/>
      </c>
      <c r="JA34" s="17">
        <f>IF(AND(258&gt;=$B$9,258&lt;=$D$9),1,0)</f>
        <v/>
      </c>
      <c r="JB34" s="17">
        <f>IF(AND(259&gt;=$B$9,259&lt;=$D$9),1,0)</f>
        <v/>
      </c>
      <c r="JC34" s="17">
        <f>IF(AND(260&gt;=$B$9,260&lt;=$D$9),1,0)</f>
        <v/>
      </c>
      <c r="JD34" s="17">
        <f>IF(AND(261&gt;=$B$9,261&lt;=$D$9),1,0)</f>
        <v/>
      </c>
      <c r="JE34" s="17">
        <f>IF(AND(262&gt;=$B$9,262&lt;=$D$9),1,0)</f>
        <v/>
      </c>
      <c r="JF34" s="17">
        <f>IF(AND(263&gt;=$B$9,263&lt;=$D$9),1,0)</f>
        <v/>
      </c>
      <c r="JG34" s="17">
        <f>IF(AND(264&gt;=$B$9,264&lt;=$D$9),1,0)</f>
        <v/>
      </c>
      <c r="JH34" s="17">
        <f>IF(AND(265&gt;=$B$9,265&lt;=$D$9),1,0)</f>
        <v/>
      </c>
      <c r="JI34" s="17">
        <f>IF(AND(266&gt;=$B$9,266&lt;=$D$9),1,0)</f>
        <v/>
      </c>
      <c r="JJ34" s="17">
        <f>IF(AND(267&gt;=$B$9,267&lt;=$D$9),1,0)</f>
        <v/>
      </c>
      <c r="JK34" s="17">
        <f>IF(AND(268&gt;=$B$9,268&lt;=$D$9),1,0)</f>
        <v/>
      </c>
      <c r="JL34" s="17">
        <f>IF(AND(269&gt;=$B$9,269&lt;=$D$9),1,0)</f>
        <v/>
      </c>
      <c r="JM34" s="17">
        <f>IF(AND(270&gt;=$B$9,270&lt;=$D$9),1,0)</f>
        <v/>
      </c>
      <c r="JN34" s="17">
        <f>IF(AND(271&gt;=$B$9,271&lt;=$D$9),1,0)</f>
        <v/>
      </c>
      <c r="JO34" s="17">
        <f>IF(AND(272&gt;=$B$9,272&lt;=$D$9),1,0)</f>
        <v/>
      </c>
      <c r="JP34" s="17">
        <f>IF(AND(273&gt;=$B$9,273&lt;=$D$9),1,0)</f>
        <v/>
      </c>
      <c r="JQ34" s="17">
        <f>IF(AND(274&gt;=$B$9,274&lt;=$D$9),1,0)</f>
        <v/>
      </c>
      <c r="JR34" s="17">
        <f>IF(AND(275&gt;=$B$9,275&lt;=$D$9),1,0)</f>
        <v/>
      </c>
      <c r="JS34" s="17">
        <f>IF(AND(276&gt;=$B$9,276&lt;=$D$9),1,0)</f>
        <v/>
      </c>
      <c r="JT34" s="17">
        <f>IF(AND(277&gt;=$B$9,277&lt;=$D$9),1,0)</f>
        <v/>
      </c>
      <c r="JU34" s="17">
        <f>IF(AND(278&gt;=$B$9,278&lt;=$D$9),1,0)</f>
        <v/>
      </c>
      <c r="JV34" s="17">
        <f>IF(AND(279&gt;=$B$9,279&lt;=$D$9),1,0)</f>
        <v/>
      </c>
      <c r="JW34" s="17">
        <f>IF(AND(280&gt;=$B$9,280&lt;=$D$9),1,0)</f>
        <v/>
      </c>
      <c r="JX34" s="17">
        <f>IF(AND(281&gt;=$B$9,281&lt;=$D$9),1,0)</f>
        <v/>
      </c>
      <c r="JY34" s="17">
        <f>IF(AND(282&gt;=$B$9,282&lt;=$D$9),1,0)</f>
        <v/>
      </c>
      <c r="JZ34" s="17">
        <f>IF(AND(283&gt;=$B$9,283&lt;=$D$9),1,0)</f>
        <v/>
      </c>
      <c r="KA34" s="17">
        <f>IF(AND(284&gt;=$B$9,284&lt;=$D$9),1,0)</f>
        <v/>
      </c>
      <c r="KB34" s="17">
        <f>IF(AND(285&gt;=$B$9,285&lt;=$D$9),1,0)</f>
        <v/>
      </c>
      <c r="KC34" s="17">
        <f>IF(AND(286&gt;=$B$9,286&lt;=$D$9),1,0)</f>
        <v/>
      </c>
      <c r="KD34" s="17">
        <f>IF(AND(287&gt;=$B$9,287&lt;=$D$9),1,0)</f>
        <v/>
      </c>
      <c r="KE34" s="17">
        <f>IF(AND(288&gt;=$B$9,288&lt;=$D$9),1,0)</f>
        <v/>
      </c>
      <c r="KF34" s="17">
        <f>IF(AND(289&gt;=$B$9,289&lt;=$D$9),1,0)</f>
        <v/>
      </c>
      <c r="KG34" s="17">
        <f>IF(AND(290&gt;=$B$9,290&lt;=$D$9),1,0)</f>
        <v/>
      </c>
      <c r="KH34" s="17">
        <f>IF(AND(291&gt;=$B$9,291&lt;=$D$9),1,0)</f>
        <v/>
      </c>
      <c r="KI34" s="17">
        <f>IF(AND(292&gt;=$B$9,292&lt;=$D$9),1,0)</f>
        <v/>
      </c>
      <c r="KJ34" s="17">
        <f>IF(AND(293&gt;=$B$9,293&lt;=$D$9),1,0)</f>
        <v/>
      </c>
      <c r="KK34" s="17">
        <f>IF(AND(294&gt;=$B$9,294&lt;=$D$9),1,0)</f>
        <v/>
      </c>
      <c r="KL34" s="17">
        <f>IF(AND(295&gt;=$B$9,295&lt;=$D$9),1,0)</f>
        <v/>
      </c>
      <c r="KM34" s="17">
        <f>IF(AND(296&gt;=$B$9,296&lt;=$D$9),1,0)</f>
        <v/>
      </c>
      <c r="KN34" s="17">
        <f>IF(AND(297&gt;=$B$9,297&lt;=$D$9),1,0)</f>
        <v/>
      </c>
      <c r="KO34" s="17">
        <f>IF(AND(298&gt;=$B$9,298&lt;=$D$9),1,0)</f>
        <v/>
      </c>
      <c r="KP34" s="17">
        <f>IF(AND(299&gt;=$B$9,299&lt;=$D$9),1,0)</f>
        <v/>
      </c>
      <c r="KQ34" s="17">
        <f>IF(AND(300&gt;=$B$9,300&lt;=$D$9),1,0)</f>
        <v/>
      </c>
      <c r="KR34" s="17">
        <f>IF(AND(301&gt;=$B$9,301&lt;=$D$9),1,0)</f>
        <v/>
      </c>
      <c r="KS34" s="17">
        <f>IF(AND(302&gt;=$B$9,302&lt;=$D$9),1,0)</f>
        <v/>
      </c>
      <c r="KT34" s="17">
        <f>IF(AND(303&gt;=$B$9,303&lt;=$D$9),1,0)</f>
        <v/>
      </c>
      <c r="KU34" s="17">
        <f>IF(AND(304&gt;=$B$9,304&lt;=$D$9),1,0)</f>
        <v/>
      </c>
      <c r="KV34" s="17">
        <f>IF(AND(305&gt;=$B$9,305&lt;=$D$9),1,0)</f>
        <v/>
      </c>
      <c r="KW34" s="17">
        <f>IF(AND(306&gt;=$B$9,306&lt;=$D$9),1,0)</f>
        <v/>
      </c>
      <c r="KX34" s="17">
        <f>IF(AND(307&gt;=$B$9,307&lt;=$D$9),1,0)</f>
        <v/>
      </c>
      <c r="KY34" s="17">
        <f>IF(AND(308&gt;=$B$9,308&lt;=$D$9),1,0)</f>
        <v/>
      </c>
      <c r="KZ34" s="17">
        <f>IF(AND(309&gt;=$B$9,309&lt;=$D$9),1,0)</f>
        <v/>
      </c>
      <c r="LA34" s="17">
        <f>IF(AND(310&gt;=$B$9,310&lt;=$D$9),1,0)</f>
        <v/>
      </c>
      <c r="LB34" s="17">
        <f>IF(AND(311&gt;=$B$9,311&lt;=$D$9),1,0)</f>
        <v/>
      </c>
      <c r="LC34" s="17">
        <f>IF(AND(312&gt;=$B$9,312&lt;=$D$9),1,0)</f>
        <v/>
      </c>
      <c r="LD34" s="17">
        <f>IF(AND(313&gt;=$B$9,313&lt;=$D$9),1,0)</f>
        <v/>
      </c>
      <c r="LE34" s="17">
        <f>IF(AND(314&gt;=$B$9,314&lt;=$D$9),1,0)</f>
        <v/>
      </c>
      <c r="LF34" s="17">
        <f>IF(AND(315&gt;=$B$9,315&lt;=$D$9),1,0)</f>
        <v/>
      </c>
      <c r="LG34" s="17">
        <f>IF(AND(316&gt;=$B$9,316&lt;=$D$9),1,0)</f>
        <v/>
      </c>
      <c r="LH34" s="17">
        <f>IF(AND(317&gt;=$B$9,317&lt;=$D$9),1,0)</f>
        <v/>
      </c>
      <c r="LI34" s="17">
        <f>IF(AND(318&gt;=$B$9,318&lt;=$D$9),1,0)</f>
        <v/>
      </c>
      <c r="LJ34" s="17">
        <f>IF(AND(319&gt;=$B$9,319&lt;=$D$9),1,0)</f>
        <v/>
      </c>
      <c r="LK34" s="17">
        <f>IF(AND(320&gt;=$B$9,320&lt;=$D$9),1,0)</f>
        <v/>
      </c>
      <c r="LL34" s="17">
        <f>IF(AND(321&gt;=$B$9,321&lt;=$D$9),1,0)</f>
        <v/>
      </c>
      <c r="LM34" s="17">
        <f>IF(AND(322&gt;=$B$9,322&lt;=$D$9),1,0)</f>
        <v/>
      </c>
      <c r="LN34" s="17">
        <f>IF(AND(323&gt;=$B$9,323&lt;=$D$9),1,0)</f>
        <v/>
      </c>
      <c r="LO34" s="17">
        <f>IF(AND(324&gt;=$B$9,324&lt;=$D$9),1,0)</f>
        <v/>
      </c>
      <c r="LP34" s="17">
        <f>IF(AND(325&gt;=$B$9,325&lt;=$D$9),1,0)</f>
        <v/>
      </c>
      <c r="LQ34" s="17">
        <f>IF(AND(326&gt;=$B$9,326&lt;=$D$9),1,0)</f>
        <v/>
      </c>
      <c r="LR34" s="17">
        <f>IF(AND(327&gt;=$B$9,327&lt;=$D$9),1,0)</f>
        <v/>
      </c>
      <c r="LS34" s="17">
        <f>IF(AND(328&gt;=$B$9,328&lt;=$D$9),1,0)</f>
        <v/>
      </c>
      <c r="LT34" s="17">
        <f>IF(AND(329&gt;=$B$9,329&lt;=$D$9),1,0)</f>
        <v/>
      </c>
      <c r="LU34" s="17">
        <f>IF(AND(330&gt;=$B$9,330&lt;=$D$9),1,0)</f>
        <v/>
      </c>
      <c r="LV34" s="17">
        <f>IF(AND(331&gt;=$B$9,331&lt;=$D$9),1,0)</f>
        <v/>
      </c>
      <c r="LW34" s="17">
        <f>IF(AND(332&gt;=$B$9,332&lt;=$D$9),1,0)</f>
        <v/>
      </c>
      <c r="LX34" s="17">
        <f>IF(AND(333&gt;=$B$9,333&lt;=$D$9),1,0)</f>
        <v/>
      </c>
      <c r="LY34" s="17">
        <f>IF(AND(334&gt;=$B$9,334&lt;=$D$9),1,0)</f>
        <v/>
      </c>
      <c r="LZ34" s="17">
        <f>IF(AND(335&gt;=$B$9,335&lt;=$D$9),1,0)</f>
        <v/>
      </c>
      <c r="MA34" s="17">
        <f>IF(AND(336&gt;=$B$9,336&lt;=$D$9),1,0)</f>
        <v/>
      </c>
      <c r="MB34" s="17">
        <f>IF(AND(337&gt;=$B$9,337&lt;=$D$9),1,0)</f>
        <v/>
      </c>
      <c r="MC34" s="17">
        <f>IF(AND(338&gt;=$B$9,338&lt;=$D$9),1,0)</f>
        <v/>
      </c>
      <c r="MD34" s="17">
        <f>IF(AND(339&gt;=$B$9,339&lt;=$D$9),1,0)</f>
        <v/>
      </c>
      <c r="ME34" s="17">
        <f>IF(AND(340&gt;=$B$9,340&lt;=$D$9),1,0)</f>
        <v/>
      </c>
      <c r="MF34" s="17">
        <f>IF(AND(341&gt;=$B$9,341&lt;=$D$9),1,0)</f>
        <v/>
      </c>
      <c r="MG34" s="17">
        <f>IF(AND(342&gt;=$B$9,342&lt;=$D$9),1,0)</f>
        <v/>
      </c>
      <c r="MH34" s="17">
        <f>IF(AND(343&gt;=$B$9,343&lt;=$D$9),1,0)</f>
        <v/>
      </c>
      <c r="MI34" s="17">
        <f>IF(AND(344&gt;=$B$9,344&lt;=$D$9),1,0)</f>
        <v/>
      </c>
      <c r="MJ34" s="17">
        <f>IF(AND(345&gt;=$B$9,345&lt;=$D$9),1,0)</f>
        <v/>
      </c>
      <c r="MK34" s="17">
        <f>IF(AND(346&gt;=$B$9,346&lt;=$D$9),1,0)</f>
        <v/>
      </c>
      <c r="ML34" s="17">
        <f>IF(AND(347&gt;=$B$9,347&lt;=$D$9),1,0)</f>
        <v/>
      </c>
      <c r="MM34" s="17">
        <f>IF(AND(348&gt;=$B$9,348&lt;=$D$9),1,0)</f>
        <v/>
      </c>
      <c r="MN34" s="17">
        <f>IF(AND(349&gt;=$B$9,349&lt;=$D$9),1,0)</f>
        <v/>
      </c>
      <c r="MO34" s="17">
        <f>IF(AND(350&gt;=$B$9,350&lt;=$D$9),1,0)</f>
        <v/>
      </c>
      <c r="MP34" s="17">
        <f>IF(AND(351&gt;=$B$9,351&lt;=$D$9),1,0)</f>
        <v/>
      </c>
      <c r="MQ34" s="17">
        <f>IF(AND(352&gt;=$B$9,352&lt;=$D$9),1,0)</f>
        <v/>
      </c>
      <c r="MR34" s="17">
        <f>IF(AND(353&gt;=$B$9,353&lt;=$D$9),1,0)</f>
        <v/>
      </c>
      <c r="MS34" s="17">
        <f>IF(AND(354&gt;=$B$9,354&lt;=$D$9),1,0)</f>
        <v/>
      </c>
      <c r="MT34" s="17">
        <f>IF(AND(355&gt;=$B$9,355&lt;=$D$9),1,0)</f>
        <v/>
      </c>
      <c r="MU34" s="17">
        <f>IF(AND(356&gt;=$B$9,356&lt;=$D$9),1,0)</f>
        <v/>
      </c>
      <c r="MV34" s="17">
        <f>IF(AND(357&gt;=$B$9,357&lt;=$D$9),1,0)</f>
        <v/>
      </c>
      <c r="MW34" s="17">
        <f>IF(AND(358&gt;=$B$9,358&lt;=$D$9),1,0)</f>
        <v/>
      </c>
      <c r="MX34" s="17">
        <f>IF(AND(359&gt;=$B$9,359&lt;=$D$9),1,0)</f>
        <v/>
      </c>
      <c r="MY34" s="17">
        <f>IF(AND(360&gt;=$B$9,360&lt;=$D$9),1,0)</f>
        <v/>
      </c>
      <c r="MZ34" s="17">
        <f>IF(AND(361&gt;=$B$9,361&lt;=$D$9),1,0)</f>
        <v/>
      </c>
      <c r="NA34" s="17">
        <f>IF(AND(362&gt;=$B$9,362&lt;=$D$9),1,0)</f>
        <v/>
      </c>
      <c r="NB34" s="17">
        <f>IF(AND(363&gt;=$B$9,363&lt;=$D$9),1,0)</f>
        <v/>
      </c>
      <c r="NC34" s="17">
        <f>IF(AND(364&gt;=$B$9,364&lt;=$D$9),1,0)</f>
        <v/>
      </c>
      <c r="ND34" s="17">
        <f>IF(AND(365&gt;=$B$9,365&lt;=$D$9),1,0)</f>
        <v/>
      </c>
      <c r="NE34" s="17">
        <f>IF(AND(366&gt;=$B$9,366&lt;=$D$9),1,0)</f>
        <v/>
      </c>
      <c r="NF34" s="17">
        <f>IF(AND(367&gt;=$B$9,367&lt;=$D$9),1,0)</f>
        <v/>
      </c>
      <c r="NG34" s="17">
        <f>IF(AND(368&gt;=$B$9,368&lt;=$D$9),1,0)</f>
        <v/>
      </c>
      <c r="NH34" s="17">
        <f>IF(AND(369&gt;=$B$9,369&lt;=$D$9),1,0)</f>
        <v/>
      </c>
      <c r="NI34" s="17">
        <f>IF(AND(370&gt;=$B$9,370&lt;=$D$9),1,0)</f>
        <v/>
      </c>
      <c r="NJ34" s="17">
        <f>IF(AND(371&gt;=$B$9,371&lt;=$D$9),1,0)</f>
        <v/>
      </c>
      <c r="NK34" s="17">
        <f>IF(AND(372&gt;=$B$9,372&lt;=$D$9),1,0)</f>
        <v/>
      </c>
    </row>
    <row r="35">
      <c r="A35" s="5" t="inlineStr">
        <is>
          <t>Flag: 1st Unit Delivery</t>
        </is>
      </c>
      <c r="C35" s="40" t="n"/>
      <c r="D35" s="17">
        <f>IF(AND(1&gt;=$B$10,1&lt;=$D$10),1,0)</f>
        <v/>
      </c>
      <c r="E35" s="17">
        <f>IF(AND(2&gt;=$B$10,2&lt;=$D$10),1,0)</f>
        <v/>
      </c>
      <c r="F35" s="17">
        <f>IF(AND(3&gt;=$B$10,3&lt;=$D$10),1,0)</f>
        <v/>
      </c>
      <c r="G35" s="17">
        <f>IF(AND(4&gt;=$B$10,4&lt;=$D$10),1,0)</f>
        <v/>
      </c>
      <c r="H35" s="17">
        <f>IF(AND(5&gt;=$B$10,5&lt;=$D$10),1,0)</f>
        <v/>
      </c>
      <c r="I35" s="17">
        <f>IF(AND(6&gt;=$B$10,6&lt;=$D$10),1,0)</f>
        <v/>
      </c>
      <c r="J35" s="17">
        <f>IF(AND(7&gt;=$B$10,7&lt;=$D$10),1,0)</f>
        <v/>
      </c>
      <c r="K35" s="17">
        <f>IF(AND(8&gt;=$B$10,8&lt;=$D$10),1,0)</f>
        <v/>
      </c>
      <c r="L35" s="17">
        <f>IF(AND(9&gt;=$B$10,9&lt;=$D$10),1,0)</f>
        <v/>
      </c>
      <c r="M35" s="17">
        <f>IF(AND(10&gt;=$B$10,10&lt;=$D$10),1,0)</f>
        <v/>
      </c>
      <c r="N35" s="17">
        <f>IF(AND(11&gt;=$B$10,11&lt;=$D$10),1,0)</f>
        <v/>
      </c>
      <c r="O35" s="17">
        <f>IF(AND(12&gt;=$B$10,12&lt;=$D$10),1,0)</f>
        <v/>
      </c>
      <c r="P35" s="17">
        <f>IF(AND(13&gt;=$B$10,13&lt;=$D$10),1,0)</f>
        <v/>
      </c>
      <c r="Q35" s="17">
        <f>IF(AND(14&gt;=$B$10,14&lt;=$D$10),1,0)</f>
        <v/>
      </c>
      <c r="R35" s="17">
        <f>IF(AND(15&gt;=$B$10,15&lt;=$D$10),1,0)</f>
        <v/>
      </c>
      <c r="S35" s="17">
        <f>IF(AND(16&gt;=$B$10,16&lt;=$D$10),1,0)</f>
        <v/>
      </c>
      <c r="T35" s="17">
        <f>IF(AND(17&gt;=$B$10,17&lt;=$D$10),1,0)</f>
        <v/>
      </c>
      <c r="U35" s="17">
        <f>IF(AND(18&gt;=$B$10,18&lt;=$D$10),1,0)</f>
        <v/>
      </c>
      <c r="V35" s="17">
        <f>IF(AND(19&gt;=$B$10,19&lt;=$D$10),1,0)</f>
        <v/>
      </c>
      <c r="W35" s="17">
        <f>IF(AND(20&gt;=$B$10,20&lt;=$D$10),1,0)</f>
        <v/>
      </c>
      <c r="X35" s="17">
        <f>IF(AND(21&gt;=$B$10,21&lt;=$D$10),1,0)</f>
        <v/>
      </c>
      <c r="Y35" s="17">
        <f>IF(AND(22&gt;=$B$10,22&lt;=$D$10),1,0)</f>
        <v/>
      </c>
      <c r="Z35" s="17">
        <f>IF(AND(23&gt;=$B$10,23&lt;=$D$10),1,0)</f>
        <v/>
      </c>
      <c r="AA35" s="17">
        <f>IF(AND(24&gt;=$B$10,24&lt;=$D$10),1,0)</f>
        <v/>
      </c>
      <c r="AB35" s="17">
        <f>IF(AND(25&gt;=$B$10,25&lt;=$D$10),1,0)</f>
        <v/>
      </c>
      <c r="AC35" s="17">
        <f>IF(AND(26&gt;=$B$10,26&lt;=$D$10),1,0)</f>
        <v/>
      </c>
      <c r="AD35" s="17">
        <f>IF(AND(27&gt;=$B$10,27&lt;=$D$10),1,0)</f>
        <v/>
      </c>
      <c r="AE35" s="17">
        <f>IF(AND(28&gt;=$B$10,28&lt;=$D$10),1,0)</f>
        <v/>
      </c>
      <c r="AF35" s="17">
        <f>IF(AND(29&gt;=$B$10,29&lt;=$D$10),1,0)</f>
        <v/>
      </c>
      <c r="AG35" s="17">
        <f>IF(AND(30&gt;=$B$10,30&lt;=$D$10),1,0)</f>
        <v/>
      </c>
      <c r="AH35" s="17">
        <f>IF(AND(31&gt;=$B$10,31&lt;=$D$10),1,0)</f>
        <v/>
      </c>
      <c r="AI35" s="17">
        <f>IF(AND(32&gt;=$B$10,32&lt;=$D$10),1,0)</f>
        <v/>
      </c>
      <c r="AJ35" s="17">
        <f>IF(AND(33&gt;=$B$10,33&lt;=$D$10),1,0)</f>
        <v/>
      </c>
      <c r="AK35" s="17">
        <f>IF(AND(34&gt;=$B$10,34&lt;=$D$10),1,0)</f>
        <v/>
      </c>
      <c r="AL35" s="17">
        <f>IF(AND(35&gt;=$B$10,35&lt;=$D$10),1,0)</f>
        <v/>
      </c>
      <c r="AM35" s="17">
        <f>IF(AND(36&gt;=$B$10,36&lt;=$D$10),1,0)</f>
        <v/>
      </c>
      <c r="AN35" s="17">
        <f>IF(AND(37&gt;=$B$10,37&lt;=$D$10),1,0)</f>
        <v/>
      </c>
      <c r="AO35" s="17">
        <f>IF(AND(38&gt;=$B$10,38&lt;=$D$10),1,0)</f>
        <v/>
      </c>
      <c r="AP35" s="17">
        <f>IF(AND(39&gt;=$B$10,39&lt;=$D$10),1,0)</f>
        <v/>
      </c>
      <c r="AQ35" s="17">
        <f>IF(AND(40&gt;=$B$10,40&lt;=$D$10),1,0)</f>
        <v/>
      </c>
      <c r="AR35" s="17">
        <f>IF(AND(41&gt;=$B$10,41&lt;=$D$10),1,0)</f>
        <v/>
      </c>
      <c r="AS35" s="17">
        <f>IF(AND(42&gt;=$B$10,42&lt;=$D$10),1,0)</f>
        <v/>
      </c>
      <c r="AT35" s="17">
        <f>IF(AND(43&gt;=$B$10,43&lt;=$D$10),1,0)</f>
        <v/>
      </c>
      <c r="AU35" s="17">
        <f>IF(AND(44&gt;=$B$10,44&lt;=$D$10),1,0)</f>
        <v/>
      </c>
      <c r="AV35" s="17">
        <f>IF(AND(45&gt;=$B$10,45&lt;=$D$10),1,0)</f>
        <v/>
      </c>
      <c r="AW35" s="17">
        <f>IF(AND(46&gt;=$B$10,46&lt;=$D$10),1,0)</f>
        <v/>
      </c>
      <c r="AX35" s="17">
        <f>IF(AND(47&gt;=$B$10,47&lt;=$D$10),1,0)</f>
        <v/>
      </c>
      <c r="AY35" s="17">
        <f>IF(AND(48&gt;=$B$10,48&lt;=$D$10),1,0)</f>
        <v/>
      </c>
      <c r="AZ35" s="17">
        <f>IF(AND(49&gt;=$B$10,49&lt;=$D$10),1,0)</f>
        <v/>
      </c>
      <c r="BA35" s="17">
        <f>IF(AND(50&gt;=$B$10,50&lt;=$D$10),1,0)</f>
        <v/>
      </c>
      <c r="BB35" s="17">
        <f>IF(AND(51&gt;=$B$10,51&lt;=$D$10),1,0)</f>
        <v/>
      </c>
      <c r="BC35" s="17">
        <f>IF(AND(52&gt;=$B$10,52&lt;=$D$10),1,0)</f>
        <v/>
      </c>
      <c r="BD35" s="17">
        <f>IF(AND(53&gt;=$B$10,53&lt;=$D$10),1,0)</f>
        <v/>
      </c>
      <c r="BE35" s="17">
        <f>IF(AND(54&gt;=$B$10,54&lt;=$D$10),1,0)</f>
        <v/>
      </c>
      <c r="BF35" s="17">
        <f>IF(AND(55&gt;=$B$10,55&lt;=$D$10),1,0)</f>
        <v/>
      </c>
      <c r="BG35" s="17">
        <f>IF(AND(56&gt;=$B$10,56&lt;=$D$10),1,0)</f>
        <v/>
      </c>
      <c r="BH35" s="17">
        <f>IF(AND(57&gt;=$B$10,57&lt;=$D$10),1,0)</f>
        <v/>
      </c>
      <c r="BI35" s="17">
        <f>IF(AND(58&gt;=$B$10,58&lt;=$D$10),1,0)</f>
        <v/>
      </c>
      <c r="BJ35" s="17">
        <f>IF(AND(59&gt;=$B$10,59&lt;=$D$10),1,0)</f>
        <v/>
      </c>
      <c r="BK35" s="17">
        <f>IF(AND(60&gt;=$B$10,60&lt;=$D$10),1,0)</f>
        <v/>
      </c>
      <c r="BL35" s="17">
        <f>IF(AND(61&gt;=$B$10,61&lt;=$D$10),1,0)</f>
        <v/>
      </c>
      <c r="BM35" s="17">
        <f>IF(AND(62&gt;=$B$10,62&lt;=$D$10),1,0)</f>
        <v/>
      </c>
      <c r="BN35" s="17">
        <f>IF(AND(63&gt;=$B$10,63&lt;=$D$10),1,0)</f>
        <v/>
      </c>
      <c r="BO35" s="17">
        <f>IF(AND(64&gt;=$B$10,64&lt;=$D$10),1,0)</f>
        <v/>
      </c>
      <c r="BP35" s="17">
        <f>IF(AND(65&gt;=$B$10,65&lt;=$D$10),1,0)</f>
        <v/>
      </c>
      <c r="BQ35" s="17">
        <f>IF(AND(66&gt;=$B$10,66&lt;=$D$10),1,0)</f>
        <v/>
      </c>
      <c r="BR35" s="17">
        <f>IF(AND(67&gt;=$B$10,67&lt;=$D$10),1,0)</f>
        <v/>
      </c>
      <c r="BS35" s="17">
        <f>IF(AND(68&gt;=$B$10,68&lt;=$D$10),1,0)</f>
        <v/>
      </c>
      <c r="BT35" s="17">
        <f>IF(AND(69&gt;=$B$10,69&lt;=$D$10),1,0)</f>
        <v/>
      </c>
      <c r="BU35" s="17">
        <f>IF(AND(70&gt;=$B$10,70&lt;=$D$10),1,0)</f>
        <v/>
      </c>
      <c r="BV35" s="17">
        <f>IF(AND(71&gt;=$B$10,71&lt;=$D$10),1,0)</f>
        <v/>
      </c>
      <c r="BW35" s="17">
        <f>IF(AND(72&gt;=$B$10,72&lt;=$D$10),1,0)</f>
        <v/>
      </c>
      <c r="BX35" s="17">
        <f>IF(AND(73&gt;=$B$10,73&lt;=$D$10),1,0)</f>
        <v/>
      </c>
      <c r="BY35" s="17">
        <f>IF(AND(74&gt;=$B$10,74&lt;=$D$10),1,0)</f>
        <v/>
      </c>
      <c r="BZ35" s="17">
        <f>IF(AND(75&gt;=$B$10,75&lt;=$D$10),1,0)</f>
        <v/>
      </c>
      <c r="CA35" s="17">
        <f>IF(AND(76&gt;=$B$10,76&lt;=$D$10),1,0)</f>
        <v/>
      </c>
      <c r="CB35" s="17">
        <f>IF(AND(77&gt;=$B$10,77&lt;=$D$10),1,0)</f>
        <v/>
      </c>
      <c r="CC35" s="17">
        <f>IF(AND(78&gt;=$B$10,78&lt;=$D$10),1,0)</f>
        <v/>
      </c>
      <c r="CD35" s="17">
        <f>IF(AND(79&gt;=$B$10,79&lt;=$D$10),1,0)</f>
        <v/>
      </c>
      <c r="CE35" s="17">
        <f>IF(AND(80&gt;=$B$10,80&lt;=$D$10),1,0)</f>
        <v/>
      </c>
      <c r="CF35" s="17">
        <f>IF(AND(81&gt;=$B$10,81&lt;=$D$10),1,0)</f>
        <v/>
      </c>
      <c r="CG35" s="17">
        <f>IF(AND(82&gt;=$B$10,82&lt;=$D$10),1,0)</f>
        <v/>
      </c>
      <c r="CH35" s="17">
        <f>IF(AND(83&gt;=$B$10,83&lt;=$D$10),1,0)</f>
        <v/>
      </c>
      <c r="CI35" s="17">
        <f>IF(AND(84&gt;=$B$10,84&lt;=$D$10),1,0)</f>
        <v/>
      </c>
      <c r="CJ35" s="17">
        <f>IF(AND(85&gt;=$B$10,85&lt;=$D$10),1,0)</f>
        <v/>
      </c>
      <c r="CK35" s="17">
        <f>IF(AND(86&gt;=$B$10,86&lt;=$D$10),1,0)</f>
        <v/>
      </c>
      <c r="CL35" s="17">
        <f>IF(AND(87&gt;=$B$10,87&lt;=$D$10),1,0)</f>
        <v/>
      </c>
      <c r="CM35" s="17">
        <f>IF(AND(88&gt;=$B$10,88&lt;=$D$10),1,0)</f>
        <v/>
      </c>
      <c r="CN35" s="17">
        <f>IF(AND(89&gt;=$B$10,89&lt;=$D$10),1,0)</f>
        <v/>
      </c>
      <c r="CO35" s="17">
        <f>IF(AND(90&gt;=$B$10,90&lt;=$D$10),1,0)</f>
        <v/>
      </c>
      <c r="CP35" s="17">
        <f>IF(AND(91&gt;=$B$10,91&lt;=$D$10),1,0)</f>
        <v/>
      </c>
      <c r="CQ35" s="17">
        <f>IF(AND(92&gt;=$B$10,92&lt;=$D$10),1,0)</f>
        <v/>
      </c>
      <c r="CR35" s="17">
        <f>IF(AND(93&gt;=$B$10,93&lt;=$D$10),1,0)</f>
        <v/>
      </c>
      <c r="CS35" s="17">
        <f>IF(AND(94&gt;=$B$10,94&lt;=$D$10),1,0)</f>
        <v/>
      </c>
      <c r="CT35" s="17">
        <f>IF(AND(95&gt;=$B$10,95&lt;=$D$10),1,0)</f>
        <v/>
      </c>
      <c r="CU35" s="17">
        <f>IF(AND(96&gt;=$B$10,96&lt;=$D$10),1,0)</f>
        <v/>
      </c>
      <c r="CV35" s="17">
        <f>IF(AND(97&gt;=$B$10,97&lt;=$D$10),1,0)</f>
        <v/>
      </c>
      <c r="CW35" s="17">
        <f>IF(AND(98&gt;=$B$10,98&lt;=$D$10),1,0)</f>
        <v/>
      </c>
      <c r="CX35" s="17">
        <f>IF(AND(99&gt;=$B$10,99&lt;=$D$10),1,0)</f>
        <v/>
      </c>
      <c r="CY35" s="17">
        <f>IF(AND(100&gt;=$B$10,100&lt;=$D$10),1,0)</f>
        <v/>
      </c>
      <c r="CZ35" s="17">
        <f>IF(AND(101&gt;=$B$10,101&lt;=$D$10),1,0)</f>
        <v/>
      </c>
      <c r="DA35" s="17">
        <f>IF(AND(102&gt;=$B$10,102&lt;=$D$10),1,0)</f>
        <v/>
      </c>
      <c r="DB35" s="17">
        <f>IF(AND(103&gt;=$B$10,103&lt;=$D$10),1,0)</f>
        <v/>
      </c>
      <c r="DC35" s="17">
        <f>IF(AND(104&gt;=$B$10,104&lt;=$D$10),1,0)</f>
        <v/>
      </c>
      <c r="DD35" s="17">
        <f>IF(AND(105&gt;=$B$10,105&lt;=$D$10),1,0)</f>
        <v/>
      </c>
      <c r="DE35" s="17">
        <f>IF(AND(106&gt;=$B$10,106&lt;=$D$10),1,0)</f>
        <v/>
      </c>
      <c r="DF35" s="17">
        <f>IF(AND(107&gt;=$B$10,107&lt;=$D$10),1,0)</f>
        <v/>
      </c>
      <c r="DG35" s="17">
        <f>IF(AND(108&gt;=$B$10,108&lt;=$D$10),1,0)</f>
        <v/>
      </c>
      <c r="DH35" s="17">
        <f>IF(AND(109&gt;=$B$10,109&lt;=$D$10),1,0)</f>
        <v/>
      </c>
      <c r="DI35" s="17">
        <f>IF(AND(110&gt;=$B$10,110&lt;=$D$10),1,0)</f>
        <v/>
      </c>
      <c r="DJ35" s="17">
        <f>IF(AND(111&gt;=$B$10,111&lt;=$D$10),1,0)</f>
        <v/>
      </c>
      <c r="DK35" s="17">
        <f>IF(AND(112&gt;=$B$10,112&lt;=$D$10),1,0)</f>
        <v/>
      </c>
      <c r="DL35" s="17">
        <f>IF(AND(113&gt;=$B$10,113&lt;=$D$10),1,0)</f>
        <v/>
      </c>
      <c r="DM35" s="17">
        <f>IF(AND(114&gt;=$B$10,114&lt;=$D$10),1,0)</f>
        <v/>
      </c>
      <c r="DN35" s="17">
        <f>IF(AND(115&gt;=$B$10,115&lt;=$D$10),1,0)</f>
        <v/>
      </c>
      <c r="DO35" s="17">
        <f>IF(AND(116&gt;=$B$10,116&lt;=$D$10),1,0)</f>
        <v/>
      </c>
      <c r="DP35" s="17">
        <f>IF(AND(117&gt;=$B$10,117&lt;=$D$10),1,0)</f>
        <v/>
      </c>
      <c r="DQ35" s="17">
        <f>IF(AND(118&gt;=$B$10,118&lt;=$D$10),1,0)</f>
        <v/>
      </c>
      <c r="DR35" s="17">
        <f>IF(AND(119&gt;=$B$10,119&lt;=$D$10),1,0)</f>
        <v/>
      </c>
      <c r="DS35" s="17">
        <f>IF(AND(120&gt;=$B$10,120&lt;=$D$10),1,0)</f>
        <v/>
      </c>
      <c r="DT35" s="17">
        <f>IF(AND(121&gt;=$B$10,121&lt;=$D$10),1,0)</f>
        <v/>
      </c>
      <c r="DU35" s="17">
        <f>IF(AND(122&gt;=$B$10,122&lt;=$D$10),1,0)</f>
        <v/>
      </c>
      <c r="DV35" s="17">
        <f>IF(AND(123&gt;=$B$10,123&lt;=$D$10),1,0)</f>
        <v/>
      </c>
      <c r="DW35" s="17">
        <f>IF(AND(124&gt;=$B$10,124&lt;=$D$10),1,0)</f>
        <v/>
      </c>
      <c r="DX35" s="17">
        <f>IF(AND(125&gt;=$B$10,125&lt;=$D$10),1,0)</f>
        <v/>
      </c>
      <c r="DY35" s="17">
        <f>IF(AND(126&gt;=$B$10,126&lt;=$D$10),1,0)</f>
        <v/>
      </c>
      <c r="DZ35" s="17">
        <f>IF(AND(127&gt;=$B$10,127&lt;=$D$10),1,0)</f>
        <v/>
      </c>
      <c r="EA35" s="17">
        <f>IF(AND(128&gt;=$B$10,128&lt;=$D$10),1,0)</f>
        <v/>
      </c>
      <c r="EB35" s="17">
        <f>IF(AND(129&gt;=$B$10,129&lt;=$D$10),1,0)</f>
        <v/>
      </c>
      <c r="EC35" s="17">
        <f>IF(AND(130&gt;=$B$10,130&lt;=$D$10),1,0)</f>
        <v/>
      </c>
      <c r="ED35" s="17">
        <f>IF(AND(131&gt;=$B$10,131&lt;=$D$10),1,0)</f>
        <v/>
      </c>
      <c r="EE35" s="17">
        <f>IF(AND(132&gt;=$B$10,132&lt;=$D$10),1,0)</f>
        <v/>
      </c>
      <c r="EF35" s="17">
        <f>IF(AND(133&gt;=$B$10,133&lt;=$D$10),1,0)</f>
        <v/>
      </c>
      <c r="EG35" s="17">
        <f>IF(AND(134&gt;=$B$10,134&lt;=$D$10),1,0)</f>
        <v/>
      </c>
      <c r="EH35" s="17">
        <f>IF(AND(135&gt;=$B$10,135&lt;=$D$10),1,0)</f>
        <v/>
      </c>
      <c r="EI35" s="17">
        <f>IF(AND(136&gt;=$B$10,136&lt;=$D$10),1,0)</f>
        <v/>
      </c>
      <c r="EJ35" s="17">
        <f>IF(AND(137&gt;=$B$10,137&lt;=$D$10),1,0)</f>
        <v/>
      </c>
      <c r="EK35" s="17">
        <f>IF(AND(138&gt;=$B$10,138&lt;=$D$10),1,0)</f>
        <v/>
      </c>
      <c r="EL35" s="17">
        <f>IF(AND(139&gt;=$B$10,139&lt;=$D$10),1,0)</f>
        <v/>
      </c>
      <c r="EM35" s="17">
        <f>IF(AND(140&gt;=$B$10,140&lt;=$D$10),1,0)</f>
        <v/>
      </c>
      <c r="EN35" s="17">
        <f>IF(AND(141&gt;=$B$10,141&lt;=$D$10),1,0)</f>
        <v/>
      </c>
      <c r="EO35" s="17">
        <f>IF(AND(142&gt;=$B$10,142&lt;=$D$10),1,0)</f>
        <v/>
      </c>
      <c r="EP35" s="17">
        <f>IF(AND(143&gt;=$B$10,143&lt;=$D$10),1,0)</f>
        <v/>
      </c>
      <c r="EQ35" s="17">
        <f>IF(AND(144&gt;=$B$10,144&lt;=$D$10),1,0)</f>
        <v/>
      </c>
      <c r="ER35" s="17">
        <f>IF(AND(145&gt;=$B$10,145&lt;=$D$10),1,0)</f>
        <v/>
      </c>
      <c r="ES35" s="17">
        <f>IF(AND(146&gt;=$B$10,146&lt;=$D$10),1,0)</f>
        <v/>
      </c>
      <c r="ET35" s="17">
        <f>IF(AND(147&gt;=$B$10,147&lt;=$D$10),1,0)</f>
        <v/>
      </c>
      <c r="EU35" s="17">
        <f>IF(AND(148&gt;=$B$10,148&lt;=$D$10),1,0)</f>
        <v/>
      </c>
      <c r="EV35" s="17">
        <f>IF(AND(149&gt;=$B$10,149&lt;=$D$10),1,0)</f>
        <v/>
      </c>
      <c r="EW35" s="17">
        <f>IF(AND(150&gt;=$B$10,150&lt;=$D$10),1,0)</f>
        <v/>
      </c>
      <c r="EX35" s="17">
        <f>IF(AND(151&gt;=$B$10,151&lt;=$D$10),1,0)</f>
        <v/>
      </c>
      <c r="EY35" s="17">
        <f>IF(AND(152&gt;=$B$10,152&lt;=$D$10),1,0)</f>
        <v/>
      </c>
      <c r="EZ35" s="17">
        <f>IF(AND(153&gt;=$B$10,153&lt;=$D$10),1,0)</f>
        <v/>
      </c>
      <c r="FA35" s="17">
        <f>IF(AND(154&gt;=$B$10,154&lt;=$D$10),1,0)</f>
        <v/>
      </c>
      <c r="FB35" s="17">
        <f>IF(AND(155&gt;=$B$10,155&lt;=$D$10),1,0)</f>
        <v/>
      </c>
      <c r="FC35" s="17">
        <f>IF(AND(156&gt;=$B$10,156&lt;=$D$10),1,0)</f>
        <v/>
      </c>
      <c r="FD35" s="17">
        <f>IF(AND(157&gt;=$B$10,157&lt;=$D$10),1,0)</f>
        <v/>
      </c>
      <c r="FE35" s="17">
        <f>IF(AND(158&gt;=$B$10,158&lt;=$D$10),1,0)</f>
        <v/>
      </c>
      <c r="FF35" s="17">
        <f>IF(AND(159&gt;=$B$10,159&lt;=$D$10),1,0)</f>
        <v/>
      </c>
      <c r="FG35" s="17">
        <f>IF(AND(160&gt;=$B$10,160&lt;=$D$10),1,0)</f>
        <v/>
      </c>
      <c r="FH35" s="17">
        <f>IF(AND(161&gt;=$B$10,161&lt;=$D$10),1,0)</f>
        <v/>
      </c>
      <c r="FI35" s="17">
        <f>IF(AND(162&gt;=$B$10,162&lt;=$D$10),1,0)</f>
        <v/>
      </c>
      <c r="FJ35" s="17">
        <f>IF(AND(163&gt;=$B$10,163&lt;=$D$10),1,0)</f>
        <v/>
      </c>
      <c r="FK35" s="17">
        <f>IF(AND(164&gt;=$B$10,164&lt;=$D$10),1,0)</f>
        <v/>
      </c>
      <c r="FL35" s="17">
        <f>IF(AND(165&gt;=$B$10,165&lt;=$D$10),1,0)</f>
        <v/>
      </c>
      <c r="FM35" s="17">
        <f>IF(AND(166&gt;=$B$10,166&lt;=$D$10),1,0)</f>
        <v/>
      </c>
      <c r="FN35" s="17">
        <f>IF(AND(167&gt;=$B$10,167&lt;=$D$10),1,0)</f>
        <v/>
      </c>
      <c r="FO35" s="17">
        <f>IF(AND(168&gt;=$B$10,168&lt;=$D$10),1,0)</f>
        <v/>
      </c>
      <c r="FP35" s="17">
        <f>IF(AND(169&gt;=$B$10,169&lt;=$D$10),1,0)</f>
        <v/>
      </c>
      <c r="FQ35" s="17">
        <f>IF(AND(170&gt;=$B$10,170&lt;=$D$10),1,0)</f>
        <v/>
      </c>
      <c r="FR35" s="17">
        <f>IF(AND(171&gt;=$B$10,171&lt;=$D$10),1,0)</f>
        <v/>
      </c>
      <c r="FS35" s="17">
        <f>IF(AND(172&gt;=$B$10,172&lt;=$D$10),1,0)</f>
        <v/>
      </c>
      <c r="FT35" s="17">
        <f>IF(AND(173&gt;=$B$10,173&lt;=$D$10),1,0)</f>
        <v/>
      </c>
      <c r="FU35" s="17">
        <f>IF(AND(174&gt;=$B$10,174&lt;=$D$10),1,0)</f>
        <v/>
      </c>
      <c r="FV35" s="17">
        <f>IF(AND(175&gt;=$B$10,175&lt;=$D$10),1,0)</f>
        <v/>
      </c>
      <c r="FW35" s="17">
        <f>IF(AND(176&gt;=$B$10,176&lt;=$D$10),1,0)</f>
        <v/>
      </c>
      <c r="FX35" s="17">
        <f>IF(AND(177&gt;=$B$10,177&lt;=$D$10),1,0)</f>
        <v/>
      </c>
      <c r="FY35" s="17">
        <f>IF(AND(178&gt;=$B$10,178&lt;=$D$10),1,0)</f>
        <v/>
      </c>
      <c r="FZ35" s="17">
        <f>IF(AND(179&gt;=$B$10,179&lt;=$D$10),1,0)</f>
        <v/>
      </c>
      <c r="GA35" s="17">
        <f>IF(AND(180&gt;=$B$10,180&lt;=$D$10),1,0)</f>
        <v/>
      </c>
      <c r="GB35" s="17">
        <f>IF(AND(181&gt;=$B$10,181&lt;=$D$10),1,0)</f>
        <v/>
      </c>
      <c r="GC35" s="17">
        <f>IF(AND(182&gt;=$B$10,182&lt;=$D$10),1,0)</f>
        <v/>
      </c>
      <c r="GD35" s="17">
        <f>IF(AND(183&gt;=$B$10,183&lt;=$D$10),1,0)</f>
        <v/>
      </c>
      <c r="GE35" s="17">
        <f>IF(AND(184&gt;=$B$10,184&lt;=$D$10),1,0)</f>
        <v/>
      </c>
      <c r="GF35" s="17">
        <f>IF(AND(185&gt;=$B$10,185&lt;=$D$10),1,0)</f>
        <v/>
      </c>
      <c r="GG35" s="17">
        <f>IF(AND(186&gt;=$B$10,186&lt;=$D$10),1,0)</f>
        <v/>
      </c>
      <c r="GH35" s="17">
        <f>IF(AND(187&gt;=$B$10,187&lt;=$D$10),1,0)</f>
        <v/>
      </c>
      <c r="GI35" s="17">
        <f>IF(AND(188&gt;=$B$10,188&lt;=$D$10),1,0)</f>
        <v/>
      </c>
      <c r="GJ35" s="17">
        <f>IF(AND(189&gt;=$B$10,189&lt;=$D$10),1,0)</f>
        <v/>
      </c>
      <c r="GK35" s="17">
        <f>IF(AND(190&gt;=$B$10,190&lt;=$D$10),1,0)</f>
        <v/>
      </c>
      <c r="GL35" s="17">
        <f>IF(AND(191&gt;=$B$10,191&lt;=$D$10),1,0)</f>
        <v/>
      </c>
      <c r="GM35" s="17">
        <f>IF(AND(192&gt;=$B$10,192&lt;=$D$10),1,0)</f>
        <v/>
      </c>
      <c r="GN35" s="17">
        <f>IF(AND(193&gt;=$B$10,193&lt;=$D$10),1,0)</f>
        <v/>
      </c>
      <c r="GO35" s="17">
        <f>IF(AND(194&gt;=$B$10,194&lt;=$D$10),1,0)</f>
        <v/>
      </c>
      <c r="GP35" s="17">
        <f>IF(AND(195&gt;=$B$10,195&lt;=$D$10),1,0)</f>
        <v/>
      </c>
      <c r="GQ35" s="17">
        <f>IF(AND(196&gt;=$B$10,196&lt;=$D$10),1,0)</f>
        <v/>
      </c>
      <c r="GR35" s="17">
        <f>IF(AND(197&gt;=$B$10,197&lt;=$D$10),1,0)</f>
        <v/>
      </c>
      <c r="GS35" s="17">
        <f>IF(AND(198&gt;=$B$10,198&lt;=$D$10),1,0)</f>
        <v/>
      </c>
      <c r="GT35" s="17">
        <f>IF(AND(199&gt;=$B$10,199&lt;=$D$10),1,0)</f>
        <v/>
      </c>
      <c r="GU35" s="17">
        <f>IF(AND(200&gt;=$B$10,200&lt;=$D$10),1,0)</f>
        <v/>
      </c>
      <c r="GV35" s="17">
        <f>IF(AND(201&gt;=$B$10,201&lt;=$D$10),1,0)</f>
        <v/>
      </c>
      <c r="GW35" s="17">
        <f>IF(AND(202&gt;=$B$10,202&lt;=$D$10),1,0)</f>
        <v/>
      </c>
      <c r="GX35" s="17">
        <f>IF(AND(203&gt;=$B$10,203&lt;=$D$10),1,0)</f>
        <v/>
      </c>
      <c r="GY35" s="17">
        <f>IF(AND(204&gt;=$B$10,204&lt;=$D$10),1,0)</f>
        <v/>
      </c>
      <c r="GZ35" s="17">
        <f>IF(AND(205&gt;=$B$10,205&lt;=$D$10),1,0)</f>
        <v/>
      </c>
      <c r="HA35" s="17">
        <f>IF(AND(206&gt;=$B$10,206&lt;=$D$10),1,0)</f>
        <v/>
      </c>
      <c r="HB35" s="17">
        <f>IF(AND(207&gt;=$B$10,207&lt;=$D$10),1,0)</f>
        <v/>
      </c>
      <c r="HC35" s="17">
        <f>IF(AND(208&gt;=$B$10,208&lt;=$D$10),1,0)</f>
        <v/>
      </c>
      <c r="HD35" s="17">
        <f>IF(AND(209&gt;=$B$10,209&lt;=$D$10),1,0)</f>
        <v/>
      </c>
      <c r="HE35" s="17">
        <f>IF(AND(210&gt;=$B$10,210&lt;=$D$10),1,0)</f>
        <v/>
      </c>
      <c r="HF35" s="17">
        <f>IF(AND(211&gt;=$B$10,211&lt;=$D$10),1,0)</f>
        <v/>
      </c>
      <c r="HG35" s="17">
        <f>IF(AND(212&gt;=$B$10,212&lt;=$D$10),1,0)</f>
        <v/>
      </c>
      <c r="HH35" s="17">
        <f>IF(AND(213&gt;=$B$10,213&lt;=$D$10),1,0)</f>
        <v/>
      </c>
      <c r="HI35" s="17">
        <f>IF(AND(214&gt;=$B$10,214&lt;=$D$10),1,0)</f>
        <v/>
      </c>
      <c r="HJ35" s="17">
        <f>IF(AND(215&gt;=$B$10,215&lt;=$D$10),1,0)</f>
        <v/>
      </c>
      <c r="HK35" s="17">
        <f>IF(AND(216&gt;=$B$10,216&lt;=$D$10),1,0)</f>
        <v/>
      </c>
      <c r="HL35" s="17">
        <f>IF(AND(217&gt;=$B$10,217&lt;=$D$10),1,0)</f>
        <v/>
      </c>
      <c r="HM35" s="17">
        <f>IF(AND(218&gt;=$B$10,218&lt;=$D$10),1,0)</f>
        <v/>
      </c>
      <c r="HN35" s="17">
        <f>IF(AND(219&gt;=$B$10,219&lt;=$D$10),1,0)</f>
        <v/>
      </c>
      <c r="HO35" s="17">
        <f>IF(AND(220&gt;=$B$10,220&lt;=$D$10),1,0)</f>
        <v/>
      </c>
      <c r="HP35" s="17">
        <f>IF(AND(221&gt;=$B$10,221&lt;=$D$10),1,0)</f>
        <v/>
      </c>
      <c r="HQ35" s="17">
        <f>IF(AND(222&gt;=$B$10,222&lt;=$D$10),1,0)</f>
        <v/>
      </c>
      <c r="HR35" s="17">
        <f>IF(AND(223&gt;=$B$10,223&lt;=$D$10),1,0)</f>
        <v/>
      </c>
      <c r="HS35" s="17">
        <f>IF(AND(224&gt;=$B$10,224&lt;=$D$10),1,0)</f>
        <v/>
      </c>
      <c r="HT35" s="17">
        <f>IF(AND(225&gt;=$B$10,225&lt;=$D$10),1,0)</f>
        <v/>
      </c>
      <c r="HU35" s="17">
        <f>IF(AND(226&gt;=$B$10,226&lt;=$D$10),1,0)</f>
        <v/>
      </c>
      <c r="HV35" s="17">
        <f>IF(AND(227&gt;=$B$10,227&lt;=$D$10),1,0)</f>
        <v/>
      </c>
      <c r="HW35" s="17">
        <f>IF(AND(228&gt;=$B$10,228&lt;=$D$10),1,0)</f>
        <v/>
      </c>
      <c r="HX35" s="17">
        <f>IF(AND(229&gt;=$B$10,229&lt;=$D$10),1,0)</f>
        <v/>
      </c>
      <c r="HY35" s="17">
        <f>IF(AND(230&gt;=$B$10,230&lt;=$D$10),1,0)</f>
        <v/>
      </c>
      <c r="HZ35" s="17">
        <f>IF(AND(231&gt;=$B$10,231&lt;=$D$10),1,0)</f>
        <v/>
      </c>
      <c r="IA35" s="17">
        <f>IF(AND(232&gt;=$B$10,232&lt;=$D$10),1,0)</f>
        <v/>
      </c>
      <c r="IB35" s="17">
        <f>IF(AND(233&gt;=$B$10,233&lt;=$D$10),1,0)</f>
        <v/>
      </c>
      <c r="IC35" s="17">
        <f>IF(AND(234&gt;=$B$10,234&lt;=$D$10),1,0)</f>
        <v/>
      </c>
      <c r="ID35" s="17">
        <f>IF(AND(235&gt;=$B$10,235&lt;=$D$10),1,0)</f>
        <v/>
      </c>
      <c r="IE35" s="17">
        <f>IF(AND(236&gt;=$B$10,236&lt;=$D$10),1,0)</f>
        <v/>
      </c>
      <c r="IF35" s="17">
        <f>IF(AND(237&gt;=$B$10,237&lt;=$D$10),1,0)</f>
        <v/>
      </c>
      <c r="IG35" s="17">
        <f>IF(AND(238&gt;=$B$10,238&lt;=$D$10),1,0)</f>
        <v/>
      </c>
      <c r="IH35" s="17">
        <f>IF(AND(239&gt;=$B$10,239&lt;=$D$10),1,0)</f>
        <v/>
      </c>
      <c r="II35" s="17">
        <f>IF(AND(240&gt;=$B$10,240&lt;=$D$10),1,0)</f>
        <v/>
      </c>
      <c r="IJ35" s="17">
        <f>IF(AND(241&gt;=$B$10,241&lt;=$D$10),1,0)</f>
        <v/>
      </c>
      <c r="IK35" s="17">
        <f>IF(AND(242&gt;=$B$10,242&lt;=$D$10),1,0)</f>
        <v/>
      </c>
      <c r="IL35" s="17">
        <f>IF(AND(243&gt;=$B$10,243&lt;=$D$10),1,0)</f>
        <v/>
      </c>
      <c r="IM35" s="17">
        <f>IF(AND(244&gt;=$B$10,244&lt;=$D$10),1,0)</f>
        <v/>
      </c>
      <c r="IN35" s="17">
        <f>IF(AND(245&gt;=$B$10,245&lt;=$D$10),1,0)</f>
        <v/>
      </c>
      <c r="IO35" s="17">
        <f>IF(AND(246&gt;=$B$10,246&lt;=$D$10),1,0)</f>
        <v/>
      </c>
      <c r="IP35" s="17">
        <f>IF(AND(247&gt;=$B$10,247&lt;=$D$10),1,0)</f>
        <v/>
      </c>
      <c r="IQ35" s="17">
        <f>IF(AND(248&gt;=$B$10,248&lt;=$D$10),1,0)</f>
        <v/>
      </c>
      <c r="IR35" s="17">
        <f>IF(AND(249&gt;=$B$10,249&lt;=$D$10),1,0)</f>
        <v/>
      </c>
      <c r="IS35" s="17">
        <f>IF(AND(250&gt;=$B$10,250&lt;=$D$10),1,0)</f>
        <v/>
      </c>
      <c r="IT35" s="17">
        <f>IF(AND(251&gt;=$B$10,251&lt;=$D$10),1,0)</f>
        <v/>
      </c>
      <c r="IU35" s="17">
        <f>IF(AND(252&gt;=$B$10,252&lt;=$D$10),1,0)</f>
        <v/>
      </c>
      <c r="IV35" s="17">
        <f>IF(AND(253&gt;=$B$10,253&lt;=$D$10),1,0)</f>
        <v/>
      </c>
      <c r="IW35" s="17">
        <f>IF(AND(254&gt;=$B$10,254&lt;=$D$10),1,0)</f>
        <v/>
      </c>
      <c r="IX35" s="17">
        <f>IF(AND(255&gt;=$B$10,255&lt;=$D$10),1,0)</f>
        <v/>
      </c>
      <c r="IY35" s="17">
        <f>IF(AND(256&gt;=$B$10,256&lt;=$D$10),1,0)</f>
        <v/>
      </c>
      <c r="IZ35" s="17">
        <f>IF(AND(257&gt;=$B$10,257&lt;=$D$10),1,0)</f>
        <v/>
      </c>
      <c r="JA35" s="17">
        <f>IF(AND(258&gt;=$B$10,258&lt;=$D$10),1,0)</f>
        <v/>
      </c>
      <c r="JB35" s="17">
        <f>IF(AND(259&gt;=$B$10,259&lt;=$D$10),1,0)</f>
        <v/>
      </c>
      <c r="JC35" s="17">
        <f>IF(AND(260&gt;=$B$10,260&lt;=$D$10),1,0)</f>
        <v/>
      </c>
      <c r="JD35" s="17">
        <f>IF(AND(261&gt;=$B$10,261&lt;=$D$10),1,0)</f>
        <v/>
      </c>
      <c r="JE35" s="17">
        <f>IF(AND(262&gt;=$B$10,262&lt;=$D$10),1,0)</f>
        <v/>
      </c>
      <c r="JF35" s="17">
        <f>IF(AND(263&gt;=$B$10,263&lt;=$D$10),1,0)</f>
        <v/>
      </c>
      <c r="JG35" s="17">
        <f>IF(AND(264&gt;=$B$10,264&lt;=$D$10),1,0)</f>
        <v/>
      </c>
      <c r="JH35" s="17">
        <f>IF(AND(265&gt;=$B$10,265&lt;=$D$10),1,0)</f>
        <v/>
      </c>
      <c r="JI35" s="17">
        <f>IF(AND(266&gt;=$B$10,266&lt;=$D$10),1,0)</f>
        <v/>
      </c>
      <c r="JJ35" s="17">
        <f>IF(AND(267&gt;=$B$10,267&lt;=$D$10),1,0)</f>
        <v/>
      </c>
      <c r="JK35" s="17">
        <f>IF(AND(268&gt;=$B$10,268&lt;=$D$10),1,0)</f>
        <v/>
      </c>
      <c r="JL35" s="17">
        <f>IF(AND(269&gt;=$B$10,269&lt;=$D$10),1,0)</f>
        <v/>
      </c>
      <c r="JM35" s="17">
        <f>IF(AND(270&gt;=$B$10,270&lt;=$D$10),1,0)</f>
        <v/>
      </c>
      <c r="JN35" s="17">
        <f>IF(AND(271&gt;=$B$10,271&lt;=$D$10),1,0)</f>
        <v/>
      </c>
      <c r="JO35" s="17">
        <f>IF(AND(272&gt;=$B$10,272&lt;=$D$10),1,0)</f>
        <v/>
      </c>
      <c r="JP35" s="17">
        <f>IF(AND(273&gt;=$B$10,273&lt;=$D$10),1,0)</f>
        <v/>
      </c>
      <c r="JQ35" s="17">
        <f>IF(AND(274&gt;=$B$10,274&lt;=$D$10),1,0)</f>
        <v/>
      </c>
      <c r="JR35" s="17">
        <f>IF(AND(275&gt;=$B$10,275&lt;=$D$10),1,0)</f>
        <v/>
      </c>
      <c r="JS35" s="17">
        <f>IF(AND(276&gt;=$B$10,276&lt;=$D$10),1,0)</f>
        <v/>
      </c>
      <c r="JT35" s="17">
        <f>IF(AND(277&gt;=$B$10,277&lt;=$D$10),1,0)</f>
        <v/>
      </c>
      <c r="JU35" s="17">
        <f>IF(AND(278&gt;=$B$10,278&lt;=$D$10),1,0)</f>
        <v/>
      </c>
      <c r="JV35" s="17">
        <f>IF(AND(279&gt;=$B$10,279&lt;=$D$10),1,0)</f>
        <v/>
      </c>
      <c r="JW35" s="17">
        <f>IF(AND(280&gt;=$B$10,280&lt;=$D$10),1,0)</f>
        <v/>
      </c>
      <c r="JX35" s="17">
        <f>IF(AND(281&gt;=$B$10,281&lt;=$D$10),1,0)</f>
        <v/>
      </c>
      <c r="JY35" s="17">
        <f>IF(AND(282&gt;=$B$10,282&lt;=$D$10),1,0)</f>
        <v/>
      </c>
      <c r="JZ35" s="17">
        <f>IF(AND(283&gt;=$B$10,283&lt;=$D$10),1,0)</f>
        <v/>
      </c>
      <c r="KA35" s="17">
        <f>IF(AND(284&gt;=$B$10,284&lt;=$D$10),1,0)</f>
        <v/>
      </c>
      <c r="KB35" s="17">
        <f>IF(AND(285&gt;=$B$10,285&lt;=$D$10),1,0)</f>
        <v/>
      </c>
      <c r="KC35" s="17">
        <f>IF(AND(286&gt;=$B$10,286&lt;=$D$10),1,0)</f>
        <v/>
      </c>
      <c r="KD35" s="17">
        <f>IF(AND(287&gt;=$B$10,287&lt;=$D$10),1,0)</f>
        <v/>
      </c>
      <c r="KE35" s="17">
        <f>IF(AND(288&gt;=$B$10,288&lt;=$D$10),1,0)</f>
        <v/>
      </c>
      <c r="KF35" s="17">
        <f>IF(AND(289&gt;=$B$10,289&lt;=$D$10),1,0)</f>
        <v/>
      </c>
      <c r="KG35" s="17">
        <f>IF(AND(290&gt;=$B$10,290&lt;=$D$10),1,0)</f>
        <v/>
      </c>
      <c r="KH35" s="17">
        <f>IF(AND(291&gt;=$B$10,291&lt;=$D$10),1,0)</f>
        <v/>
      </c>
      <c r="KI35" s="17">
        <f>IF(AND(292&gt;=$B$10,292&lt;=$D$10),1,0)</f>
        <v/>
      </c>
      <c r="KJ35" s="17">
        <f>IF(AND(293&gt;=$B$10,293&lt;=$D$10),1,0)</f>
        <v/>
      </c>
      <c r="KK35" s="17">
        <f>IF(AND(294&gt;=$B$10,294&lt;=$D$10),1,0)</f>
        <v/>
      </c>
      <c r="KL35" s="17">
        <f>IF(AND(295&gt;=$B$10,295&lt;=$D$10),1,0)</f>
        <v/>
      </c>
      <c r="KM35" s="17">
        <f>IF(AND(296&gt;=$B$10,296&lt;=$D$10),1,0)</f>
        <v/>
      </c>
      <c r="KN35" s="17">
        <f>IF(AND(297&gt;=$B$10,297&lt;=$D$10),1,0)</f>
        <v/>
      </c>
      <c r="KO35" s="17">
        <f>IF(AND(298&gt;=$B$10,298&lt;=$D$10),1,0)</f>
        <v/>
      </c>
      <c r="KP35" s="17">
        <f>IF(AND(299&gt;=$B$10,299&lt;=$D$10),1,0)</f>
        <v/>
      </c>
      <c r="KQ35" s="17">
        <f>IF(AND(300&gt;=$B$10,300&lt;=$D$10),1,0)</f>
        <v/>
      </c>
      <c r="KR35" s="17">
        <f>IF(AND(301&gt;=$B$10,301&lt;=$D$10),1,0)</f>
        <v/>
      </c>
      <c r="KS35" s="17">
        <f>IF(AND(302&gt;=$B$10,302&lt;=$D$10),1,0)</f>
        <v/>
      </c>
      <c r="KT35" s="17">
        <f>IF(AND(303&gt;=$B$10,303&lt;=$D$10),1,0)</f>
        <v/>
      </c>
      <c r="KU35" s="17">
        <f>IF(AND(304&gt;=$B$10,304&lt;=$D$10),1,0)</f>
        <v/>
      </c>
      <c r="KV35" s="17">
        <f>IF(AND(305&gt;=$B$10,305&lt;=$D$10),1,0)</f>
        <v/>
      </c>
      <c r="KW35" s="17">
        <f>IF(AND(306&gt;=$B$10,306&lt;=$D$10),1,0)</f>
        <v/>
      </c>
      <c r="KX35" s="17">
        <f>IF(AND(307&gt;=$B$10,307&lt;=$D$10),1,0)</f>
        <v/>
      </c>
      <c r="KY35" s="17">
        <f>IF(AND(308&gt;=$B$10,308&lt;=$D$10),1,0)</f>
        <v/>
      </c>
      <c r="KZ35" s="17">
        <f>IF(AND(309&gt;=$B$10,309&lt;=$D$10),1,0)</f>
        <v/>
      </c>
      <c r="LA35" s="17">
        <f>IF(AND(310&gt;=$B$10,310&lt;=$D$10),1,0)</f>
        <v/>
      </c>
      <c r="LB35" s="17">
        <f>IF(AND(311&gt;=$B$10,311&lt;=$D$10),1,0)</f>
        <v/>
      </c>
      <c r="LC35" s="17">
        <f>IF(AND(312&gt;=$B$10,312&lt;=$D$10),1,0)</f>
        <v/>
      </c>
      <c r="LD35" s="17">
        <f>IF(AND(313&gt;=$B$10,313&lt;=$D$10),1,0)</f>
        <v/>
      </c>
      <c r="LE35" s="17">
        <f>IF(AND(314&gt;=$B$10,314&lt;=$D$10),1,0)</f>
        <v/>
      </c>
      <c r="LF35" s="17">
        <f>IF(AND(315&gt;=$B$10,315&lt;=$D$10),1,0)</f>
        <v/>
      </c>
      <c r="LG35" s="17">
        <f>IF(AND(316&gt;=$B$10,316&lt;=$D$10),1,0)</f>
        <v/>
      </c>
      <c r="LH35" s="17">
        <f>IF(AND(317&gt;=$B$10,317&lt;=$D$10),1,0)</f>
        <v/>
      </c>
      <c r="LI35" s="17">
        <f>IF(AND(318&gt;=$B$10,318&lt;=$D$10),1,0)</f>
        <v/>
      </c>
      <c r="LJ35" s="17">
        <f>IF(AND(319&gt;=$B$10,319&lt;=$D$10),1,0)</f>
        <v/>
      </c>
      <c r="LK35" s="17">
        <f>IF(AND(320&gt;=$B$10,320&lt;=$D$10),1,0)</f>
        <v/>
      </c>
      <c r="LL35" s="17">
        <f>IF(AND(321&gt;=$B$10,321&lt;=$D$10),1,0)</f>
        <v/>
      </c>
      <c r="LM35" s="17">
        <f>IF(AND(322&gt;=$B$10,322&lt;=$D$10),1,0)</f>
        <v/>
      </c>
      <c r="LN35" s="17">
        <f>IF(AND(323&gt;=$B$10,323&lt;=$D$10),1,0)</f>
        <v/>
      </c>
      <c r="LO35" s="17">
        <f>IF(AND(324&gt;=$B$10,324&lt;=$D$10),1,0)</f>
        <v/>
      </c>
      <c r="LP35" s="17">
        <f>IF(AND(325&gt;=$B$10,325&lt;=$D$10),1,0)</f>
        <v/>
      </c>
      <c r="LQ35" s="17">
        <f>IF(AND(326&gt;=$B$10,326&lt;=$D$10),1,0)</f>
        <v/>
      </c>
      <c r="LR35" s="17">
        <f>IF(AND(327&gt;=$B$10,327&lt;=$D$10),1,0)</f>
        <v/>
      </c>
      <c r="LS35" s="17">
        <f>IF(AND(328&gt;=$B$10,328&lt;=$D$10),1,0)</f>
        <v/>
      </c>
      <c r="LT35" s="17">
        <f>IF(AND(329&gt;=$B$10,329&lt;=$D$10),1,0)</f>
        <v/>
      </c>
      <c r="LU35" s="17">
        <f>IF(AND(330&gt;=$B$10,330&lt;=$D$10),1,0)</f>
        <v/>
      </c>
      <c r="LV35" s="17">
        <f>IF(AND(331&gt;=$B$10,331&lt;=$D$10),1,0)</f>
        <v/>
      </c>
      <c r="LW35" s="17">
        <f>IF(AND(332&gt;=$B$10,332&lt;=$D$10),1,0)</f>
        <v/>
      </c>
      <c r="LX35" s="17">
        <f>IF(AND(333&gt;=$B$10,333&lt;=$D$10),1,0)</f>
        <v/>
      </c>
      <c r="LY35" s="17">
        <f>IF(AND(334&gt;=$B$10,334&lt;=$D$10),1,0)</f>
        <v/>
      </c>
      <c r="LZ35" s="17">
        <f>IF(AND(335&gt;=$B$10,335&lt;=$D$10),1,0)</f>
        <v/>
      </c>
      <c r="MA35" s="17">
        <f>IF(AND(336&gt;=$B$10,336&lt;=$D$10),1,0)</f>
        <v/>
      </c>
      <c r="MB35" s="17">
        <f>IF(AND(337&gt;=$B$10,337&lt;=$D$10),1,0)</f>
        <v/>
      </c>
      <c r="MC35" s="17">
        <f>IF(AND(338&gt;=$B$10,338&lt;=$D$10),1,0)</f>
        <v/>
      </c>
      <c r="MD35" s="17">
        <f>IF(AND(339&gt;=$B$10,339&lt;=$D$10),1,0)</f>
        <v/>
      </c>
      <c r="ME35" s="17">
        <f>IF(AND(340&gt;=$B$10,340&lt;=$D$10),1,0)</f>
        <v/>
      </c>
      <c r="MF35" s="17">
        <f>IF(AND(341&gt;=$B$10,341&lt;=$D$10),1,0)</f>
        <v/>
      </c>
      <c r="MG35" s="17">
        <f>IF(AND(342&gt;=$B$10,342&lt;=$D$10),1,0)</f>
        <v/>
      </c>
      <c r="MH35" s="17">
        <f>IF(AND(343&gt;=$B$10,343&lt;=$D$10),1,0)</f>
        <v/>
      </c>
      <c r="MI35" s="17">
        <f>IF(AND(344&gt;=$B$10,344&lt;=$D$10),1,0)</f>
        <v/>
      </c>
      <c r="MJ35" s="17">
        <f>IF(AND(345&gt;=$B$10,345&lt;=$D$10),1,0)</f>
        <v/>
      </c>
      <c r="MK35" s="17">
        <f>IF(AND(346&gt;=$B$10,346&lt;=$D$10),1,0)</f>
        <v/>
      </c>
      <c r="ML35" s="17">
        <f>IF(AND(347&gt;=$B$10,347&lt;=$D$10),1,0)</f>
        <v/>
      </c>
      <c r="MM35" s="17">
        <f>IF(AND(348&gt;=$B$10,348&lt;=$D$10),1,0)</f>
        <v/>
      </c>
      <c r="MN35" s="17">
        <f>IF(AND(349&gt;=$B$10,349&lt;=$D$10),1,0)</f>
        <v/>
      </c>
      <c r="MO35" s="17">
        <f>IF(AND(350&gt;=$B$10,350&lt;=$D$10),1,0)</f>
        <v/>
      </c>
      <c r="MP35" s="17">
        <f>IF(AND(351&gt;=$B$10,351&lt;=$D$10),1,0)</f>
        <v/>
      </c>
      <c r="MQ35" s="17">
        <f>IF(AND(352&gt;=$B$10,352&lt;=$D$10),1,0)</f>
        <v/>
      </c>
      <c r="MR35" s="17">
        <f>IF(AND(353&gt;=$B$10,353&lt;=$D$10),1,0)</f>
        <v/>
      </c>
      <c r="MS35" s="17">
        <f>IF(AND(354&gt;=$B$10,354&lt;=$D$10),1,0)</f>
        <v/>
      </c>
      <c r="MT35" s="17">
        <f>IF(AND(355&gt;=$B$10,355&lt;=$D$10),1,0)</f>
        <v/>
      </c>
      <c r="MU35" s="17">
        <f>IF(AND(356&gt;=$B$10,356&lt;=$D$10),1,0)</f>
        <v/>
      </c>
      <c r="MV35" s="17">
        <f>IF(AND(357&gt;=$B$10,357&lt;=$D$10),1,0)</f>
        <v/>
      </c>
      <c r="MW35" s="17">
        <f>IF(AND(358&gt;=$B$10,358&lt;=$D$10),1,0)</f>
        <v/>
      </c>
      <c r="MX35" s="17">
        <f>IF(AND(359&gt;=$B$10,359&lt;=$D$10),1,0)</f>
        <v/>
      </c>
      <c r="MY35" s="17">
        <f>IF(AND(360&gt;=$B$10,360&lt;=$D$10),1,0)</f>
        <v/>
      </c>
      <c r="MZ35" s="17">
        <f>IF(AND(361&gt;=$B$10,361&lt;=$D$10),1,0)</f>
        <v/>
      </c>
      <c r="NA35" s="17">
        <f>IF(AND(362&gt;=$B$10,362&lt;=$D$10),1,0)</f>
        <v/>
      </c>
      <c r="NB35" s="17">
        <f>IF(AND(363&gt;=$B$10,363&lt;=$D$10),1,0)</f>
        <v/>
      </c>
      <c r="NC35" s="17">
        <f>IF(AND(364&gt;=$B$10,364&lt;=$D$10),1,0)</f>
        <v/>
      </c>
      <c r="ND35" s="17">
        <f>IF(AND(365&gt;=$B$10,365&lt;=$D$10),1,0)</f>
        <v/>
      </c>
      <c r="NE35" s="17">
        <f>IF(AND(366&gt;=$B$10,366&lt;=$D$10),1,0)</f>
        <v/>
      </c>
      <c r="NF35" s="17">
        <f>IF(AND(367&gt;=$B$10,367&lt;=$D$10),1,0)</f>
        <v/>
      </c>
      <c r="NG35" s="17">
        <f>IF(AND(368&gt;=$B$10,368&lt;=$D$10),1,0)</f>
        <v/>
      </c>
      <c r="NH35" s="17">
        <f>IF(AND(369&gt;=$B$10,369&lt;=$D$10),1,0)</f>
        <v/>
      </c>
      <c r="NI35" s="17">
        <f>IF(AND(370&gt;=$B$10,370&lt;=$D$10),1,0)</f>
        <v/>
      </c>
      <c r="NJ35" s="17">
        <f>IF(AND(371&gt;=$B$10,371&lt;=$D$10),1,0)</f>
        <v/>
      </c>
      <c r="NK35" s="17">
        <f>IF(AND(372&gt;=$B$10,372&lt;=$D$10),1,0)</f>
        <v/>
      </c>
    </row>
    <row r="36">
      <c r="A36" s="5" t="inlineStr">
        <is>
          <t>Flag: Lease-Up</t>
        </is>
      </c>
      <c r="C36" s="40" t="n"/>
      <c r="D36" s="17">
        <f>IF(AND(1&gt;=$B$11,1&lt;=$D$11),1,0)</f>
        <v/>
      </c>
      <c r="E36" s="17">
        <f>IF(AND(2&gt;=$B$11,2&lt;=$D$11),1,0)</f>
        <v/>
      </c>
      <c r="F36" s="17">
        <f>IF(AND(3&gt;=$B$11,3&lt;=$D$11),1,0)</f>
        <v/>
      </c>
      <c r="G36" s="17">
        <f>IF(AND(4&gt;=$B$11,4&lt;=$D$11),1,0)</f>
        <v/>
      </c>
      <c r="H36" s="17">
        <f>IF(AND(5&gt;=$B$11,5&lt;=$D$11),1,0)</f>
        <v/>
      </c>
      <c r="I36" s="17">
        <f>IF(AND(6&gt;=$B$11,6&lt;=$D$11),1,0)</f>
        <v/>
      </c>
      <c r="J36" s="17">
        <f>IF(AND(7&gt;=$B$11,7&lt;=$D$11),1,0)</f>
        <v/>
      </c>
      <c r="K36" s="17">
        <f>IF(AND(8&gt;=$B$11,8&lt;=$D$11),1,0)</f>
        <v/>
      </c>
      <c r="L36" s="17">
        <f>IF(AND(9&gt;=$B$11,9&lt;=$D$11),1,0)</f>
        <v/>
      </c>
      <c r="M36" s="17">
        <f>IF(AND(10&gt;=$B$11,10&lt;=$D$11),1,0)</f>
        <v/>
      </c>
      <c r="N36" s="17">
        <f>IF(AND(11&gt;=$B$11,11&lt;=$D$11),1,0)</f>
        <v/>
      </c>
      <c r="O36" s="17">
        <f>IF(AND(12&gt;=$B$11,12&lt;=$D$11),1,0)</f>
        <v/>
      </c>
      <c r="P36" s="17">
        <f>IF(AND(13&gt;=$B$11,13&lt;=$D$11),1,0)</f>
        <v/>
      </c>
      <c r="Q36" s="17">
        <f>IF(AND(14&gt;=$B$11,14&lt;=$D$11),1,0)</f>
        <v/>
      </c>
      <c r="R36" s="17">
        <f>IF(AND(15&gt;=$B$11,15&lt;=$D$11),1,0)</f>
        <v/>
      </c>
      <c r="S36" s="17">
        <f>IF(AND(16&gt;=$B$11,16&lt;=$D$11),1,0)</f>
        <v/>
      </c>
      <c r="T36" s="17">
        <f>IF(AND(17&gt;=$B$11,17&lt;=$D$11),1,0)</f>
        <v/>
      </c>
      <c r="U36" s="17">
        <f>IF(AND(18&gt;=$B$11,18&lt;=$D$11),1,0)</f>
        <v/>
      </c>
      <c r="V36" s="17">
        <f>IF(AND(19&gt;=$B$11,19&lt;=$D$11),1,0)</f>
        <v/>
      </c>
      <c r="W36" s="17">
        <f>IF(AND(20&gt;=$B$11,20&lt;=$D$11),1,0)</f>
        <v/>
      </c>
      <c r="X36" s="17">
        <f>IF(AND(21&gt;=$B$11,21&lt;=$D$11),1,0)</f>
        <v/>
      </c>
      <c r="Y36" s="17">
        <f>IF(AND(22&gt;=$B$11,22&lt;=$D$11),1,0)</f>
        <v/>
      </c>
      <c r="Z36" s="17">
        <f>IF(AND(23&gt;=$B$11,23&lt;=$D$11),1,0)</f>
        <v/>
      </c>
      <c r="AA36" s="17">
        <f>IF(AND(24&gt;=$B$11,24&lt;=$D$11),1,0)</f>
        <v/>
      </c>
      <c r="AB36" s="17">
        <f>IF(AND(25&gt;=$B$11,25&lt;=$D$11),1,0)</f>
        <v/>
      </c>
      <c r="AC36" s="17">
        <f>IF(AND(26&gt;=$B$11,26&lt;=$D$11),1,0)</f>
        <v/>
      </c>
      <c r="AD36" s="17">
        <f>IF(AND(27&gt;=$B$11,27&lt;=$D$11),1,0)</f>
        <v/>
      </c>
      <c r="AE36" s="17">
        <f>IF(AND(28&gt;=$B$11,28&lt;=$D$11),1,0)</f>
        <v/>
      </c>
      <c r="AF36" s="17">
        <f>IF(AND(29&gt;=$B$11,29&lt;=$D$11),1,0)</f>
        <v/>
      </c>
      <c r="AG36" s="17">
        <f>IF(AND(30&gt;=$B$11,30&lt;=$D$11),1,0)</f>
        <v/>
      </c>
      <c r="AH36" s="17">
        <f>IF(AND(31&gt;=$B$11,31&lt;=$D$11),1,0)</f>
        <v/>
      </c>
      <c r="AI36" s="17">
        <f>IF(AND(32&gt;=$B$11,32&lt;=$D$11),1,0)</f>
        <v/>
      </c>
      <c r="AJ36" s="17">
        <f>IF(AND(33&gt;=$B$11,33&lt;=$D$11),1,0)</f>
        <v/>
      </c>
      <c r="AK36" s="17">
        <f>IF(AND(34&gt;=$B$11,34&lt;=$D$11),1,0)</f>
        <v/>
      </c>
      <c r="AL36" s="17">
        <f>IF(AND(35&gt;=$B$11,35&lt;=$D$11),1,0)</f>
        <v/>
      </c>
      <c r="AM36" s="17">
        <f>IF(AND(36&gt;=$B$11,36&lt;=$D$11),1,0)</f>
        <v/>
      </c>
      <c r="AN36" s="17">
        <f>IF(AND(37&gt;=$B$11,37&lt;=$D$11),1,0)</f>
        <v/>
      </c>
      <c r="AO36" s="17">
        <f>IF(AND(38&gt;=$B$11,38&lt;=$D$11),1,0)</f>
        <v/>
      </c>
      <c r="AP36" s="17">
        <f>IF(AND(39&gt;=$B$11,39&lt;=$D$11),1,0)</f>
        <v/>
      </c>
      <c r="AQ36" s="17">
        <f>IF(AND(40&gt;=$B$11,40&lt;=$D$11),1,0)</f>
        <v/>
      </c>
      <c r="AR36" s="17">
        <f>IF(AND(41&gt;=$B$11,41&lt;=$D$11),1,0)</f>
        <v/>
      </c>
      <c r="AS36" s="17">
        <f>IF(AND(42&gt;=$B$11,42&lt;=$D$11),1,0)</f>
        <v/>
      </c>
      <c r="AT36" s="17">
        <f>IF(AND(43&gt;=$B$11,43&lt;=$D$11),1,0)</f>
        <v/>
      </c>
      <c r="AU36" s="17">
        <f>IF(AND(44&gt;=$B$11,44&lt;=$D$11),1,0)</f>
        <v/>
      </c>
      <c r="AV36" s="17">
        <f>IF(AND(45&gt;=$B$11,45&lt;=$D$11),1,0)</f>
        <v/>
      </c>
      <c r="AW36" s="17">
        <f>IF(AND(46&gt;=$B$11,46&lt;=$D$11),1,0)</f>
        <v/>
      </c>
      <c r="AX36" s="17">
        <f>IF(AND(47&gt;=$B$11,47&lt;=$D$11),1,0)</f>
        <v/>
      </c>
      <c r="AY36" s="17">
        <f>IF(AND(48&gt;=$B$11,48&lt;=$D$11),1,0)</f>
        <v/>
      </c>
      <c r="AZ36" s="17">
        <f>IF(AND(49&gt;=$B$11,49&lt;=$D$11),1,0)</f>
        <v/>
      </c>
      <c r="BA36" s="17">
        <f>IF(AND(50&gt;=$B$11,50&lt;=$D$11),1,0)</f>
        <v/>
      </c>
      <c r="BB36" s="17">
        <f>IF(AND(51&gt;=$B$11,51&lt;=$D$11),1,0)</f>
        <v/>
      </c>
      <c r="BC36" s="17">
        <f>IF(AND(52&gt;=$B$11,52&lt;=$D$11),1,0)</f>
        <v/>
      </c>
      <c r="BD36" s="17">
        <f>IF(AND(53&gt;=$B$11,53&lt;=$D$11),1,0)</f>
        <v/>
      </c>
      <c r="BE36" s="17">
        <f>IF(AND(54&gt;=$B$11,54&lt;=$D$11),1,0)</f>
        <v/>
      </c>
      <c r="BF36" s="17">
        <f>IF(AND(55&gt;=$B$11,55&lt;=$D$11),1,0)</f>
        <v/>
      </c>
      <c r="BG36" s="17">
        <f>IF(AND(56&gt;=$B$11,56&lt;=$D$11),1,0)</f>
        <v/>
      </c>
      <c r="BH36" s="17">
        <f>IF(AND(57&gt;=$B$11,57&lt;=$D$11),1,0)</f>
        <v/>
      </c>
      <c r="BI36" s="17">
        <f>IF(AND(58&gt;=$B$11,58&lt;=$D$11),1,0)</f>
        <v/>
      </c>
      <c r="BJ36" s="17">
        <f>IF(AND(59&gt;=$B$11,59&lt;=$D$11),1,0)</f>
        <v/>
      </c>
      <c r="BK36" s="17">
        <f>IF(AND(60&gt;=$B$11,60&lt;=$D$11),1,0)</f>
        <v/>
      </c>
      <c r="BL36" s="17">
        <f>IF(AND(61&gt;=$B$11,61&lt;=$D$11),1,0)</f>
        <v/>
      </c>
      <c r="BM36" s="17">
        <f>IF(AND(62&gt;=$B$11,62&lt;=$D$11),1,0)</f>
        <v/>
      </c>
      <c r="BN36" s="17">
        <f>IF(AND(63&gt;=$B$11,63&lt;=$D$11),1,0)</f>
        <v/>
      </c>
      <c r="BO36" s="17">
        <f>IF(AND(64&gt;=$B$11,64&lt;=$D$11),1,0)</f>
        <v/>
      </c>
      <c r="BP36" s="17">
        <f>IF(AND(65&gt;=$B$11,65&lt;=$D$11),1,0)</f>
        <v/>
      </c>
      <c r="BQ36" s="17">
        <f>IF(AND(66&gt;=$B$11,66&lt;=$D$11),1,0)</f>
        <v/>
      </c>
      <c r="BR36" s="17">
        <f>IF(AND(67&gt;=$B$11,67&lt;=$D$11),1,0)</f>
        <v/>
      </c>
      <c r="BS36" s="17">
        <f>IF(AND(68&gt;=$B$11,68&lt;=$D$11),1,0)</f>
        <v/>
      </c>
      <c r="BT36" s="17">
        <f>IF(AND(69&gt;=$B$11,69&lt;=$D$11),1,0)</f>
        <v/>
      </c>
      <c r="BU36" s="17">
        <f>IF(AND(70&gt;=$B$11,70&lt;=$D$11),1,0)</f>
        <v/>
      </c>
      <c r="BV36" s="17">
        <f>IF(AND(71&gt;=$B$11,71&lt;=$D$11),1,0)</f>
        <v/>
      </c>
      <c r="BW36" s="17">
        <f>IF(AND(72&gt;=$B$11,72&lt;=$D$11),1,0)</f>
        <v/>
      </c>
      <c r="BX36" s="17">
        <f>IF(AND(73&gt;=$B$11,73&lt;=$D$11),1,0)</f>
        <v/>
      </c>
      <c r="BY36" s="17">
        <f>IF(AND(74&gt;=$B$11,74&lt;=$D$11),1,0)</f>
        <v/>
      </c>
      <c r="BZ36" s="17">
        <f>IF(AND(75&gt;=$B$11,75&lt;=$D$11),1,0)</f>
        <v/>
      </c>
      <c r="CA36" s="17">
        <f>IF(AND(76&gt;=$B$11,76&lt;=$D$11),1,0)</f>
        <v/>
      </c>
      <c r="CB36" s="17">
        <f>IF(AND(77&gt;=$B$11,77&lt;=$D$11),1,0)</f>
        <v/>
      </c>
      <c r="CC36" s="17">
        <f>IF(AND(78&gt;=$B$11,78&lt;=$D$11),1,0)</f>
        <v/>
      </c>
      <c r="CD36" s="17">
        <f>IF(AND(79&gt;=$B$11,79&lt;=$D$11),1,0)</f>
        <v/>
      </c>
      <c r="CE36" s="17">
        <f>IF(AND(80&gt;=$B$11,80&lt;=$D$11),1,0)</f>
        <v/>
      </c>
      <c r="CF36" s="17">
        <f>IF(AND(81&gt;=$B$11,81&lt;=$D$11),1,0)</f>
        <v/>
      </c>
      <c r="CG36" s="17">
        <f>IF(AND(82&gt;=$B$11,82&lt;=$D$11),1,0)</f>
        <v/>
      </c>
      <c r="CH36" s="17">
        <f>IF(AND(83&gt;=$B$11,83&lt;=$D$11),1,0)</f>
        <v/>
      </c>
      <c r="CI36" s="17">
        <f>IF(AND(84&gt;=$B$11,84&lt;=$D$11),1,0)</f>
        <v/>
      </c>
      <c r="CJ36" s="17">
        <f>IF(AND(85&gt;=$B$11,85&lt;=$D$11),1,0)</f>
        <v/>
      </c>
      <c r="CK36" s="17">
        <f>IF(AND(86&gt;=$B$11,86&lt;=$D$11),1,0)</f>
        <v/>
      </c>
      <c r="CL36" s="17">
        <f>IF(AND(87&gt;=$B$11,87&lt;=$D$11),1,0)</f>
        <v/>
      </c>
      <c r="CM36" s="17">
        <f>IF(AND(88&gt;=$B$11,88&lt;=$D$11),1,0)</f>
        <v/>
      </c>
      <c r="CN36" s="17">
        <f>IF(AND(89&gt;=$B$11,89&lt;=$D$11),1,0)</f>
        <v/>
      </c>
      <c r="CO36" s="17">
        <f>IF(AND(90&gt;=$B$11,90&lt;=$D$11),1,0)</f>
        <v/>
      </c>
      <c r="CP36" s="17">
        <f>IF(AND(91&gt;=$B$11,91&lt;=$D$11),1,0)</f>
        <v/>
      </c>
      <c r="CQ36" s="17">
        <f>IF(AND(92&gt;=$B$11,92&lt;=$D$11),1,0)</f>
        <v/>
      </c>
      <c r="CR36" s="17">
        <f>IF(AND(93&gt;=$B$11,93&lt;=$D$11),1,0)</f>
        <v/>
      </c>
      <c r="CS36" s="17">
        <f>IF(AND(94&gt;=$B$11,94&lt;=$D$11),1,0)</f>
        <v/>
      </c>
      <c r="CT36" s="17">
        <f>IF(AND(95&gt;=$B$11,95&lt;=$D$11),1,0)</f>
        <v/>
      </c>
      <c r="CU36" s="17">
        <f>IF(AND(96&gt;=$B$11,96&lt;=$D$11),1,0)</f>
        <v/>
      </c>
      <c r="CV36" s="17">
        <f>IF(AND(97&gt;=$B$11,97&lt;=$D$11),1,0)</f>
        <v/>
      </c>
      <c r="CW36" s="17">
        <f>IF(AND(98&gt;=$B$11,98&lt;=$D$11),1,0)</f>
        <v/>
      </c>
      <c r="CX36" s="17">
        <f>IF(AND(99&gt;=$B$11,99&lt;=$D$11),1,0)</f>
        <v/>
      </c>
      <c r="CY36" s="17">
        <f>IF(AND(100&gt;=$B$11,100&lt;=$D$11),1,0)</f>
        <v/>
      </c>
      <c r="CZ36" s="17">
        <f>IF(AND(101&gt;=$B$11,101&lt;=$D$11),1,0)</f>
        <v/>
      </c>
      <c r="DA36" s="17">
        <f>IF(AND(102&gt;=$B$11,102&lt;=$D$11),1,0)</f>
        <v/>
      </c>
      <c r="DB36" s="17">
        <f>IF(AND(103&gt;=$B$11,103&lt;=$D$11),1,0)</f>
        <v/>
      </c>
      <c r="DC36" s="17">
        <f>IF(AND(104&gt;=$B$11,104&lt;=$D$11),1,0)</f>
        <v/>
      </c>
      <c r="DD36" s="17">
        <f>IF(AND(105&gt;=$B$11,105&lt;=$D$11),1,0)</f>
        <v/>
      </c>
      <c r="DE36" s="17">
        <f>IF(AND(106&gt;=$B$11,106&lt;=$D$11),1,0)</f>
        <v/>
      </c>
      <c r="DF36" s="17">
        <f>IF(AND(107&gt;=$B$11,107&lt;=$D$11),1,0)</f>
        <v/>
      </c>
      <c r="DG36" s="17">
        <f>IF(AND(108&gt;=$B$11,108&lt;=$D$11),1,0)</f>
        <v/>
      </c>
      <c r="DH36" s="17">
        <f>IF(AND(109&gt;=$B$11,109&lt;=$D$11),1,0)</f>
        <v/>
      </c>
      <c r="DI36" s="17">
        <f>IF(AND(110&gt;=$B$11,110&lt;=$D$11),1,0)</f>
        <v/>
      </c>
      <c r="DJ36" s="17">
        <f>IF(AND(111&gt;=$B$11,111&lt;=$D$11),1,0)</f>
        <v/>
      </c>
      <c r="DK36" s="17">
        <f>IF(AND(112&gt;=$B$11,112&lt;=$D$11),1,0)</f>
        <v/>
      </c>
      <c r="DL36" s="17">
        <f>IF(AND(113&gt;=$B$11,113&lt;=$D$11),1,0)</f>
        <v/>
      </c>
      <c r="DM36" s="17">
        <f>IF(AND(114&gt;=$B$11,114&lt;=$D$11),1,0)</f>
        <v/>
      </c>
      <c r="DN36" s="17">
        <f>IF(AND(115&gt;=$B$11,115&lt;=$D$11),1,0)</f>
        <v/>
      </c>
      <c r="DO36" s="17">
        <f>IF(AND(116&gt;=$B$11,116&lt;=$D$11),1,0)</f>
        <v/>
      </c>
      <c r="DP36" s="17">
        <f>IF(AND(117&gt;=$B$11,117&lt;=$D$11),1,0)</f>
        <v/>
      </c>
      <c r="DQ36" s="17">
        <f>IF(AND(118&gt;=$B$11,118&lt;=$D$11),1,0)</f>
        <v/>
      </c>
      <c r="DR36" s="17">
        <f>IF(AND(119&gt;=$B$11,119&lt;=$D$11),1,0)</f>
        <v/>
      </c>
      <c r="DS36" s="17">
        <f>IF(AND(120&gt;=$B$11,120&lt;=$D$11),1,0)</f>
        <v/>
      </c>
      <c r="DT36" s="17">
        <f>IF(AND(121&gt;=$B$11,121&lt;=$D$11),1,0)</f>
        <v/>
      </c>
      <c r="DU36" s="17">
        <f>IF(AND(122&gt;=$B$11,122&lt;=$D$11),1,0)</f>
        <v/>
      </c>
      <c r="DV36" s="17">
        <f>IF(AND(123&gt;=$B$11,123&lt;=$D$11),1,0)</f>
        <v/>
      </c>
      <c r="DW36" s="17">
        <f>IF(AND(124&gt;=$B$11,124&lt;=$D$11),1,0)</f>
        <v/>
      </c>
      <c r="DX36" s="17">
        <f>IF(AND(125&gt;=$B$11,125&lt;=$D$11),1,0)</f>
        <v/>
      </c>
      <c r="DY36" s="17">
        <f>IF(AND(126&gt;=$B$11,126&lt;=$D$11),1,0)</f>
        <v/>
      </c>
      <c r="DZ36" s="17">
        <f>IF(AND(127&gt;=$B$11,127&lt;=$D$11),1,0)</f>
        <v/>
      </c>
      <c r="EA36" s="17">
        <f>IF(AND(128&gt;=$B$11,128&lt;=$D$11),1,0)</f>
        <v/>
      </c>
      <c r="EB36" s="17">
        <f>IF(AND(129&gt;=$B$11,129&lt;=$D$11),1,0)</f>
        <v/>
      </c>
      <c r="EC36" s="17">
        <f>IF(AND(130&gt;=$B$11,130&lt;=$D$11),1,0)</f>
        <v/>
      </c>
      <c r="ED36" s="17">
        <f>IF(AND(131&gt;=$B$11,131&lt;=$D$11),1,0)</f>
        <v/>
      </c>
      <c r="EE36" s="17">
        <f>IF(AND(132&gt;=$B$11,132&lt;=$D$11),1,0)</f>
        <v/>
      </c>
      <c r="EF36" s="17">
        <f>IF(AND(133&gt;=$B$11,133&lt;=$D$11),1,0)</f>
        <v/>
      </c>
      <c r="EG36" s="17">
        <f>IF(AND(134&gt;=$B$11,134&lt;=$D$11),1,0)</f>
        <v/>
      </c>
      <c r="EH36" s="17">
        <f>IF(AND(135&gt;=$B$11,135&lt;=$D$11),1,0)</f>
        <v/>
      </c>
      <c r="EI36" s="17">
        <f>IF(AND(136&gt;=$B$11,136&lt;=$D$11),1,0)</f>
        <v/>
      </c>
      <c r="EJ36" s="17">
        <f>IF(AND(137&gt;=$B$11,137&lt;=$D$11),1,0)</f>
        <v/>
      </c>
      <c r="EK36" s="17">
        <f>IF(AND(138&gt;=$B$11,138&lt;=$D$11),1,0)</f>
        <v/>
      </c>
      <c r="EL36" s="17">
        <f>IF(AND(139&gt;=$B$11,139&lt;=$D$11),1,0)</f>
        <v/>
      </c>
      <c r="EM36" s="17">
        <f>IF(AND(140&gt;=$B$11,140&lt;=$D$11),1,0)</f>
        <v/>
      </c>
      <c r="EN36" s="17">
        <f>IF(AND(141&gt;=$B$11,141&lt;=$D$11),1,0)</f>
        <v/>
      </c>
      <c r="EO36" s="17">
        <f>IF(AND(142&gt;=$B$11,142&lt;=$D$11),1,0)</f>
        <v/>
      </c>
      <c r="EP36" s="17">
        <f>IF(AND(143&gt;=$B$11,143&lt;=$D$11),1,0)</f>
        <v/>
      </c>
      <c r="EQ36" s="17">
        <f>IF(AND(144&gt;=$B$11,144&lt;=$D$11),1,0)</f>
        <v/>
      </c>
      <c r="ER36" s="17">
        <f>IF(AND(145&gt;=$B$11,145&lt;=$D$11),1,0)</f>
        <v/>
      </c>
      <c r="ES36" s="17">
        <f>IF(AND(146&gt;=$B$11,146&lt;=$D$11),1,0)</f>
        <v/>
      </c>
      <c r="ET36" s="17">
        <f>IF(AND(147&gt;=$B$11,147&lt;=$D$11),1,0)</f>
        <v/>
      </c>
      <c r="EU36" s="17">
        <f>IF(AND(148&gt;=$B$11,148&lt;=$D$11),1,0)</f>
        <v/>
      </c>
      <c r="EV36" s="17">
        <f>IF(AND(149&gt;=$B$11,149&lt;=$D$11),1,0)</f>
        <v/>
      </c>
      <c r="EW36" s="17">
        <f>IF(AND(150&gt;=$B$11,150&lt;=$D$11),1,0)</f>
        <v/>
      </c>
      <c r="EX36" s="17">
        <f>IF(AND(151&gt;=$B$11,151&lt;=$D$11),1,0)</f>
        <v/>
      </c>
      <c r="EY36" s="17">
        <f>IF(AND(152&gt;=$B$11,152&lt;=$D$11),1,0)</f>
        <v/>
      </c>
      <c r="EZ36" s="17">
        <f>IF(AND(153&gt;=$B$11,153&lt;=$D$11),1,0)</f>
        <v/>
      </c>
      <c r="FA36" s="17">
        <f>IF(AND(154&gt;=$B$11,154&lt;=$D$11),1,0)</f>
        <v/>
      </c>
      <c r="FB36" s="17">
        <f>IF(AND(155&gt;=$B$11,155&lt;=$D$11),1,0)</f>
        <v/>
      </c>
      <c r="FC36" s="17">
        <f>IF(AND(156&gt;=$B$11,156&lt;=$D$11),1,0)</f>
        <v/>
      </c>
      <c r="FD36" s="17">
        <f>IF(AND(157&gt;=$B$11,157&lt;=$D$11),1,0)</f>
        <v/>
      </c>
      <c r="FE36" s="17">
        <f>IF(AND(158&gt;=$B$11,158&lt;=$D$11),1,0)</f>
        <v/>
      </c>
      <c r="FF36" s="17">
        <f>IF(AND(159&gt;=$B$11,159&lt;=$D$11),1,0)</f>
        <v/>
      </c>
      <c r="FG36" s="17">
        <f>IF(AND(160&gt;=$B$11,160&lt;=$D$11),1,0)</f>
        <v/>
      </c>
      <c r="FH36" s="17">
        <f>IF(AND(161&gt;=$B$11,161&lt;=$D$11),1,0)</f>
        <v/>
      </c>
      <c r="FI36" s="17">
        <f>IF(AND(162&gt;=$B$11,162&lt;=$D$11),1,0)</f>
        <v/>
      </c>
      <c r="FJ36" s="17">
        <f>IF(AND(163&gt;=$B$11,163&lt;=$D$11),1,0)</f>
        <v/>
      </c>
      <c r="FK36" s="17">
        <f>IF(AND(164&gt;=$B$11,164&lt;=$D$11),1,0)</f>
        <v/>
      </c>
      <c r="FL36" s="17">
        <f>IF(AND(165&gt;=$B$11,165&lt;=$D$11),1,0)</f>
        <v/>
      </c>
      <c r="FM36" s="17">
        <f>IF(AND(166&gt;=$B$11,166&lt;=$D$11),1,0)</f>
        <v/>
      </c>
      <c r="FN36" s="17">
        <f>IF(AND(167&gt;=$B$11,167&lt;=$D$11),1,0)</f>
        <v/>
      </c>
      <c r="FO36" s="17">
        <f>IF(AND(168&gt;=$B$11,168&lt;=$D$11),1,0)</f>
        <v/>
      </c>
      <c r="FP36" s="17">
        <f>IF(AND(169&gt;=$B$11,169&lt;=$D$11),1,0)</f>
        <v/>
      </c>
      <c r="FQ36" s="17">
        <f>IF(AND(170&gt;=$B$11,170&lt;=$D$11),1,0)</f>
        <v/>
      </c>
      <c r="FR36" s="17">
        <f>IF(AND(171&gt;=$B$11,171&lt;=$D$11),1,0)</f>
        <v/>
      </c>
      <c r="FS36" s="17">
        <f>IF(AND(172&gt;=$B$11,172&lt;=$D$11),1,0)</f>
        <v/>
      </c>
      <c r="FT36" s="17">
        <f>IF(AND(173&gt;=$B$11,173&lt;=$D$11),1,0)</f>
        <v/>
      </c>
      <c r="FU36" s="17">
        <f>IF(AND(174&gt;=$B$11,174&lt;=$D$11),1,0)</f>
        <v/>
      </c>
      <c r="FV36" s="17">
        <f>IF(AND(175&gt;=$B$11,175&lt;=$D$11),1,0)</f>
        <v/>
      </c>
      <c r="FW36" s="17">
        <f>IF(AND(176&gt;=$B$11,176&lt;=$D$11),1,0)</f>
        <v/>
      </c>
      <c r="FX36" s="17">
        <f>IF(AND(177&gt;=$B$11,177&lt;=$D$11),1,0)</f>
        <v/>
      </c>
      <c r="FY36" s="17">
        <f>IF(AND(178&gt;=$B$11,178&lt;=$D$11),1,0)</f>
        <v/>
      </c>
      <c r="FZ36" s="17">
        <f>IF(AND(179&gt;=$B$11,179&lt;=$D$11),1,0)</f>
        <v/>
      </c>
      <c r="GA36" s="17">
        <f>IF(AND(180&gt;=$B$11,180&lt;=$D$11),1,0)</f>
        <v/>
      </c>
      <c r="GB36" s="17">
        <f>IF(AND(181&gt;=$B$11,181&lt;=$D$11),1,0)</f>
        <v/>
      </c>
      <c r="GC36" s="17">
        <f>IF(AND(182&gt;=$B$11,182&lt;=$D$11),1,0)</f>
        <v/>
      </c>
      <c r="GD36" s="17">
        <f>IF(AND(183&gt;=$B$11,183&lt;=$D$11),1,0)</f>
        <v/>
      </c>
      <c r="GE36" s="17">
        <f>IF(AND(184&gt;=$B$11,184&lt;=$D$11),1,0)</f>
        <v/>
      </c>
      <c r="GF36" s="17">
        <f>IF(AND(185&gt;=$B$11,185&lt;=$D$11),1,0)</f>
        <v/>
      </c>
      <c r="GG36" s="17">
        <f>IF(AND(186&gt;=$B$11,186&lt;=$D$11),1,0)</f>
        <v/>
      </c>
      <c r="GH36" s="17">
        <f>IF(AND(187&gt;=$B$11,187&lt;=$D$11),1,0)</f>
        <v/>
      </c>
      <c r="GI36" s="17">
        <f>IF(AND(188&gt;=$B$11,188&lt;=$D$11),1,0)</f>
        <v/>
      </c>
      <c r="GJ36" s="17">
        <f>IF(AND(189&gt;=$B$11,189&lt;=$D$11),1,0)</f>
        <v/>
      </c>
      <c r="GK36" s="17">
        <f>IF(AND(190&gt;=$B$11,190&lt;=$D$11),1,0)</f>
        <v/>
      </c>
      <c r="GL36" s="17">
        <f>IF(AND(191&gt;=$B$11,191&lt;=$D$11),1,0)</f>
        <v/>
      </c>
      <c r="GM36" s="17">
        <f>IF(AND(192&gt;=$B$11,192&lt;=$D$11),1,0)</f>
        <v/>
      </c>
      <c r="GN36" s="17">
        <f>IF(AND(193&gt;=$B$11,193&lt;=$D$11),1,0)</f>
        <v/>
      </c>
      <c r="GO36" s="17">
        <f>IF(AND(194&gt;=$B$11,194&lt;=$D$11),1,0)</f>
        <v/>
      </c>
      <c r="GP36" s="17">
        <f>IF(AND(195&gt;=$B$11,195&lt;=$D$11),1,0)</f>
        <v/>
      </c>
      <c r="GQ36" s="17">
        <f>IF(AND(196&gt;=$B$11,196&lt;=$D$11),1,0)</f>
        <v/>
      </c>
      <c r="GR36" s="17">
        <f>IF(AND(197&gt;=$B$11,197&lt;=$D$11),1,0)</f>
        <v/>
      </c>
      <c r="GS36" s="17">
        <f>IF(AND(198&gt;=$B$11,198&lt;=$D$11),1,0)</f>
        <v/>
      </c>
      <c r="GT36" s="17">
        <f>IF(AND(199&gt;=$B$11,199&lt;=$D$11),1,0)</f>
        <v/>
      </c>
      <c r="GU36" s="17">
        <f>IF(AND(200&gt;=$B$11,200&lt;=$D$11),1,0)</f>
        <v/>
      </c>
      <c r="GV36" s="17">
        <f>IF(AND(201&gt;=$B$11,201&lt;=$D$11),1,0)</f>
        <v/>
      </c>
      <c r="GW36" s="17">
        <f>IF(AND(202&gt;=$B$11,202&lt;=$D$11),1,0)</f>
        <v/>
      </c>
      <c r="GX36" s="17">
        <f>IF(AND(203&gt;=$B$11,203&lt;=$D$11),1,0)</f>
        <v/>
      </c>
      <c r="GY36" s="17">
        <f>IF(AND(204&gt;=$B$11,204&lt;=$D$11),1,0)</f>
        <v/>
      </c>
      <c r="GZ36" s="17">
        <f>IF(AND(205&gt;=$B$11,205&lt;=$D$11),1,0)</f>
        <v/>
      </c>
      <c r="HA36" s="17">
        <f>IF(AND(206&gt;=$B$11,206&lt;=$D$11),1,0)</f>
        <v/>
      </c>
      <c r="HB36" s="17">
        <f>IF(AND(207&gt;=$B$11,207&lt;=$D$11),1,0)</f>
        <v/>
      </c>
      <c r="HC36" s="17">
        <f>IF(AND(208&gt;=$B$11,208&lt;=$D$11),1,0)</f>
        <v/>
      </c>
      <c r="HD36" s="17">
        <f>IF(AND(209&gt;=$B$11,209&lt;=$D$11),1,0)</f>
        <v/>
      </c>
      <c r="HE36" s="17">
        <f>IF(AND(210&gt;=$B$11,210&lt;=$D$11),1,0)</f>
        <v/>
      </c>
      <c r="HF36" s="17">
        <f>IF(AND(211&gt;=$B$11,211&lt;=$D$11),1,0)</f>
        <v/>
      </c>
      <c r="HG36" s="17">
        <f>IF(AND(212&gt;=$B$11,212&lt;=$D$11),1,0)</f>
        <v/>
      </c>
      <c r="HH36" s="17">
        <f>IF(AND(213&gt;=$B$11,213&lt;=$D$11),1,0)</f>
        <v/>
      </c>
      <c r="HI36" s="17">
        <f>IF(AND(214&gt;=$B$11,214&lt;=$D$11),1,0)</f>
        <v/>
      </c>
      <c r="HJ36" s="17">
        <f>IF(AND(215&gt;=$B$11,215&lt;=$D$11),1,0)</f>
        <v/>
      </c>
      <c r="HK36" s="17">
        <f>IF(AND(216&gt;=$B$11,216&lt;=$D$11),1,0)</f>
        <v/>
      </c>
      <c r="HL36" s="17">
        <f>IF(AND(217&gt;=$B$11,217&lt;=$D$11),1,0)</f>
        <v/>
      </c>
      <c r="HM36" s="17">
        <f>IF(AND(218&gt;=$B$11,218&lt;=$D$11),1,0)</f>
        <v/>
      </c>
      <c r="HN36" s="17">
        <f>IF(AND(219&gt;=$B$11,219&lt;=$D$11),1,0)</f>
        <v/>
      </c>
      <c r="HO36" s="17">
        <f>IF(AND(220&gt;=$B$11,220&lt;=$D$11),1,0)</f>
        <v/>
      </c>
      <c r="HP36" s="17">
        <f>IF(AND(221&gt;=$B$11,221&lt;=$D$11),1,0)</f>
        <v/>
      </c>
      <c r="HQ36" s="17">
        <f>IF(AND(222&gt;=$B$11,222&lt;=$D$11),1,0)</f>
        <v/>
      </c>
      <c r="HR36" s="17">
        <f>IF(AND(223&gt;=$B$11,223&lt;=$D$11),1,0)</f>
        <v/>
      </c>
      <c r="HS36" s="17">
        <f>IF(AND(224&gt;=$B$11,224&lt;=$D$11),1,0)</f>
        <v/>
      </c>
      <c r="HT36" s="17">
        <f>IF(AND(225&gt;=$B$11,225&lt;=$D$11),1,0)</f>
        <v/>
      </c>
      <c r="HU36" s="17">
        <f>IF(AND(226&gt;=$B$11,226&lt;=$D$11),1,0)</f>
        <v/>
      </c>
      <c r="HV36" s="17">
        <f>IF(AND(227&gt;=$B$11,227&lt;=$D$11),1,0)</f>
        <v/>
      </c>
      <c r="HW36" s="17">
        <f>IF(AND(228&gt;=$B$11,228&lt;=$D$11),1,0)</f>
        <v/>
      </c>
      <c r="HX36" s="17">
        <f>IF(AND(229&gt;=$B$11,229&lt;=$D$11),1,0)</f>
        <v/>
      </c>
      <c r="HY36" s="17">
        <f>IF(AND(230&gt;=$B$11,230&lt;=$D$11),1,0)</f>
        <v/>
      </c>
      <c r="HZ36" s="17">
        <f>IF(AND(231&gt;=$B$11,231&lt;=$D$11),1,0)</f>
        <v/>
      </c>
      <c r="IA36" s="17">
        <f>IF(AND(232&gt;=$B$11,232&lt;=$D$11),1,0)</f>
        <v/>
      </c>
      <c r="IB36" s="17">
        <f>IF(AND(233&gt;=$B$11,233&lt;=$D$11),1,0)</f>
        <v/>
      </c>
      <c r="IC36" s="17">
        <f>IF(AND(234&gt;=$B$11,234&lt;=$D$11),1,0)</f>
        <v/>
      </c>
      <c r="ID36" s="17">
        <f>IF(AND(235&gt;=$B$11,235&lt;=$D$11),1,0)</f>
        <v/>
      </c>
      <c r="IE36" s="17">
        <f>IF(AND(236&gt;=$B$11,236&lt;=$D$11),1,0)</f>
        <v/>
      </c>
      <c r="IF36" s="17">
        <f>IF(AND(237&gt;=$B$11,237&lt;=$D$11),1,0)</f>
        <v/>
      </c>
      <c r="IG36" s="17">
        <f>IF(AND(238&gt;=$B$11,238&lt;=$D$11),1,0)</f>
        <v/>
      </c>
      <c r="IH36" s="17">
        <f>IF(AND(239&gt;=$B$11,239&lt;=$D$11),1,0)</f>
        <v/>
      </c>
      <c r="II36" s="17">
        <f>IF(AND(240&gt;=$B$11,240&lt;=$D$11),1,0)</f>
        <v/>
      </c>
      <c r="IJ36" s="17">
        <f>IF(AND(241&gt;=$B$11,241&lt;=$D$11),1,0)</f>
        <v/>
      </c>
      <c r="IK36" s="17">
        <f>IF(AND(242&gt;=$B$11,242&lt;=$D$11),1,0)</f>
        <v/>
      </c>
      <c r="IL36" s="17">
        <f>IF(AND(243&gt;=$B$11,243&lt;=$D$11),1,0)</f>
        <v/>
      </c>
      <c r="IM36" s="17">
        <f>IF(AND(244&gt;=$B$11,244&lt;=$D$11),1,0)</f>
        <v/>
      </c>
      <c r="IN36" s="17">
        <f>IF(AND(245&gt;=$B$11,245&lt;=$D$11),1,0)</f>
        <v/>
      </c>
      <c r="IO36" s="17">
        <f>IF(AND(246&gt;=$B$11,246&lt;=$D$11),1,0)</f>
        <v/>
      </c>
      <c r="IP36" s="17">
        <f>IF(AND(247&gt;=$B$11,247&lt;=$D$11),1,0)</f>
        <v/>
      </c>
      <c r="IQ36" s="17">
        <f>IF(AND(248&gt;=$B$11,248&lt;=$D$11),1,0)</f>
        <v/>
      </c>
      <c r="IR36" s="17">
        <f>IF(AND(249&gt;=$B$11,249&lt;=$D$11),1,0)</f>
        <v/>
      </c>
      <c r="IS36" s="17">
        <f>IF(AND(250&gt;=$B$11,250&lt;=$D$11),1,0)</f>
        <v/>
      </c>
      <c r="IT36" s="17">
        <f>IF(AND(251&gt;=$B$11,251&lt;=$D$11),1,0)</f>
        <v/>
      </c>
      <c r="IU36" s="17">
        <f>IF(AND(252&gt;=$B$11,252&lt;=$D$11),1,0)</f>
        <v/>
      </c>
      <c r="IV36" s="17">
        <f>IF(AND(253&gt;=$B$11,253&lt;=$D$11),1,0)</f>
        <v/>
      </c>
      <c r="IW36" s="17">
        <f>IF(AND(254&gt;=$B$11,254&lt;=$D$11),1,0)</f>
        <v/>
      </c>
      <c r="IX36" s="17">
        <f>IF(AND(255&gt;=$B$11,255&lt;=$D$11),1,0)</f>
        <v/>
      </c>
      <c r="IY36" s="17">
        <f>IF(AND(256&gt;=$B$11,256&lt;=$D$11),1,0)</f>
        <v/>
      </c>
      <c r="IZ36" s="17">
        <f>IF(AND(257&gt;=$B$11,257&lt;=$D$11),1,0)</f>
        <v/>
      </c>
      <c r="JA36" s="17">
        <f>IF(AND(258&gt;=$B$11,258&lt;=$D$11),1,0)</f>
        <v/>
      </c>
      <c r="JB36" s="17">
        <f>IF(AND(259&gt;=$B$11,259&lt;=$D$11),1,0)</f>
        <v/>
      </c>
      <c r="JC36" s="17">
        <f>IF(AND(260&gt;=$B$11,260&lt;=$D$11),1,0)</f>
        <v/>
      </c>
      <c r="JD36" s="17">
        <f>IF(AND(261&gt;=$B$11,261&lt;=$D$11),1,0)</f>
        <v/>
      </c>
      <c r="JE36" s="17">
        <f>IF(AND(262&gt;=$B$11,262&lt;=$D$11),1,0)</f>
        <v/>
      </c>
      <c r="JF36" s="17">
        <f>IF(AND(263&gt;=$B$11,263&lt;=$D$11),1,0)</f>
        <v/>
      </c>
      <c r="JG36" s="17">
        <f>IF(AND(264&gt;=$B$11,264&lt;=$D$11),1,0)</f>
        <v/>
      </c>
      <c r="JH36" s="17">
        <f>IF(AND(265&gt;=$B$11,265&lt;=$D$11),1,0)</f>
        <v/>
      </c>
      <c r="JI36" s="17">
        <f>IF(AND(266&gt;=$B$11,266&lt;=$D$11),1,0)</f>
        <v/>
      </c>
      <c r="JJ36" s="17">
        <f>IF(AND(267&gt;=$B$11,267&lt;=$D$11),1,0)</f>
        <v/>
      </c>
      <c r="JK36" s="17">
        <f>IF(AND(268&gt;=$B$11,268&lt;=$D$11),1,0)</f>
        <v/>
      </c>
      <c r="JL36" s="17">
        <f>IF(AND(269&gt;=$B$11,269&lt;=$D$11),1,0)</f>
        <v/>
      </c>
      <c r="JM36" s="17">
        <f>IF(AND(270&gt;=$B$11,270&lt;=$D$11),1,0)</f>
        <v/>
      </c>
      <c r="JN36" s="17">
        <f>IF(AND(271&gt;=$B$11,271&lt;=$D$11),1,0)</f>
        <v/>
      </c>
      <c r="JO36" s="17">
        <f>IF(AND(272&gt;=$B$11,272&lt;=$D$11),1,0)</f>
        <v/>
      </c>
      <c r="JP36" s="17">
        <f>IF(AND(273&gt;=$B$11,273&lt;=$D$11),1,0)</f>
        <v/>
      </c>
      <c r="JQ36" s="17">
        <f>IF(AND(274&gt;=$B$11,274&lt;=$D$11),1,0)</f>
        <v/>
      </c>
      <c r="JR36" s="17">
        <f>IF(AND(275&gt;=$B$11,275&lt;=$D$11),1,0)</f>
        <v/>
      </c>
      <c r="JS36" s="17">
        <f>IF(AND(276&gt;=$B$11,276&lt;=$D$11),1,0)</f>
        <v/>
      </c>
      <c r="JT36" s="17">
        <f>IF(AND(277&gt;=$B$11,277&lt;=$D$11),1,0)</f>
        <v/>
      </c>
      <c r="JU36" s="17">
        <f>IF(AND(278&gt;=$B$11,278&lt;=$D$11),1,0)</f>
        <v/>
      </c>
      <c r="JV36" s="17">
        <f>IF(AND(279&gt;=$B$11,279&lt;=$D$11),1,0)</f>
        <v/>
      </c>
      <c r="JW36" s="17">
        <f>IF(AND(280&gt;=$B$11,280&lt;=$D$11),1,0)</f>
        <v/>
      </c>
      <c r="JX36" s="17">
        <f>IF(AND(281&gt;=$B$11,281&lt;=$D$11),1,0)</f>
        <v/>
      </c>
      <c r="JY36" s="17">
        <f>IF(AND(282&gt;=$B$11,282&lt;=$D$11),1,0)</f>
        <v/>
      </c>
      <c r="JZ36" s="17">
        <f>IF(AND(283&gt;=$B$11,283&lt;=$D$11),1,0)</f>
        <v/>
      </c>
      <c r="KA36" s="17">
        <f>IF(AND(284&gt;=$B$11,284&lt;=$D$11),1,0)</f>
        <v/>
      </c>
      <c r="KB36" s="17">
        <f>IF(AND(285&gt;=$B$11,285&lt;=$D$11),1,0)</f>
        <v/>
      </c>
      <c r="KC36" s="17">
        <f>IF(AND(286&gt;=$B$11,286&lt;=$D$11),1,0)</f>
        <v/>
      </c>
      <c r="KD36" s="17">
        <f>IF(AND(287&gt;=$B$11,287&lt;=$D$11),1,0)</f>
        <v/>
      </c>
      <c r="KE36" s="17">
        <f>IF(AND(288&gt;=$B$11,288&lt;=$D$11),1,0)</f>
        <v/>
      </c>
      <c r="KF36" s="17">
        <f>IF(AND(289&gt;=$B$11,289&lt;=$D$11),1,0)</f>
        <v/>
      </c>
      <c r="KG36" s="17">
        <f>IF(AND(290&gt;=$B$11,290&lt;=$D$11),1,0)</f>
        <v/>
      </c>
      <c r="KH36" s="17">
        <f>IF(AND(291&gt;=$B$11,291&lt;=$D$11),1,0)</f>
        <v/>
      </c>
      <c r="KI36" s="17">
        <f>IF(AND(292&gt;=$B$11,292&lt;=$D$11),1,0)</f>
        <v/>
      </c>
      <c r="KJ36" s="17">
        <f>IF(AND(293&gt;=$B$11,293&lt;=$D$11),1,0)</f>
        <v/>
      </c>
      <c r="KK36" s="17">
        <f>IF(AND(294&gt;=$B$11,294&lt;=$D$11),1,0)</f>
        <v/>
      </c>
      <c r="KL36" s="17">
        <f>IF(AND(295&gt;=$B$11,295&lt;=$D$11),1,0)</f>
        <v/>
      </c>
      <c r="KM36" s="17">
        <f>IF(AND(296&gt;=$B$11,296&lt;=$D$11),1,0)</f>
        <v/>
      </c>
      <c r="KN36" s="17">
        <f>IF(AND(297&gt;=$B$11,297&lt;=$D$11),1,0)</f>
        <v/>
      </c>
      <c r="KO36" s="17">
        <f>IF(AND(298&gt;=$B$11,298&lt;=$D$11),1,0)</f>
        <v/>
      </c>
      <c r="KP36" s="17">
        <f>IF(AND(299&gt;=$B$11,299&lt;=$D$11),1,0)</f>
        <v/>
      </c>
      <c r="KQ36" s="17">
        <f>IF(AND(300&gt;=$B$11,300&lt;=$D$11),1,0)</f>
        <v/>
      </c>
      <c r="KR36" s="17">
        <f>IF(AND(301&gt;=$B$11,301&lt;=$D$11),1,0)</f>
        <v/>
      </c>
      <c r="KS36" s="17">
        <f>IF(AND(302&gt;=$B$11,302&lt;=$D$11),1,0)</f>
        <v/>
      </c>
      <c r="KT36" s="17">
        <f>IF(AND(303&gt;=$B$11,303&lt;=$D$11),1,0)</f>
        <v/>
      </c>
      <c r="KU36" s="17">
        <f>IF(AND(304&gt;=$B$11,304&lt;=$D$11),1,0)</f>
        <v/>
      </c>
      <c r="KV36" s="17">
        <f>IF(AND(305&gt;=$B$11,305&lt;=$D$11),1,0)</f>
        <v/>
      </c>
      <c r="KW36" s="17">
        <f>IF(AND(306&gt;=$B$11,306&lt;=$D$11),1,0)</f>
        <v/>
      </c>
      <c r="KX36" s="17">
        <f>IF(AND(307&gt;=$B$11,307&lt;=$D$11),1,0)</f>
        <v/>
      </c>
      <c r="KY36" s="17">
        <f>IF(AND(308&gt;=$B$11,308&lt;=$D$11),1,0)</f>
        <v/>
      </c>
      <c r="KZ36" s="17">
        <f>IF(AND(309&gt;=$B$11,309&lt;=$D$11),1,0)</f>
        <v/>
      </c>
      <c r="LA36" s="17">
        <f>IF(AND(310&gt;=$B$11,310&lt;=$D$11),1,0)</f>
        <v/>
      </c>
      <c r="LB36" s="17">
        <f>IF(AND(311&gt;=$B$11,311&lt;=$D$11),1,0)</f>
        <v/>
      </c>
      <c r="LC36" s="17">
        <f>IF(AND(312&gt;=$B$11,312&lt;=$D$11),1,0)</f>
        <v/>
      </c>
      <c r="LD36" s="17">
        <f>IF(AND(313&gt;=$B$11,313&lt;=$D$11),1,0)</f>
        <v/>
      </c>
      <c r="LE36" s="17">
        <f>IF(AND(314&gt;=$B$11,314&lt;=$D$11),1,0)</f>
        <v/>
      </c>
      <c r="LF36" s="17">
        <f>IF(AND(315&gt;=$B$11,315&lt;=$D$11),1,0)</f>
        <v/>
      </c>
      <c r="LG36" s="17">
        <f>IF(AND(316&gt;=$B$11,316&lt;=$D$11),1,0)</f>
        <v/>
      </c>
      <c r="LH36" s="17">
        <f>IF(AND(317&gt;=$B$11,317&lt;=$D$11),1,0)</f>
        <v/>
      </c>
      <c r="LI36" s="17">
        <f>IF(AND(318&gt;=$B$11,318&lt;=$D$11),1,0)</f>
        <v/>
      </c>
      <c r="LJ36" s="17">
        <f>IF(AND(319&gt;=$B$11,319&lt;=$D$11),1,0)</f>
        <v/>
      </c>
      <c r="LK36" s="17">
        <f>IF(AND(320&gt;=$B$11,320&lt;=$D$11),1,0)</f>
        <v/>
      </c>
      <c r="LL36" s="17">
        <f>IF(AND(321&gt;=$B$11,321&lt;=$D$11),1,0)</f>
        <v/>
      </c>
      <c r="LM36" s="17">
        <f>IF(AND(322&gt;=$B$11,322&lt;=$D$11),1,0)</f>
        <v/>
      </c>
      <c r="LN36" s="17">
        <f>IF(AND(323&gt;=$B$11,323&lt;=$D$11),1,0)</f>
        <v/>
      </c>
      <c r="LO36" s="17">
        <f>IF(AND(324&gt;=$B$11,324&lt;=$D$11),1,0)</f>
        <v/>
      </c>
      <c r="LP36" s="17">
        <f>IF(AND(325&gt;=$B$11,325&lt;=$D$11),1,0)</f>
        <v/>
      </c>
      <c r="LQ36" s="17">
        <f>IF(AND(326&gt;=$B$11,326&lt;=$D$11),1,0)</f>
        <v/>
      </c>
      <c r="LR36" s="17">
        <f>IF(AND(327&gt;=$B$11,327&lt;=$D$11),1,0)</f>
        <v/>
      </c>
      <c r="LS36" s="17">
        <f>IF(AND(328&gt;=$B$11,328&lt;=$D$11),1,0)</f>
        <v/>
      </c>
      <c r="LT36" s="17">
        <f>IF(AND(329&gt;=$B$11,329&lt;=$D$11),1,0)</f>
        <v/>
      </c>
      <c r="LU36" s="17">
        <f>IF(AND(330&gt;=$B$11,330&lt;=$D$11),1,0)</f>
        <v/>
      </c>
      <c r="LV36" s="17">
        <f>IF(AND(331&gt;=$B$11,331&lt;=$D$11),1,0)</f>
        <v/>
      </c>
      <c r="LW36" s="17">
        <f>IF(AND(332&gt;=$B$11,332&lt;=$D$11),1,0)</f>
        <v/>
      </c>
      <c r="LX36" s="17">
        <f>IF(AND(333&gt;=$B$11,333&lt;=$D$11),1,0)</f>
        <v/>
      </c>
      <c r="LY36" s="17">
        <f>IF(AND(334&gt;=$B$11,334&lt;=$D$11),1,0)</f>
        <v/>
      </c>
      <c r="LZ36" s="17">
        <f>IF(AND(335&gt;=$B$11,335&lt;=$D$11),1,0)</f>
        <v/>
      </c>
      <c r="MA36" s="17">
        <f>IF(AND(336&gt;=$B$11,336&lt;=$D$11),1,0)</f>
        <v/>
      </c>
      <c r="MB36" s="17">
        <f>IF(AND(337&gt;=$B$11,337&lt;=$D$11),1,0)</f>
        <v/>
      </c>
      <c r="MC36" s="17">
        <f>IF(AND(338&gt;=$B$11,338&lt;=$D$11),1,0)</f>
        <v/>
      </c>
      <c r="MD36" s="17">
        <f>IF(AND(339&gt;=$B$11,339&lt;=$D$11),1,0)</f>
        <v/>
      </c>
      <c r="ME36" s="17">
        <f>IF(AND(340&gt;=$B$11,340&lt;=$D$11),1,0)</f>
        <v/>
      </c>
      <c r="MF36" s="17">
        <f>IF(AND(341&gt;=$B$11,341&lt;=$D$11),1,0)</f>
        <v/>
      </c>
      <c r="MG36" s="17">
        <f>IF(AND(342&gt;=$B$11,342&lt;=$D$11),1,0)</f>
        <v/>
      </c>
      <c r="MH36" s="17">
        <f>IF(AND(343&gt;=$B$11,343&lt;=$D$11),1,0)</f>
        <v/>
      </c>
      <c r="MI36" s="17">
        <f>IF(AND(344&gt;=$B$11,344&lt;=$D$11),1,0)</f>
        <v/>
      </c>
      <c r="MJ36" s="17">
        <f>IF(AND(345&gt;=$B$11,345&lt;=$D$11),1,0)</f>
        <v/>
      </c>
      <c r="MK36" s="17">
        <f>IF(AND(346&gt;=$B$11,346&lt;=$D$11),1,0)</f>
        <v/>
      </c>
      <c r="ML36" s="17">
        <f>IF(AND(347&gt;=$B$11,347&lt;=$D$11),1,0)</f>
        <v/>
      </c>
      <c r="MM36" s="17">
        <f>IF(AND(348&gt;=$B$11,348&lt;=$D$11),1,0)</f>
        <v/>
      </c>
      <c r="MN36" s="17">
        <f>IF(AND(349&gt;=$B$11,349&lt;=$D$11),1,0)</f>
        <v/>
      </c>
      <c r="MO36" s="17">
        <f>IF(AND(350&gt;=$B$11,350&lt;=$D$11),1,0)</f>
        <v/>
      </c>
      <c r="MP36" s="17">
        <f>IF(AND(351&gt;=$B$11,351&lt;=$D$11),1,0)</f>
        <v/>
      </c>
      <c r="MQ36" s="17">
        <f>IF(AND(352&gt;=$B$11,352&lt;=$D$11),1,0)</f>
        <v/>
      </c>
      <c r="MR36" s="17">
        <f>IF(AND(353&gt;=$B$11,353&lt;=$D$11),1,0)</f>
        <v/>
      </c>
      <c r="MS36" s="17">
        <f>IF(AND(354&gt;=$B$11,354&lt;=$D$11),1,0)</f>
        <v/>
      </c>
      <c r="MT36" s="17">
        <f>IF(AND(355&gt;=$B$11,355&lt;=$D$11),1,0)</f>
        <v/>
      </c>
      <c r="MU36" s="17">
        <f>IF(AND(356&gt;=$B$11,356&lt;=$D$11),1,0)</f>
        <v/>
      </c>
      <c r="MV36" s="17">
        <f>IF(AND(357&gt;=$B$11,357&lt;=$D$11),1,0)</f>
        <v/>
      </c>
      <c r="MW36" s="17">
        <f>IF(AND(358&gt;=$B$11,358&lt;=$D$11),1,0)</f>
        <v/>
      </c>
      <c r="MX36" s="17">
        <f>IF(AND(359&gt;=$B$11,359&lt;=$D$11),1,0)</f>
        <v/>
      </c>
      <c r="MY36" s="17">
        <f>IF(AND(360&gt;=$B$11,360&lt;=$D$11),1,0)</f>
        <v/>
      </c>
      <c r="MZ36" s="17">
        <f>IF(AND(361&gt;=$B$11,361&lt;=$D$11),1,0)</f>
        <v/>
      </c>
      <c r="NA36" s="17">
        <f>IF(AND(362&gt;=$B$11,362&lt;=$D$11),1,0)</f>
        <v/>
      </c>
      <c r="NB36" s="17">
        <f>IF(AND(363&gt;=$B$11,363&lt;=$D$11),1,0)</f>
        <v/>
      </c>
      <c r="NC36" s="17">
        <f>IF(AND(364&gt;=$B$11,364&lt;=$D$11),1,0)</f>
        <v/>
      </c>
      <c r="ND36" s="17">
        <f>IF(AND(365&gt;=$B$11,365&lt;=$D$11),1,0)</f>
        <v/>
      </c>
      <c r="NE36" s="17">
        <f>IF(AND(366&gt;=$B$11,366&lt;=$D$11),1,0)</f>
        <v/>
      </c>
      <c r="NF36" s="17">
        <f>IF(AND(367&gt;=$B$11,367&lt;=$D$11),1,0)</f>
        <v/>
      </c>
      <c r="NG36" s="17">
        <f>IF(AND(368&gt;=$B$11,368&lt;=$D$11),1,0)</f>
        <v/>
      </c>
      <c r="NH36" s="17">
        <f>IF(AND(369&gt;=$B$11,369&lt;=$D$11),1,0)</f>
        <v/>
      </c>
      <c r="NI36" s="17">
        <f>IF(AND(370&gt;=$B$11,370&lt;=$D$11),1,0)</f>
        <v/>
      </c>
      <c r="NJ36" s="17">
        <f>IF(AND(371&gt;=$B$11,371&lt;=$D$11),1,0)</f>
        <v/>
      </c>
      <c r="NK36" s="17">
        <f>IF(AND(372&gt;=$B$11,372&lt;=$D$11),1,0)</f>
        <v/>
      </c>
    </row>
    <row r="37">
      <c r="A37" s="5" t="inlineStr">
        <is>
          <t>Flag: Stabilization</t>
        </is>
      </c>
      <c r="C37" s="40" t="n"/>
      <c r="D37" s="17">
        <f>IF(AND(1&gt;=$B$12,1&lt;=$D$12),1,0)</f>
        <v/>
      </c>
      <c r="E37" s="17">
        <f>IF(AND(2&gt;=$B$12,2&lt;=$D$12),1,0)</f>
        <v/>
      </c>
      <c r="F37" s="17">
        <f>IF(AND(3&gt;=$B$12,3&lt;=$D$12),1,0)</f>
        <v/>
      </c>
      <c r="G37" s="17">
        <f>IF(AND(4&gt;=$B$12,4&lt;=$D$12),1,0)</f>
        <v/>
      </c>
      <c r="H37" s="17">
        <f>IF(AND(5&gt;=$B$12,5&lt;=$D$12),1,0)</f>
        <v/>
      </c>
      <c r="I37" s="17">
        <f>IF(AND(6&gt;=$B$12,6&lt;=$D$12),1,0)</f>
        <v/>
      </c>
      <c r="J37" s="17">
        <f>IF(AND(7&gt;=$B$12,7&lt;=$D$12),1,0)</f>
        <v/>
      </c>
      <c r="K37" s="17">
        <f>IF(AND(8&gt;=$B$12,8&lt;=$D$12),1,0)</f>
        <v/>
      </c>
      <c r="L37" s="17">
        <f>IF(AND(9&gt;=$B$12,9&lt;=$D$12),1,0)</f>
        <v/>
      </c>
      <c r="M37" s="17">
        <f>IF(AND(10&gt;=$B$12,10&lt;=$D$12),1,0)</f>
        <v/>
      </c>
      <c r="N37" s="17">
        <f>IF(AND(11&gt;=$B$12,11&lt;=$D$12),1,0)</f>
        <v/>
      </c>
      <c r="O37" s="17">
        <f>IF(AND(12&gt;=$B$12,12&lt;=$D$12),1,0)</f>
        <v/>
      </c>
      <c r="P37" s="17">
        <f>IF(AND(13&gt;=$B$12,13&lt;=$D$12),1,0)</f>
        <v/>
      </c>
      <c r="Q37" s="17">
        <f>IF(AND(14&gt;=$B$12,14&lt;=$D$12),1,0)</f>
        <v/>
      </c>
      <c r="R37" s="17">
        <f>IF(AND(15&gt;=$B$12,15&lt;=$D$12),1,0)</f>
        <v/>
      </c>
      <c r="S37" s="17">
        <f>IF(AND(16&gt;=$B$12,16&lt;=$D$12),1,0)</f>
        <v/>
      </c>
      <c r="T37" s="17">
        <f>IF(AND(17&gt;=$B$12,17&lt;=$D$12),1,0)</f>
        <v/>
      </c>
      <c r="U37" s="17">
        <f>IF(AND(18&gt;=$B$12,18&lt;=$D$12),1,0)</f>
        <v/>
      </c>
      <c r="V37" s="17">
        <f>IF(AND(19&gt;=$B$12,19&lt;=$D$12),1,0)</f>
        <v/>
      </c>
      <c r="W37" s="17">
        <f>IF(AND(20&gt;=$B$12,20&lt;=$D$12),1,0)</f>
        <v/>
      </c>
      <c r="X37" s="17">
        <f>IF(AND(21&gt;=$B$12,21&lt;=$D$12),1,0)</f>
        <v/>
      </c>
      <c r="Y37" s="17">
        <f>IF(AND(22&gt;=$B$12,22&lt;=$D$12),1,0)</f>
        <v/>
      </c>
      <c r="Z37" s="17">
        <f>IF(AND(23&gt;=$B$12,23&lt;=$D$12),1,0)</f>
        <v/>
      </c>
      <c r="AA37" s="17">
        <f>IF(AND(24&gt;=$B$12,24&lt;=$D$12),1,0)</f>
        <v/>
      </c>
      <c r="AB37" s="17">
        <f>IF(AND(25&gt;=$B$12,25&lt;=$D$12),1,0)</f>
        <v/>
      </c>
      <c r="AC37" s="17">
        <f>IF(AND(26&gt;=$B$12,26&lt;=$D$12),1,0)</f>
        <v/>
      </c>
      <c r="AD37" s="17">
        <f>IF(AND(27&gt;=$B$12,27&lt;=$D$12),1,0)</f>
        <v/>
      </c>
      <c r="AE37" s="17">
        <f>IF(AND(28&gt;=$B$12,28&lt;=$D$12),1,0)</f>
        <v/>
      </c>
      <c r="AF37" s="17">
        <f>IF(AND(29&gt;=$B$12,29&lt;=$D$12),1,0)</f>
        <v/>
      </c>
      <c r="AG37" s="17">
        <f>IF(AND(30&gt;=$B$12,30&lt;=$D$12),1,0)</f>
        <v/>
      </c>
      <c r="AH37" s="17">
        <f>IF(AND(31&gt;=$B$12,31&lt;=$D$12),1,0)</f>
        <v/>
      </c>
      <c r="AI37" s="17">
        <f>IF(AND(32&gt;=$B$12,32&lt;=$D$12),1,0)</f>
        <v/>
      </c>
      <c r="AJ37" s="17">
        <f>IF(AND(33&gt;=$B$12,33&lt;=$D$12),1,0)</f>
        <v/>
      </c>
      <c r="AK37" s="17">
        <f>IF(AND(34&gt;=$B$12,34&lt;=$D$12),1,0)</f>
        <v/>
      </c>
      <c r="AL37" s="17">
        <f>IF(AND(35&gt;=$B$12,35&lt;=$D$12),1,0)</f>
        <v/>
      </c>
      <c r="AM37" s="17">
        <f>IF(AND(36&gt;=$B$12,36&lt;=$D$12),1,0)</f>
        <v/>
      </c>
      <c r="AN37" s="17">
        <f>IF(AND(37&gt;=$B$12,37&lt;=$D$12),1,0)</f>
        <v/>
      </c>
      <c r="AO37" s="17">
        <f>IF(AND(38&gt;=$B$12,38&lt;=$D$12),1,0)</f>
        <v/>
      </c>
      <c r="AP37" s="17">
        <f>IF(AND(39&gt;=$B$12,39&lt;=$D$12),1,0)</f>
        <v/>
      </c>
      <c r="AQ37" s="17">
        <f>IF(AND(40&gt;=$B$12,40&lt;=$D$12),1,0)</f>
        <v/>
      </c>
      <c r="AR37" s="17">
        <f>IF(AND(41&gt;=$B$12,41&lt;=$D$12),1,0)</f>
        <v/>
      </c>
      <c r="AS37" s="17">
        <f>IF(AND(42&gt;=$B$12,42&lt;=$D$12),1,0)</f>
        <v/>
      </c>
      <c r="AT37" s="17">
        <f>IF(AND(43&gt;=$B$12,43&lt;=$D$12),1,0)</f>
        <v/>
      </c>
      <c r="AU37" s="17">
        <f>IF(AND(44&gt;=$B$12,44&lt;=$D$12),1,0)</f>
        <v/>
      </c>
      <c r="AV37" s="17">
        <f>IF(AND(45&gt;=$B$12,45&lt;=$D$12),1,0)</f>
        <v/>
      </c>
      <c r="AW37" s="17">
        <f>IF(AND(46&gt;=$B$12,46&lt;=$D$12),1,0)</f>
        <v/>
      </c>
      <c r="AX37" s="17">
        <f>IF(AND(47&gt;=$B$12,47&lt;=$D$12),1,0)</f>
        <v/>
      </c>
      <c r="AY37" s="17">
        <f>IF(AND(48&gt;=$B$12,48&lt;=$D$12),1,0)</f>
        <v/>
      </c>
      <c r="AZ37" s="17">
        <f>IF(AND(49&gt;=$B$12,49&lt;=$D$12),1,0)</f>
        <v/>
      </c>
      <c r="BA37" s="17">
        <f>IF(AND(50&gt;=$B$12,50&lt;=$D$12),1,0)</f>
        <v/>
      </c>
      <c r="BB37" s="17">
        <f>IF(AND(51&gt;=$B$12,51&lt;=$D$12),1,0)</f>
        <v/>
      </c>
      <c r="BC37" s="17">
        <f>IF(AND(52&gt;=$B$12,52&lt;=$D$12),1,0)</f>
        <v/>
      </c>
      <c r="BD37" s="17">
        <f>IF(AND(53&gt;=$B$12,53&lt;=$D$12),1,0)</f>
        <v/>
      </c>
      <c r="BE37" s="17">
        <f>IF(AND(54&gt;=$B$12,54&lt;=$D$12),1,0)</f>
        <v/>
      </c>
      <c r="BF37" s="17">
        <f>IF(AND(55&gt;=$B$12,55&lt;=$D$12),1,0)</f>
        <v/>
      </c>
      <c r="BG37" s="17">
        <f>IF(AND(56&gt;=$B$12,56&lt;=$D$12),1,0)</f>
        <v/>
      </c>
      <c r="BH37" s="17">
        <f>IF(AND(57&gt;=$B$12,57&lt;=$D$12),1,0)</f>
        <v/>
      </c>
      <c r="BI37" s="17">
        <f>IF(AND(58&gt;=$B$12,58&lt;=$D$12),1,0)</f>
        <v/>
      </c>
      <c r="BJ37" s="17">
        <f>IF(AND(59&gt;=$B$12,59&lt;=$D$12),1,0)</f>
        <v/>
      </c>
      <c r="BK37" s="17">
        <f>IF(AND(60&gt;=$B$12,60&lt;=$D$12),1,0)</f>
        <v/>
      </c>
      <c r="BL37" s="17">
        <f>IF(AND(61&gt;=$B$12,61&lt;=$D$12),1,0)</f>
        <v/>
      </c>
      <c r="BM37" s="17">
        <f>IF(AND(62&gt;=$B$12,62&lt;=$D$12),1,0)</f>
        <v/>
      </c>
      <c r="BN37" s="17">
        <f>IF(AND(63&gt;=$B$12,63&lt;=$D$12),1,0)</f>
        <v/>
      </c>
      <c r="BO37" s="17">
        <f>IF(AND(64&gt;=$B$12,64&lt;=$D$12),1,0)</f>
        <v/>
      </c>
      <c r="BP37" s="17">
        <f>IF(AND(65&gt;=$B$12,65&lt;=$D$12),1,0)</f>
        <v/>
      </c>
      <c r="BQ37" s="17">
        <f>IF(AND(66&gt;=$B$12,66&lt;=$D$12),1,0)</f>
        <v/>
      </c>
      <c r="BR37" s="17">
        <f>IF(AND(67&gt;=$B$12,67&lt;=$D$12),1,0)</f>
        <v/>
      </c>
      <c r="BS37" s="17">
        <f>IF(AND(68&gt;=$B$12,68&lt;=$D$12),1,0)</f>
        <v/>
      </c>
      <c r="BT37" s="17">
        <f>IF(AND(69&gt;=$B$12,69&lt;=$D$12),1,0)</f>
        <v/>
      </c>
      <c r="BU37" s="17">
        <f>IF(AND(70&gt;=$B$12,70&lt;=$D$12),1,0)</f>
        <v/>
      </c>
      <c r="BV37" s="17">
        <f>IF(AND(71&gt;=$B$12,71&lt;=$D$12),1,0)</f>
        <v/>
      </c>
      <c r="BW37" s="17">
        <f>IF(AND(72&gt;=$B$12,72&lt;=$D$12),1,0)</f>
        <v/>
      </c>
      <c r="BX37" s="17">
        <f>IF(AND(73&gt;=$B$12,73&lt;=$D$12),1,0)</f>
        <v/>
      </c>
      <c r="BY37" s="17">
        <f>IF(AND(74&gt;=$B$12,74&lt;=$D$12),1,0)</f>
        <v/>
      </c>
      <c r="BZ37" s="17">
        <f>IF(AND(75&gt;=$B$12,75&lt;=$D$12),1,0)</f>
        <v/>
      </c>
      <c r="CA37" s="17">
        <f>IF(AND(76&gt;=$B$12,76&lt;=$D$12),1,0)</f>
        <v/>
      </c>
      <c r="CB37" s="17">
        <f>IF(AND(77&gt;=$B$12,77&lt;=$D$12),1,0)</f>
        <v/>
      </c>
      <c r="CC37" s="17">
        <f>IF(AND(78&gt;=$B$12,78&lt;=$D$12),1,0)</f>
        <v/>
      </c>
      <c r="CD37" s="17">
        <f>IF(AND(79&gt;=$B$12,79&lt;=$D$12),1,0)</f>
        <v/>
      </c>
      <c r="CE37" s="17">
        <f>IF(AND(80&gt;=$B$12,80&lt;=$D$12),1,0)</f>
        <v/>
      </c>
      <c r="CF37" s="17">
        <f>IF(AND(81&gt;=$B$12,81&lt;=$D$12),1,0)</f>
        <v/>
      </c>
      <c r="CG37" s="17">
        <f>IF(AND(82&gt;=$B$12,82&lt;=$D$12),1,0)</f>
        <v/>
      </c>
      <c r="CH37" s="17">
        <f>IF(AND(83&gt;=$B$12,83&lt;=$D$12),1,0)</f>
        <v/>
      </c>
      <c r="CI37" s="17">
        <f>IF(AND(84&gt;=$B$12,84&lt;=$D$12),1,0)</f>
        <v/>
      </c>
      <c r="CJ37" s="17">
        <f>IF(AND(85&gt;=$B$12,85&lt;=$D$12),1,0)</f>
        <v/>
      </c>
      <c r="CK37" s="17">
        <f>IF(AND(86&gt;=$B$12,86&lt;=$D$12),1,0)</f>
        <v/>
      </c>
      <c r="CL37" s="17">
        <f>IF(AND(87&gt;=$B$12,87&lt;=$D$12),1,0)</f>
        <v/>
      </c>
      <c r="CM37" s="17">
        <f>IF(AND(88&gt;=$B$12,88&lt;=$D$12),1,0)</f>
        <v/>
      </c>
      <c r="CN37" s="17">
        <f>IF(AND(89&gt;=$B$12,89&lt;=$D$12),1,0)</f>
        <v/>
      </c>
      <c r="CO37" s="17">
        <f>IF(AND(90&gt;=$B$12,90&lt;=$D$12),1,0)</f>
        <v/>
      </c>
      <c r="CP37" s="17">
        <f>IF(AND(91&gt;=$B$12,91&lt;=$D$12),1,0)</f>
        <v/>
      </c>
      <c r="CQ37" s="17">
        <f>IF(AND(92&gt;=$B$12,92&lt;=$D$12),1,0)</f>
        <v/>
      </c>
      <c r="CR37" s="17">
        <f>IF(AND(93&gt;=$B$12,93&lt;=$D$12),1,0)</f>
        <v/>
      </c>
      <c r="CS37" s="17">
        <f>IF(AND(94&gt;=$B$12,94&lt;=$D$12),1,0)</f>
        <v/>
      </c>
      <c r="CT37" s="17">
        <f>IF(AND(95&gt;=$B$12,95&lt;=$D$12),1,0)</f>
        <v/>
      </c>
      <c r="CU37" s="17">
        <f>IF(AND(96&gt;=$B$12,96&lt;=$D$12),1,0)</f>
        <v/>
      </c>
      <c r="CV37" s="17">
        <f>IF(AND(97&gt;=$B$12,97&lt;=$D$12),1,0)</f>
        <v/>
      </c>
      <c r="CW37" s="17">
        <f>IF(AND(98&gt;=$B$12,98&lt;=$D$12),1,0)</f>
        <v/>
      </c>
      <c r="CX37" s="17">
        <f>IF(AND(99&gt;=$B$12,99&lt;=$D$12),1,0)</f>
        <v/>
      </c>
      <c r="CY37" s="17">
        <f>IF(AND(100&gt;=$B$12,100&lt;=$D$12),1,0)</f>
        <v/>
      </c>
      <c r="CZ37" s="17">
        <f>IF(AND(101&gt;=$B$12,101&lt;=$D$12),1,0)</f>
        <v/>
      </c>
      <c r="DA37" s="17">
        <f>IF(AND(102&gt;=$B$12,102&lt;=$D$12),1,0)</f>
        <v/>
      </c>
      <c r="DB37" s="17">
        <f>IF(AND(103&gt;=$B$12,103&lt;=$D$12),1,0)</f>
        <v/>
      </c>
      <c r="DC37" s="17">
        <f>IF(AND(104&gt;=$B$12,104&lt;=$D$12),1,0)</f>
        <v/>
      </c>
      <c r="DD37" s="17">
        <f>IF(AND(105&gt;=$B$12,105&lt;=$D$12),1,0)</f>
        <v/>
      </c>
      <c r="DE37" s="17">
        <f>IF(AND(106&gt;=$B$12,106&lt;=$D$12),1,0)</f>
        <v/>
      </c>
      <c r="DF37" s="17">
        <f>IF(AND(107&gt;=$B$12,107&lt;=$D$12),1,0)</f>
        <v/>
      </c>
      <c r="DG37" s="17">
        <f>IF(AND(108&gt;=$B$12,108&lt;=$D$12),1,0)</f>
        <v/>
      </c>
      <c r="DH37" s="17">
        <f>IF(AND(109&gt;=$B$12,109&lt;=$D$12),1,0)</f>
        <v/>
      </c>
      <c r="DI37" s="17">
        <f>IF(AND(110&gt;=$B$12,110&lt;=$D$12),1,0)</f>
        <v/>
      </c>
      <c r="DJ37" s="17">
        <f>IF(AND(111&gt;=$B$12,111&lt;=$D$12),1,0)</f>
        <v/>
      </c>
      <c r="DK37" s="17">
        <f>IF(AND(112&gt;=$B$12,112&lt;=$D$12),1,0)</f>
        <v/>
      </c>
      <c r="DL37" s="17">
        <f>IF(AND(113&gt;=$B$12,113&lt;=$D$12),1,0)</f>
        <v/>
      </c>
      <c r="DM37" s="17">
        <f>IF(AND(114&gt;=$B$12,114&lt;=$D$12),1,0)</f>
        <v/>
      </c>
      <c r="DN37" s="17">
        <f>IF(AND(115&gt;=$B$12,115&lt;=$D$12),1,0)</f>
        <v/>
      </c>
      <c r="DO37" s="17">
        <f>IF(AND(116&gt;=$B$12,116&lt;=$D$12),1,0)</f>
        <v/>
      </c>
      <c r="DP37" s="17">
        <f>IF(AND(117&gt;=$B$12,117&lt;=$D$12),1,0)</f>
        <v/>
      </c>
      <c r="DQ37" s="17">
        <f>IF(AND(118&gt;=$B$12,118&lt;=$D$12),1,0)</f>
        <v/>
      </c>
      <c r="DR37" s="17">
        <f>IF(AND(119&gt;=$B$12,119&lt;=$D$12),1,0)</f>
        <v/>
      </c>
      <c r="DS37" s="17">
        <f>IF(AND(120&gt;=$B$12,120&lt;=$D$12),1,0)</f>
        <v/>
      </c>
      <c r="DT37" s="17">
        <f>IF(AND(121&gt;=$B$12,121&lt;=$D$12),1,0)</f>
        <v/>
      </c>
      <c r="DU37" s="17">
        <f>IF(AND(122&gt;=$B$12,122&lt;=$D$12),1,0)</f>
        <v/>
      </c>
      <c r="DV37" s="17">
        <f>IF(AND(123&gt;=$B$12,123&lt;=$D$12),1,0)</f>
        <v/>
      </c>
      <c r="DW37" s="17">
        <f>IF(AND(124&gt;=$B$12,124&lt;=$D$12),1,0)</f>
        <v/>
      </c>
      <c r="DX37" s="17">
        <f>IF(AND(125&gt;=$B$12,125&lt;=$D$12),1,0)</f>
        <v/>
      </c>
      <c r="DY37" s="17">
        <f>IF(AND(126&gt;=$B$12,126&lt;=$D$12),1,0)</f>
        <v/>
      </c>
      <c r="DZ37" s="17">
        <f>IF(AND(127&gt;=$B$12,127&lt;=$D$12),1,0)</f>
        <v/>
      </c>
      <c r="EA37" s="17">
        <f>IF(AND(128&gt;=$B$12,128&lt;=$D$12),1,0)</f>
        <v/>
      </c>
      <c r="EB37" s="17">
        <f>IF(AND(129&gt;=$B$12,129&lt;=$D$12),1,0)</f>
        <v/>
      </c>
      <c r="EC37" s="17">
        <f>IF(AND(130&gt;=$B$12,130&lt;=$D$12),1,0)</f>
        <v/>
      </c>
      <c r="ED37" s="17">
        <f>IF(AND(131&gt;=$B$12,131&lt;=$D$12),1,0)</f>
        <v/>
      </c>
      <c r="EE37" s="17">
        <f>IF(AND(132&gt;=$B$12,132&lt;=$D$12),1,0)</f>
        <v/>
      </c>
      <c r="EF37" s="17">
        <f>IF(AND(133&gt;=$B$12,133&lt;=$D$12),1,0)</f>
        <v/>
      </c>
      <c r="EG37" s="17">
        <f>IF(AND(134&gt;=$B$12,134&lt;=$D$12),1,0)</f>
        <v/>
      </c>
      <c r="EH37" s="17">
        <f>IF(AND(135&gt;=$B$12,135&lt;=$D$12),1,0)</f>
        <v/>
      </c>
      <c r="EI37" s="17">
        <f>IF(AND(136&gt;=$B$12,136&lt;=$D$12),1,0)</f>
        <v/>
      </c>
      <c r="EJ37" s="17">
        <f>IF(AND(137&gt;=$B$12,137&lt;=$D$12),1,0)</f>
        <v/>
      </c>
      <c r="EK37" s="17">
        <f>IF(AND(138&gt;=$B$12,138&lt;=$D$12),1,0)</f>
        <v/>
      </c>
      <c r="EL37" s="17">
        <f>IF(AND(139&gt;=$B$12,139&lt;=$D$12),1,0)</f>
        <v/>
      </c>
      <c r="EM37" s="17">
        <f>IF(AND(140&gt;=$B$12,140&lt;=$D$12),1,0)</f>
        <v/>
      </c>
      <c r="EN37" s="17">
        <f>IF(AND(141&gt;=$B$12,141&lt;=$D$12),1,0)</f>
        <v/>
      </c>
      <c r="EO37" s="17">
        <f>IF(AND(142&gt;=$B$12,142&lt;=$D$12),1,0)</f>
        <v/>
      </c>
      <c r="EP37" s="17">
        <f>IF(AND(143&gt;=$B$12,143&lt;=$D$12),1,0)</f>
        <v/>
      </c>
      <c r="EQ37" s="17">
        <f>IF(AND(144&gt;=$B$12,144&lt;=$D$12),1,0)</f>
        <v/>
      </c>
      <c r="ER37" s="17">
        <f>IF(AND(145&gt;=$B$12,145&lt;=$D$12),1,0)</f>
        <v/>
      </c>
      <c r="ES37" s="17">
        <f>IF(AND(146&gt;=$B$12,146&lt;=$D$12),1,0)</f>
        <v/>
      </c>
      <c r="ET37" s="17">
        <f>IF(AND(147&gt;=$B$12,147&lt;=$D$12),1,0)</f>
        <v/>
      </c>
      <c r="EU37" s="17">
        <f>IF(AND(148&gt;=$B$12,148&lt;=$D$12),1,0)</f>
        <v/>
      </c>
      <c r="EV37" s="17">
        <f>IF(AND(149&gt;=$B$12,149&lt;=$D$12),1,0)</f>
        <v/>
      </c>
      <c r="EW37" s="17">
        <f>IF(AND(150&gt;=$B$12,150&lt;=$D$12),1,0)</f>
        <v/>
      </c>
      <c r="EX37" s="17">
        <f>IF(AND(151&gt;=$B$12,151&lt;=$D$12),1,0)</f>
        <v/>
      </c>
      <c r="EY37" s="17">
        <f>IF(AND(152&gt;=$B$12,152&lt;=$D$12),1,0)</f>
        <v/>
      </c>
      <c r="EZ37" s="17">
        <f>IF(AND(153&gt;=$B$12,153&lt;=$D$12),1,0)</f>
        <v/>
      </c>
      <c r="FA37" s="17">
        <f>IF(AND(154&gt;=$B$12,154&lt;=$D$12),1,0)</f>
        <v/>
      </c>
      <c r="FB37" s="17">
        <f>IF(AND(155&gt;=$B$12,155&lt;=$D$12),1,0)</f>
        <v/>
      </c>
      <c r="FC37" s="17">
        <f>IF(AND(156&gt;=$B$12,156&lt;=$D$12),1,0)</f>
        <v/>
      </c>
      <c r="FD37" s="17">
        <f>IF(AND(157&gt;=$B$12,157&lt;=$D$12),1,0)</f>
        <v/>
      </c>
      <c r="FE37" s="17">
        <f>IF(AND(158&gt;=$B$12,158&lt;=$D$12),1,0)</f>
        <v/>
      </c>
      <c r="FF37" s="17">
        <f>IF(AND(159&gt;=$B$12,159&lt;=$D$12),1,0)</f>
        <v/>
      </c>
      <c r="FG37" s="17">
        <f>IF(AND(160&gt;=$B$12,160&lt;=$D$12),1,0)</f>
        <v/>
      </c>
      <c r="FH37" s="17">
        <f>IF(AND(161&gt;=$B$12,161&lt;=$D$12),1,0)</f>
        <v/>
      </c>
      <c r="FI37" s="17">
        <f>IF(AND(162&gt;=$B$12,162&lt;=$D$12),1,0)</f>
        <v/>
      </c>
      <c r="FJ37" s="17">
        <f>IF(AND(163&gt;=$B$12,163&lt;=$D$12),1,0)</f>
        <v/>
      </c>
      <c r="FK37" s="17">
        <f>IF(AND(164&gt;=$B$12,164&lt;=$D$12),1,0)</f>
        <v/>
      </c>
      <c r="FL37" s="17">
        <f>IF(AND(165&gt;=$B$12,165&lt;=$D$12),1,0)</f>
        <v/>
      </c>
      <c r="FM37" s="17">
        <f>IF(AND(166&gt;=$B$12,166&lt;=$D$12),1,0)</f>
        <v/>
      </c>
      <c r="FN37" s="17">
        <f>IF(AND(167&gt;=$B$12,167&lt;=$D$12),1,0)</f>
        <v/>
      </c>
      <c r="FO37" s="17">
        <f>IF(AND(168&gt;=$B$12,168&lt;=$D$12),1,0)</f>
        <v/>
      </c>
      <c r="FP37" s="17">
        <f>IF(AND(169&gt;=$B$12,169&lt;=$D$12),1,0)</f>
        <v/>
      </c>
      <c r="FQ37" s="17">
        <f>IF(AND(170&gt;=$B$12,170&lt;=$D$12),1,0)</f>
        <v/>
      </c>
      <c r="FR37" s="17">
        <f>IF(AND(171&gt;=$B$12,171&lt;=$D$12),1,0)</f>
        <v/>
      </c>
      <c r="FS37" s="17">
        <f>IF(AND(172&gt;=$B$12,172&lt;=$D$12),1,0)</f>
        <v/>
      </c>
      <c r="FT37" s="17">
        <f>IF(AND(173&gt;=$B$12,173&lt;=$D$12),1,0)</f>
        <v/>
      </c>
      <c r="FU37" s="17">
        <f>IF(AND(174&gt;=$B$12,174&lt;=$D$12),1,0)</f>
        <v/>
      </c>
      <c r="FV37" s="17">
        <f>IF(AND(175&gt;=$B$12,175&lt;=$D$12),1,0)</f>
        <v/>
      </c>
      <c r="FW37" s="17">
        <f>IF(AND(176&gt;=$B$12,176&lt;=$D$12),1,0)</f>
        <v/>
      </c>
      <c r="FX37" s="17">
        <f>IF(AND(177&gt;=$B$12,177&lt;=$D$12),1,0)</f>
        <v/>
      </c>
      <c r="FY37" s="17">
        <f>IF(AND(178&gt;=$B$12,178&lt;=$D$12),1,0)</f>
        <v/>
      </c>
      <c r="FZ37" s="17">
        <f>IF(AND(179&gt;=$B$12,179&lt;=$D$12),1,0)</f>
        <v/>
      </c>
      <c r="GA37" s="17">
        <f>IF(AND(180&gt;=$B$12,180&lt;=$D$12),1,0)</f>
        <v/>
      </c>
      <c r="GB37" s="17">
        <f>IF(AND(181&gt;=$B$12,181&lt;=$D$12),1,0)</f>
        <v/>
      </c>
      <c r="GC37" s="17">
        <f>IF(AND(182&gt;=$B$12,182&lt;=$D$12),1,0)</f>
        <v/>
      </c>
      <c r="GD37" s="17">
        <f>IF(AND(183&gt;=$B$12,183&lt;=$D$12),1,0)</f>
        <v/>
      </c>
      <c r="GE37" s="17">
        <f>IF(AND(184&gt;=$B$12,184&lt;=$D$12),1,0)</f>
        <v/>
      </c>
      <c r="GF37" s="17">
        <f>IF(AND(185&gt;=$B$12,185&lt;=$D$12),1,0)</f>
        <v/>
      </c>
      <c r="GG37" s="17">
        <f>IF(AND(186&gt;=$B$12,186&lt;=$D$12),1,0)</f>
        <v/>
      </c>
      <c r="GH37" s="17">
        <f>IF(AND(187&gt;=$B$12,187&lt;=$D$12),1,0)</f>
        <v/>
      </c>
      <c r="GI37" s="17">
        <f>IF(AND(188&gt;=$B$12,188&lt;=$D$12),1,0)</f>
        <v/>
      </c>
      <c r="GJ37" s="17">
        <f>IF(AND(189&gt;=$B$12,189&lt;=$D$12),1,0)</f>
        <v/>
      </c>
      <c r="GK37" s="17">
        <f>IF(AND(190&gt;=$B$12,190&lt;=$D$12),1,0)</f>
        <v/>
      </c>
      <c r="GL37" s="17">
        <f>IF(AND(191&gt;=$B$12,191&lt;=$D$12),1,0)</f>
        <v/>
      </c>
      <c r="GM37" s="17">
        <f>IF(AND(192&gt;=$B$12,192&lt;=$D$12),1,0)</f>
        <v/>
      </c>
      <c r="GN37" s="17">
        <f>IF(AND(193&gt;=$B$12,193&lt;=$D$12),1,0)</f>
        <v/>
      </c>
      <c r="GO37" s="17">
        <f>IF(AND(194&gt;=$B$12,194&lt;=$D$12),1,0)</f>
        <v/>
      </c>
      <c r="GP37" s="17">
        <f>IF(AND(195&gt;=$B$12,195&lt;=$D$12),1,0)</f>
        <v/>
      </c>
      <c r="GQ37" s="17">
        <f>IF(AND(196&gt;=$B$12,196&lt;=$D$12),1,0)</f>
        <v/>
      </c>
      <c r="GR37" s="17">
        <f>IF(AND(197&gt;=$B$12,197&lt;=$D$12),1,0)</f>
        <v/>
      </c>
      <c r="GS37" s="17">
        <f>IF(AND(198&gt;=$B$12,198&lt;=$D$12),1,0)</f>
        <v/>
      </c>
      <c r="GT37" s="17">
        <f>IF(AND(199&gt;=$B$12,199&lt;=$D$12),1,0)</f>
        <v/>
      </c>
      <c r="GU37" s="17">
        <f>IF(AND(200&gt;=$B$12,200&lt;=$D$12),1,0)</f>
        <v/>
      </c>
      <c r="GV37" s="17">
        <f>IF(AND(201&gt;=$B$12,201&lt;=$D$12),1,0)</f>
        <v/>
      </c>
      <c r="GW37" s="17">
        <f>IF(AND(202&gt;=$B$12,202&lt;=$D$12),1,0)</f>
        <v/>
      </c>
      <c r="GX37" s="17">
        <f>IF(AND(203&gt;=$B$12,203&lt;=$D$12),1,0)</f>
        <v/>
      </c>
      <c r="GY37" s="17">
        <f>IF(AND(204&gt;=$B$12,204&lt;=$D$12),1,0)</f>
        <v/>
      </c>
      <c r="GZ37" s="17">
        <f>IF(AND(205&gt;=$B$12,205&lt;=$D$12),1,0)</f>
        <v/>
      </c>
      <c r="HA37" s="17">
        <f>IF(AND(206&gt;=$B$12,206&lt;=$D$12),1,0)</f>
        <v/>
      </c>
      <c r="HB37" s="17">
        <f>IF(AND(207&gt;=$B$12,207&lt;=$D$12),1,0)</f>
        <v/>
      </c>
      <c r="HC37" s="17">
        <f>IF(AND(208&gt;=$B$12,208&lt;=$D$12),1,0)</f>
        <v/>
      </c>
      <c r="HD37" s="17">
        <f>IF(AND(209&gt;=$B$12,209&lt;=$D$12),1,0)</f>
        <v/>
      </c>
      <c r="HE37" s="17">
        <f>IF(AND(210&gt;=$B$12,210&lt;=$D$12),1,0)</f>
        <v/>
      </c>
      <c r="HF37" s="17">
        <f>IF(AND(211&gt;=$B$12,211&lt;=$D$12),1,0)</f>
        <v/>
      </c>
      <c r="HG37" s="17">
        <f>IF(AND(212&gt;=$B$12,212&lt;=$D$12),1,0)</f>
        <v/>
      </c>
      <c r="HH37" s="17">
        <f>IF(AND(213&gt;=$B$12,213&lt;=$D$12),1,0)</f>
        <v/>
      </c>
      <c r="HI37" s="17">
        <f>IF(AND(214&gt;=$B$12,214&lt;=$D$12),1,0)</f>
        <v/>
      </c>
      <c r="HJ37" s="17">
        <f>IF(AND(215&gt;=$B$12,215&lt;=$D$12),1,0)</f>
        <v/>
      </c>
      <c r="HK37" s="17">
        <f>IF(AND(216&gt;=$B$12,216&lt;=$D$12),1,0)</f>
        <v/>
      </c>
      <c r="HL37" s="17">
        <f>IF(AND(217&gt;=$B$12,217&lt;=$D$12),1,0)</f>
        <v/>
      </c>
      <c r="HM37" s="17">
        <f>IF(AND(218&gt;=$B$12,218&lt;=$D$12),1,0)</f>
        <v/>
      </c>
      <c r="HN37" s="17">
        <f>IF(AND(219&gt;=$B$12,219&lt;=$D$12),1,0)</f>
        <v/>
      </c>
      <c r="HO37" s="17">
        <f>IF(AND(220&gt;=$B$12,220&lt;=$D$12),1,0)</f>
        <v/>
      </c>
      <c r="HP37" s="17">
        <f>IF(AND(221&gt;=$B$12,221&lt;=$D$12),1,0)</f>
        <v/>
      </c>
      <c r="HQ37" s="17">
        <f>IF(AND(222&gt;=$B$12,222&lt;=$D$12),1,0)</f>
        <v/>
      </c>
      <c r="HR37" s="17">
        <f>IF(AND(223&gt;=$B$12,223&lt;=$D$12),1,0)</f>
        <v/>
      </c>
      <c r="HS37" s="17">
        <f>IF(AND(224&gt;=$B$12,224&lt;=$D$12),1,0)</f>
        <v/>
      </c>
      <c r="HT37" s="17">
        <f>IF(AND(225&gt;=$B$12,225&lt;=$D$12),1,0)</f>
        <v/>
      </c>
      <c r="HU37" s="17">
        <f>IF(AND(226&gt;=$B$12,226&lt;=$D$12),1,0)</f>
        <v/>
      </c>
      <c r="HV37" s="17">
        <f>IF(AND(227&gt;=$B$12,227&lt;=$D$12),1,0)</f>
        <v/>
      </c>
      <c r="HW37" s="17">
        <f>IF(AND(228&gt;=$B$12,228&lt;=$D$12),1,0)</f>
        <v/>
      </c>
      <c r="HX37" s="17">
        <f>IF(AND(229&gt;=$B$12,229&lt;=$D$12),1,0)</f>
        <v/>
      </c>
      <c r="HY37" s="17">
        <f>IF(AND(230&gt;=$B$12,230&lt;=$D$12),1,0)</f>
        <v/>
      </c>
      <c r="HZ37" s="17">
        <f>IF(AND(231&gt;=$B$12,231&lt;=$D$12),1,0)</f>
        <v/>
      </c>
      <c r="IA37" s="17">
        <f>IF(AND(232&gt;=$B$12,232&lt;=$D$12),1,0)</f>
        <v/>
      </c>
      <c r="IB37" s="17">
        <f>IF(AND(233&gt;=$B$12,233&lt;=$D$12),1,0)</f>
        <v/>
      </c>
      <c r="IC37" s="17">
        <f>IF(AND(234&gt;=$B$12,234&lt;=$D$12),1,0)</f>
        <v/>
      </c>
      <c r="ID37" s="17">
        <f>IF(AND(235&gt;=$B$12,235&lt;=$D$12),1,0)</f>
        <v/>
      </c>
      <c r="IE37" s="17">
        <f>IF(AND(236&gt;=$B$12,236&lt;=$D$12),1,0)</f>
        <v/>
      </c>
      <c r="IF37" s="17">
        <f>IF(AND(237&gt;=$B$12,237&lt;=$D$12),1,0)</f>
        <v/>
      </c>
      <c r="IG37" s="17">
        <f>IF(AND(238&gt;=$B$12,238&lt;=$D$12),1,0)</f>
        <v/>
      </c>
      <c r="IH37" s="17">
        <f>IF(AND(239&gt;=$B$12,239&lt;=$D$12),1,0)</f>
        <v/>
      </c>
      <c r="II37" s="17">
        <f>IF(AND(240&gt;=$B$12,240&lt;=$D$12),1,0)</f>
        <v/>
      </c>
      <c r="IJ37" s="17">
        <f>IF(AND(241&gt;=$B$12,241&lt;=$D$12),1,0)</f>
        <v/>
      </c>
      <c r="IK37" s="17">
        <f>IF(AND(242&gt;=$B$12,242&lt;=$D$12),1,0)</f>
        <v/>
      </c>
      <c r="IL37" s="17">
        <f>IF(AND(243&gt;=$B$12,243&lt;=$D$12),1,0)</f>
        <v/>
      </c>
      <c r="IM37" s="17">
        <f>IF(AND(244&gt;=$B$12,244&lt;=$D$12),1,0)</f>
        <v/>
      </c>
      <c r="IN37" s="17">
        <f>IF(AND(245&gt;=$B$12,245&lt;=$D$12),1,0)</f>
        <v/>
      </c>
      <c r="IO37" s="17">
        <f>IF(AND(246&gt;=$B$12,246&lt;=$D$12),1,0)</f>
        <v/>
      </c>
      <c r="IP37" s="17">
        <f>IF(AND(247&gt;=$B$12,247&lt;=$D$12),1,0)</f>
        <v/>
      </c>
      <c r="IQ37" s="17">
        <f>IF(AND(248&gt;=$B$12,248&lt;=$D$12),1,0)</f>
        <v/>
      </c>
      <c r="IR37" s="17">
        <f>IF(AND(249&gt;=$B$12,249&lt;=$D$12),1,0)</f>
        <v/>
      </c>
      <c r="IS37" s="17">
        <f>IF(AND(250&gt;=$B$12,250&lt;=$D$12),1,0)</f>
        <v/>
      </c>
      <c r="IT37" s="17">
        <f>IF(AND(251&gt;=$B$12,251&lt;=$D$12),1,0)</f>
        <v/>
      </c>
      <c r="IU37" s="17">
        <f>IF(AND(252&gt;=$B$12,252&lt;=$D$12),1,0)</f>
        <v/>
      </c>
      <c r="IV37" s="17">
        <f>IF(AND(253&gt;=$B$12,253&lt;=$D$12),1,0)</f>
        <v/>
      </c>
      <c r="IW37" s="17">
        <f>IF(AND(254&gt;=$B$12,254&lt;=$D$12),1,0)</f>
        <v/>
      </c>
      <c r="IX37" s="17">
        <f>IF(AND(255&gt;=$B$12,255&lt;=$D$12),1,0)</f>
        <v/>
      </c>
      <c r="IY37" s="17">
        <f>IF(AND(256&gt;=$B$12,256&lt;=$D$12),1,0)</f>
        <v/>
      </c>
      <c r="IZ37" s="17">
        <f>IF(AND(257&gt;=$B$12,257&lt;=$D$12),1,0)</f>
        <v/>
      </c>
      <c r="JA37" s="17">
        <f>IF(AND(258&gt;=$B$12,258&lt;=$D$12),1,0)</f>
        <v/>
      </c>
      <c r="JB37" s="17">
        <f>IF(AND(259&gt;=$B$12,259&lt;=$D$12),1,0)</f>
        <v/>
      </c>
      <c r="JC37" s="17">
        <f>IF(AND(260&gt;=$B$12,260&lt;=$D$12),1,0)</f>
        <v/>
      </c>
      <c r="JD37" s="17">
        <f>IF(AND(261&gt;=$B$12,261&lt;=$D$12),1,0)</f>
        <v/>
      </c>
      <c r="JE37" s="17">
        <f>IF(AND(262&gt;=$B$12,262&lt;=$D$12),1,0)</f>
        <v/>
      </c>
      <c r="JF37" s="17">
        <f>IF(AND(263&gt;=$B$12,263&lt;=$D$12),1,0)</f>
        <v/>
      </c>
      <c r="JG37" s="17">
        <f>IF(AND(264&gt;=$B$12,264&lt;=$D$12),1,0)</f>
        <v/>
      </c>
      <c r="JH37" s="17">
        <f>IF(AND(265&gt;=$B$12,265&lt;=$D$12),1,0)</f>
        <v/>
      </c>
      <c r="JI37" s="17">
        <f>IF(AND(266&gt;=$B$12,266&lt;=$D$12),1,0)</f>
        <v/>
      </c>
      <c r="JJ37" s="17">
        <f>IF(AND(267&gt;=$B$12,267&lt;=$D$12),1,0)</f>
        <v/>
      </c>
      <c r="JK37" s="17">
        <f>IF(AND(268&gt;=$B$12,268&lt;=$D$12),1,0)</f>
        <v/>
      </c>
      <c r="JL37" s="17">
        <f>IF(AND(269&gt;=$B$12,269&lt;=$D$12),1,0)</f>
        <v/>
      </c>
      <c r="JM37" s="17">
        <f>IF(AND(270&gt;=$B$12,270&lt;=$D$12),1,0)</f>
        <v/>
      </c>
      <c r="JN37" s="17">
        <f>IF(AND(271&gt;=$B$12,271&lt;=$D$12),1,0)</f>
        <v/>
      </c>
      <c r="JO37" s="17">
        <f>IF(AND(272&gt;=$B$12,272&lt;=$D$12),1,0)</f>
        <v/>
      </c>
      <c r="JP37" s="17">
        <f>IF(AND(273&gt;=$B$12,273&lt;=$D$12),1,0)</f>
        <v/>
      </c>
      <c r="JQ37" s="17">
        <f>IF(AND(274&gt;=$B$12,274&lt;=$D$12),1,0)</f>
        <v/>
      </c>
      <c r="JR37" s="17">
        <f>IF(AND(275&gt;=$B$12,275&lt;=$D$12),1,0)</f>
        <v/>
      </c>
      <c r="JS37" s="17">
        <f>IF(AND(276&gt;=$B$12,276&lt;=$D$12),1,0)</f>
        <v/>
      </c>
      <c r="JT37" s="17">
        <f>IF(AND(277&gt;=$B$12,277&lt;=$D$12),1,0)</f>
        <v/>
      </c>
      <c r="JU37" s="17">
        <f>IF(AND(278&gt;=$B$12,278&lt;=$D$12),1,0)</f>
        <v/>
      </c>
      <c r="JV37" s="17">
        <f>IF(AND(279&gt;=$B$12,279&lt;=$D$12),1,0)</f>
        <v/>
      </c>
      <c r="JW37" s="17">
        <f>IF(AND(280&gt;=$B$12,280&lt;=$D$12),1,0)</f>
        <v/>
      </c>
      <c r="JX37" s="17">
        <f>IF(AND(281&gt;=$B$12,281&lt;=$D$12),1,0)</f>
        <v/>
      </c>
      <c r="JY37" s="17">
        <f>IF(AND(282&gt;=$B$12,282&lt;=$D$12),1,0)</f>
        <v/>
      </c>
      <c r="JZ37" s="17">
        <f>IF(AND(283&gt;=$B$12,283&lt;=$D$12),1,0)</f>
        <v/>
      </c>
      <c r="KA37" s="17">
        <f>IF(AND(284&gt;=$B$12,284&lt;=$D$12),1,0)</f>
        <v/>
      </c>
      <c r="KB37" s="17">
        <f>IF(AND(285&gt;=$B$12,285&lt;=$D$12),1,0)</f>
        <v/>
      </c>
      <c r="KC37" s="17">
        <f>IF(AND(286&gt;=$B$12,286&lt;=$D$12),1,0)</f>
        <v/>
      </c>
      <c r="KD37" s="17">
        <f>IF(AND(287&gt;=$B$12,287&lt;=$D$12),1,0)</f>
        <v/>
      </c>
      <c r="KE37" s="17">
        <f>IF(AND(288&gt;=$B$12,288&lt;=$D$12),1,0)</f>
        <v/>
      </c>
      <c r="KF37" s="17">
        <f>IF(AND(289&gt;=$B$12,289&lt;=$D$12),1,0)</f>
        <v/>
      </c>
      <c r="KG37" s="17">
        <f>IF(AND(290&gt;=$B$12,290&lt;=$D$12),1,0)</f>
        <v/>
      </c>
      <c r="KH37" s="17">
        <f>IF(AND(291&gt;=$B$12,291&lt;=$D$12),1,0)</f>
        <v/>
      </c>
      <c r="KI37" s="17">
        <f>IF(AND(292&gt;=$B$12,292&lt;=$D$12),1,0)</f>
        <v/>
      </c>
      <c r="KJ37" s="17">
        <f>IF(AND(293&gt;=$B$12,293&lt;=$D$12),1,0)</f>
        <v/>
      </c>
      <c r="KK37" s="17">
        <f>IF(AND(294&gt;=$B$12,294&lt;=$D$12),1,0)</f>
        <v/>
      </c>
      <c r="KL37" s="17">
        <f>IF(AND(295&gt;=$B$12,295&lt;=$D$12),1,0)</f>
        <v/>
      </c>
      <c r="KM37" s="17">
        <f>IF(AND(296&gt;=$B$12,296&lt;=$D$12),1,0)</f>
        <v/>
      </c>
      <c r="KN37" s="17">
        <f>IF(AND(297&gt;=$B$12,297&lt;=$D$12),1,0)</f>
        <v/>
      </c>
      <c r="KO37" s="17">
        <f>IF(AND(298&gt;=$B$12,298&lt;=$D$12),1,0)</f>
        <v/>
      </c>
      <c r="KP37" s="17">
        <f>IF(AND(299&gt;=$B$12,299&lt;=$D$12),1,0)</f>
        <v/>
      </c>
      <c r="KQ37" s="17">
        <f>IF(AND(300&gt;=$B$12,300&lt;=$D$12),1,0)</f>
        <v/>
      </c>
      <c r="KR37" s="17">
        <f>IF(AND(301&gt;=$B$12,301&lt;=$D$12),1,0)</f>
        <v/>
      </c>
      <c r="KS37" s="17">
        <f>IF(AND(302&gt;=$B$12,302&lt;=$D$12),1,0)</f>
        <v/>
      </c>
      <c r="KT37" s="17">
        <f>IF(AND(303&gt;=$B$12,303&lt;=$D$12),1,0)</f>
        <v/>
      </c>
      <c r="KU37" s="17">
        <f>IF(AND(304&gt;=$B$12,304&lt;=$D$12),1,0)</f>
        <v/>
      </c>
      <c r="KV37" s="17">
        <f>IF(AND(305&gt;=$B$12,305&lt;=$D$12),1,0)</f>
        <v/>
      </c>
      <c r="KW37" s="17">
        <f>IF(AND(306&gt;=$B$12,306&lt;=$D$12),1,0)</f>
        <v/>
      </c>
      <c r="KX37" s="17">
        <f>IF(AND(307&gt;=$B$12,307&lt;=$D$12),1,0)</f>
        <v/>
      </c>
      <c r="KY37" s="17">
        <f>IF(AND(308&gt;=$B$12,308&lt;=$D$12),1,0)</f>
        <v/>
      </c>
      <c r="KZ37" s="17">
        <f>IF(AND(309&gt;=$B$12,309&lt;=$D$12),1,0)</f>
        <v/>
      </c>
      <c r="LA37" s="17">
        <f>IF(AND(310&gt;=$B$12,310&lt;=$D$12),1,0)</f>
        <v/>
      </c>
      <c r="LB37" s="17">
        <f>IF(AND(311&gt;=$B$12,311&lt;=$D$12),1,0)</f>
        <v/>
      </c>
      <c r="LC37" s="17">
        <f>IF(AND(312&gt;=$B$12,312&lt;=$D$12),1,0)</f>
        <v/>
      </c>
      <c r="LD37" s="17">
        <f>IF(AND(313&gt;=$B$12,313&lt;=$D$12),1,0)</f>
        <v/>
      </c>
      <c r="LE37" s="17">
        <f>IF(AND(314&gt;=$B$12,314&lt;=$D$12),1,0)</f>
        <v/>
      </c>
      <c r="LF37" s="17">
        <f>IF(AND(315&gt;=$B$12,315&lt;=$D$12),1,0)</f>
        <v/>
      </c>
      <c r="LG37" s="17">
        <f>IF(AND(316&gt;=$B$12,316&lt;=$D$12),1,0)</f>
        <v/>
      </c>
      <c r="LH37" s="17">
        <f>IF(AND(317&gt;=$B$12,317&lt;=$D$12),1,0)</f>
        <v/>
      </c>
      <c r="LI37" s="17">
        <f>IF(AND(318&gt;=$B$12,318&lt;=$D$12),1,0)</f>
        <v/>
      </c>
      <c r="LJ37" s="17">
        <f>IF(AND(319&gt;=$B$12,319&lt;=$D$12),1,0)</f>
        <v/>
      </c>
      <c r="LK37" s="17">
        <f>IF(AND(320&gt;=$B$12,320&lt;=$D$12),1,0)</f>
        <v/>
      </c>
      <c r="LL37" s="17">
        <f>IF(AND(321&gt;=$B$12,321&lt;=$D$12),1,0)</f>
        <v/>
      </c>
      <c r="LM37" s="17">
        <f>IF(AND(322&gt;=$B$12,322&lt;=$D$12),1,0)</f>
        <v/>
      </c>
      <c r="LN37" s="17">
        <f>IF(AND(323&gt;=$B$12,323&lt;=$D$12),1,0)</f>
        <v/>
      </c>
      <c r="LO37" s="17">
        <f>IF(AND(324&gt;=$B$12,324&lt;=$D$12),1,0)</f>
        <v/>
      </c>
      <c r="LP37" s="17">
        <f>IF(AND(325&gt;=$B$12,325&lt;=$D$12),1,0)</f>
        <v/>
      </c>
      <c r="LQ37" s="17">
        <f>IF(AND(326&gt;=$B$12,326&lt;=$D$12),1,0)</f>
        <v/>
      </c>
      <c r="LR37" s="17">
        <f>IF(AND(327&gt;=$B$12,327&lt;=$D$12),1,0)</f>
        <v/>
      </c>
      <c r="LS37" s="17">
        <f>IF(AND(328&gt;=$B$12,328&lt;=$D$12),1,0)</f>
        <v/>
      </c>
      <c r="LT37" s="17">
        <f>IF(AND(329&gt;=$B$12,329&lt;=$D$12),1,0)</f>
        <v/>
      </c>
      <c r="LU37" s="17">
        <f>IF(AND(330&gt;=$B$12,330&lt;=$D$12),1,0)</f>
        <v/>
      </c>
      <c r="LV37" s="17">
        <f>IF(AND(331&gt;=$B$12,331&lt;=$D$12),1,0)</f>
        <v/>
      </c>
      <c r="LW37" s="17">
        <f>IF(AND(332&gt;=$B$12,332&lt;=$D$12),1,0)</f>
        <v/>
      </c>
      <c r="LX37" s="17">
        <f>IF(AND(333&gt;=$B$12,333&lt;=$D$12),1,0)</f>
        <v/>
      </c>
      <c r="LY37" s="17">
        <f>IF(AND(334&gt;=$B$12,334&lt;=$D$12),1,0)</f>
        <v/>
      </c>
      <c r="LZ37" s="17">
        <f>IF(AND(335&gt;=$B$12,335&lt;=$D$12),1,0)</f>
        <v/>
      </c>
      <c r="MA37" s="17">
        <f>IF(AND(336&gt;=$B$12,336&lt;=$D$12),1,0)</f>
        <v/>
      </c>
      <c r="MB37" s="17">
        <f>IF(AND(337&gt;=$B$12,337&lt;=$D$12),1,0)</f>
        <v/>
      </c>
      <c r="MC37" s="17">
        <f>IF(AND(338&gt;=$B$12,338&lt;=$D$12),1,0)</f>
        <v/>
      </c>
      <c r="MD37" s="17">
        <f>IF(AND(339&gt;=$B$12,339&lt;=$D$12),1,0)</f>
        <v/>
      </c>
      <c r="ME37" s="17">
        <f>IF(AND(340&gt;=$B$12,340&lt;=$D$12),1,0)</f>
        <v/>
      </c>
      <c r="MF37" s="17">
        <f>IF(AND(341&gt;=$B$12,341&lt;=$D$12),1,0)</f>
        <v/>
      </c>
      <c r="MG37" s="17">
        <f>IF(AND(342&gt;=$B$12,342&lt;=$D$12),1,0)</f>
        <v/>
      </c>
      <c r="MH37" s="17">
        <f>IF(AND(343&gt;=$B$12,343&lt;=$D$12),1,0)</f>
        <v/>
      </c>
      <c r="MI37" s="17">
        <f>IF(AND(344&gt;=$B$12,344&lt;=$D$12),1,0)</f>
        <v/>
      </c>
      <c r="MJ37" s="17">
        <f>IF(AND(345&gt;=$B$12,345&lt;=$D$12),1,0)</f>
        <v/>
      </c>
      <c r="MK37" s="17">
        <f>IF(AND(346&gt;=$B$12,346&lt;=$D$12),1,0)</f>
        <v/>
      </c>
      <c r="ML37" s="17">
        <f>IF(AND(347&gt;=$B$12,347&lt;=$D$12),1,0)</f>
        <v/>
      </c>
      <c r="MM37" s="17">
        <f>IF(AND(348&gt;=$B$12,348&lt;=$D$12),1,0)</f>
        <v/>
      </c>
      <c r="MN37" s="17">
        <f>IF(AND(349&gt;=$B$12,349&lt;=$D$12),1,0)</f>
        <v/>
      </c>
      <c r="MO37" s="17">
        <f>IF(AND(350&gt;=$B$12,350&lt;=$D$12),1,0)</f>
        <v/>
      </c>
      <c r="MP37" s="17">
        <f>IF(AND(351&gt;=$B$12,351&lt;=$D$12),1,0)</f>
        <v/>
      </c>
      <c r="MQ37" s="17">
        <f>IF(AND(352&gt;=$B$12,352&lt;=$D$12),1,0)</f>
        <v/>
      </c>
      <c r="MR37" s="17">
        <f>IF(AND(353&gt;=$B$12,353&lt;=$D$12),1,0)</f>
        <v/>
      </c>
      <c r="MS37" s="17">
        <f>IF(AND(354&gt;=$B$12,354&lt;=$D$12),1,0)</f>
        <v/>
      </c>
      <c r="MT37" s="17">
        <f>IF(AND(355&gt;=$B$12,355&lt;=$D$12),1,0)</f>
        <v/>
      </c>
      <c r="MU37" s="17">
        <f>IF(AND(356&gt;=$B$12,356&lt;=$D$12),1,0)</f>
        <v/>
      </c>
      <c r="MV37" s="17">
        <f>IF(AND(357&gt;=$B$12,357&lt;=$D$12),1,0)</f>
        <v/>
      </c>
      <c r="MW37" s="17">
        <f>IF(AND(358&gt;=$B$12,358&lt;=$D$12),1,0)</f>
        <v/>
      </c>
      <c r="MX37" s="17">
        <f>IF(AND(359&gt;=$B$12,359&lt;=$D$12),1,0)</f>
        <v/>
      </c>
      <c r="MY37" s="17">
        <f>IF(AND(360&gt;=$B$12,360&lt;=$D$12),1,0)</f>
        <v/>
      </c>
      <c r="MZ37" s="17">
        <f>IF(AND(361&gt;=$B$12,361&lt;=$D$12),1,0)</f>
        <v/>
      </c>
      <c r="NA37" s="17">
        <f>IF(AND(362&gt;=$B$12,362&lt;=$D$12),1,0)</f>
        <v/>
      </c>
      <c r="NB37" s="17">
        <f>IF(AND(363&gt;=$B$12,363&lt;=$D$12),1,0)</f>
        <v/>
      </c>
      <c r="NC37" s="17">
        <f>IF(AND(364&gt;=$B$12,364&lt;=$D$12),1,0)</f>
        <v/>
      </c>
      <c r="ND37" s="17">
        <f>IF(AND(365&gt;=$B$12,365&lt;=$D$12),1,0)</f>
        <v/>
      </c>
      <c r="NE37" s="17">
        <f>IF(AND(366&gt;=$B$12,366&lt;=$D$12),1,0)</f>
        <v/>
      </c>
      <c r="NF37" s="17">
        <f>IF(AND(367&gt;=$B$12,367&lt;=$D$12),1,0)</f>
        <v/>
      </c>
      <c r="NG37" s="17">
        <f>IF(AND(368&gt;=$B$12,368&lt;=$D$12),1,0)</f>
        <v/>
      </c>
      <c r="NH37" s="17">
        <f>IF(AND(369&gt;=$B$12,369&lt;=$D$12),1,0)</f>
        <v/>
      </c>
      <c r="NI37" s="17">
        <f>IF(AND(370&gt;=$B$12,370&lt;=$D$12),1,0)</f>
        <v/>
      </c>
      <c r="NJ37" s="17">
        <f>IF(AND(371&gt;=$B$12,371&lt;=$D$12),1,0)</f>
        <v/>
      </c>
      <c r="NK37" s="17">
        <f>IF(AND(372&gt;=$B$12,372&lt;=$D$12),1,0)</f>
        <v/>
      </c>
    </row>
    <row r="38">
      <c r="A38" s="5" t="inlineStr">
        <is>
          <t>Flag: Recapitalization/Refinance</t>
        </is>
      </c>
      <c r="C38" s="40" t="n"/>
      <c r="D38" s="17">
        <f>IF(AND(1&gt;=$B$13,1&lt;=$D$13),1,0)</f>
        <v/>
      </c>
      <c r="E38" s="17">
        <f>IF(AND(2&gt;=$B$13,2&lt;=$D$13),1,0)</f>
        <v/>
      </c>
      <c r="F38" s="17">
        <f>IF(AND(3&gt;=$B$13,3&lt;=$D$13),1,0)</f>
        <v/>
      </c>
      <c r="G38" s="17">
        <f>IF(AND(4&gt;=$B$13,4&lt;=$D$13),1,0)</f>
        <v/>
      </c>
      <c r="H38" s="17">
        <f>IF(AND(5&gt;=$B$13,5&lt;=$D$13),1,0)</f>
        <v/>
      </c>
      <c r="I38" s="17">
        <f>IF(AND(6&gt;=$B$13,6&lt;=$D$13),1,0)</f>
        <v/>
      </c>
      <c r="J38" s="17">
        <f>IF(AND(7&gt;=$B$13,7&lt;=$D$13),1,0)</f>
        <v/>
      </c>
      <c r="K38" s="17">
        <f>IF(AND(8&gt;=$B$13,8&lt;=$D$13),1,0)</f>
        <v/>
      </c>
      <c r="L38" s="17">
        <f>IF(AND(9&gt;=$B$13,9&lt;=$D$13),1,0)</f>
        <v/>
      </c>
      <c r="M38" s="17">
        <f>IF(AND(10&gt;=$B$13,10&lt;=$D$13),1,0)</f>
        <v/>
      </c>
      <c r="N38" s="17">
        <f>IF(AND(11&gt;=$B$13,11&lt;=$D$13),1,0)</f>
        <v/>
      </c>
      <c r="O38" s="17">
        <f>IF(AND(12&gt;=$B$13,12&lt;=$D$13),1,0)</f>
        <v/>
      </c>
      <c r="P38" s="17">
        <f>IF(AND(13&gt;=$B$13,13&lt;=$D$13),1,0)</f>
        <v/>
      </c>
      <c r="Q38" s="17">
        <f>IF(AND(14&gt;=$B$13,14&lt;=$D$13),1,0)</f>
        <v/>
      </c>
      <c r="R38" s="17">
        <f>IF(AND(15&gt;=$B$13,15&lt;=$D$13),1,0)</f>
        <v/>
      </c>
      <c r="S38" s="17">
        <f>IF(AND(16&gt;=$B$13,16&lt;=$D$13),1,0)</f>
        <v/>
      </c>
      <c r="T38" s="17">
        <f>IF(AND(17&gt;=$B$13,17&lt;=$D$13),1,0)</f>
        <v/>
      </c>
      <c r="U38" s="17">
        <f>IF(AND(18&gt;=$B$13,18&lt;=$D$13),1,0)</f>
        <v/>
      </c>
      <c r="V38" s="17">
        <f>IF(AND(19&gt;=$B$13,19&lt;=$D$13),1,0)</f>
        <v/>
      </c>
      <c r="W38" s="17">
        <f>IF(AND(20&gt;=$B$13,20&lt;=$D$13),1,0)</f>
        <v/>
      </c>
      <c r="X38" s="17">
        <f>IF(AND(21&gt;=$B$13,21&lt;=$D$13),1,0)</f>
        <v/>
      </c>
      <c r="Y38" s="17">
        <f>IF(AND(22&gt;=$B$13,22&lt;=$D$13),1,0)</f>
        <v/>
      </c>
      <c r="Z38" s="17">
        <f>IF(AND(23&gt;=$B$13,23&lt;=$D$13),1,0)</f>
        <v/>
      </c>
      <c r="AA38" s="17">
        <f>IF(AND(24&gt;=$B$13,24&lt;=$D$13),1,0)</f>
        <v/>
      </c>
      <c r="AB38" s="17">
        <f>IF(AND(25&gt;=$B$13,25&lt;=$D$13),1,0)</f>
        <v/>
      </c>
      <c r="AC38" s="17">
        <f>IF(AND(26&gt;=$B$13,26&lt;=$D$13),1,0)</f>
        <v/>
      </c>
      <c r="AD38" s="17">
        <f>IF(AND(27&gt;=$B$13,27&lt;=$D$13),1,0)</f>
        <v/>
      </c>
      <c r="AE38" s="17">
        <f>IF(AND(28&gt;=$B$13,28&lt;=$D$13),1,0)</f>
        <v/>
      </c>
      <c r="AF38" s="17">
        <f>IF(AND(29&gt;=$B$13,29&lt;=$D$13),1,0)</f>
        <v/>
      </c>
      <c r="AG38" s="17">
        <f>IF(AND(30&gt;=$B$13,30&lt;=$D$13),1,0)</f>
        <v/>
      </c>
      <c r="AH38" s="17">
        <f>IF(AND(31&gt;=$B$13,31&lt;=$D$13),1,0)</f>
        <v/>
      </c>
      <c r="AI38" s="17">
        <f>IF(AND(32&gt;=$B$13,32&lt;=$D$13),1,0)</f>
        <v/>
      </c>
      <c r="AJ38" s="17">
        <f>IF(AND(33&gt;=$B$13,33&lt;=$D$13),1,0)</f>
        <v/>
      </c>
      <c r="AK38" s="17">
        <f>IF(AND(34&gt;=$B$13,34&lt;=$D$13),1,0)</f>
        <v/>
      </c>
      <c r="AL38" s="17">
        <f>IF(AND(35&gt;=$B$13,35&lt;=$D$13),1,0)</f>
        <v/>
      </c>
      <c r="AM38" s="17">
        <f>IF(AND(36&gt;=$B$13,36&lt;=$D$13),1,0)</f>
        <v/>
      </c>
      <c r="AN38" s="17">
        <f>IF(AND(37&gt;=$B$13,37&lt;=$D$13),1,0)</f>
        <v/>
      </c>
      <c r="AO38" s="17">
        <f>IF(AND(38&gt;=$B$13,38&lt;=$D$13),1,0)</f>
        <v/>
      </c>
      <c r="AP38" s="17">
        <f>IF(AND(39&gt;=$B$13,39&lt;=$D$13),1,0)</f>
        <v/>
      </c>
      <c r="AQ38" s="17">
        <f>IF(AND(40&gt;=$B$13,40&lt;=$D$13),1,0)</f>
        <v/>
      </c>
      <c r="AR38" s="17">
        <f>IF(AND(41&gt;=$B$13,41&lt;=$D$13),1,0)</f>
        <v/>
      </c>
      <c r="AS38" s="17">
        <f>IF(AND(42&gt;=$B$13,42&lt;=$D$13),1,0)</f>
        <v/>
      </c>
      <c r="AT38" s="17">
        <f>IF(AND(43&gt;=$B$13,43&lt;=$D$13),1,0)</f>
        <v/>
      </c>
      <c r="AU38" s="17">
        <f>IF(AND(44&gt;=$B$13,44&lt;=$D$13),1,0)</f>
        <v/>
      </c>
      <c r="AV38" s="17">
        <f>IF(AND(45&gt;=$B$13,45&lt;=$D$13),1,0)</f>
        <v/>
      </c>
      <c r="AW38" s="17">
        <f>IF(AND(46&gt;=$B$13,46&lt;=$D$13),1,0)</f>
        <v/>
      </c>
      <c r="AX38" s="17">
        <f>IF(AND(47&gt;=$B$13,47&lt;=$D$13),1,0)</f>
        <v/>
      </c>
      <c r="AY38" s="17">
        <f>IF(AND(48&gt;=$B$13,48&lt;=$D$13),1,0)</f>
        <v/>
      </c>
      <c r="AZ38" s="17">
        <f>IF(AND(49&gt;=$B$13,49&lt;=$D$13),1,0)</f>
        <v/>
      </c>
      <c r="BA38" s="17">
        <f>IF(AND(50&gt;=$B$13,50&lt;=$D$13),1,0)</f>
        <v/>
      </c>
      <c r="BB38" s="17">
        <f>IF(AND(51&gt;=$B$13,51&lt;=$D$13),1,0)</f>
        <v/>
      </c>
      <c r="BC38" s="17">
        <f>IF(AND(52&gt;=$B$13,52&lt;=$D$13),1,0)</f>
        <v/>
      </c>
      <c r="BD38" s="17">
        <f>IF(AND(53&gt;=$B$13,53&lt;=$D$13),1,0)</f>
        <v/>
      </c>
      <c r="BE38" s="17">
        <f>IF(AND(54&gt;=$B$13,54&lt;=$D$13),1,0)</f>
        <v/>
      </c>
      <c r="BF38" s="17">
        <f>IF(AND(55&gt;=$B$13,55&lt;=$D$13),1,0)</f>
        <v/>
      </c>
      <c r="BG38" s="17">
        <f>IF(AND(56&gt;=$B$13,56&lt;=$D$13),1,0)</f>
        <v/>
      </c>
      <c r="BH38" s="17">
        <f>IF(AND(57&gt;=$B$13,57&lt;=$D$13),1,0)</f>
        <v/>
      </c>
      <c r="BI38" s="17">
        <f>IF(AND(58&gt;=$B$13,58&lt;=$D$13),1,0)</f>
        <v/>
      </c>
      <c r="BJ38" s="17">
        <f>IF(AND(59&gt;=$B$13,59&lt;=$D$13),1,0)</f>
        <v/>
      </c>
      <c r="BK38" s="17">
        <f>IF(AND(60&gt;=$B$13,60&lt;=$D$13),1,0)</f>
        <v/>
      </c>
      <c r="BL38" s="17">
        <f>IF(AND(61&gt;=$B$13,61&lt;=$D$13),1,0)</f>
        <v/>
      </c>
      <c r="BM38" s="17">
        <f>IF(AND(62&gt;=$B$13,62&lt;=$D$13),1,0)</f>
        <v/>
      </c>
      <c r="BN38" s="17">
        <f>IF(AND(63&gt;=$B$13,63&lt;=$D$13),1,0)</f>
        <v/>
      </c>
      <c r="BO38" s="17">
        <f>IF(AND(64&gt;=$B$13,64&lt;=$D$13),1,0)</f>
        <v/>
      </c>
      <c r="BP38" s="17">
        <f>IF(AND(65&gt;=$B$13,65&lt;=$D$13),1,0)</f>
        <v/>
      </c>
      <c r="BQ38" s="17">
        <f>IF(AND(66&gt;=$B$13,66&lt;=$D$13),1,0)</f>
        <v/>
      </c>
      <c r="BR38" s="17">
        <f>IF(AND(67&gt;=$B$13,67&lt;=$D$13),1,0)</f>
        <v/>
      </c>
      <c r="BS38" s="17">
        <f>IF(AND(68&gt;=$B$13,68&lt;=$D$13),1,0)</f>
        <v/>
      </c>
      <c r="BT38" s="17">
        <f>IF(AND(69&gt;=$B$13,69&lt;=$D$13),1,0)</f>
        <v/>
      </c>
      <c r="BU38" s="17">
        <f>IF(AND(70&gt;=$B$13,70&lt;=$D$13),1,0)</f>
        <v/>
      </c>
      <c r="BV38" s="17">
        <f>IF(AND(71&gt;=$B$13,71&lt;=$D$13),1,0)</f>
        <v/>
      </c>
      <c r="BW38" s="17">
        <f>IF(AND(72&gt;=$B$13,72&lt;=$D$13),1,0)</f>
        <v/>
      </c>
      <c r="BX38" s="17">
        <f>IF(AND(73&gt;=$B$13,73&lt;=$D$13),1,0)</f>
        <v/>
      </c>
      <c r="BY38" s="17">
        <f>IF(AND(74&gt;=$B$13,74&lt;=$D$13),1,0)</f>
        <v/>
      </c>
      <c r="BZ38" s="17">
        <f>IF(AND(75&gt;=$B$13,75&lt;=$D$13),1,0)</f>
        <v/>
      </c>
      <c r="CA38" s="17">
        <f>IF(AND(76&gt;=$B$13,76&lt;=$D$13),1,0)</f>
        <v/>
      </c>
      <c r="CB38" s="17">
        <f>IF(AND(77&gt;=$B$13,77&lt;=$D$13),1,0)</f>
        <v/>
      </c>
      <c r="CC38" s="17">
        <f>IF(AND(78&gt;=$B$13,78&lt;=$D$13),1,0)</f>
        <v/>
      </c>
      <c r="CD38" s="17">
        <f>IF(AND(79&gt;=$B$13,79&lt;=$D$13),1,0)</f>
        <v/>
      </c>
      <c r="CE38" s="17">
        <f>IF(AND(80&gt;=$B$13,80&lt;=$D$13),1,0)</f>
        <v/>
      </c>
      <c r="CF38" s="17">
        <f>IF(AND(81&gt;=$B$13,81&lt;=$D$13),1,0)</f>
        <v/>
      </c>
      <c r="CG38" s="17">
        <f>IF(AND(82&gt;=$B$13,82&lt;=$D$13),1,0)</f>
        <v/>
      </c>
      <c r="CH38" s="17">
        <f>IF(AND(83&gt;=$B$13,83&lt;=$D$13),1,0)</f>
        <v/>
      </c>
      <c r="CI38" s="17">
        <f>IF(AND(84&gt;=$B$13,84&lt;=$D$13),1,0)</f>
        <v/>
      </c>
      <c r="CJ38" s="17">
        <f>IF(AND(85&gt;=$B$13,85&lt;=$D$13),1,0)</f>
        <v/>
      </c>
      <c r="CK38" s="17">
        <f>IF(AND(86&gt;=$B$13,86&lt;=$D$13),1,0)</f>
        <v/>
      </c>
      <c r="CL38" s="17">
        <f>IF(AND(87&gt;=$B$13,87&lt;=$D$13),1,0)</f>
        <v/>
      </c>
      <c r="CM38" s="17">
        <f>IF(AND(88&gt;=$B$13,88&lt;=$D$13),1,0)</f>
        <v/>
      </c>
      <c r="CN38" s="17">
        <f>IF(AND(89&gt;=$B$13,89&lt;=$D$13),1,0)</f>
        <v/>
      </c>
      <c r="CO38" s="17">
        <f>IF(AND(90&gt;=$B$13,90&lt;=$D$13),1,0)</f>
        <v/>
      </c>
      <c r="CP38" s="17">
        <f>IF(AND(91&gt;=$B$13,91&lt;=$D$13),1,0)</f>
        <v/>
      </c>
      <c r="CQ38" s="17">
        <f>IF(AND(92&gt;=$B$13,92&lt;=$D$13),1,0)</f>
        <v/>
      </c>
      <c r="CR38" s="17">
        <f>IF(AND(93&gt;=$B$13,93&lt;=$D$13),1,0)</f>
        <v/>
      </c>
      <c r="CS38" s="17">
        <f>IF(AND(94&gt;=$B$13,94&lt;=$D$13),1,0)</f>
        <v/>
      </c>
      <c r="CT38" s="17">
        <f>IF(AND(95&gt;=$B$13,95&lt;=$D$13),1,0)</f>
        <v/>
      </c>
      <c r="CU38" s="17">
        <f>IF(AND(96&gt;=$B$13,96&lt;=$D$13),1,0)</f>
        <v/>
      </c>
      <c r="CV38" s="17">
        <f>IF(AND(97&gt;=$B$13,97&lt;=$D$13),1,0)</f>
        <v/>
      </c>
      <c r="CW38" s="17">
        <f>IF(AND(98&gt;=$B$13,98&lt;=$D$13),1,0)</f>
        <v/>
      </c>
      <c r="CX38" s="17">
        <f>IF(AND(99&gt;=$B$13,99&lt;=$D$13),1,0)</f>
        <v/>
      </c>
      <c r="CY38" s="17">
        <f>IF(AND(100&gt;=$B$13,100&lt;=$D$13),1,0)</f>
        <v/>
      </c>
      <c r="CZ38" s="17">
        <f>IF(AND(101&gt;=$B$13,101&lt;=$D$13),1,0)</f>
        <v/>
      </c>
      <c r="DA38" s="17">
        <f>IF(AND(102&gt;=$B$13,102&lt;=$D$13),1,0)</f>
        <v/>
      </c>
      <c r="DB38" s="17">
        <f>IF(AND(103&gt;=$B$13,103&lt;=$D$13),1,0)</f>
        <v/>
      </c>
      <c r="DC38" s="17">
        <f>IF(AND(104&gt;=$B$13,104&lt;=$D$13),1,0)</f>
        <v/>
      </c>
      <c r="DD38" s="17">
        <f>IF(AND(105&gt;=$B$13,105&lt;=$D$13),1,0)</f>
        <v/>
      </c>
      <c r="DE38" s="17">
        <f>IF(AND(106&gt;=$B$13,106&lt;=$D$13),1,0)</f>
        <v/>
      </c>
      <c r="DF38" s="17">
        <f>IF(AND(107&gt;=$B$13,107&lt;=$D$13),1,0)</f>
        <v/>
      </c>
      <c r="DG38" s="17">
        <f>IF(AND(108&gt;=$B$13,108&lt;=$D$13),1,0)</f>
        <v/>
      </c>
      <c r="DH38" s="17">
        <f>IF(AND(109&gt;=$B$13,109&lt;=$D$13),1,0)</f>
        <v/>
      </c>
      <c r="DI38" s="17">
        <f>IF(AND(110&gt;=$B$13,110&lt;=$D$13),1,0)</f>
        <v/>
      </c>
      <c r="DJ38" s="17">
        <f>IF(AND(111&gt;=$B$13,111&lt;=$D$13),1,0)</f>
        <v/>
      </c>
      <c r="DK38" s="17">
        <f>IF(AND(112&gt;=$B$13,112&lt;=$D$13),1,0)</f>
        <v/>
      </c>
      <c r="DL38" s="17">
        <f>IF(AND(113&gt;=$B$13,113&lt;=$D$13),1,0)</f>
        <v/>
      </c>
      <c r="DM38" s="17">
        <f>IF(AND(114&gt;=$B$13,114&lt;=$D$13),1,0)</f>
        <v/>
      </c>
      <c r="DN38" s="17">
        <f>IF(AND(115&gt;=$B$13,115&lt;=$D$13),1,0)</f>
        <v/>
      </c>
      <c r="DO38" s="17">
        <f>IF(AND(116&gt;=$B$13,116&lt;=$D$13),1,0)</f>
        <v/>
      </c>
      <c r="DP38" s="17">
        <f>IF(AND(117&gt;=$B$13,117&lt;=$D$13),1,0)</f>
        <v/>
      </c>
      <c r="DQ38" s="17">
        <f>IF(AND(118&gt;=$B$13,118&lt;=$D$13),1,0)</f>
        <v/>
      </c>
      <c r="DR38" s="17">
        <f>IF(AND(119&gt;=$B$13,119&lt;=$D$13),1,0)</f>
        <v/>
      </c>
      <c r="DS38" s="17">
        <f>IF(AND(120&gt;=$B$13,120&lt;=$D$13),1,0)</f>
        <v/>
      </c>
      <c r="DT38" s="17">
        <f>IF(AND(121&gt;=$B$13,121&lt;=$D$13),1,0)</f>
        <v/>
      </c>
      <c r="DU38" s="17">
        <f>IF(AND(122&gt;=$B$13,122&lt;=$D$13),1,0)</f>
        <v/>
      </c>
      <c r="DV38" s="17">
        <f>IF(AND(123&gt;=$B$13,123&lt;=$D$13),1,0)</f>
        <v/>
      </c>
      <c r="DW38" s="17">
        <f>IF(AND(124&gt;=$B$13,124&lt;=$D$13),1,0)</f>
        <v/>
      </c>
      <c r="DX38" s="17">
        <f>IF(AND(125&gt;=$B$13,125&lt;=$D$13),1,0)</f>
        <v/>
      </c>
      <c r="DY38" s="17">
        <f>IF(AND(126&gt;=$B$13,126&lt;=$D$13),1,0)</f>
        <v/>
      </c>
      <c r="DZ38" s="17">
        <f>IF(AND(127&gt;=$B$13,127&lt;=$D$13),1,0)</f>
        <v/>
      </c>
      <c r="EA38" s="17">
        <f>IF(AND(128&gt;=$B$13,128&lt;=$D$13),1,0)</f>
        <v/>
      </c>
      <c r="EB38" s="17">
        <f>IF(AND(129&gt;=$B$13,129&lt;=$D$13),1,0)</f>
        <v/>
      </c>
      <c r="EC38" s="17">
        <f>IF(AND(130&gt;=$B$13,130&lt;=$D$13),1,0)</f>
        <v/>
      </c>
      <c r="ED38" s="17">
        <f>IF(AND(131&gt;=$B$13,131&lt;=$D$13),1,0)</f>
        <v/>
      </c>
      <c r="EE38" s="17">
        <f>IF(AND(132&gt;=$B$13,132&lt;=$D$13),1,0)</f>
        <v/>
      </c>
      <c r="EF38" s="17">
        <f>IF(AND(133&gt;=$B$13,133&lt;=$D$13),1,0)</f>
        <v/>
      </c>
      <c r="EG38" s="17">
        <f>IF(AND(134&gt;=$B$13,134&lt;=$D$13),1,0)</f>
        <v/>
      </c>
      <c r="EH38" s="17">
        <f>IF(AND(135&gt;=$B$13,135&lt;=$D$13),1,0)</f>
        <v/>
      </c>
      <c r="EI38" s="17">
        <f>IF(AND(136&gt;=$B$13,136&lt;=$D$13),1,0)</f>
        <v/>
      </c>
      <c r="EJ38" s="17">
        <f>IF(AND(137&gt;=$B$13,137&lt;=$D$13),1,0)</f>
        <v/>
      </c>
      <c r="EK38" s="17">
        <f>IF(AND(138&gt;=$B$13,138&lt;=$D$13),1,0)</f>
        <v/>
      </c>
      <c r="EL38" s="17">
        <f>IF(AND(139&gt;=$B$13,139&lt;=$D$13),1,0)</f>
        <v/>
      </c>
      <c r="EM38" s="17">
        <f>IF(AND(140&gt;=$B$13,140&lt;=$D$13),1,0)</f>
        <v/>
      </c>
      <c r="EN38" s="17">
        <f>IF(AND(141&gt;=$B$13,141&lt;=$D$13),1,0)</f>
        <v/>
      </c>
      <c r="EO38" s="17">
        <f>IF(AND(142&gt;=$B$13,142&lt;=$D$13),1,0)</f>
        <v/>
      </c>
      <c r="EP38" s="17">
        <f>IF(AND(143&gt;=$B$13,143&lt;=$D$13),1,0)</f>
        <v/>
      </c>
      <c r="EQ38" s="17">
        <f>IF(AND(144&gt;=$B$13,144&lt;=$D$13),1,0)</f>
        <v/>
      </c>
      <c r="ER38" s="17">
        <f>IF(AND(145&gt;=$B$13,145&lt;=$D$13),1,0)</f>
        <v/>
      </c>
      <c r="ES38" s="17">
        <f>IF(AND(146&gt;=$B$13,146&lt;=$D$13),1,0)</f>
        <v/>
      </c>
      <c r="ET38" s="17">
        <f>IF(AND(147&gt;=$B$13,147&lt;=$D$13),1,0)</f>
        <v/>
      </c>
      <c r="EU38" s="17">
        <f>IF(AND(148&gt;=$B$13,148&lt;=$D$13),1,0)</f>
        <v/>
      </c>
      <c r="EV38" s="17">
        <f>IF(AND(149&gt;=$B$13,149&lt;=$D$13),1,0)</f>
        <v/>
      </c>
      <c r="EW38" s="17">
        <f>IF(AND(150&gt;=$B$13,150&lt;=$D$13),1,0)</f>
        <v/>
      </c>
      <c r="EX38" s="17">
        <f>IF(AND(151&gt;=$B$13,151&lt;=$D$13),1,0)</f>
        <v/>
      </c>
      <c r="EY38" s="17">
        <f>IF(AND(152&gt;=$B$13,152&lt;=$D$13),1,0)</f>
        <v/>
      </c>
      <c r="EZ38" s="17">
        <f>IF(AND(153&gt;=$B$13,153&lt;=$D$13),1,0)</f>
        <v/>
      </c>
      <c r="FA38" s="17">
        <f>IF(AND(154&gt;=$B$13,154&lt;=$D$13),1,0)</f>
        <v/>
      </c>
      <c r="FB38" s="17">
        <f>IF(AND(155&gt;=$B$13,155&lt;=$D$13),1,0)</f>
        <v/>
      </c>
      <c r="FC38" s="17">
        <f>IF(AND(156&gt;=$B$13,156&lt;=$D$13),1,0)</f>
        <v/>
      </c>
      <c r="FD38" s="17">
        <f>IF(AND(157&gt;=$B$13,157&lt;=$D$13),1,0)</f>
        <v/>
      </c>
      <c r="FE38" s="17">
        <f>IF(AND(158&gt;=$B$13,158&lt;=$D$13),1,0)</f>
        <v/>
      </c>
      <c r="FF38" s="17">
        <f>IF(AND(159&gt;=$B$13,159&lt;=$D$13),1,0)</f>
        <v/>
      </c>
      <c r="FG38" s="17">
        <f>IF(AND(160&gt;=$B$13,160&lt;=$D$13),1,0)</f>
        <v/>
      </c>
      <c r="FH38" s="17">
        <f>IF(AND(161&gt;=$B$13,161&lt;=$D$13),1,0)</f>
        <v/>
      </c>
      <c r="FI38" s="17">
        <f>IF(AND(162&gt;=$B$13,162&lt;=$D$13),1,0)</f>
        <v/>
      </c>
      <c r="FJ38" s="17">
        <f>IF(AND(163&gt;=$B$13,163&lt;=$D$13),1,0)</f>
        <v/>
      </c>
      <c r="FK38" s="17">
        <f>IF(AND(164&gt;=$B$13,164&lt;=$D$13),1,0)</f>
        <v/>
      </c>
      <c r="FL38" s="17">
        <f>IF(AND(165&gt;=$B$13,165&lt;=$D$13),1,0)</f>
        <v/>
      </c>
      <c r="FM38" s="17">
        <f>IF(AND(166&gt;=$B$13,166&lt;=$D$13),1,0)</f>
        <v/>
      </c>
      <c r="FN38" s="17">
        <f>IF(AND(167&gt;=$B$13,167&lt;=$D$13),1,0)</f>
        <v/>
      </c>
      <c r="FO38" s="17">
        <f>IF(AND(168&gt;=$B$13,168&lt;=$D$13),1,0)</f>
        <v/>
      </c>
      <c r="FP38" s="17">
        <f>IF(AND(169&gt;=$B$13,169&lt;=$D$13),1,0)</f>
        <v/>
      </c>
      <c r="FQ38" s="17">
        <f>IF(AND(170&gt;=$B$13,170&lt;=$D$13),1,0)</f>
        <v/>
      </c>
      <c r="FR38" s="17">
        <f>IF(AND(171&gt;=$B$13,171&lt;=$D$13),1,0)</f>
        <v/>
      </c>
      <c r="FS38" s="17">
        <f>IF(AND(172&gt;=$B$13,172&lt;=$D$13),1,0)</f>
        <v/>
      </c>
      <c r="FT38" s="17">
        <f>IF(AND(173&gt;=$B$13,173&lt;=$D$13),1,0)</f>
        <v/>
      </c>
      <c r="FU38" s="17">
        <f>IF(AND(174&gt;=$B$13,174&lt;=$D$13),1,0)</f>
        <v/>
      </c>
      <c r="FV38" s="17">
        <f>IF(AND(175&gt;=$B$13,175&lt;=$D$13),1,0)</f>
        <v/>
      </c>
      <c r="FW38" s="17">
        <f>IF(AND(176&gt;=$B$13,176&lt;=$D$13),1,0)</f>
        <v/>
      </c>
      <c r="FX38" s="17">
        <f>IF(AND(177&gt;=$B$13,177&lt;=$D$13),1,0)</f>
        <v/>
      </c>
      <c r="FY38" s="17">
        <f>IF(AND(178&gt;=$B$13,178&lt;=$D$13),1,0)</f>
        <v/>
      </c>
      <c r="FZ38" s="17">
        <f>IF(AND(179&gt;=$B$13,179&lt;=$D$13),1,0)</f>
        <v/>
      </c>
      <c r="GA38" s="17">
        <f>IF(AND(180&gt;=$B$13,180&lt;=$D$13),1,0)</f>
        <v/>
      </c>
      <c r="GB38" s="17">
        <f>IF(AND(181&gt;=$B$13,181&lt;=$D$13),1,0)</f>
        <v/>
      </c>
      <c r="GC38" s="17">
        <f>IF(AND(182&gt;=$B$13,182&lt;=$D$13),1,0)</f>
        <v/>
      </c>
      <c r="GD38" s="17">
        <f>IF(AND(183&gt;=$B$13,183&lt;=$D$13),1,0)</f>
        <v/>
      </c>
      <c r="GE38" s="17">
        <f>IF(AND(184&gt;=$B$13,184&lt;=$D$13),1,0)</f>
        <v/>
      </c>
      <c r="GF38" s="17">
        <f>IF(AND(185&gt;=$B$13,185&lt;=$D$13),1,0)</f>
        <v/>
      </c>
      <c r="GG38" s="17">
        <f>IF(AND(186&gt;=$B$13,186&lt;=$D$13),1,0)</f>
        <v/>
      </c>
      <c r="GH38" s="17">
        <f>IF(AND(187&gt;=$B$13,187&lt;=$D$13),1,0)</f>
        <v/>
      </c>
      <c r="GI38" s="17">
        <f>IF(AND(188&gt;=$B$13,188&lt;=$D$13),1,0)</f>
        <v/>
      </c>
      <c r="GJ38" s="17">
        <f>IF(AND(189&gt;=$B$13,189&lt;=$D$13),1,0)</f>
        <v/>
      </c>
      <c r="GK38" s="17">
        <f>IF(AND(190&gt;=$B$13,190&lt;=$D$13),1,0)</f>
        <v/>
      </c>
      <c r="GL38" s="17">
        <f>IF(AND(191&gt;=$B$13,191&lt;=$D$13),1,0)</f>
        <v/>
      </c>
      <c r="GM38" s="17">
        <f>IF(AND(192&gt;=$B$13,192&lt;=$D$13),1,0)</f>
        <v/>
      </c>
      <c r="GN38" s="17">
        <f>IF(AND(193&gt;=$B$13,193&lt;=$D$13),1,0)</f>
        <v/>
      </c>
      <c r="GO38" s="17">
        <f>IF(AND(194&gt;=$B$13,194&lt;=$D$13),1,0)</f>
        <v/>
      </c>
      <c r="GP38" s="17">
        <f>IF(AND(195&gt;=$B$13,195&lt;=$D$13),1,0)</f>
        <v/>
      </c>
      <c r="GQ38" s="17">
        <f>IF(AND(196&gt;=$B$13,196&lt;=$D$13),1,0)</f>
        <v/>
      </c>
      <c r="GR38" s="17">
        <f>IF(AND(197&gt;=$B$13,197&lt;=$D$13),1,0)</f>
        <v/>
      </c>
      <c r="GS38" s="17">
        <f>IF(AND(198&gt;=$B$13,198&lt;=$D$13),1,0)</f>
        <v/>
      </c>
      <c r="GT38" s="17">
        <f>IF(AND(199&gt;=$B$13,199&lt;=$D$13),1,0)</f>
        <v/>
      </c>
      <c r="GU38" s="17">
        <f>IF(AND(200&gt;=$B$13,200&lt;=$D$13),1,0)</f>
        <v/>
      </c>
      <c r="GV38" s="17">
        <f>IF(AND(201&gt;=$B$13,201&lt;=$D$13),1,0)</f>
        <v/>
      </c>
      <c r="GW38" s="17">
        <f>IF(AND(202&gt;=$B$13,202&lt;=$D$13),1,0)</f>
        <v/>
      </c>
      <c r="GX38" s="17">
        <f>IF(AND(203&gt;=$B$13,203&lt;=$D$13),1,0)</f>
        <v/>
      </c>
      <c r="GY38" s="17">
        <f>IF(AND(204&gt;=$B$13,204&lt;=$D$13),1,0)</f>
        <v/>
      </c>
      <c r="GZ38" s="17">
        <f>IF(AND(205&gt;=$B$13,205&lt;=$D$13),1,0)</f>
        <v/>
      </c>
      <c r="HA38" s="17">
        <f>IF(AND(206&gt;=$B$13,206&lt;=$D$13),1,0)</f>
        <v/>
      </c>
      <c r="HB38" s="17">
        <f>IF(AND(207&gt;=$B$13,207&lt;=$D$13),1,0)</f>
        <v/>
      </c>
      <c r="HC38" s="17">
        <f>IF(AND(208&gt;=$B$13,208&lt;=$D$13),1,0)</f>
        <v/>
      </c>
      <c r="HD38" s="17">
        <f>IF(AND(209&gt;=$B$13,209&lt;=$D$13),1,0)</f>
        <v/>
      </c>
      <c r="HE38" s="17">
        <f>IF(AND(210&gt;=$B$13,210&lt;=$D$13),1,0)</f>
        <v/>
      </c>
      <c r="HF38" s="17">
        <f>IF(AND(211&gt;=$B$13,211&lt;=$D$13),1,0)</f>
        <v/>
      </c>
      <c r="HG38" s="17">
        <f>IF(AND(212&gt;=$B$13,212&lt;=$D$13),1,0)</f>
        <v/>
      </c>
      <c r="HH38" s="17">
        <f>IF(AND(213&gt;=$B$13,213&lt;=$D$13),1,0)</f>
        <v/>
      </c>
      <c r="HI38" s="17">
        <f>IF(AND(214&gt;=$B$13,214&lt;=$D$13),1,0)</f>
        <v/>
      </c>
      <c r="HJ38" s="17">
        <f>IF(AND(215&gt;=$B$13,215&lt;=$D$13),1,0)</f>
        <v/>
      </c>
      <c r="HK38" s="17">
        <f>IF(AND(216&gt;=$B$13,216&lt;=$D$13),1,0)</f>
        <v/>
      </c>
      <c r="HL38" s="17">
        <f>IF(AND(217&gt;=$B$13,217&lt;=$D$13),1,0)</f>
        <v/>
      </c>
      <c r="HM38" s="17">
        <f>IF(AND(218&gt;=$B$13,218&lt;=$D$13),1,0)</f>
        <v/>
      </c>
      <c r="HN38" s="17">
        <f>IF(AND(219&gt;=$B$13,219&lt;=$D$13),1,0)</f>
        <v/>
      </c>
      <c r="HO38" s="17">
        <f>IF(AND(220&gt;=$B$13,220&lt;=$D$13),1,0)</f>
        <v/>
      </c>
      <c r="HP38" s="17">
        <f>IF(AND(221&gt;=$B$13,221&lt;=$D$13),1,0)</f>
        <v/>
      </c>
      <c r="HQ38" s="17">
        <f>IF(AND(222&gt;=$B$13,222&lt;=$D$13),1,0)</f>
        <v/>
      </c>
      <c r="HR38" s="17">
        <f>IF(AND(223&gt;=$B$13,223&lt;=$D$13),1,0)</f>
        <v/>
      </c>
      <c r="HS38" s="17">
        <f>IF(AND(224&gt;=$B$13,224&lt;=$D$13),1,0)</f>
        <v/>
      </c>
      <c r="HT38" s="17">
        <f>IF(AND(225&gt;=$B$13,225&lt;=$D$13),1,0)</f>
        <v/>
      </c>
      <c r="HU38" s="17">
        <f>IF(AND(226&gt;=$B$13,226&lt;=$D$13),1,0)</f>
        <v/>
      </c>
      <c r="HV38" s="17">
        <f>IF(AND(227&gt;=$B$13,227&lt;=$D$13),1,0)</f>
        <v/>
      </c>
      <c r="HW38" s="17">
        <f>IF(AND(228&gt;=$B$13,228&lt;=$D$13),1,0)</f>
        <v/>
      </c>
      <c r="HX38" s="17">
        <f>IF(AND(229&gt;=$B$13,229&lt;=$D$13),1,0)</f>
        <v/>
      </c>
      <c r="HY38" s="17">
        <f>IF(AND(230&gt;=$B$13,230&lt;=$D$13),1,0)</f>
        <v/>
      </c>
      <c r="HZ38" s="17">
        <f>IF(AND(231&gt;=$B$13,231&lt;=$D$13),1,0)</f>
        <v/>
      </c>
      <c r="IA38" s="17">
        <f>IF(AND(232&gt;=$B$13,232&lt;=$D$13),1,0)</f>
        <v/>
      </c>
      <c r="IB38" s="17">
        <f>IF(AND(233&gt;=$B$13,233&lt;=$D$13),1,0)</f>
        <v/>
      </c>
      <c r="IC38" s="17">
        <f>IF(AND(234&gt;=$B$13,234&lt;=$D$13),1,0)</f>
        <v/>
      </c>
      <c r="ID38" s="17">
        <f>IF(AND(235&gt;=$B$13,235&lt;=$D$13),1,0)</f>
        <v/>
      </c>
      <c r="IE38" s="17">
        <f>IF(AND(236&gt;=$B$13,236&lt;=$D$13),1,0)</f>
        <v/>
      </c>
      <c r="IF38" s="17">
        <f>IF(AND(237&gt;=$B$13,237&lt;=$D$13),1,0)</f>
        <v/>
      </c>
      <c r="IG38" s="17">
        <f>IF(AND(238&gt;=$B$13,238&lt;=$D$13),1,0)</f>
        <v/>
      </c>
      <c r="IH38" s="17">
        <f>IF(AND(239&gt;=$B$13,239&lt;=$D$13),1,0)</f>
        <v/>
      </c>
      <c r="II38" s="17">
        <f>IF(AND(240&gt;=$B$13,240&lt;=$D$13),1,0)</f>
        <v/>
      </c>
      <c r="IJ38" s="17">
        <f>IF(AND(241&gt;=$B$13,241&lt;=$D$13),1,0)</f>
        <v/>
      </c>
      <c r="IK38" s="17">
        <f>IF(AND(242&gt;=$B$13,242&lt;=$D$13),1,0)</f>
        <v/>
      </c>
      <c r="IL38" s="17">
        <f>IF(AND(243&gt;=$B$13,243&lt;=$D$13),1,0)</f>
        <v/>
      </c>
      <c r="IM38" s="17">
        <f>IF(AND(244&gt;=$B$13,244&lt;=$D$13),1,0)</f>
        <v/>
      </c>
      <c r="IN38" s="17">
        <f>IF(AND(245&gt;=$B$13,245&lt;=$D$13),1,0)</f>
        <v/>
      </c>
      <c r="IO38" s="17">
        <f>IF(AND(246&gt;=$B$13,246&lt;=$D$13),1,0)</f>
        <v/>
      </c>
      <c r="IP38" s="17">
        <f>IF(AND(247&gt;=$B$13,247&lt;=$D$13),1,0)</f>
        <v/>
      </c>
      <c r="IQ38" s="17">
        <f>IF(AND(248&gt;=$B$13,248&lt;=$D$13),1,0)</f>
        <v/>
      </c>
      <c r="IR38" s="17">
        <f>IF(AND(249&gt;=$B$13,249&lt;=$D$13),1,0)</f>
        <v/>
      </c>
      <c r="IS38" s="17">
        <f>IF(AND(250&gt;=$B$13,250&lt;=$D$13),1,0)</f>
        <v/>
      </c>
      <c r="IT38" s="17">
        <f>IF(AND(251&gt;=$B$13,251&lt;=$D$13),1,0)</f>
        <v/>
      </c>
      <c r="IU38" s="17">
        <f>IF(AND(252&gt;=$B$13,252&lt;=$D$13),1,0)</f>
        <v/>
      </c>
      <c r="IV38" s="17">
        <f>IF(AND(253&gt;=$B$13,253&lt;=$D$13),1,0)</f>
        <v/>
      </c>
      <c r="IW38" s="17">
        <f>IF(AND(254&gt;=$B$13,254&lt;=$D$13),1,0)</f>
        <v/>
      </c>
      <c r="IX38" s="17">
        <f>IF(AND(255&gt;=$B$13,255&lt;=$D$13),1,0)</f>
        <v/>
      </c>
      <c r="IY38" s="17">
        <f>IF(AND(256&gt;=$B$13,256&lt;=$D$13),1,0)</f>
        <v/>
      </c>
      <c r="IZ38" s="17">
        <f>IF(AND(257&gt;=$B$13,257&lt;=$D$13),1,0)</f>
        <v/>
      </c>
      <c r="JA38" s="17">
        <f>IF(AND(258&gt;=$B$13,258&lt;=$D$13),1,0)</f>
        <v/>
      </c>
      <c r="JB38" s="17">
        <f>IF(AND(259&gt;=$B$13,259&lt;=$D$13),1,0)</f>
        <v/>
      </c>
      <c r="JC38" s="17">
        <f>IF(AND(260&gt;=$B$13,260&lt;=$D$13),1,0)</f>
        <v/>
      </c>
      <c r="JD38" s="17">
        <f>IF(AND(261&gt;=$B$13,261&lt;=$D$13),1,0)</f>
        <v/>
      </c>
      <c r="JE38" s="17">
        <f>IF(AND(262&gt;=$B$13,262&lt;=$D$13),1,0)</f>
        <v/>
      </c>
      <c r="JF38" s="17">
        <f>IF(AND(263&gt;=$B$13,263&lt;=$D$13),1,0)</f>
        <v/>
      </c>
      <c r="JG38" s="17">
        <f>IF(AND(264&gt;=$B$13,264&lt;=$D$13),1,0)</f>
        <v/>
      </c>
      <c r="JH38" s="17">
        <f>IF(AND(265&gt;=$B$13,265&lt;=$D$13),1,0)</f>
        <v/>
      </c>
      <c r="JI38" s="17">
        <f>IF(AND(266&gt;=$B$13,266&lt;=$D$13),1,0)</f>
        <v/>
      </c>
      <c r="JJ38" s="17">
        <f>IF(AND(267&gt;=$B$13,267&lt;=$D$13),1,0)</f>
        <v/>
      </c>
      <c r="JK38" s="17">
        <f>IF(AND(268&gt;=$B$13,268&lt;=$D$13),1,0)</f>
        <v/>
      </c>
      <c r="JL38" s="17">
        <f>IF(AND(269&gt;=$B$13,269&lt;=$D$13),1,0)</f>
        <v/>
      </c>
      <c r="JM38" s="17">
        <f>IF(AND(270&gt;=$B$13,270&lt;=$D$13),1,0)</f>
        <v/>
      </c>
      <c r="JN38" s="17">
        <f>IF(AND(271&gt;=$B$13,271&lt;=$D$13),1,0)</f>
        <v/>
      </c>
      <c r="JO38" s="17">
        <f>IF(AND(272&gt;=$B$13,272&lt;=$D$13),1,0)</f>
        <v/>
      </c>
      <c r="JP38" s="17">
        <f>IF(AND(273&gt;=$B$13,273&lt;=$D$13),1,0)</f>
        <v/>
      </c>
      <c r="JQ38" s="17">
        <f>IF(AND(274&gt;=$B$13,274&lt;=$D$13),1,0)</f>
        <v/>
      </c>
      <c r="JR38" s="17">
        <f>IF(AND(275&gt;=$B$13,275&lt;=$D$13),1,0)</f>
        <v/>
      </c>
      <c r="JS38" s="17">
        <f>IF(AND(276&gt;=$B$13,276&lt;=$D$13),1,0)</f>
        <v/>
      </c>
      <c r="JT38" s="17">
        <f>IF(AND(277&gt;=$B$13,277&lt;=$D$13),1,0)</f>
        <v/>
      </c>
      <c r="JU38" s="17">
        <f>IF(AND(278&gt;=$B$13,278&lt;=$D$13),1,0)</f>
        <v/>
      </c>
      <c r="JV38" s="17">
        <f>IF(AND(279&gt;=$B$13,279&lt;=$D$13),1,0)</f>
        <v/>
      </c>
      <c r="JW38" s="17">
        <f>IF(AND(280&gt;=$B$13,280&lt;=$D$13),1,0)</f>
        <v/>
      </c>
      <c r="JX38" s="17">
        <f>IF(AND(281&gt;=$B$13,281&lt;=$D$13),1,0)</f>
        <v/>
      </c>
      <c r="JY38" s="17">
        <f>IF(AND(282&gt;=$B$13,282&lt;=$D$13),1,0)</f>
        <v/>
      </c>
      <c r="JZ38" s="17">
        <f>IF(AND(283&gt;=$B$13,283&lt;=$D$13),1,0)</f>
        <v/>
      </c>
      <c r="KA38" s="17">
        <f>IF(AND(284&gt;=$B$13,284&lt;=$D$13),1,0)</f>
        <v/>
      </c>
      <c r="KB38" s="17">
        <f>IF(AND(285&gt;=$B$13,285&lt;=$D$13),1,0)</f>
        <v/>
      </c>
      <c r="KC38" s="17">
        <f>IF(AND(286&gt;=$B$13,286&lt;=$D$13),1,0)</f>
        <v/>
      </c>
      <c r="KD38" s="17">
        <f>IF(AND(287&gt;=$B$13,287&lt;=$D$13),1,0)</f>
        <v/>
      </c>
      <c r="KE38" s="17">
        <f>IF(AND(288&gt;=$B$13,288&lt;=$D$13),1,0)</f>
        <v/>
      </c>
      <c r="KF38" s="17">
        <f>IF(AND(289&gt;=$B$13,289&lt;=$D$13),1,0)</f>
        <v/>
      </c>
      <c r="KG38" s="17">
        <f>IF(AND(290&gt;=$B$13,290&lt;=$D$13),1,0)</f>
        <v/>
      </c>
      <c r="KH38" s="17">
        <f>IF(AND(291&gt;=$B$13,291&lt;=$D$13),1,0)</f>
        <v/>
      </c>
      <c r="KI38" s="17">
        <f>IF(AND(292&gt;=$B$13,292&lt;=$D$13),1,0)</f>
        <v/>
      </c>
      <c r="KJ38" s="17">
        <f>IF(AND(293&gt;=$B$13,293&lt;=$D$13),1,0)</f>
        <v/>
      </c>
      <c r="KK38" s="17">
        <f>IF(AND(294&gt;=$B$13,294&lt;=$D$13),1,0)</f>
        <v/>
      </c>
      <c r="KL38" s="17">
        <f>IF(AND(295&gt;=$B$13,295&lt;=$D$13),1,0)</f>
        <v/>
      </c>
      <c r="KM38" s="17">
        <f>IF(AND(296&gt;=$B$13,296&lt;=$D$13),1,0)</f>
        <v/>
      </c>
      <c r="KN38" s="17">
        <f>IF(AND(297&gt;=$B$13,297&lt;=$D$13),1,0)</f>
        <v/>
      </c>
      <c r="KO38" s="17">
        <f>IF(AND(298&gt;=$B$13,298&lt;=$D$13),1,0)</f>
        <v/>
      </c>
      <c r="KP38" s="17">
        <f>IF(AND(299&gt;=$B$13,299&lt;=$D$13),1,0)</f>
        <v/>
      </c>
      <c r="KQ38" s="17">
        <f>IF(AND(300&gt;=$B$13,300&lt;=$D$13),1,0)</f>
        <v/>
      </c>
      <c r="KR38" s="17">
        <f>IF(AND(301&gt;=$B$13,301&lt;=$D$13),1,0)</f>
        <v/>
      </c>
      <c r="KS38" s="17">
        <f>IF(AND(302&gt;=$B$13,302&lt;=$D$13),1,0)</f>
        <v/>
      </c>
      <c r="KT38" s="17">
        <f>IF(AND(303&gt;=$B$13,303&lt;=$D$13),1,0)</f>
        <v/>
      </c>
      <c r="KU38" s="17">
        <f>IF(AND(304&gt;=$B$13,304&lt;=$D$13),1,0)</f>
        <v/>
      </c>
      <c r="KV38" s="17">
        <f>IF(AND(305&gt;=$B$13,305&lt;=$D$13),1,0)</f>
        <v/>
      </c>
      <c r="KW38" s="17">
        <f>IF(AND(306&gt;=$B$13,306&lt;=$D$13),1,0)</f>
        <v/>
      </c>
      <c r="KX38" s="17">
        <f>IF(AND(307&gt;=$B$13,307&lt;=$D$13),1,0)</f>
        <v/>
      </c>
      <c r="KY38" s="17">
        <f>IF(AND(308&gt;=$B$13,308&lt;=$D$13),1,0)</f>
        <v/>
      </c>
      <c r="KZ38" s="17">
        <f>IF(AND(309&gt;=$B$13,309&lt;=$D$13),1,0)</f>
        <v/>
      </c>
      <c r="LA38" s="17">
        <f>IF(AND(310&gt;=$B$13,310&lt;=$D$13),1,0)</f>
        <v/>
      </c>
      <c r="LB38" s="17">
        <f>IF(AND(311&gt;=$B$13,311&lt;=$D$13),1,0)</f>
        <v/>
      </c>
      <c r="LC38" s="17">
        <f>IF(AND(312&gt;=$B$13,312&lt;=$D$13),1,0)</f>
        <v/>
      </c>
      <c r="LD38" s="17">
        <f>IF(AND(313&gt;=$B$13,313&lt;=$D$13),1,0)</f>
        <v/>
      </c>
      <c r="LE38" s="17">
        <f>IF(AND(314&gt;=$B$13,314&lt;=$D$13),1,0)</f>
        <v/>
      </c>
      <c r="LF38" s="17">
        <f>IF(AND(315&gt;=$B$13,315&lt;=$D$13),1,0)</f>
        <v/>
      </c>
      <c r="LG38" s="17">
        <f>IF(AND(316&gt;=$B$13,316&lt;=$D$13),1,0)</f>
        <v/>
      </c>
      <c r="LH38" s="17">
        <f>IF(AND(317&gt;=$B$13,317&lt;=$D$13),1,0)</f>
        <v/>
      </c>
      <c r="LI38" s="17">
        <f>IF(AND(318&gt;=$B$13,318&lt;=$D$13),1,0)</f>
        <v/>
      </c>
      <c r="LJ38" s="17">
        <f>IF(AND(319&gt;=$B$13,319&lt;=$D$13),1,0)</f>
        <v/>
      </c>
      <c r="LK38" s="17">
        <f>IF(AND(320&gt;=$B$13,320&lt;=$D$13),1,0)</f>
        <v/>
      </c>
      <c r="LL38" s="17">
        <f>IF(AND(321&gt;=$B$13,321&lt;=$D$13),1,0)</f>
        <v/>
      </c>
      <c r="LM38" s="17">
        <f>IF(AND(322&gt;=$B$13,322&lt;=$D$13),1,0)</f>
        <v/>
      </c>
      <c r="LN38" s="17">
        <f>IF(AND(323&gt;=$B$13,323&lt;=$D$13),1,0)</f>
        <v/>
      </c>
      <c r="LO38" s="17">
        <f>IF(AND(324&gt;=$B$13,324&lt;=$D$13),1,0)</f>
        <v/>
      </c>
      <c r="LP38" s="17">
        <f>IF(AND(325&gt;=$B$13,325&lt;=$D$13),1,0)</f>
        <v/>
      </c>
      <c r="LQ38" s="17">
        <f>IF(AND(326&gt;=$B$13,326&lt;=$D$13),1,0)</f>
        <v/>
      </c>
      <c r="LR38" s="17">
        <f>IF(AND(327&gt;=$B$13,327&lt;=$D$13),1,0)</f>
        <v/>
      </c>
      <c r="LS38" s="17">
        <f>IF(AND(328&gt;=$B$13,328&lt;=$D$13),1,0)</f>
        <v/>
      </c>
      <c r="LT38" s="17">
        <f>IF(AND(329&gt;=$B$13,329&lt;=$D$13),1,0)</f>
        <v/>
      </c>
      <c r="LU38" s="17">
        <f>IF(AND(330&gt;=$B$13,330&lt;=$D$13),1,0)</f>
        <v/>
      </c>
      <c r="LV38" s="17">
        <f>IF(AND(331&gt;=$B$13,331&lt;=$D$13),1,0)</f>
        <v/>
      </c>
      <c r="LW38" s="17">
        <f>IF(AND(332&gt;=$B$13,332&lt;=$D$13),1,0)</f>
        <v/>
      </c>
      <c r="LX38" s="17">
        <f>IF(AND(333&gt;=$B$13,333&lt;=$D$13),1,0)</f>
        <v/>
      </c>
      <c r="LY38" s="17">
        <f>IF(AND(334&gt;=$B$13,334&lt;=$D$13),1,0)</f>
        <v/>
      </c>
      <c r="LZ38" s="17">
        <f>IF(AND(335&gt;=$B$13,335&lt;=$D$13),1,0)</f>
        <v/>
      </c>
      <c r="MA38" s="17">
        <f>IF(AND(336&gt;=$B$13,336&lt;=$D$13),1,0)</f>
        <v/>
      </c>
      <c r="MB38" s="17">
        <f>IF(AND(337&gt;=$B$13,337&lt;=$D$13),1,0)</f>
        <v/>
      </c>
      <c r="MC38" s="17">
        <f>IF(AND(338&gt;=$B$13,338&lt;=$D$13),1,0)</f>
        <v/>
      </c>
      <c r="MD38" s="17">
        <f>IF(AND(339&gt;=$B$13,339&lt;=$D$13),1,0)</f>
        <v/>
      </c>
      <c r="ME38" s="17">
        <f>IF(AND(340&gt;=$B$13,340&lt;=$D$13),1,0)</f>
        <v/>
      </c>
      <c r="MF38" s="17">
        <f>IF(AND(341&gt;=$B$13,341&lt;=$D$13),1,0)</f>
        <v/>
      </c>
      <c r="MG38" s="17">
        <f>IF(AND(342&gt;=$B$13,342&lt;=$D$13),1,0)</f>
        <v/>
      </c>
      <c r="MH38" s="17">
        <f>IF(AND(343&gt;=$B$13,343&lt;=$D$13),1,0)</f>
        <v/>
      </c>
      <c r="MI38" s="17">
        <f>IF(AND(344&gt;=$B$13,344&lt;=$D$13),1,0)</f>
        <v/>
      </c>
      <c r="MJ38" s="17">
        <f>IF(AND(345&gt;=$B$13,345&lt;=$D$13),1,0)</f>
        <v/>
      </c>
      <c r="MK38" s="17">
        <f>IF(AND(346&gt;=$B$13,346&lt;=$D$13),1,0)</f>
        <v/>
      </c>
      <c r="ML38" s="17">
        <f>IF(AND(347&gt;=$B$13,347&lt;=$D$13),1,0)</f>
        <v/>
      </c>
      <c r="MM38" s="17">
        <f>IF(AND(348&gt;=$B$13,348&lt;=$D$13),1,0)</f>
        <v/>
      </c>
      <c r="MN38" s="17">
        <f>IF(AND(349&gt;=$B$13,349&lt;=$D$13),1,0)</f>
        <v/>
      </c>
      <c r="MO38" s="17">
        <f>IF(AND(350&gt;=$B$13,350&lt;=$D$13),1,0)</f>
        <v/>
      </c>
      <c r="MP38" s="17">
        <f>IF(AND(351&gt;=$B$13,351&lt;=$D$13),1,0)</f>
        <v/>
      </c>
      <c r="MQ38" s="17">
        <f>IF(AND(352&gt;=$B$13,352&lt;=$D$13),1,0)</f>
        <v/>
      </c>
      <c r="MR38" s="17">
        <f>IF(AND(353&gt;=$B$13,353&lt;=$D$13),1,0)</f>
        <v/>
      </c>
      <c r="MS38" s="17">
        <f>IF(AND(354&gt;=$B$13,354&lt;=$D$13),1,0)</f>
        <v/>
      </c>
      <c r="MT38" s="17">
        <f>IF(AND(355&gt;=$B$13,355&lt;=$D$13),1,0)</f>
        <v/>
      </c>
      <c r="MU38" s="17">
        <f>IF(AND(356&gt;=$B$13,356&lt;=$D$13),1,0)</f>
        <v/>
      </c>
      <c r="MV38" s="17">
        <f>IF(AND(357&gt;=$B$13,357&lt;=$D$13),1,0)</f>
        <v/>
      </c>
      <c r="MW38" s="17">
        <f>IF(AND(358&gt;=$B$13,358&lt;=$D$13),1,0)</f>
        <v/>
      </c>
      <c r="MX38" s="17">
        <f>IF(AND(359&gt;=$B$13,359&lt;=$D$13),1,0)</f>
        <v/>
      </c>
      <c r="MY38" s="17">
        <f>IF(AND(360&gt;=$B$13,360&lt;=$D$13),1,0)</f>
        <v/>
      </c>
      <c r="MZ38" s="17">
        <f>IF(AND(361&gt;=$B$13,361&lt;=$D$13),1,0)</f>
        <v/>
      </c>
      <c r="NA38" s="17">
        <f>IF(AND(362&gt;=$B$13,362&lt;=$D$13),1,0)</f>
        <v/>
      </c>
      <c r="NB38" s="17">
        <f>IF(AND(363&gt;=$B$13,363&lt;=$D$13),1,0)</f>
        <v/>
      </c>
      <c r="NC38" s="17">
        <f>IF(AND(364&gt;=$B$13,364&lt;=$D$13),1,0)</f>
        <v/>
      </c>
      <c r="ND38" s="17">
        <f>IF(AND(365&gt;=$B$13,365&lt;=$D$13),1,0)</f>
        <v/>
      </c>
      <c r="NE38" s="17">
        <f>IF(AND(366&gt;=$B$13,366&lt;=$D$13),1,0)</f>
        <v/>
      </c>
      <c r="NF38" s="17">
        <f>IF(AND(367&gt;=$B$13,367&lt;=$D$13),1,0)</f>
        <v/>
      </c>
      <c r="NG38" s="17">
        <f>IF(AND(368&gt;=$B$13,368&lt;=$D$13),1,0)</f>
        <v/>
      </c>
      <c r="NH38" s="17">
        <f>IF(AND(369&gt;=$B$13,369&lt;=$D$13),1,0)</f>
        <v/>
      </c>
      <c r="NI38" s="17">
        <f>IF(AND(370&gt;=$B$13,370&lt;=$D$13),1,0)</f>
        <v/>
      </c>
      <c r="NJ38" s="17">
        <f>IF(AND(371&gt;=$B$13,371&lt;=$D$13),1,0)</f>
        <v/>
      </c>
      <c r="NK38" s="17">
        <f>IF(AND(372&gt;=$B$13,372&lt;=$D$13),1,0)</f>
        <v/>
      </c>
    </row>
    <row r="39">
      <c r="A39" s="5" t="inlineStr">
        <is>
          <t>Flag: Disposition</t>
        </is>
      </c>
      <c r="C39" s="40" t="n"/>
      <c r="D39" s="17">
        <f>IF(AND(1&gt;=$B$14,1&lt;=$D$14),1,0)</f>
        <v/>
      </c>
      <c r="E39" s="17">
        <f>IF(AND(2&gt;=$B$14,2&lt;=$D$14),1,0)</f>
        <v/>
      </c>
      <c r="F39" s="17">
        <f>IF(AND(3&gt;=$B$14,3&lt;=$D$14),1,0)</f>
        <v/>
      </c>
      <c r="G39" s="17">
        <f>IF(AND(4&gt;=$B$14,4&lt;=$D$14),1,0)</f>
        <v/>
      </c>
      <c r="H39" s="17">
        <f>IF(AND(5&gt;=$B$14,5&lt;=$D$14),1,0)</f>
        <v/>
      </c>
      <c r="I39" s="17">
        <f>IF(AND(6&gt;=$B$14,6&lt;=$D$14),1,0)</f>
        <v/>
      </c>
      <c r="J39" s="17">
        <f>IF(AND(7&gt;=$B$14,7&lt;=$D$14),1,0)</f>
        <v/>
      </c>
      <c r="K39" s="17">
        <f>IF(AND(8&gt;=$B$14,8&lt;=$D$14),1,0)</f>
        <v/>
      </c>
      <c r="L39" s="17">
        <f>IF(AND(9&gt;=$B$14,9&lt;=$D$14),1,0)</f>
        <v/>
      </c>
      <c r="M39" s="17">
        <f>IF(AND(10&gt;=$B$14,10&lt;=$D$14),1,0)</f>
        <v/>
      </c>
      <c r="N39" s="17">
        <f>IF(AND(11&gt;=$B$14,11&lt;=$D$14),1,0)</f>
        <v/>
      </c>
      <c r="O39" s="17">
        <f>IF(AND(12&gt;=$B$14,12&lt;=$D$14),1,0)</f>
        <v/>
      </c>
      <c r="P39" s="17">
        <f>IF(AND(13&gt;=$B$14,13&lt;=$D$14),1,0)</f>
        <v/>
      </c>
      <c r="Q39" s="17">
        <f>IF(AND(14&gt;=$B$14,14&lt;=$D$14),1,0)</f>
        <v/>
      </c>
      <c r="R39" s="17">
        <f>IF(AND(15&gt;=$B$14,15&lt;=$D$14),1,0)</f>
        <v/>
      </c>
      <c r="S39" s="17">
        <f>IF(AND(16&gt;=$B$14,16&lt;=$D$14),1,0)</f>
        <v/>
      </c>
      <c r="T39" s="17">
        <f>IF(AND(17&gt;=$B$14,17&lt;=$D$14),1,0)</f>
        <v/>
      </c>
      <c r="U39" s="17">
        <f>IF(AND(18&gt;=$B$14,18&lt;=$D$14),1,0)</f>
        <v/>
      </c>
      <c r="V39" s="17">
        <f>IF(AND(19&gt;=$B$14,19&lt;=$D$14),1,0)</f>
        <v/>
      </c>
      <c r="W39" s="17">
        <f>IF(AND(20&gt;=$B$14,20&lt;=$D$14),1,0)</f>
        <v/>
      </c>
      <c r="X39" s="17">
        <f>IF(AND(21&gt;=$B$14,21&lt;=$D$14),1,0)</f>
        <v/>
      </c>
      <c r="Y39" s="17">
        <f>IF(AND(22&gt;=$B$14,22&lt;=$D$14),1,0)</f>
        <v/>
      </c>
      <c r="Z39" s="17">
        <f>IF(AND(23&gt;=$B$14,23&lt;=$D$14),1,0)</f>
        <v/>
      </c>
      <c r="AA39" s="17">
        <f>IF(AND(24&gt;=$B$14,24&lt;=$D$14),1,0)</f>
        <v/>
      </c>
      <c r="AB39" s="17">
        <f>IF(AND(25&gt;=$B$14,25&lt;=$D$14),1,0)</f>
        <v/>
      </c>
      <c r="AC39" s="17">
        <f>IF(AND(26&gt;=$B$14,26&lt;=$D$14),1,0)</f>
        <v/>
      </c>
      <c r="AD39" s="17">
        <f>IF(AND(27&gt;=$B$14,27&lt;=$D$14),1,0)</f>
        <v/>
      </c>
      <c r="AE39" s="17">
        <f>IF(AND(28&gt;=$B$14,28&lt;=$D$14),1,0)</f>
        <v/>
      </c>
      <c r="AF39" s="17">
        <f>IF(AND(29&gt;=$B$14,29&lt;=$D$14),1,0)</f>
        <v/>
      </c>
      <c r="AG39" s="17">
        <f>IF(AND(30&gt;=$B$14,30&lt;=$D$14),1,0)</f>
        <v/>
      </c>
      <c r="AH39" s="17">
        <f>IF(AND(31&gt;=$B$14,31&lt;=$D$14),1,0)</f>
        <v/>
      </c>
      <c r="AI39" s="17">
        <f>IF(AND(32&gt;=$B$14,32&lt;=$D$14),1,0)</f>
        <v/>
      </c>
      <c r="AJ39" s="17">
        <f>IF(AND(33&gt;=$B$14,33&lt;=$D$14),1,0)</f>
        <v/>
      </c>
      <c r="AK39" s="17">
        <f>IF(AND(34&gt;=$B$14,34&lt;=$D$14),1,0)</f>
        <v/>
      </c>
      <c r="AL39" s="17">
        <f>IF(AND(35&gt;=$B$14,35&lt;=$D$14),1,0)</f>
        <v/>
      </c>
      <c r="AM39" s="17">
        <f>IF(AND(36&gt;=$B$14,36&lt;=$D$14),1,0)</f>
        <v/>
      </c>
      <c r="AN39" s="17">
        <f>IF(AND(37&gt;=$B$14,37&lt;=$D$14),1,0)</f>
        <v/>
      </c>
      <c r="AO39" s="17">
        <f>IF(AND(38&gt;=$B$14,38&lt;=$D$14),1,0)</f>
        <v/>
      </c>
      <c r="AP39" s="17">
        <f>IF(AND(39&gt;=$B$14,39&lt;=$D$14),1,0)</f>
        <v/>
      </c>
      <c r="AQ39" s="17">
        <f>IF(AND(40&gt;=$B$14,40&lt;=$D$14),1,0)</f>
        <v/>
      </c>
      <c r="AR39" s="17">
        <f>IF(AND(41&gt;=$B$14,41&lt;=$D$14),1,0)</f>
        <v/>
      </c>
      <c r="AS39" s="17">
        <f>IF(AND(42&gt;=$B$14,42&lt;=$D$14),1,0)</f>
        <v/>
      </c>
      <c r="AT39" s="17">
        <f>IF(AND(43&gt;=$B$14,43&lt;=$D$14),1,0)</f>
        <v/>
      </c>
      <c r="AU39" s="17">
        <f>IF(AND(44&gt;=$B$14,44&lt;=$D$14),1,0)</f>
        <v/>
      </c>
      <c r="AV39" s="17">
        <f>IF(AND(45&gt;=$B$14,45&lt;=$D$14),1,0)</f>
        <v/>
      </c>
      <c r="AW39" s="17">
        <f>IF(AND(46&gt;=$B$14,46&lt;=$D$14),1,0)</f>
        <v/>
      </c>
      <c r="AX39" s="17">
        <f>IF(AND(47&gt;=$B$14,47&lt;=$D$14),1,0)</f>
        <v/>
      </c>
      <c r="AY39" s="17">
        <f>IF(AND(48&gt;=$B$14,48&lt;=$D$14),1,0)</f>
        <v/>
      </c>
      <c r="AZ39" s="17">
        <f>IF(AND(49&gt;=$B$14,49&lt;=$D$14),1,0)</f>
        <v/>
      </c>
      <c r="BA39" s="17">
        <f>IF(AND(50&gt;=$B$14,50&lt;=$D$14),1,0)</f>
        <v/>
      </c>
      <c r="BB39" s="17">
        <f>IF(AND(51&gt;=$B$14,51&lt;=$D$14),1,0)</f>
        <v/>
      </c>
      <c r="BC39" s="17">
        <f>IF(AND(52&gt;=$B$14,52&lt;=$D$14),1,0)</f>
        <v/>
      </c>
      <c r="BD39" s="17">
        <f>IF(AND(53&gt;=$B$14,53&lt;=$D$14),1,0)</f>
        <v/>
      </c>
      <c r="BE39" s="17">
        <f>IF(AND(54&gt;=$B$14,54&lt;=$D$14),1,0)</f>
        <v/>
      </c>
      <c r="BF39" s="17">
        <f>IF(AND(55&gt;=$B$14,55&lt;=$D$14),1,0)</f>
        <v/>
      </c>
      <c r="BG39" s="17">
        <f>IF(AND(56&gt;=$B$14,56&lt;=$D$14),1,0)</f>
        <v/>
      </c>
      <c r="BH39" s="17">
        <f>IF(AND(57&gt;=$B$14,57&lt;=$D$14),1,0)</f>
        <v/>
      </c>
      <c r="BI39" s="17">
        <f>IF(AND(58&gt;=$B$14,58&lt;=$D$14),1,0)</f>
        <v/>
      </c>
      <c r="BJ39" s="17">
        <f>IF(AND(59&gt;=$B$14,59&lt;=$D$14),1,0)</f>
        <v/>
      </c>
      <c r="BK39" s="17">
        <f>IF(AND(60&gt;=$B$14,60&lt;=$D$14),1,0)</f>
        <v/>
      </c>
      <c r="BL39" s="17">
        <f>IF(AND(61&gt;=$B$14,61&lt;=$D$14),1,0)</f>
        <v/>
      </c>
      <c r="BM39" s="17">
        <f>IF(AND(62&gt;=$B$14,62&lt;=$D$14),1,0)</f>
        <v/>
      </c>
      <c r="BN39" s="17">
        <f>IF(AND(63&gt;=$B$14,63&lt;=$D$14),1,0)</f>
        <v/>
      </c>
      <c r="BO39" s="17">
        <f>IF(AND(64&gt;=$B$14,64&lt;=$D$14),1,0)</f>
        <v/>
      </c>
      <c r="BP39" s="17">
        <f>IF(AND(65&gt;=$B$14,65&lt;=$D$14),1,0)</f>
        <v/>
      </c>
      <c r="BQ39" s="17">
        <f>IF(AND(66&gt;=$B$14,66&lt;=$D$14),1,0)</f>
        <v/>
      </c>
      <c r="BR39" s="17">
        <f>IF(AND(67&gt;=$B$14,67&lt;=$D$14),1,0)</f>
        <v/>
      </c>
      <c r="BS39" s="17">
        <f>IF(AND(68&gt;=$B$14,68&lt;=$D$14),1,0)</f>
        <v/>
      </c>
      <c r="BT39" s="17">
        <f>IF(AND(69&gt;=$B$14,69&lt;=$D$14),1,0)</f>
        <v/>
      </c>
      <c r="BU39" s="17">
        <f>IF(AND(70&gt;=$B$14,70&lt;=$D$14),1,0)</f>
        <v/>
      </c>
      <c r="BV39" s="17">
        <f>IF(AND(71&gt;=$B$14,71&lt;=$D$14),1,0)</f>
        <v/>
      </c>
      <c r="BW39" s="17">
        <f>IF(AND(72&gt;=$B$14,72&lt;=$D$14),1,0)</f>
        <v/>
      </c>
      <c r="BX39" s="17">
        <f>IF(AND(73&gt;=$B$14,73&lt;=$D$14),1,0)</f>
        <v/>
      </c>
      <c r="BY39" s="17">
        <f>IF(AND(74&gt;=$B$14,74&lt;=$D$14),1,0)</f>
        <v/>
      </c>
      <c r="BZ39" s="17">
        <f>IF(AND(75&gt;=$B$14,75&lt;=$D$14),1,0)</f>
        <v/>
      </c>
      <c r="CA39" s="17">
        <f>IF(AND(76&gt;=$B$14,76&lt;=$D$14),1,0)</f>
        <v/>
      </c>
      <c r="CB39" s="17">
        <f>IF(AND(77&gt;=$B$14,77&lt;=$D$14),1,0)</f>
        <v/>
      </c>
      <c r="CC39" s="17">
        <f>IF(AND(78&gt;=$B$14,78&lt;=$D$14),1,0)</f>
        <v/>
      </c>
      <c r="CD39" s="17">
        <f>IF(AND(79&gt;=$B$14,79&lt;=$D$14),1,0)</f>
        <v/>
      </c>
      <c r="CE39" s="17">
        <f>IF(AND(80&gt;=$B$14,80&lt;=$D$14),1,0)</f>
        <v/>
      </c>
      <c r="CF39" s="17">
        <f>IF(AND(81&gt;=$B$14,81&lt;=$D$14),1,0)</f>
        <v/>
      </c>
      <c r="CG39" s="17">
        <f>IF(AND(82&gt;=$B$14,82&lt;=$D$14),1,0)</f>
        <v/>
      </c>
      <c r="CH39" s="17">
        <f>IF(AND(83&gt;=$B$14,83&lt;=$D$14),1,0)</f>
        <v/>
      </c>
      <c r="CI39" s="17">
        <f>IF(AND(84&gt;=$B$14,84&lt;=$D$14),1,0)</f>
        <v/>
      </c>
      <c r="CJ39" s="17">
        <f>IF(AND(85&gt;=$B$14,85&lt;=$D$14),1,0)</f>
        <v/>
      </c>
      <c r="CK39" s="17">
        <f>IF(AND(86&gt;=$B$14,86&lt;=$D$14),1,0)</f>
        <v/>
      </c>
      <c r="CL39" s="17">
        <f>IF(AND(87&gt;=$B$14,87&lt;=$D$14),1,0)</f>
        <v/>
      </c>
      <c r="CM39" s="17">
        <f>IF(AND(88&gt;=$B$14,88&lt;=$D$14),1,0)</f>
        <v/>
      </c>
      <c r="CN39" s="17">
        <f>IF(AND(89&gt;=$B$14,89&lt;=$D$14),1,0)</f>
        <v/>
      </c>
      <c r="CO39" s="17">
        <f>IF(AND(90&gt;=$B$14,90&lt;=$D$14),1,0)</f>
        <v/>
      </c>
      <c r="CP39" s="17">
        <f>IF(AND(91&gt;=$B$14,91&lt;=$D$14),1,0)</f>
        <v/>
      </c>
      <c r="CQ39" s="17">
        <f>IF(AND(92&gt;=$B$14,92&lt;=$D$14),1,0)</f>
        <v/>
      </c>
      <c r="CR39" s="17">
        <f>IF(AND(93&gt;=$B$14,93&lt;=$D$14),1,0)</f>
        <v/>
      </c>
      <c r="CS39" s="17">
        <f>IF(AND(94&gt;=$B$14,94&lt;=$D$14),1,0)</f>
        <v/>
      </c>
      <c r="CT39" s="17">
        <f>IF(AND(95&gt;=$B$14,95&lt;=$D$14),1,0)</f>
        <v/>
      </c>
      <c r="CU39" s="17">
        <f>IF(AND(96&gt;=$B$14,96&lt;=$D$14),1,0)</f>
        <v/>
      </c>
      <c r="CV39" s="17">
        <f>IF(AND(97&gt;=$B$14,97&lt;=$D$14),1,0)</f>
        <v/>
      </c>
      <c r="CW39" s="17">
        <f>IF(AND(98&gt;=$B$14,98&lt;=$D$14),1,0)</f>
        <v/>
      </c>
      <c r="CX39" s="17">
        <f>IF(AND(99&gt;=$B$14,99&lt;=$D$14),1,0)</f>
        <v/>
      </c>
      <c r="CY39" s="17">
        <f>IF(AND(100&gt;=$B$14,100&lt;=$D$14),1,0)</f>
        <v/>
      </c>
      <c r="CZ39" s="17">
        <f>IF(AND(101&gt;=$B$14,101&lt;=$D$14),1,0)</f>
        <v/>
      </c>
      <c r="DA39" s="17">
        <f>IF(AND(102&gt;=$B$14,102&lt;=$D$14),1,0)</f>
        <v/>
      </c>
      <c r="DB39" s="17">
        <f>IF(AND(103&gt;=$B$14,103&lt;=$D$14),1,0)</f>
        <v/>
      </c>
      <c r="DC39" s="17">
        <f>IF(AND(104&gt;=$B$14,104&lt;=$D$14),1,0)</f>
        <v/>
      </c>
      <c r="DD39" s="17">
        <f>IF(AND(105&gt;=$B$14,105&lt;=$D$14),1,0)</f>
        <v/>
      </c>
      <c r="DE39" s="17">
        <f>IF(AND(106&gt;=$B$14,106&lt;=$D$14),1,0)</f>
        <v/>
      </c>
      <c r="DF39" s="17">
        <f>IF(AND(107&gt;=$B$14,107&lt;=$D$14),1,0)</f>
        <v/>
      </c>
      <c r="DG39" s="17">
        <f>IF(AND(108&gt;=$B$14,108&lt;=$D$14),1,0)</f>
        <v/>
      </c>
      <c r="DH39" s="17">
        <f>IF(AND(109&gt;=$B$14,109&lt;=$D$14),1,0)</f>
        <v/>
      </c>
      <c r="DI39" s="17">
        <f>IF(AND(110&gt;=$B$14,110&lt;=$D$14),1,0)</f>
        <v/>
      </c>
      <c r="DJ39" s="17">
        <f>IF(AND(111&gt;=$B$14,111&lt;=$D$14),1,0)</f>
        <v/>
      </c>
      <c r="DK39" s="17">
        <f>IF(AND(112&gt;=$B$14,112&lt;=$D$14),1,0)</f>
        <v/>
      </c>
      <c r="DL39" s="17">
        <f>IF(AND(113&gt;=$B$14,113&lt;=$D$14),1,0)</f>
        <v/>
      </c>
      <c r="DM39" s="17">
        <f>IF(AND(114&gt;=$B$14,114&lt;=$D$14),1,0)</f>
        <v/>
      </c>
      <c r="DN39" s="17">
        <f>IF(AND(115&gt;=$B$14,115&lt;=$D$14),1,0)</f>
        <v/>
      </c>
      <c r="DO39" s="17">
        <f>IF(AND(116&gt;=$B$14,116&lt;=$D$14),1,0)</f>
        <v/>
      </c>
      <c r="DP39" s="17">
        <f>IF(AND(117&gt;=$B$14,117&lt;=$D$14),1,0)</f>
        <v/>
      </c>
      <c r="DQ39" s="17">
        <f>IF(AND(118&gt;=$B$14,118&lt;=$D$14),1,0)</f>
        <v/>
      </c>
      <c r="DR39" s="17">
        <f>IF(AND(119&gt;=$B$14,119&lt;=$D$14),1,0)</f>
        <v/>
      </c>
      <c r="DS39" s="17">
        <f>IF(AND(120&gt;=$B$14,120&lt;=$D$14),1,0)</f>
        <v/>
      </c>
      <c r="DT39" s="17">
        <f>IF(AND(121&gt;=$B$14,121&lt;=$D$14),1,0)</f>
        <v/>
      </c>
      <c r="DU39" s="17">
        <f>IF(AND(122&gt;=$B$14,122&lt;=$D$14),1,0)</f>
        <v/>
      </c>
      <c r="DV39" s="17">
        <f>IF(AND(123&gt;=$B$14,123&lt;=$D$14),1,0)</f>
        <v/>
      </c>
      <c r="DW39" s="17">
        <f>IF(AND(124&gt;=$B$14,124&lt;=$D$14),1,0)</f>
        <v/>
      </c>
      <c r="DX39" s="17">
        <f>IF(AND(125&gt;=$B$14,125&lt;=$D$14),1,0)</f>
        <v/>
      </c>
      <c r="DY39" s="17">
        <f>IF(AND(126&gt;=$B$14,126&lt;=$D$14),1,0)</f>
        <v/>
      </c>
      <c r="DZ39" s="17">
        <f>IF(AND(127&gt;=$B$14,127&lt;=$D$14),1,0)</f>
        <v/>
      </c>
      <c r="EA39" s="17">
        <f>IF(AND(128&gt;=$B$14,128&lt;=$D$14),1,0)</f>
        <v/>
      </c>
      <c r="EB39" s="17">
        <f>IF(AND(129&gt;=$B$14,129&lt;=$D$14),1,0)</f>
        <v/>
      </c>
      <c r="EC39" s="17">
        <f>IF(AND(130&gt;=$B$14,130&lt;=$D$14),1,0)</f>
        <v/>
      </c>
      <c r="ED39" s="17">
        <f>IF(AND(131&gt;=$B$14,131&lt;=$D$14),1,0)</f>
        <v/>
      </c>
      <c r="EE39" s="17">
        <f>IF(AND(132&gt;=$B$14,132&lt;=$D$14),1,0)</f>
        <v/>
      </c>
      <c r="EF39" s="17">
        <f>IF(AND(133&gt;=$B$14,133&lt;=$D$14),1,0)</f>
        <v/>
      </c>
      <c r="EG39" s="17">
        <f>IF(AND(134&gt;=$B$14,134&lt;=$D$14),1,0)</f>
        <v/>
      </c>
      <c r="EH39" s="17">
        <f>IF(AND(135&gt;=$B$14,135&lt;=$D$14),1,0)</f>
        <v/>
      </c>
      <c r="EI39" s="17">
        <f>IF(AND(136&gt;=$B$14,136&lt;=$D$14),1,0)</f>
        <v/>
      </c>
      <c r="EJ39" s="17">
        <f>IF(AND(137&gt;=$B$14,137&lt;=$D$14),1,0)</f>
        <v/>
      </c>
      <c r="EK39" s="17">
        <f>IF(AND(138&gt;=$B$14,138&lt;=$D$14),1,0)</f>
        <v/>
      </c>
      <c r="EL39" s="17">
        <f>IF(AND(139&gt;=$B$14,139&lt;=$D$14),1,0)</f>
        <v/>
      </c>
      <c r="EM39" s="17">
        <f>IF(AND(140&gt;=$B$14,140&lt;=$D$14),1,0)</f>
        <v/>
      </c>
      <c r="EN39" s="17">
        <f>IF(AND(141&gt;=$B$14,141&lt;=$D$14),1,0)</f>
        <v/>
      </c>
      <c r="EO39" s="17">
        <f>IF(AND(142&gt;=$B$14,142&lt;=$D$14),1,0)</f>
        <v/>
      </c>
      <c r="EP39" s="17">
        <f>IF(AND(143&gt;=$B$14,143&lt;=$D$14),1,0)</f>
        <v/>
      </c>
      <c r="EQ39" s="17">
        <f>IF(AND(144&gt;=$B$14,144&lt;=$D$14),1,0)</f>
        <v/>
      </c>
      <c r="ER39" s="17">
        <f>IF(AND(145&gt;=$B$14,145&lt;=$D$14),1,0)</f>
        <v/>
      </c>
      <c r="ES39" s="17">
        <f>IF(AND(146&gt;=$B$14,146&lt;=$D$14),1,0)</f>
        <v/>
      </c>
      <c r="ET39" s="17">
        <f>IF(AND(147&gt;=$B$14,147&lt;=$D$14),1,0)</f>
        <v/>
      </c>
      <c r="EU39" s="17">
        <f>IF(AND(148&gt;=$B$14,148&lt;=$D$14),1,0)</f>
        <v/>
      </c>
      <c r="EV39" s="17">
        <f>IF(AND(149&gt;=$B$14,149&lt;=$D$14),1,0)</f>
        <v/>
      </c>
      <c r="EW39" s="17">
        <f>IF(AND(150&gt;=$B$14,150&lt;=$D$14),1,0)</f>
        <v/>
      </c>
      <c r="EX39" s="17">
        <f>IF(AND(151&gt;=$B$14,151&lt;=$D$14),1,0)</f>
        <v/>
      </c>
      <c r="EY39" s="17">
        <f>IF(AND(152&gt;=$B$14,152&lt;=$D$14),1,0)</f>
        <v/>
      </c>
      <c r="EZ39" s="17">
        <f>IF(AND(153&gt;=$B$14,153&lt;=$D$14),1,0)</f>
        <v/>
      </c>
      <c r="FA39" s="17">
        <f>IF(AND(154&gt;=$B$14,154&lt;=$D$14),1,0)</f>
        <v/>
      </c>
      <c r="FB39" s="17">
        <f>IF(AND(155&gt;=$B$14,155&lt;=$D$14),1,0)</f>
        <v/>
      </c>
      <c r="FC39" s="17">
        <f>IF(AND(156&gt;=$B$14,156&lt;=$D$14),1,0)</f>
        <v/>
      </c>
      <c r="FD39" s="17">
        <f>IF(AND(157&gt;=$B$14,157&lt;=$D$14),1,0)</f>
        <v/>
      </c>
      <c r="FE39" s="17">
        <f>IF(AND(158&gt;=$B$14,158&lt;=$D$14),1,0)</f>
        <v/>
      </c>
      <c r="FF39" s="17">
        <f>IF(AND(159&gt;=$B$14,159&lt;=$D$14),1,0)</f>
        <v/>
      </c>
      <c r="FG39" s="17">
        <f>IF(AND(160&gt;=$B$14,160&lt;=$D$14),1,0)</f>
        <v/>
      </c>
      <c r="FH39" s="17">
        <f>IF(AND(161&gt;=$B$14,161&lt;=$D$14),1,0)</f>
        <v/>
      </c>
      <c r="FI39" s="17">
        <f>IF(AND(162&gt;=$B$14,162&lt;=$D$14),1,0)</f>
        <v/>
      </c>
      <c r="FJ39" s="17">
        <f>IF(AND(163&gt;=$B$14,163&lt;=$D$14),1,0)</f>
        <v/>
      </c>
      <c r="FK39" s="17">
        <f>IF(AND(164&gt;=$B$14,164&lt;=$D$14),1,0)</f>
        <v/>
      </c>
      <c r="FL39" s="17">
        <f>IF(AND(165&gt;=$B$14,165&lt;=$D$14),1,0)</f>
        <v/>
      </c>
      <c r="FM39" s="17">
        <f>IF(AND(166&gt;=$B$14,166&lt;=$D$14),1,0)</f>
        <v/>
      </c>
      <c r="FN39" s="17">
        <f>IF(AND(167&gt;=$B$14,167&lt;=$D$14),1,0)</f>
        <v/>
      </c>
      <c r="FO39" s="17">
        <f>IF(AND(168&gt;=$B$14,168&lt;=$D$14),1,0)</f>
        <v/>
      </c>
      <c r="FP39" s="17">
        <f>IF(AND(169&gt;=$B$14,169&lt;=$D$14),1,0)</f>
        <v/>
      </c>
      <c r="FQ39" s="17">
        <f>IF(AND(170&gt;=$B$14,170&lt;=$D$14),1,0)</f>
        <v/>
      </c>
      <c r="FR39" s="17">
        <f>IF(AND(171&gt;=$B$14,171&lt;=$D$14),1,0)</f>
        <v/>
      </c>
      <c r="FS39" s="17">
        <f>IF(AND(172&gt;=$B$14,172&lt;=$D$14),1,0)</f>
        <v/>
      </c>
      <c r="FT39" s="17">
        <f>IF(AND(173&gt;=$B$14,173&lt;=$D$14),1,0)</f>
        <v/>
      </c>
      <c r="FU39" s="17">
        <f>IF(AND(174&gt;=$B$14,174&lt;=$D$14),1,0)</f>
        <v/>
      </c>
      <c r="FV39" s="17">
        <f>IF(AND(175&gt;=$B$14,175&lt;=$D$14),1,0)</f>
        <v/>
      </c>
      <c r="FW39" s="17">
        <f>IF(AND(176&gt;=$B$14,176&lt;=$D$14),1,0)</f>
        <v/>
      </c>
      <c r="FX39" s="17">
        <f>IF(AND(177&gt;=$B$14,177&lt;=$D$14),1,0)</f>
        <v/>
      </c>
      <c r="FY39" s="17">
        <f>IF(AND(178&gt;=$B$14,178&lt;=$D$14),1,0)</f>
        <v/>
      </c>
      <c r="FZ39" s="17">
        <f>IF(AND(179&gt;=$B$14,179&lt;=$D$14),1,0)</f>
        <v/>
      </c>
      <c r="GA39" s="17">
        <f>IF(AND(180&gt;=$B$14,180&lt;=$D$14),1,0)</f>
        <v/>
      </c>
      <c r="GB39" s="17">
        <f>IF(AND(181&gt;=$B$14,181&lt;=$D$14),1,0)</f>
        <v/>
      </c>
      <c r="GC39" s="17">
        <f>IF(AND(182&gt;=$B$14,182&lt;=$D$14),1,0)</f>
        <v/>
      </c>
      <c r="GD39" s="17">
        <f>IF(AND(183&gt;=$B$14,183&lt;=$D$14),1,0)</f>
        <v/>
      </c>
      <c r="GE39" s="17">
        <f>IF(AND(184&gt;=$B$14,184&lt;=$D$14),1,0)</f>
        <v/>
      </c>
      <c r="GF39" s="17">
        <f>IF(AND(185&gt;=$B$14,185&lt;=$D$14),1,0)</f>
        <v/>
      </c>
      <c r="GG39" s="17">
        <f>IF(AND(186&gt;=$B$14,186&lt;=$D$14),1,0)</f>
        <v/>
      </c>
      <c r="GH39" s="17">
        <f>IF(AND(187&gt;=$B$14,187&lt;=$D$14),1,0)</f>
        <v/>
      </c>
      <c r="GI39" s="17">
        <f>IF(AND(188&gt;=$B$14,188&lt;=$D$14),1,0)</f>
        <v/>
      </c>
      <c r="GJ39" s="17">
        <f>IF(AND(189&gt;=$B$14,189&lt;=$D$14),1,0)</f>
        <v/>
      </c>
      <c r="GK39" s="17">
        <f>IF(AND(190&gt;=$B$14,190&lt;=$D$14),1,0)</f>
        <v/>
      </c>
      <c r="GL39" s="17">
        <f>IF(AND(191&gt;=$B$14,191&lt;=$D$14),1,0)</f>
        <v/>
      </c>
      <c r="GM39" s="17">
        <f>IF(AND(192&gt;=$B$14,192&lt;=$D$14),1,0)</f>
        <v/>
      </c>
      <c r="GN39" s="17">
        <f>IF(AND(193&gt;=$B$14,193&lt;=$D$14),1,0)</f>
        <v/>
      </c>
      <c r="GO39" s="17">
        <f>IF(AND(194&gt;=$B$14,194&lt;=$D$14),1,0)</f>
        <v/>
      </c>
      <c r="GP39" s="17">
        <f>IF(AND(195&gt;=$B$14,195&lt;=$D$14),1,0)</f>
        <v/>
      </c>
      <c r="GQ39" s="17">
        <f>IF(AND(196&gt;=$B$14,196&lt;=$D$14),1,0)</f>
        <v/>
      </c>
      <c r="GR39" s="17">
        <f>IF(AND(197&gt;=$B$14,197&lt;=$D$14),1,0)</f>
        <v/>
      </c>
      <c r="GS39" s="17">
        <f>IF(AND(198&gt;=$B$14,198&lt;=$D$14),1,0)</f>
        <v/>
      </c>
      <c r="GT39" s="17">
        <f>IF(AND(199&gt;=$B$14,199&lt;=$D$14),1,0)</f>
        <v/>
      </c>
      <c r="GU39" s="17">
        <f>IF(AND(200&gt;=$B$14,200&lt;=$D$14),1,0)</f>
        <v/>
      </c>
      <c r="GV39" s="17">
        <f>IF(AND(201&gt;=$B$14,201&lt;=$D$14),1,0)</f>
        <v/>
      </c>
      <c r="GW39" s="17">
        <f>IF(AND(202&gt;=$B$14,202&lt;=$D$14),1,0)</f>
        <v/>
      </c>
      <c r="GX39" s="17">
        <f>IF(AND(203&gt;=$B$14,203&lt;=$D$14),1,0)</f>
        <v/>
      </c>
      <c r="GY39" s="17">
        <f>IF(AND(204&gt;=$B$14,204&lt;=$D$14),1,0)</f>
        <v/>
      </c>
      <c r="GZ39" s="17">
        <f>IF(AND(205&gt;=$B$14,205&lt;=$D$14),1,0)</f>
        <v/>
      </c>
      <c r="HA39" s="17">
        <f>IF(AND(206&gt;=$B$14,206&lt;=$D$14),1,0)</f>
        <v/>
      </c>
      <c r="HB39" s="17">
        <f>IF(AND(207&gt;=$B$14,207&lt;=$D$14),1,0)</f>
        <v/>
      </c>
      <c r="HC39" s="17">
        <f>IF(AND(208&gt;=$B$14,208&lt;=$D$14),1,0)</f>
        <v/>
      </c>
      <c r="HD39" s="17">
        <f>IF(AND(209&gt;=$B$14,209&lt;=$D$14),1,0)</f>
        <v/>
      </c>
      <c r="HE39" s="17">
        <f>IF(AND(210&gt;=$B$14,210&lt;=$D$14),1,0)</f>
        <v/>
      </c>
      <c r="HF39" s="17">
        <f>IF(AND(211&gt;=$B$14,211&lt;=$D$14),1,0)</f>
        <v/>
      </c>
      <c r="HG39" s="17">
        <f>IF(AND(212&gt;=$B$14,212&lt;=$D$14),1,0)</f>
        <v/>
      </c>
      <c r="HH39" s="17">
        <f>IF(AND(213&gt;=$B$14,213&lt;=$D$14),1,0)</f>
        <v/>
      </c>
      <c r="HI39" s="17">
        <f>IF(AND(214&gt;=$B$14,214&lt;=$D$14),1,0)</f>
        <v/>
      </c>
      <c r="HJ39" s="17">
        <f>IF(AND(215&gt;=$B$14,215&lt;=$D$14),1,0)</f>
        <v/>
      </c>
      <c r="HK39" s="17">
        <f>IF(AND(216&gt;=$B$14,216&lt;=$D$14),1,0)</f>
        <v/>
      </c>
      <c r="HL39" s="17">
        <f>IF(AND(217&gt;=$B$14,217&lt;=$D$14),1,0)</f>
        <v/>
      </c>
      <c r="HM39" s="17">
        <f>IF(AND(218&gt;=$B$14,218&lt;=$D$14),1,0)</f>
        <v/>
      </c>
      <c r="HN39" s="17">
        <f>IF(AND(219&gt;=$B$14,219&lt;=$D$14),1,0)</f>
        <v/>
      </c>
      <c r="HO39" s="17">
        <f>IF(AND(220&gt;=$B$14,220&lt;=$D$14),1,0)</f>
        <v/>
      </c>
      <c r="HP39" s="17">
        <f>IF(AND(221&gt;=$B$14,221&lt;=$D$14),1,0)</f>
        <v/>
      </c>
      <c r="HQ39" s="17">
        <f>IF(AND(222&gt;=$B$14,222&lt;=$D$14),1,0)</f>
        <v/>
      </c>
      <c r="HR39" s="17">
        <f>IF(AND(223&gt;=$B$14,223&lt;=$D$14),1,0)</f>
        <v/>
      </c>
      <c r="HS39" s="17">
        <f>IF(AND(224&gt;=$B$14,224&lt;=$D$14),1,0)</f>
        <v/>
      </c>
      <c r="HT39" s="17">
        <f>IF(AND(225&gt;=$B$14,225&lt;=$D$14),1,0)</f>
        <v/>
      </c>
      <c r="HU39" s="17">
        <f>IF(AND(226&gt;=$B$14,226&lt;=$D$14),1,0)</f>
        <v/>
      </c>
      <c r="HV39" s="17">
        <f>IF(AND(227&gt;=$B$14,227&lt;=$D$14),1,0)</f>
        <v/>
      </c>
      <c r="HW39" s="17">
        <f>IF(AND(228&gt;=$B$14,228&lt;=$D$14),1,0)</f>
        <v/>
      </c>
      <c r="HX39" s="17">
        <f>IF(AND(229&gt;=$B$14,229&lt;=$D$14),1,0)</f>
        <v/>
      </c>
      <c r="HY39" s="17">
        <f>IF(AND(230&gt;=$B$14,230&lt;=$D$14),1,0)</f>
        <v/>
      </c>
      <c r="HZ39" s="17">
        <f>IF(AND(231&gt;=$B$14,231&lt;=$D$14),1,0)</f>
        <v/>
      </c>
      <c r="IA39" s="17">
        <f>IF(AND(232&gt;=$B$14,232&lt;=$D$14),1,0)</f>
        <v/>
      </c>
      <c r="IB39" s="17">
        <f>IF(AND(233&gt;=$B$14,233&lt;=$D$14),1,0)</f>
        <v/>
      </c>
      <c r="IC39" s="17">
        <f>IF(AND(234&gt;=$B$14,234&lt;=$D$14),1,0)</f>
        <v/>
      </c>
      <c r="ID39" s="17">
        <f>IF(AND(235&gt;=$B$14,235&lt;=$D$14),1,0)</f>
        <v/>
      </c>
      <c r="IE39" s="17">
        <f>IF(AND(236&gt;=$B$14,236&lt;=$D$14),1,0)</f>
        <v/>
      </c>
      <c r="IF39" s="17">
        <f>IF(AND(237&gt;=$B$14,237&lt;=$D$14),1,0)</f>
        <v/>
      </c>
      <c r="IG39" s="17">
        <f>IF(AND(238&gt;=$B$14,238&lt;=$D$14),1,0)</f>
        <v/>
      </c>
      <c r="IH39" s="17">
        <f>IF(AND(239&gt;=$B$14,239&lt;=$D$14),1,0)</f>
        <v/>
      </c>
      <c r="II39" s="17">
        <f>IF(AND(240&gt;=$B$14,240&lt;=$D$14),1,0)</f>
        <v/>
      </c>
      <c r="IJ39" s="17">
        <f>IF(AND(241&gt;=$B$14,241&lt;=$D$14),1,0)</f>
        <v/>
      </c>
      <c r="IK39" s="17">
        <f>IF(AND(242&gt;=$B$14,242&lt;=$D$14),1,0)</f>
        <v/>
      </c>
      <c r="IL39" s="17">
        <f>IF(AND(243&gt;=$B$14,243&lt;=$D$14),1,0)</f>
        <v/>
      </c>
      <c r="IM39" s="17">
        <f>IF(AND(244&gt;=$B$14,244&lt;=$D$14),1,0)</f>
        <v/>
      </c>
      <c r="IN39" s="17">
        <f>IF(AND(245&gt;=$B$14,245&lt;=$D$14),1,0)</f>
        <v/>
      </c>
      <c r="IO39" s="17">
        <f>IF(AND(246&gt;=$B$14,246&lt;=$D$14),1,0)</f>
        <v/>
      </c>
      <c r="IP39" s="17">
        <f>IF(AND(247&gt;=$B$14,247&lt;=$D$14),1,0)</f>
        <v/>
      </c>
      <c r="IQ39" s="17">
        <f>IF(AND(248&gt;=$B$14,248&lt;=$D$14),1,0)</f>
        <v/>
      </c>
      <c r="IR39" s="17">
        <f>IF(AND(249&gt;=$B$14,249&lt;=$D$14),1,0)</f>
        <v/>
      </c>
      <c r="IS39" s="17">
        <f>IF(AND(250&gt;=$B$14,250&lt;=$D$14),1,0)</f>
        <v/>
      </c>
      <c r="IT39" s="17">
        <f>IF(AND(251&gt;=$B$14,251&lt;=$D$14),1,0)</f>
        <v/>
      </c>
      <c r="IU39" s="17">
        <f>IF(AND(252&gt;=$B$14,252&lt;=$D$14),1,0)</f>
        <v/>
      </c>
      <c r="IV39" s="17">
        <f>IF(AND(253&gt;=$B$14,253&lt;=$D$14),1,0)</f>
        <v/>
      </c>
      <c r="IW39" s="17">
        <f>IF(AND(254&gt;=$B$14,254&lt;=$D$14),1,0)</f>
        <v/>
      </c>
      <c r="IX39" s="17">
        <f>IF(AND(255&gt;=$B$14,255&lt;=$D$14),1,0)</f>
        <v/>
      </c>
      <c r="IY39" s="17">
        <f>IF(AND(256&gt;=$B$14,256&lt;=$D$14),1,0)</f>
        <v/>
      </c>
      <c r="IZ39" s="17">
        <f>IF(AND(257&gt;=$B$14,257&lt;=$D$14),1,0)</f>
        <v/>
      </c>
      <c r="JA39" s="17">
        <f>IF(AND(258&gt;=$B$14,258&lt;=$D$14),1,0)</f>
        <v/>
      </c>
      <c r="JB39" s="17">
        <f>IF(AND(259&gt;=$B$14,259&lt;=$D$14),1,0)</f>
        <v/>
      </c>
      <c r="JC39" s="17">
        <f>IF(AND(260&gt;=$B$14,260&lt;=$D$14),1,0)</f>
        <v/>
      </c>
      <c r="JD39" s="17">
        <f>IF(AND(261&gt;=$B$14,261&lt;=$D$14),1,0)</f>
        <v/>
      </c>
      <c r="JE39" s="17">
        <f>IF(AND(262&gt;=$B$14,262&lt;=$D$14),1,0)</f>
        <v/>
      </c>
      <c r="JF39" s="17">
        <f>IF(AND(263&gt;=$B$14,263&lt;=$D$14),1,0)</f>
        <v/>
      </c>
      <c r="JG39" s="17">
        <f>IF(AND(264&gt;=$B$14,264&lt;=$D$14),1,0)</f>
        <v/>
      </c>
      <c r="JH39" s="17">
        <f>IF(AND(265&gt;=$B$14,265&lt;=$D$14),1,0)</f>
        <v/>
      </c>
      <c r="JI39" s="17">
        <f>IF(AND(266&gt;=$B$14,266&lt;=$D$14),1,0)</f>
        <v/>
      </c>
      <c r="JJ39" s="17">
        <f>IF(AND(267&gt;=$B$14,267&lt;=$D$14),1,0)</f>
        <v/>
      </c>
      <c r="JK39" s="17">
        <f>IF(AND(268&gt;=$B$14,268&lt;=$D$14),1,0)</f>
        <v/>
      </c>
      <c r="JL39" s="17">
        <f>IF(AND(269&gt;=$B$14,269&lt;=$D$14),1,0)</f>
        <v/>
      </c>
      <c r="JM39" s="17">
        <f>IF(AND(270&gt;=$B$14,270&lt;=$D$14),1,0)</f>
        <v/>
      </c>
      <c r="JN39" s="17">
        <f>IF(AND(271&gt;=$B$14,271&lt;=$D$14),1,0)</f>
        <v/>
      </c>
      <c r="JO39" s="17">
        <f>IF(AND(272&gt;=$B$14,272&lt;=$D$14),1,0)</f>
        <v/>
      </c>
      <c r="JP39" s="17">
        <f>IF(AND(273&gt;=$B$14,273&lt;=$D$14),1,0)</f>
        <v/>
      </c>
      <c r="JQ39" s="17">
        <f>IF(AND(274&gt;=$B$14,274&lt;=$D$14),1,0)</f>
        <v/>
      </c>
      <c r="JR39" s="17">
        <f>IF(AND(275&gt;=$B$14,275&lt;=$D$14),1,0)</f>
        <v/>
      </c>
      <c r="JS39" s="17">
        <f>IF(AND(276&gt;=$B$14,276&lt;=$D$14),1,0)</f>
        <v/>
      </c>
      <c r="JT39" s="17">
        <f>IF(AND(277&gt;=$B$14,277&lt;=$D$14),1,0)</f>
        <v/>
      </c>
      <c r="JU39" s="17">
        <f>IF(AND(278&gt;=$B$14,278&lt;=$D$14),1,0)</f>
        <v/>
      </c>
      <c r="JV39" s="17">
        <f>IF(AND(279&gt;=$B$14,279&lt;=$D$14),1,0)</f>
        <v/>
      </c>
      <c r="JW39" s="17">
        <f>IF(AND(280&gt;=$B$14,280&lt;=$D$14),1,0)</f>
        <v/>
      </c>
      <c r="JX39" s="17">
        <f>IF(AND(281&gt;=$B$14,281&lt;=$D$14),1,0)</f>
        <v/>
      </c>
      <c r="JY39" s="17">
        <f>IF(AND(282&gt;=$B$14,282&lt;=$D$14),1,0)</f>
        <v/>
      </c>
      <c r="JZ39" s="17">
        <f>IF(AND(283&gt;=$B$14,283&lt;=$D$14),1,0)</f>
        <v/>
      </c>
      <c r="KA39" s="17">
        <f>IF(AND(284&gt;=$B$14,284&lt;=$D$14),1,0)</f>
        <v/>
      </c>
      <c r="KB39" s="17">
        <f>IF(AND(285&gt;=$B$14,285&lt;=$D$14),1,0)</f>
        <v/>
      </c>
      <c r="KC39" s="17">
        <f>IF(AND(286&gt;=$B$14,286&lt;=$D$14),1,0)</f>
        <v/>
      </c>
      <c r="KD39" s="17">
        <f>IF(AND(287&gt;=$B$14,287&lt;=$D$14),1,0)</f>
        <v/>
      </c>
      <c r="KE39" s="17">
        <f>IF(AND(288&gt;=$B$14,288&lt;=$D$14),1,0)</f>
        <v/>
      </c>
      <c r="KF39" s="17">
        <f>IF(AND(289&gt;=$B$14,289&lt;=$D$14),1,0)</f>
        <v/>
      </c>
      <c r="KG39" s="17">
        <f>IF(AND(290&gt;=$B$14,290&lt;=$D$14),1,0)</f>
        <v/>
      </c>
      <c r="KH39" s="17">
        <f>IF(AND(291&gt;=$B$14,291&lt;=$D$14),1,0)</f>
        <v/>
      </c>
      <c r="KI39" s="17">
        <f>IF(AND(292&gt;=$B$14,292&lt;=$D$14),1,0)</f>
        <v/>
      </c>
      <c r="KJ39" s="17">
        <f>IF(AND(293&gt;=$B$14,293&lt;=$D$14),1,0)</f>
        <v/>
      </c>
      <c r="KK39" s="17">
        <f>IF(AND(294&gt;=$B$14,294&lt;=$D$14),1,0)</f>
        <v/>
      </c>
      <c r="KL39" s="17">
        <f>IF(AND(295&gt;=$B$14,295&lt;=$D$14),1,0)</f>
        <v/>
      </c>
      <c r="KM39" s="17">
        <f>IF(AND(296&gt;=$B$14,296&lt;=$D$14),1,0)</f>
        <v/>
      </c>
      <c r="KN39" s="17">
        <f>IF(AND(297&gt;=$B$14,297&lt;=$D$14),1,0)</f>
        <v/>
      </c>
      <c r="KO39" s="17">
        <f>IF(AND(298&gt;=$B$14,298&lt;=$D$14),1,0)</f>
        <v/>
      </c>
      <c r="KP39" s="17">
        <f>IF(AND(299&gt;=$B$14,299&lt;=$D$14),1,0)</f>
        <v/>
      </c>
      <c r="KQ39" s="17">
        <f>IF(AND(300&gt;=$B$14,300&lt;=$D$14),1,0)</f>
        <v/>
      </c>
      <c r="KR39" s="17">
        <f>IF(AND(301&gt;=$B$14,301&lt;=$D$14),1,0)</f>
        <v/>
      </c>
      <c r="KS39" s="17">
        <f>IF(AND(302&gt;=$B$14,302&lt;=$D$14),1,0)</f>
        <v/>
      </c>
      <c r="KT39" s="17">
        <f>IF(AND(303&gt;=$B$14,303&lt;=$D$14),1,0)</f>
        <v/>
      </c>
      <c r="KU39" s="17">
        <f>IF(AND(304&gt;=$B$14,304&lt;=$D$14),1,0)</f>
        <v/>
      </c>
      <c r="KV39" s="17">
        <f>IF(AND(305&gt;=$B$14,305&lt;=$D$14),1,0)</f>
        <v/>
      </c>
      <c r="KW39" s="17">
        <f>IF(AND(306&gt;=$B$14,306&lt;=$D$14),1,0)</f>
        <v/>
      </c>
      <c r="KX39" s="17">
        <f>IF(AND(307&gt;=$B$14,307&lt;=$D$14),1,0)</f>
        <v/>
      </c>
      <c r="KY39" s="17">
        <f>IF(AND(308&gt;=$B$14,308&lt;=$D$14),1,0)</f>
        <v/>
      </c>
      <c r="KZ39" s="17">
        <f>IF(AND(309&gt;=$B$14,309&lt;=$D$14),1,0)</f>
        <v/>
      </c>
      <c r="LA39" s="17">
        <f>IF(AND(310&gt;=$B$14,310&lt;=$D$14),1,0)</f>
        <v/>
      </c>
      <c r="LB39" s="17">
        <f>IF(AND(311&gt;=$B$14,311&lt;=$D$14),1,0)</f>
        <v/>
      </c>
      <c r="LC39" s="17">
        <f>IF(AND(312&gt;=$B$14,312&lt;=$D$14),1,0)</f>
        <v/>
      </c>
      <c r="LD39" s="17">
        <f>IF(AND(313&gt;=$B$14,313&lt;=$D$14),1,0)</f>
        <v/>
      </c>
      <c r="LE39" s="17">
        <f>IF(AND(314&gt;=$B$14,314&lt;=$D$14),1,0)</f>
        <v/>
      </c>
      <c r="LF39" s="17">
        <f>IF(AND(315&gt;=$B$14,315&lt;=$D$14),1,0)</f>
        <v/>
      </c>
      <c r="LG39" s="17">
        <f>IF(AND(316&gt;=$B$14,316&lt;=$D$14),1,0)</f>
        <v/>
      </c>
      <c r="LH39" s="17">
        <f>IF(AND(317&gt;=$B$14,317&lt;=$D$14),1,0)</f>
        <v/>
      </c>
      <c r="LI39" s="17">
        <f>IF(AND(318&gt;=$B$14,318&lt;=$D$14),1,0)</f>
        <v/>
      </c>
      <c r="LJ39" s="17">
        <f>IF(AND(319&gt;=$B$14,319&lt;=$D$14),1,0)</f>
        <v/>
      </c>
      <c r="LK39" s="17">
        <f>IF(AND(320&gt;=$B$14,320&lt;=$D$14),1,0)</f>
        <v/>
      </c>
      <c r="LL39" s="17">
        <f>IF(AND(321&gt;=$B$14,321&lt;=$D$14),1,0)</f>
        <v/>
      </c>
      <c r="LM39" s="17">
        <f>IF(AND(322&gt;=$B$14,322&lt;=$D$14),1,0)</f>
        <v/>
      </c>
      <c r="LN39" s="17">
        <f>IF(AND(323&gt;=$B$14,323&lt;=$D$14),1,0)</f>
        <v/>
      </c>
      <c r="LO39" s="17">
        <f>IF(AND(324&gt;=$B$14,324&lt;=$D$14),1,0)</f>
        <v/>
      </c>
      <c r="LP39" s="17">
        <f>IF(AND(325&gt;=$B$14,325&lt;=$D$14),1,0)</f>
        <v/>
      </c>
      <c r="LQ39" s="17">
        <f>IF(AND(326&gt;=$B$14,326&lt;=$D$14),1,0)</f>
        <v/>
      </c>
      <c r="LR39" s="17">
        <f>IF(AND(327&gt;=$B$14,327&lt;=$D$14),1,0)</f>
        <v/>
      </c>
      <c r="LS39" s="17">
        <f>IF(AND(328&gt;=$B$14,328&lt;=$D$14),1,0)</f>
        <v/>
      </c>
      <c r="LT39" s="17">
        <f>IF(AND(329&gt;=$B$14,329&lt;=$D$14),1,0)</f>
        <v/>
      </c>
      <c r="LU39" s="17">
        <f>IF(AND(330&gt;=$B$14,330&lt;=$D$14),1,0)</f>
        <v/>
      </c>
      <c r="LV39" s="17">
        <f>IF(AND(331&gt;=$B$14,331&lt;=$D$14),1,0)</f>
        <v/>
      </c>
      <c r="LW39" s="17">
        <f>IF(AND(332&gt;=$B$14,332&lt;=$D$14),1,0)</f>
        <v/>
      </c>
      <c r="LX39" s="17">
        <f>IF(AND(333&gt;=$B$14,333&lt;=$D$14),1,0)</f>
        <v/>
      </c>
      <c r="LY39" s="17">
        <f>IF(AND(334&gt;=$B$14,334&lt;=$D$14),1,0)</f>
        <v/>
      </c>
      <c r="LZ39" s="17">
        <f>IF(AND(335&gt;=$B$14,335&lt;=$D$14),1,0)</f>
        <v/>
      </c>
      <c r="MA39" s="17">
        <f>IF(AND(336&gt;=$B$14,336&lt;=$D$14),1,0)</f>
        <v/>
      </c>
      <c r="MB39" s="17">
        <f>IF(AND(337&gt;=$B$14,337&lt;=$D$14),1,0)</f>
        <v/>
      </c>
      <c r="MC39" s="17">
        <f>IF(AND(338&gt;=$B$14,338&lt;=$D$14),1,0)</f>
        <v/>
      </c>
      <c r="MD39" s="17">
        <f>IF(AND(339&gt;=$B$14,339&lt;=$D$14),1,0)</f>
        <v/>
      </c>
      <c r="ME39" s="17">
        <f>IF(AND(340&gt;=$B$14,340&lt;=$D$14),1,0)</f>
        <v/>
      </c>
      <c r="MF39" s="17">
        <f>IF(AND(341&gt;=$B$14,341&lt;=$D$14),1,0)</f>
        <v/>
      </c>
      <c r="MG39" s="17">
        <f>IF(AND(342&gt;=$B$14,342&lt;=$D$14),1,0)</f>
        <v/>
      </c>
      <c r="MH39" s="17">
        <f>IF(AND(343&gt;=$B$14,343&lt;=$D$14),1,0)</f>
        <v/>
      </c>
      <c r="MI39" s="17">
        <f>IF(AND(344&gt;=$B$14,344&lt;=$D$14),1,0)</f>
        <v/>
      </c>
      <c r="MJ39" s="17">
        <f>IF(AND(345&gt;=$B$14,345&lt;=$D$14),1,0)</f>
        <v/>
      </c>
      <c r="MK39" s="17">
        <f>IF(AND(346&gt;=$B$14,346&lt;=$D$14),1,0)</f>
        <v/>
      </c>
      <c r="ML39" s="17">
        <f>IF(AND(347&gt;=$B$14,347&lt;=$D$14),1,0)</f>
        <v/>
      </c>
      <c r="MM39" s="17">
        <f>IF(AND(348&gt;=$B$14,348&lt;=$D$14),1,0)</f>
        <v/>
      </c>
      <c r="MN39" s="17">
        <f>IF(AND(349&gt;=$B$14,349&lt;=$D$14),1,0)</f>
        <v/>
      </c>
      <c r="MO39" s="17">
        <f>IF(AND(350&gt;=$B$14,350&lt;=$D$14),1,0)</f>
        <v/>
      </c>
      <c r="MP39" s="17">
        <f>IF(AND(351&gt;=$B$14,351&lt;=$D$14),1,0)</f>
        <v/>
      </c>
      <c r="MQ39" s="17">
        <f>IF(AND(352&gt;=$B$14,352&lt;=$D$14),1,0)</f>
        <v/>
      </c>
      <c r="MR39" s="17">
        <f>IF(AND(353&gt;=$B$14,353&lt;=$D$14),1,0)</f>
        <v/>
      </c>
      <c r="MS39" s="17">
        <f>IF(AND(354&gt;=$B$14,354&lt;=$D$14),1,0)</f>
        <v/>
      </c>
      <c r="MT39" s="17">
        <f>IF(AND(355&gt;=$B$14,355&lt;=$D$14),1,0)</f>
        <v/>
      </c>
      <c r="MU39" s="17">
        <f>IF(AND(356&gt;=$B$14,356&lt;=$D$14),1,0)</f>
        <v/>
      </c>
      <c r="MV39" s="17">
        <f>IF(AND(357&gt;=$B$14,357&lt;=$D$14),1,0)</f>
        <v/>
      </c>
      <c r="MW39" s="17">
        <f>IF(AND(358&gt;=$B$14,358&lt;=$D$14),1,0)</f>
        <v/>
      </c>
      <c r="MX39" s="17">
        <f>IF(AND(359&gt;=$B$14,359&lt;=$D$14),1,0)</f>
        <v/>
      </c>
      <c r="MY39" s="17">
        <f>IF(AND(360&gt;=$B$14,360&lt;=$D$14),1,0)</f>
        <v/>
      </c>
      <c r="MZ39" s="17">
        <f>IF(AND(361&gt;=$B$14,361&lt;=$D$14),1,0)</f>
        <v/>
      </c>
      <c r="NA39" s="17">
        <f>IF(AND(362&gt;=$B$14,362&lt;=$D$14),1,0)</f>
        <v/>
      </c>
      <c r="NB39" s="17">
        <f>IF(AND(363&gt;=$B$14,363&lt;=$D$14),1,0)</f>
        <v/>
      </c>
      <c r="NC39" s="17">
        <f>IF(AND(364&gt;=$B$14,364&lt;=$D$14),1,0)</f>
        <v/>
      </c>
      <c r="ND39" s="17">
        <f>IF(AND(365&gt;=$B$14,365&lt;=$D$14),1,0)</f>
        <v/>
      </c>
      <c r="NE39" s="17">
        <f>IF(AND(366&gt;=$B$14,366&lt;=$D$14),1,0)</f>
        <v/>
      </c>
      <c r="NF39" s="17">
        <f>IF(AND(367&gt;=$B$14,367&lt;=$D$14),1,0)</f>
        <v/>
      </c>
      <c r="NG39" s="17">
        <f>IF(AND(368&gt;=$B$14,368&lt;=$D$14),1,0)</f>
        <v/>
      </c>
      <c r="NH39" s="17">
        <f>IF(AND(369&gt;=$B$14,369&lt;=$D$14),1,0)</f>
        <v/>
      </c>
      <c r="NI39" s="17">
        <f>IF(AND(370&gt;=$B$14,370&lt;=$D$14),1,0)</f>
        <v/>
      </c>
      <c r="NJ39" s="17">
        <f>IF(AND(371&gt;=$B$14,371&lt;=$D$14),1,0)</f>
        <v/>
      </c>
      <c r="NK39" s="17">
        <f>IF(AND(372&gt;=$B$14,372&lt;=$D$14),1,0)</f>
        <v/>
      </c>
    </row>
    <row r="40">
      <c r="A40" s="5" t="inlineStr">
        <is>
          <t>Flag: Operations Active</t>
        </is>
      </c>
      <c r="C40" s="40" t="n"/>
      <c r="D40" s="17">
        <f>IF(AND(1&gt;=DeliverStart,1&lt;=DispoMonth),1,0)</f>
        <v/>
      </c>
      <c r="E40" s="17">
        <f>IF(AND(2&gt;=DeliverStart,2&lt;=DispoMonth),1,0)</f>
        <v/>
      </c>
      <c r="F40" s="17">
        <f>IF(AND(3&gt;=DeliverStart,3&lt;=DispoMonth),1,0)</f>
        <v/>
      </c>
      <c r="G40" s="17">
        <f>IF(AND(4&gt;=DeliverStart,4&lt;=DispoMonth),1,0)</f>
        <v/>
      </c>
      <c r="H40" s="17">
        <f>IF(AND(5&gt;=DeliverStart,5&lt;=DispoMonth),1,0)</f>
        <v/>
      </c>
      <c r="I40" s="17">
        <f>IF(AND(6&gt;=DeliverStart,6&lt;=DispoMonth),1,0)</f>
        <v/>
      </c>
      <c r="J40" s="17">
        <f>IF(AND(7&gt;=DeliverStart,7&lt;=DispoMonth),1,0)</f>
        <v/>
      </c>
      <c r="K40" s="17">
        <f>IF(AND(8&gt;=DeliverStart,8&lt;=DispoMonth),1,0)</f>
        <v/>
      </c>
      <c r="L40" s="17">
        <f>IF(AND(9&gt;=DeliverStart,9&lt;=DispoMonth),1,0)</f>
        <v/>
      </c>
      <c r="M40" s="17">
        <f>IF(AND(10&gt;=DeliverStart,10&lt;=DispoMonth),1,0)</f>
        <v/>
      </c>
      <c r="N40" s="17">
        <f>IF(AND(11&gt;=DeliverStart,11&lt;=DispoMonth),1,0)</f>
        <v/>
      </c>
      <c r="O40" s="17">
        <f>IF(AND(12&gt;=DeliverStart,12&lt;=DispoMonth),1,0)</f>
        <v/>
      </c>
      <c r="P40" s="17">
        <f>IF(AND(13&gt;=DeliverStart,13&lt;=DispoMonth),1,0)</f>
        <v/>
      </c>
      <c r="Q40" s="17">
        <f>IF(AND(14&gt;=DeliverStart,14&lt;=DispoMonth),1,0)</f>
        <v/>
      </c>
      <c r="R40" s="17">
        <f>IF(AND(15&gt;=DeliverStart,15&lt;=DispoMonth),1,0)</f>
        <v/>
      </c>
      <c r="S40" s="17">
        <f>IF(AND(16&gt;=DeliverStart,16&lt;=DispoMonth),1,0)</f>
        <v/>
      </c>
      <c r="T40" s="17">
        <f>IF(AND(17&gt;=DeliverStart,17&lt;=DispoMonth),1,0)</f>
        <v/>
      </c>
      <c r="U40" s="17">
        <f>IF(AND(18&gt;=DeliverStart,18&lt;=DispoMonth),1,0)</f>
        <v/>
      </c>
      <c r="V40" s="17">
        <f>IF(AND(19&gt;=DeliverStart,19&lt;=DispoMonth),1,0)</f>
        <v/>
      </c>
      <c r="W40" s="17">
        <f>IF(AND(20&gt;=DeliverStart,20&lt;=DispoMonth),1,0)</f>
        <v/>
      </c>
      <c r="X40" s="17">
        <f>IF(AND(21&gt;=DeliverStart,21&lt;=DispoMonth),1,0)</f>
        <v/>
      </c>
      <c r="Y40" s="17">
        <f>IF(AND(22&gt;=DeliverStart,22&lt;=DispoMonth),1,0)</f>
        <v/>
      </c>
      <c r="Z40" s="17">
        <f>IF(AND(23&gt;=DeliverStart,23&lt;=DispoMonth),1,0)</f>
        <v/>
      </c>
      <c r="AA40" s="17">
        <f>IF(AND(24&gt;=DeliverStart,24&lt;=DispoMonth),1,0)</f>
        <v/>
      </c>
      <c r="AB40" s="17">
        <f>IF(AND(25&gt;=DeliverStart,25&lt;=DispoMonth),1,0)</f>
        <v/>
      </c>
      <c r="AC40" s="17">
        <f>IF(AND(26&gt;=DeliverStart,26&lt;=DispoMonth),1,0)</f>
        <v/>
      </c>
      <c r="AD40" s="17">
        <f>IF(AND(27&gt;=DeliverStart,27&lt;=DispoMonth),1,0)</f>
        <v/>
      </c>
      <c r="AE40" s="17">
        <f>IF(AND(28&gt;=DeliverStart,28&lt;=DispoMonth),1,0)</f>
        <v/>
      </c>
      <c r="AF40" s="17">
        <f>IF(AND(29&gt;=DeliverStart,29&lt;=DispoMonth),1,0)</f>
        <v/>
      </c>
      <c r="AG40" s="17">
        <f>IF(AND(30&gt;=DeliverStart,30&lt;=DispoMonth),1,0)</f>
        <v/>
      </c>
      <c r="AH40" s="17">
        <f>IF(AND(31&gt;=DeliverStart,31&lt;=DispoMonth),1,0)</f>
        <v/>
      </c>
      <c r="AI40" s="17">
        <f>IF(AND(32&gt;=DeliverStart,32&lt;=DispoMonth),1,0)</f>
        <v/>
      </c>
      <c r="AJ40" s="17">
        <f>IF(AND(33&gt;=DeliverStart,33&lt;=DispoMonth),1,0)</f>
        <v/>
      </c>
      <c r="AK40" s="17">
        <f>IF(AND(34&gt;=DeliverStart,34&lt;=DispoMonth),1,0)</f>
        <v/>
      </c>
      <c r="AL40" s="17">
        <f>IF(AND(35&gt;=DeliverStart,35&lt;=DispoMonth),1,0)</f>
        <v/>
      </c>
      <c r="AM40" s="17">
        <f>IF(AND(36&gt;=DeliverStart,36&lt;=DispoMonth),1,0)</f>
        <v/>
      </c>
      <c r="AN40" s="17">
        <f>IF(AND(37&gt;=DeliverStart,37&lt;=DispoMonth),1,0)</f>
        <v/>
      </c>
      <c r="AO40" s="17">
        <f>IF(AND(38&gt;=DeliverStart,38&lt;=DispoMonth),1,0)</f>
        <v/>
      </c>
      <c r="AP40" s="17">
        <f>IF(AND(39&gt;=DeliverStart,39&lt;=DispoMonth),1,0)</f>
        <v/>
      </c>
      <c r="AQ40" s="17">
        <f>IF(AND(40&gt;=DeliverStart,40&lt;=DispoMonth),1,0)</f>
        <v/>
      </c>
      <c r="AR40" s="17">
        <f>IF(AND(41&gt;=DeliverStart,41&lt;=DispoMonth),1,0)</f>
        <v/>
      </c>
      <c r="AS40" s="17">
        <f>IF(AND(42&gt;=DeliverStart,42&lt;=DispoMonth),1,0)</f>
        <v/>
      </c>
      <c r="AT40" s="17">
        <f>IF(AND(43&gt;=DeliverStart,43&lt;=DispoMonth),1,0)</f>
        <v/>
      </c>
      <c r="AU40" s="17">
        <f>IF(AND(44&gt;=DeliverStart,44&lt;=DispoMonth),1,0)</f>
        <v/>
      </c>
      <c r="AV40" s="17">
        <f>IF(AND(45&gt;=DeliverStart,45&lt;=DispoMonth),1,0)</f>
        <v/>
      </c>
      <c r="AW40" s="17">
        <f>IF(AND(46&gt;=DeliverStart,46&lt;=DispoMonth),1,0)</f>
        <v/>
      </c>
      <c r="AX40" s="17">
        <f>IF(AND(47&gt;=DeliverStart,47&lt;=DispoMonth),1,0)</f>
        <v/>
      </c>
      <c r="AY40" s="17">
        <f>IF(AND(48&gt;=DeliverStart,48&lt;=DispoMonth),1,0)</f>
        <v/>
      </c>
      <c r="AZ40" s="17">
        <f>IF(AND(49&gt;=DeliverStart,49&lt;=DispoMonth),1,0)</f>
        <v/>
      </c>
      <c r="BA40" s="17">
        <f>IF(AND(50&gt;=DeliverStart,50&lt;=DispoMonth),1,0)</f>
        <v/>
      </c>
      <c r="BB40" s="17">
        <f>IF(AND(51&gt;=DeliverStart,51&lt;=DispoMonth),1,0)</f>
        <v/>
      </c>
      <c r="BC40" s="17">
        <f>IF(AND(52&gt;=DeliverStart,52&lt;=DispoMonth),1,0)</f>
        <v/>
      </c>
      <c r="BD40" s="17">
        <f>IF(AND(53&gt;=DeliverStart,53&lt;=DispoMonth),1,0)</f>
        <v/>
      </c>
      <c r="BE40" s="17">
        <f>IF(AND(54&gt;=DeliverStart,54&lt;=DispoMonth),1,0)</f>
        <v/>
      </c>
      <c r="BF40" s="17">
        <f>IF(AND(55&gt;=DeliverStart,55&lt;=DispoMonth),1,0)</f>
        <v/>
      </c>
      <c r="BG40" s="17">
        <f>IF(AND(56&gt;=DeliverStart,56&lt;=DispoMonth),1,0)</f>
        <v/>
      </c>
      <c r="BH40" s="17">
        <f>IF(AND(57&gt;=DeliverStart,57&lt;=DispoMonth),1,0)</f>
        <v/>
      </c>
      <c r="BI40" s="17">
        <f>IF(AND(58&gt;=DeliverStart,58&lt;=DispoMonth),1,0)</f>
        <v/>
      </c>
      <c r="BJ40" s="17">
        <f>IF(AND(59&gt;=DeliverStart,59&lt;=DispoMonth),1,0)</f>
        <v/>
      </c>
      <c r="BK40" s="17">
        <f>IF(AND(60&gt;=DeliverStart,60&lt;=DispoMonth),1,0)</f>
        <v/>
      </c>
      <c r="BL40" s="17">
        <f>IF(AND(61&gt;=DeliverStart,61&lt;=DispoMonth),1,0)</f>
        <v/>
      </c>
      <c r="BM40" s="17">
        <f>IF(AND(62&gt;=DeliverStart,62&lt;=DispoMonth),1,0)</f>
        <v/>
      </c>
      <c r="BN40" s="17">
        <f>IF(AND(63&gt;=DeliverStart,63&lt;=DispoMonth),1,0)</f>
        <v/>
      </c>
      <c r="BO40" s="17">
        <f>IF(AND(64&gt;=DeliverStart,64&lt;=DispoMonth),1,0)</f>
        <v/>
      </c>
      <c r="BP40" s="17">
        <f>IF(AND(65&gt;=DeliverStart,65&lt;=DispoMonth),1,0)</f>
        <v/>
      </c>
      <c r="BQ40" s="17">
        <f>IF(AND(66&gt;=DeliverStart,66&lt;=DispoMonth),1,0)</f>
        <v/>
      </c>
      <c r="BR40" s="17">
        <f>IF(AND(67&gt;=DeliverStart,67&lt;=DispoMonth),1,0)</f>
        <v/>
      </c>
      <c r="BS40" s="17">
        <f>IF(AND(68&gt;=DeliverStart,68&lt;=DispoMonth),1,0)</f>
        <v/>
      </c>
      <c r="BT40" s="17">
        <f>IF(AND(69&gt;=DeliverStart,69&lt;=DispoMonth),1,0)</f>
        <v/>
      </c>
      <c r="BU40" s="17">
        <f>IF(AND(70&gt;=DeliverStart,70&lt;=DispoMonth),1,0)</f>
        <v/>
      </c>
      <c r="BV40" s="17">
        <f>IF(AND(71&gt;=DeliverStart,71&lt;=DispoMonth),1,0)</f>
        <v/>
      </c>
      <c r="BW40" s="17">
        <f>IF(AND(72&gt;=DeliverStart,72&lt;=DispoMonth),1,0)</f>
        <v/>
      </c>
      <c r="BX40" s="17">
        <f>IF(AND(73&gt;=DeliverStart,73&lt;=DispoMonth),1,0)</f>
        <v/>
      </c>
      <c r="BY40" s="17">
        <f>IF(AND(74&gt;=DeliverStart,74&lt;=DispoMonth),1,0)</f>
        <v/>
      </c>
      <c r="BZ40" s="17">
        <f>IF(AND(75&gt;=DeliverStart,75&lt;=DispoMonth),1,0)</f>
        <v/>
      </c>
      <c r="CA40" s="17">
        <f>IF(AND(76&gt;=DeliverStart,76&lt;=DispoMonth),1,0)</f>
        <v/>
      </c>
      <c r="CB40" s="17">
        <f>IF(AND(77&gt;=DeliverStart,77&lt;=DispoMonth),1,0)</f>
        <v/>
      </c>
      <c r="CC40" s="17">
        <f>IF(AND(78&gt;=DeliverStart,78&lt;=DispoMonth),1,0)</f>
        <v/>
      </c>
      <c r="CD40" s="17">
        <f>IF(AND(79&gt;=DeliverStart,79&lt;=DispoMonth),1,0)</f>
        <v/>
      </c>
      <c r="CE40" s="17">
        <f>IF(AND(80&gt;=DeliverStart,80&lt;=DispoMonth),1,0)</f>
        <v/>
      </c>
      <c r="CF40" s="17">
        <f>IF(AND(81&gt;=DeliverStart,81&lt;=DispoMonth),1,0)</f>
        <v/>
      </c>
      <c r="CG40" s="17">
        <f>IF(AND(82&gt;=DeliverStart,82&lt;=DispoMonth),1,0)</f>
        <v/>
      </c>
      <c r="CH40" s="17">
        <f>IF(AND(83&gt;=DeliverStart,83&lt;=DispoMonth),1,0)</f>
        <v/>
      </c>
      <c r="CI40" s="17">
        <f>IF(AND(84&gt;=DeliverStart,84&lt;=DispoMonth),1,0)</f>
        <v/>
      </c>
      <c r="CJ40" s="17">
        <f>IF(AND(85&gt;=DeliverStart,85&lt;=DispoMonth),1,0)</f>
        <v/>
      </c>
      <c r="CK40" s="17">
        <f>IF(AND(86&gt;=DeliverStart,86&lt;=DispoMonth),1,0)</f>
        <v/>
      </c>
      <c r="CL40" s="17">
        <f>IF(AND(87&gt;=DeliverStart,87&lt;=DispoMonth),1,0)</f>
        <v/>
      </c>
      <c r="CM40" s="17">
        <f>IF(AND(88&gt;=DeliverStart,88&lt;=DispoMonth),1,0)</f>
        <v/>
      </c>
      <c r="CN40" s="17">
        <f>IF(AND(89&gt;=DeliverStart,89&lt;=DispoMonth),1,0)</f>
        <v/>
      </c>
      <c r="CO40" s="17">
        <f>IF(AND(90&gt;=DeliverStart,90&lt;=DispoMonth),1,0)</f>
        <v/>
      </c>
      <c r="CP40" s="17">
        <f>IF(AND(91&gt;=DeliverStart,91&lt;=DispoMonth),1,0)</f>
        <v/>
      </c>
      <c r="CQ40" s="17">
        <f>IF(AND(92&gt;=DeliverStart,92&lt;=DispoMonth),1,0)</f>
        <v/>
      </c>
      <c r="CR40" s="17">
        <f>IF(AND(93&gt;=DeliverStart,93&lt;=DispoMonth),1,0)</f>
        <v/>
      </c>
      <c r="CS40" s="17">
        <f>IF(AND(94&gt;=DeliverStart,94&lt;=DispoMonth),1,0)</f>
        <v/>
      </c>
      <c r="CT40" s="17">
        <f>IF(AND(95&gt;=DeliverStart,95&lt;=DispoMonth),1,0)</f>
        <v/>
      </c>
      <c r="CU40" s="17">
        <f>IF(AND(96&gt;=DeliverStart,96&lt;=DispoMonth),1,0)</f>
        <v/>
      </c>
      <c r="CV40" s="17">
        <f>IF(AND(97&gt;=DeliverStart,97&lt;=DispoMonth),1,0)</f>
        <v/>
      </c>
      <c r="CW40" s="17">
        <f>IF(AND(98&gt;=DeliverStart,98&lt;=DispoMonth),1,0)</f>
        <v/>
      </c>
      <c r="CX40" s="17">
        <f>IF(AND(99&gt;=DeliverStart,99&lt;=DispoMonth),1,0)</f>
        <v/>
      </c>
      <c r="CY40" s="17">
        <f>IF(AND(100&gt;=DeliverStart,100&lt;=DispoMonth),1,0)</f>
        <v/>
      </c>
      <c r="CZ40" s="17">
        <f>IF(AND(101&gt;=DeliverStart,101&lt;=DispoMonth),1,0)</f>
        <v/>
      </c>
      <c r="DA40" s="17">
        <f>IF(AND(102&gt;=DeliverStart,102&lt;=DispoMonth),1,0)</f>
        <v/>
      </c>
      <c r="DB40" s="17">
        <f>IF(AND(103&gt;=DeliverStart,103&lt;=DispoMonth),1,0)</f>
        <v/>
      </c>
      <c r="DC40" s="17">
        <f>IF(AND(104&gt;=DeliverStart,104&lt;=DispoMonth),1,0)</f>
        <v/>
      </c>
      <c r="DD40" s="17">
        <f>IF(AND(105&gt;=DeliverStart,105&lt;=DispoMonth),1,0)</f>
        <v/>
      </c>
      <c r="DE40" s="17">
        <f>IF(AND(106&gt;=DeliverStart,106&lt;=DispoMonth),1,0)</f>
        <v/>
      </c>
      <c r="DF40" s="17">
        <f>IF(AND(107&gt;=DeliverStart,107&lt;=DispoMonth),1,0)</f>
        <v/>
      </c>
      <c r="DG40" s="17">
        <f>IF(AND(108&gt;=DeliverStart,108&lt;=DispoMonth),1,0)</f>
        <v/>
      </c>
      <c r="DH40" s="17">
        <f>IF(AND(109&gt;=DeliverStart,109&lt;=DispoMonth),1,0)</f>
        <v/>
      </c>
      <c r="DI40" s="17">
        <f>IF(AND(110&gt;=DeliverStart,110&lt;=DispoMonth),1,0)</f>
        <v/>
      </c>
      <c r="DJ40" s="17">
        <f>IF(AND(111&gt;=DeliverStart,111&lt;=DispoMonth),1,0)</f>
        <v/>
      </c>
      <c r="DK40" s="17">
        <f>IF(AND(112&gt;=DeliverStart,112&lt;=DispoMonth),1,0)</f>
        <v/>
      </c>
      <c r="DL40" s="17">
        <f>IF(AND(113&gt;=DeliverStart,113&lt;=DispoMonth),1,0)</f>
        <v/>
      </c>
      <c r="DM40" s="17">
        <f>IF(AND(114&gt;=DeliverStart,114&lt;=DispoMonth),1,0)</f>
        <v/>
      </c>
      <c r="DN40" s="17">
        <f>IF(AND(115&gt;=DeliverStart,115&lt;=DispoMonth),1,0)</f>
        <v/>
      </c>
      <c r="DO40" s="17">
        <f>IF(AND(116&gt;=DeliverStart,116&lt;=DispoMonth),1,0)</f>
        <v/>
      </c>
      <c r="DP40" s="17">
        <f>IF(AND(117&gt;=DeliverStart,117&lt;=DispoMonth),1,0)</f>
        <v/>
      </c>
      <c r="DQ40" s="17">
        <f>IF(AND(118&gt;=DeliverStart,118&lt;=DispoMonth),1,0)</f>
        <v/>
      </c>
      <c r="DR40" s="17">
        <f>IF(AND(119&gt;=DeliverStart,119&lt;=DispoMonth),1,0)</f>
        <v/>
      </c>
      <c r="DS40" s="17">
        <f>IF(AND(120&gt;=DeliverStart,120&lt;=DispoMonth),1,0)</f>
        <v/>
      </c>
      <c r="DT40" s="17">
        <f>IF(AND(121&gt;=DeliverStart,121&lt;=DispoMonth),1,0)</f>
        <v/>
      </c>
      <c r="DU40" s="17">
        <f>IF(AND(122&gt;=DeliverStart,122&lt;=DispoMonth),1,0)</f>
        <v/>
      </c>
      <c r="DV40" s="17">
        <f>IF(AND(123&gt;=DeliverStart,123&lt;=DispoMonth),1,0)</f>
        <v/>
      </c>
      <c r="DW40" s="17">
        <f>IF(AND(124&gt;=DeliverStart,124&lt;=DispoMonth),1,0)</f>
        <v/>
      </c>
      <c r="DX40" s="17">
        <f>IF(AND(125&gt;=DeliverStart,125&lt;=DispoMonth),1,0)</f>
        <v/>
      </c>
      <c r="DY40" s="17">
        <f>IF(AND(126&gt;=DeliverStart,126&lt;=DispoMonth),1,0)</f>
        <v/>
      </c>
      <c r="DZ40" s="17">
        <f>IF(AND(127&gt;=DeliverStart,127&lt;=DispoMonth),1,0)</f>
        <v/>
      </c>
      <c r="EA40" s="17">
        <f>IF(AND(128&gt;=DeliverStart,128&lt;=DispoMonth),1,0)</f>
        <v/>
      </c>
      <c r="EB40" s="17">
        <f>IF(AND(129&gt;=DeliverStart,129&lt;=DispoMonth),1,0)</f>
        <v/>
      </c>
      <c r="EC40" s="17">
        <f>IF(AND(130&gt;=DeliverStart,130&lt;=DispoMonth),1,0)</f>
        <v/>
      </c>
      <c r="ED40" s="17">
        <f>IF(AND(131&gt;=DeliverStart,131&lt;=DispoMonth),1,0)</f>
        <v/>
      </c>
      <c r="EE40" s="17">
        <f>IF(AND(132&gt;=DeliverStart,132&lt;=DispoMonth),1,0)</f>
        <v/>
      </c>
      <c r="EF40" s="17">
        <f>IF(AND(133&gt;=DeliverStart,133&lt;=DispoMonth),1,0)</f>
        <v/>
      </c>
      <c r="EG40" s="17">
        <f>IF(AND(134&gt;=DeliverStart,134&lt;=DispoMonth),1,0)</f>
        <v/>
      </c>
      <c r="EH40" s="17">
        <f>IF(AND(135&gt;=DeliverStart,135&lt;=DispoMonth),1,0)</f>
        <v/>
      </c>
      <c r="EI40" s="17">
        <f>IF(AND(136&gt;=DeliverStart,136&lt;=DispoMonth),1,0)</f>
        <v/>
      </c>
      <c r="EJ40" s="17">
        <f>IF(AND(137&gt;=DeliverStart,137&lt;=DispoMonth),1,0)</f>
        <v/>
      </c>
      <c r="EK40" s="17">
        <f>IF(AND(138&gt;=DeliverStart,138&lt;=DispoMonth),1,0)</f>
        <v/>
      </c>
      <c r="EL40" s="17">
        <f>IF(AND(139&gt;=DeliverStart,139&lt;=DispoMonth),1,0)</f>
        <v/>
      </c>
      <c r="EM40" s="17">
        <f>IF(AND(140&gt;=DeliverStart,140&lt;=DispoMonth),1,0)</f>
        <v/>
      </c>
      <c r="EN40" s="17">
        <f>IF(AND(141&gt;=DeliverStart,141&lt;=DispoMonth),1,0)</f>
        <v/>
      </c>
      <c r="EO40" s="17">
        <f>IF(AND(142&gt;=DeliverStart,142&lt;=DispoMonth),1,0)</f>
        <v/>
      </c>
      <c r="EP40" s="17">
        <f>IF(AND(143&gt;=DeliverStart,143&lt;=DispoMonth),1,0)</f>
        <v/>
      </c>
      <c r="EQ40" s="17">
        <f>IF(AND(144&gt;=DeliverStart,144&lt;=DispoMonth),1,0)</f>
        <v/>
      </c>
      <c r="ER40" s="17">
        <f>IF(AND(145&gt;=DeliverStart,145&lt;=DispoMonth),1,0)</f>
        <v/>
      </c>
      <c r="ES40" s="17">
        <f>IF(AND(146&gt;=DeliverStart,146&lt;=DispoMonth),1,0)</f>
        <v/>
      </c>
      <c r="ET40" s="17">
        <f>IF(AND(147&gt;=DeliverStart,147&lt;=DispoMonth),1,0)</f>
        <v/>
      </c>
      <c r="EU40" s="17">
        <f>IF(AND(148&gt;=DeliverStart,148&lt;=DispoMonth),1,0)</f>
        <v/>
      </c>
      <c r="EV40" s="17">
        <f>IF(AND(149&gt;=DeliverStart,149&lt;=DispoMonth),1,0)</f>
        <v/>
      </c>
      <c r="EW40" s="17">
        <f>IF(AND(150&gt;=DeliverStart,150&lt;=DispoMonth),1,0)</f>
        <v/>
      </c>
      <c r="EX40" s="17">
        <f>IF(AND(151&gt;=DeliverStart,151&lt;=DispoMonth),1,0)</f>
        <v/>
      </c>
      <c r="EY40" s="17">
        <f>IF(AND(152&gt;=DeliverStart,152&lt;=DispoMonth),1,0)</f>
        <v/>
      </c>
      <c r="EZ40" s="17">
        <f>IF(AND(153&gt;=DeliverStart,153&lt;=DispoMonth),1,0)</f>
        <v/>
      </c>
      <c r="FA40" s="17">
        <f>IF(AND(154&gt;=DeliverStart,154&lt;=DispoMonth),1,0)</f>
        <v/>
      </c>
      <c r="FB40" s="17">
        <f>IF(AND(155&gt;=DeliverStart,155&lt;=DispoMonth),1,0)</f>
        <v/>
      </c>
      <c r="FC40" s="17">
        <f>IF(AND(156&gt;=DeliverStart,156&lt;=DispoMonth),1,0)</f>
        <v/>
      </c>
      <c r="FD40" s="17">
        <f>IF(AND(157&gt;=DeliverStart,157&lt;=DispoMonth),1,0)</f>
        <v/>
      </c>
      <c r="FE40" s="17">
        <f>IF(AND(158&gt;=DeliverStart,158&lt;=DispoMonth),1,0)</f>
        <v/>
      </c>
      <c r="FF40" s="17">
        <f>IF(AND(159&gt;=DeliverStart,159&lt;=DispoMonth),1,0)</f>
        <v/>
      </c>
      <c r="FG40" s="17">
        <f>IF(AND(160&gt;=DeliverStart,160&lt;=DispoMonth),1,0)</f>
        <v/>
      </c>
      <c r="FH40" s="17">
        <f>IF(AND(161&gt;=DeliverStart,161&lt;=DispoMonth),1,0)</f>
        <v/>
      </c>
      <c r="FI40" s="17">
        <f>IF(AND(162&gt;=DeliverStart,162&lt;=DispoMonth),1,0)</f>
        <v/>
      </c>
      <c r="FJ40" s="17">
        <f>IF(AND(163&gt;=DeliverStart,163&lt;=DispoMonth),1,0)</f>
        <v/>
      </c>
      <c r="FK40" s="17">
        <f>IF(AND(164&gt;=DeliverStart,164&lt;=DispoMonth),1,0)</f>
        <v/>
      </c>
      <c r="FL40" s="17">
        <f>IF(AND(165&gt;=DeliverStart,165&lt;=DispoMonth),1,0)</f>
        <v/>
      </c>
      <c r="FM40" s="17">
        <f>IF(AND(166&gt;=DeliverStart,166&lt;=DispoMonth),1,0)</f>
        <v/>
      </c>
      <c r="FN40" s="17">
        <f>IF(AND(167&gt;=DeliverStart,167&lt;=DispoMonth),1,0)</f>
        <v/>
      </c>
      <c r="FO40" s="17">
        <f>IF(AND(168&gt;=DeliverStart,168&lt;=DispoMonth),1,0)</f>
        <v/>
      </c>
      <c r="FP40" s="17">
        <f>IF(AND(169&gt;=DeliverStart,169&lt;=DispoMonth),1,0)</f>
        <v/>
      </c>
      <c r="FQ40" s="17">
        <f>IF(AND(170&gt;=DeliverStart,170&lt;=DispoMonth),1,0)</f>
        <v/>
      </c>
      <c r="FR40" s="17">
        <f>IF(AND(171&gt;=DeliverStart,171&lt;=DispoMonth),1,0)</f>
        <v/>
      </c>
      <c r="FS40" s="17">
        <f>IF(AND(172&gt;=DeliverStart,172&lt;=DispoMonth),1,0)</f>
        <v/>
      </c>
      <c r="FT40" s="17">
        <f>IF(AND(173&gt;=DeliverStart,173&lt;=DispoMonth),1,0)</f>
        <v/>
      </c>
      <c r="FU40" s="17">
        <f>IF(AND(174&gt;=DeliverStart,174&lt;=DispoMonth),1,0)</f>
        <v/>
      </c>
      <c r="FV40" s="17">
        <f>IF(AND(175&gt;=DeliverStart,175&lt;=DispoMonth),1,0)</f>
        <v/>
      </c>
      <c r="FW40" s="17">
        <f>IF(AND(176&gt;=DeliverStart,176&lt;=DispoMonth),1,0)</f>
        <v/>
      </c>
      <c r="FX40" s="17">
        <f>IF(AND(177&gt;=DeliverStart,177&lt;=DispoMonth),1,0)</f>
        <v/>
      </c>
      <c r="FY40" s="17">
        <f>IF(AND(178&gt;=DeliverStart,178&lt;=DispoMonth),1,0)</f>
        <v/>
      </c>
      <c r="FZ40" s="17">
        <f>IF(AND(179&gt;=DeliverStart,179&lt;=DispoMonth),1,0)</f>
        <v/>
      </c>
      <c r="GA40" s="17">
        <f>IF(AND(180&gt;=DeliverStart,180&lt;=DispoMonth),1,0)</f>
        <v/>
      </c>
      <c r="GB40" s="17">
        <f>IF(AND(181&gt;=DeliverStart,181&lt;=DispoMonth),1,0)</f>
        <v/>
      </c>
      <c r="GC40" s="17">
        <f>IF(AND(182&gt;=DeliverStart,182&lt;=DispoMonth),1,0)</f>
        <v/>
      </c>
      <c r="GD40" s="17">
        <f>IF(AND(183&gt;=DeliverStart,183&lt;=DispoMonth),1,0)</f>
        <v/>
      </c>
      <c r="GE40" s="17">
        <f>IF(AND(184&gt;=DeliverStart,184&lt;=DispoMonth),1,0)</f>
        <v/>
      </c>
      <c r="GF40" s="17">
        <f>IF(AND(185&gt;=DeliverStart,185&lt;=DispoMonth),1,0)</f>
        <v/>
      </c>
      <c r="GG40" s="17">
        <f>IF(AND(186&gt;=DeliverStart,186&lt;=DispoMonth),1,0)</f>
        <v/>
      </c>
      <c r="GH40" s="17">
        <f>IF(AND(187&gt;=DeliverStart,187&lt;=DispoMonth),1,0)</f>
        <v/>
      </c>
      <c r="GI40" s="17">
        <f>IF(AND(188&gt;=DeliverStart,188&lt;=DispoMonth),1,0)</f>
        <v/>
      </c>
      <c r="GJ40" s="17">
        <f>IF(AND(189&gt;=DeliverStart,189&lt;=DispoMonth),1,0)</f>
        <v/>
      </c>
      <c r="GK40" s="17">
        <f>IF(AND(190&gt;=DeliverStart,190&lt;=DispoMonth),1,0)</f>
        <v/>
      </c>
      <c r="GL40" s="17">
        <f>IF(AND(191&gt;=DeliverStart,191&lt;=DispoMonth),1,0)</f>
        <v/>
      </c>
      <c r="GM40" s="17">
        <f>IF(AND(192&gt;=DeliverStart,192&lt;=DispoMonth),1,0)</f>
        <v/>
      </c>
      <c r="GN40" s="17">
        <f>IF(AND(193&gt;=DeliverStart,193&lt;=DispoMonth),1,0)</f>
        <v/>
      </c>
      <c r="GO40" s="17">
        <f>IF(AND(194&gt;=DeliverStart,194&lt;=DispoMonth),1,0)</f>
        <v/>
      </c>
      <c r="GP40" s="17">
        <f>IF(AND(195&gt;=DeliverStart,195&lt;=DispoMonth),1,0)</f>
        <v/>
      </c>
      <c r="GQ40" s="17">
        <f>IF(AND(196&gt;=DeliverStart,196&lt;=DispoMonth),1,0)</f>
        <v/>
      </c>
      <c r="GR40" s="17">
        <f>IF(AND(197&gt;=DeliverStart,197&lt;=DispoMonth),1,0)</f>
        <v/>
      </c>
      <c r="GS40" s="17">
        <f>IF(AND(198&gt;=DeliverStart,198&lt;=DispoMonth),1,0)</f>
        <v/>
      </c>
      <c r="GT40" s="17">
        <f>IF(AND(199&gt;=DeliverStart,199&lt;=DispoMonth),1,0)</f>
        <v/>
      </c>
      <c r="GU40" s="17">
        <f>IF(AND(200&gt;=DeliverStart,200&lt;=DispoMonth),1,0)</f>
        <v/>
      </c>
      <c r="GV40" s="17">
        <f>IF(AND(201&gt;=DeliverStart,201&lt;=DispoMonth),1,0)</f>
        <v/>
      </c>
      <c r="GW40" s="17">
        <f>IF(AND(202&gt;=DeliverStart,202&lt;=DispoMonth),1,0)</f>
        <v/>
      </c>
      <c r="GX40" s="17">
        <f>IF(AND(203&gt;=DeliverStart,203&lt;=DispoMonth),1,0)</f>
        <v/>
      </c>
      <c r="GY40" s="17">
        <f>IF(AND(204&gt;=DeliverStart,204&lt;=DispoMonth),1,0)</f>
        <v/>
      </c>
      <c r="GZ40" s="17">
        <f>IF(AND(205&gt;=DeliverStart,205&lt;=DispoMonth),1,0)</f>
        <v/>
      </c>
      <c r="HA40" s="17">
        <f>IF(AND(206&gt;=DeliverStart,206&lt;=DispoMonth),1,0)</f>
        <v/>
      </c>
      <c r="HB40" s="17">
        <f>IF(AND(207&gt;=DeliverStart,207&lt;=DispoMonth),1,0)</f>
        <v/>
      </c>
      <c r="HC40" s="17">
        <f>IF(AND(208&gt;=DeliverStart,208&lt;=DispoMonth),1,0)</f>
        <v/>
      </c>
      <c r="HD40" s="17">
        <f>IF(AND(209&gt;=DeliverStart,209&lt;=DispoMonth),1,0)</f>
        <v/>
      </c>
      <c r="HE40" s="17">
        <f>IF(AND(210&gt;=DeliverStart,210&lt;=DispoMonth),1,0)</f>
        <v/>
      </c>
      <c r="HF40" s="17">
        <f>IF(AND(211&gt;=DeliverStart,211&lt;=DispoMonth),1,0)</f>
        <v/>
      </c>
      <c r="HG40" s="17">
        <f>IF(AND(212&gt;=DeliverStart,212&lt;=DispoMonth),1,0)</f>
        <v/>
      </c>
      <c r="HH40" s="17">
        <f>IF(AND(213&gt;=DeliverStart,213&lt;=DispoMonth),1,0)</f>
        <v/>
      </c>
      <c r="HI40" s="17">
        <f>IF(AND(214&gt;=DeliverStart,214&lt;=DispoMonth),1,0)</f>
        <v/>
      </c>
      <c r="HJ40" s="17">
        <f>IF(AND(215&gt;=DeliverStart,215&lt;=DispoMonth),1,0)</f>
        <v/>
      </c>
      <c r="HK40" s="17">
        <f>IF(AND(216&gt;=DeliverStart,216&lt;=DispoMonth),1,0)</f>
        <v/>
      </c>
      <c r="HL40" s="17">
        <f>IF(AND(217&gt;=DeliverStart,217&lt;=DispoMonth),1,0)</f>
        <v/>
      </c>
      <c r="HM40" s="17">
        <f>IF(AND(218&gt;=DeliverStart,218&lt;=DispoMonth),1,0)</f>
        <v/>
      </c>
      <c r="HN40" s="17">
        <f>IF(AND(219&gt;=DeliverStart,219&lt;=DispoMonth),1,0)</f>
        <v/>
      </c>
      <c r="HO40" s="17">
        <f>IF(AND(220&gt;=DeliverStart,220&lt;=DispoMonth),1,0)</f>
        <v/>
      </c>
      <c r="HP40" s="17">
        <f>IF(AND(221&gt;=DeliverStart,221&lt;=DispoMonth),1,0)</f>
        <v/>
      </c>
      <c r="HQ40" s="17">
        <f>IF(AND(222&gt;=DeliverStart,222&lt;=DispoMonth),1,0)</f>
        <v/>
      </c>
      <c r="HR40" s="17">
        <f>IF(AND(223&gt;=DeliverStart,223&lt;=DispoMonth),1,0)</f>
        <v/>
      </c>
      <c r="HS40" s="17">
        <f>IF(AND(224&gt;=DeliverStart,224&lt;=DispoMonth),1,0)</f>
        <v/>
      </c>
      <c r="HT40" s="17">
        <f>IF(AND(225&gt;=DeliverStart,225&lt;=DispoMonth),1,0)</f>
        <v/>
      </c>
      <c r="HU40" s="17">
        <f>IF(AND(226&gt;=DeliverStart,226&lt;=DispoMonth),1,0)</f>
        <v/>
      </c>
      <c r="HV40" s="17">
        <f>IF(AND(227&gt;=DeliverStart,227&lt;=DispoMonth),1,0)</f>
        <v/>
      </c>
      <c r="HW40" s="17">
        <f>IF(AND(228&gt;=DeliverStart,228&lt;=DispoMonth),1,0)</f>
        <v/>
      </c>
      <c r="HX40" s="17">
        <f>IF(AND(229&gt;=DeliverStart,229&lt;=DispoMonth),1,0)</f>
        <v/>
      </c>
      <c r="HY40" s="17">
        <f>IF(AND(230&gt;=DeliverStart,230&lt;=DispoMonth),1,0)</f>
        <v/>
      </c>
      <c r="HZ40" s="17">
        <f>IF(AND(231&gt;=DeliverStart,231&lt;=DispoMonth),1,0)</f>
        <v/>
      </c>
      <c r="IA40" s="17">
        <f>IF(AND(232&gt;=DeliverStart,232&lt;=DispoMonth),1,0)</f>
        <v/>
      </c>
      <c r="IB40" s="17">
        <f>IF(AND(233&gt;=DeliverStart,233&lt;=DispoMonth),1,0)</f>
        <v/>
      </c>
      <c r="IC40" s="17">
        <f>IF(AND(234&gt;=DeliverStart,234&lt;=DispoMonth),1,0)</f>
        <v/>
      </c>
      <c r="ID40" s="17">
        <f>IF(AND(235&gt;=DeliverStart,235&lt;=DispoMonth),1,0)</f>
        <v/>
      </c>
      <c r="IE40" s="17">
        <f>IF(AND(236&gt;=DeliverStart,236&lt;=DispoMonth),1,0)</f>
        <v/>
      </c>
      <c r="IF40" s="17">
        <f>IF(AND(237&gt;=DeliverStart,237&lt;=DispoMonth),1,0)</f>
        <v/>
      </c>
      <c r="IG40" s="17">
        <f>IF(AND(238&gt;=DeliverStart,238&lt;=DispoMonth),1,0)</f>
        <v/>
      </c>
      <c r="IH40" s="17">
        <f>IF(AND(239&gt;=DeliverStart,239&lt;=DispoMonth),1,0)</f>
        <v/>
      </c>
      <c r="II40" s="17">
        <f>IF(AND(240&gt;=DeliverStart,240&lt;=DispoMonth),1,0)</f>
        <v/>
      </c>
      <c r="IJ40" s="17">
        <f>IF(AND(241&gt;=DeliverStart,241&lt;=DispoMonth),1,0)</f>
        <v/>
      </c>
      <c r="IK40" s="17">
        <f>IF(AND(242&gt;=DeliverStart,242&lt;=DispoMonth),1,0)</f>
        <v/>
      </c>
      <c r="IL40" s="17">
        <f>IF(AND(243&gt;=DeliverStart,243&lt;=DispoMonth),1,0)</f>
        <v/>
      </c>
      <c r="IM40" s="17">
        <f>IF(AND(244&gt;=DeliverStart,244&lt;=DispoMonth),1,0)</f>
        <v/>
      </c>
      <c r="IN40" s="17">
        <f>IF(AND(245&gt;=DeliverStart,245&lt;=DispoMonth),1,0)</f>
        <v/>
      </c>
      <c r="IO40" s="17">
        <f>IF(AND(246&gt;=DeliverStart,246&lt;=DispoMonth),1,0)</f>
        <v/>
      </c>
      <c r="IP40" s="17">
        <f>IF(AND(247&gt;=DeliverStart,247&lt;=DispoMonth),1,0)</f>
        <v/>
      </c>
      <c r="IQ40" s="17">
        <f>IF(AND(248&gt;=DeliverStart,248&lt;=DispoMonth),1,0)</f>
        <v/>
      </c>
      <c r="IR40" s="17">
        <f>IF(AND(249&gt;=DeliverStart,249&lt;=DispoMonth),1,0)</f>
        <v/>
      </c>
      <c r="IS40" s="17">
        <f>IF(AND(250&gt;=DeliverStart,250&lt;=DispoMonth),1,0)</f>
        <v/>
      </c>
      <c r="IT40" s="17">
        <f>IF(AND(251&gt;=DeliverStart,251&lt;=DispoMonth),1,0)</f>
        <v/>
      </c>
      <c r="IU40" s="17">
        <f>IF(AND(252&gt;=DeliverStart,252&lt;=DispoMonth),1,0)</f>
        <v/>
      </c>
      <c r="IV40" s="17">
        <f>IF(AND(253&gt;=DeliverStart,253&lt;=DispoMonth),1,0)</f>
        <v/>
      </c>
      <c r="IW40" s="17">
        <f>IF(AND(254&gt;=DeliverStart,254&lt;=DispoMonth),1,0)</f>
        <v/>
      </c>
      <c r="IX40" s="17">
        <f>IF(AND(255&gt;=DeliverStart,255&lt;=DispoMonth),1,0)</f>
        <v/>
      </c>
      <c r="IY40" s="17">
        <f>IF(AND(256&gt;=DeliverStart,256&lt;=DispoMonth),1,0)</f>
        <v/>
      </c>
      <c r="IZ40" s="17">
        <f>IF(AND(257&gt;=DeliverStart,257&lt;=DispoMonth),1,0)</f>
        <v/>
      </c>
      <c r="JA40" s="17">
        <f>IF(AND(258&gt;=DeliverStart,258&lt;=DispoMonth),1,0)</f>
        <v/>
      </c>
      <c r="JB40" s="17">
        <f>IF(AND(259&gt;=DeliverStart,259&lt;=DispoMonth),1,0)</f>
        <v/>
      </c>
      <c r="JC40" s="17">
        <f>IF(AND(260&gt;=DeliverStart,260&lt;=DispoMonth),1,0)</f>
        <v/>
      </c>
      <c r="JD40" s="17">
        <f>IF(AND(261&gt;=DeliverStart,261&lt;=DispoMonth),1,0)</f>
        <v/>
      </c>
      <c r="JE40" s="17">
        <f>IF(AND(262&gt;=DeliverStart,262&lt;=DispoMonth),1,0)</f>
        <v/>
      </c>
      <c r="JF40" s="17">
        <f>IF(AND(263&gt;=DeliverStart,263&lt;=DispoMonth),1,0)</f>
        <v/>
      </c>
      <c r="JG40" s="17">
        <f>IF(AND(264&gt;=DeliverStart,264&lt;=DispoMonth),1,0)</f>
        <v/>
      </c>
      <c r="JH40" s="17">
        <f>IF(AND(265&gt;=DeliverStart,265&lt;=DispoMonth),1,0)</f>
        <v/>
      </c>
      <c r="JI40" s="17">
        <f>IF(AND(266&gt;=DeliverStart,266&lt;=DispoMonth),1,0)</f>
        <v/>
      </c>
      <c r="JJ40" s="17">
        <f>IF(AND(267&gt;=DeliverStart,267&lt;=DispoMonth),1,0)</f>
        <v/>
      </c>
      <c r="JK40" s="17">
        <f>IF(AND(268&gt;=DeliverStart,268&lt;=DispoMonth),1,0)</f>
        <v/>
      </c>
      <c r="JL40" s="17">
        <f>IF(AND(269&gt;=DeliverStart,269&lt;=DispoMonth),1,0)</f>
        <v/>
      </c>
      <c r="JM40" s="17">
        <f>IF(AND(270&gt;=DeliverStart,270&lt;=DispoMonth),1,0)</f>
        <v/>
      </c>
      <c r="JN40" s="17">
        <f>IF(AND(271&gt;=DeliverStart,271&lt;=DispoMonth),1,0)</f>
        <v/>
      </c>
      <c r="JO40" s="17">
        <f>IF(AND(272&gt;=DeliverStart,272&lt;=DispoMonth),1,0)</f>
        <v/>
      </c>
      <c r="JP40" s="17">
        <f>IF(AND(273&gt;=DeliverStart,273&lt;=DispoMonth),1,0)</f>
        <v/>
      </c>
      <c r="JQ40" s="17">
        <f>IF(AND(274&gt;=DeliverStart,274&lt;=DispoMonth),1,0)</f>
        <v/>
      </c>
      <c r="JR40" s="17">
        <f>IF(AND(275&gt;=DeliverStart,275&lt;=DispoMonth),1,0)</f>
        <v/>
      </c>
      <c r="JS40" s="17">
        <f>IF(AND(276&gt;=DeliverStart,276&lt;=DispoMonth),1,0)</f>
        <v/>
      </c>
      <c r="JT40" s="17">
        <f>IF(AND(277&gt;=DeliverStart,277&lt;=DispoMonth),1,0)</f>
        <v/>
      </c>
      <c r="JU40" s="17">
        <f>IF(AND(278&gt;=DeliverStart,278&lt;=DispoMonth),1,0)</f>
        <v/>
      </c>
      <c r="JV40" s="17">
        <f>IF(AND(279&gt;=DeliverStart,279&lt;=DispoMonth),1,0)</f>
        <v/>
      </c>
      <c r="JW40" s="17">
        <f>IF(AND(280&gt;=DeliverStart,280&lt;=DispoMonth),1,0)</f>
        <v/>
      </c>
      <c r="JX40" s="17">
        <f>IF(AND(281&gt;=DeliverStart,281&lt;=DispoMonth),1,0)</f>
        <v/>
      </c>
      <c r="JY40" s="17">
        <f>IF(AND(282&gt;=DeliverStart,282&lt;=DispoMonth),1,0)</f>
        <v/>
      </c>
      <c r="JZ40" s="17">
        <f>IF(AND(283&gt;=DeliverStart,283&lt;=DispoMonth),1,0)</f>
        <v/>
      </c>
      <c r="KA40" s="17">
        <f>IF(AND(284&gt;=DeliverStart,284&lt;=DispoMonth),1,0)</f>
        <v/>
      </c>
      <c r="KB40" s="17">
        <f>IF(AND(285&gt;=DeliverStart,285&lt;=DispoMonth),1,0)</f>
        <v/>
      </c>
      <c r="KC40" s="17">
        <f>IF(AND(286&gt;=DeliverStart,286&lt;=DispoMonth),1,0)</f>
        <v/>
      </c>
      <c r="KD40" s="17">
        <f>IF(AND(287&gt;=DeliverStart,287&lt;=DispoMonth),1,0)</f>
        <v/>
      </c>
      <c r="KE40" s="17">
        <f>IF(AND(288&gt;=DeliverStart,288&lt;=DispoMonth),1,0)</f>
        <v/>
      </c>
      <c r="KF40" s="17">
        <f>IF(AND(289&gt;=DeliverStart,289&lt;=DispoMonth),1,0)</f>
        <v/>
      </c>
      <c r="KG40" s="17">
        <f>IF(AND(290&gt;=DeliverStart,290&lt;=DispoMonth),1,0)</f>
        <v/>
      </c>
      <c r="KH40" s="17">
        <f>IF(AND(291&gt;=DeliverStart,291&lt;=DispoMonth),1,0)</f>
        <v/>
      </c>
      <c r="KI40" s="17">
        <f>IF(AND(292&gt;=DeliverStart,292&lt;=DispoMonth),1,0)</f>
        <v/>
      </c>
      <c r="KJ40" s="17">
        <f>IF(AND(293&gt;=DeliverStart,293&lt;=DispoMonth),1,0)</f>
        <v/>
      </c>
      <c r="KK40" s="17">
        <f>IF(AND(294&gt;=DeliverStart,294&lt;=DispoMonth),1,0)</f>
        <v/>
      </c>
      <c r="KL40" s="17">
        <f>IF(AND(295&gt;=DeliverStart,295&lt;=DispoMonth),1,0)</f>
        <v/>
      </c>
      <c r="KM40" s="17">
        <f>IF(AND(296&gt;=DeliverStart,296&lt;=DispoMonth),1,0)</f>
        <v/>
      </c>
      <c r="KN40" s="17">
        <f>IF(AND(297&gt;=DeliverStart,297&lt;=DispoMonth),1,0)</f>
        <v/>
      </c>
      <c r="KO40" s="17">
        <f>IF(AND(298&gt;=DeliverStart,298&lt;=DispoMonth),1,0)</f>
        <v/>
      </c>
      <c r="KP40" s="17">
        <f>IF(AND(299&gt;=DeliverStart,299&lt;=DispoMonth),1,0)</f>
        <v/>
      </c>
      <c r="KQ40" s="17">
        <f>IF(AND(300&gt;=DeliverStart,300&lt;=DispoMonth),1,0)</f>
        <v/>
      </c>
      <c r="KR40" s="17">
        <f>IF(AND(301&gt;=DeliverStart,301&lt;=DispoMonth),1,0)</f>
        <v/>
      </c>
      <c r="KS40" s="17">
        <f>IF(AND(302&gt;=DeliverStart,302&lt;=DispoMonth),1,0)</f>
        <v/>
      </c>
      <c r="KT40" s="17">
        <f>IF(AND(303&gt;=DeliverStart,303&lt;=DispoMonth),1,0)</f>
        <v/>
      </c>
      <c r="KU40" s="17">
        <f>IF(AND(304&gt;=DeliverStart,304&lt;=DispoMonth),1,0)</f>
        <v/>
      </c>
      <c r="KV40" s="17">
        <f>IF(AND(305&gt;=DeliverStart,305&lt;=DispoMonth),1,0)</f>
        <v/>
      </c>
      <c r="KW40" s="17">
        <f>IF(AND(306&gt;=DeliverStart,306&lt;=DispoMonth),1,0)</f>
        <v/>
      </c>
      <c r="KX40" s="17">
        <f>IF(AND(307&gt;=DeliverStart,307&lt;=DispoMonth),1,0)</f>
        <v/>
      </c>
      <c r="KY40" s="17">
        <f>IF(AND(308&gt;=DeliverStart,308&lt;=DispoMonth),1,0)</f>
        <v/>
      </c>
      <c r="KZ40" s="17">
        <f>IF(AND(309&gt;=DeliverStart,309&lt;=DispoMonth),1,0)</f>
        <v/>
      </c>
      <c r="LA40" s="17">
        <f>IF(AND(310&gt;=DeliverStart,310&lt;=DispoMonth),1,0)</f>
        <v/>
      </c>
      <c r="LB40" s="17">
        <f>IF(AND(311&gt;=DeliverStart,311&lt;=DispoMonth),1,0)</f>
        <v/>
      </c>
      <c r="LC40" s="17">
        <f>IF(AND(312&gt;=DeliverStart,312&lt;=DispoMonth),1,0)</f>
        <v/>
      </c>
      <c r="LD40" s="17">
        <f>IF(AND(313&gt;=DeliverStart,313&lt;=DispoMonth),1,0)</f>
        <v/>
      </c>
      <c r="LE40" s="17">
        <f>IF(AND(314&gt;=DeliverStart,314&lt;=DispoMonth),1,0)</f>
        <v/>
      </c>
      <c r="LF40" s="17">
        <f>IF(AND(315&gt;=DeliverStart,315&lt;=DispoMonth),1,0)</f>
        <v/>
      </c>
      <c r="LG40" s="17">
        <f>IF(AND(316&gt;=DeliverStart,316&lt;=DispoMonth),1,0)</f>
        <v/>
      </c>
      <c r="LH40" s="17">
        <f>IF(AND(317&gt;=DeliverStart,317&lt;=DispoMonth),1,0)</f>
        <v/>
      </c>
      <c r="LI40" s="17">
        <f>IF(AND(318&gt;=DeliverStart,318&lt;=DispoMonth),1,0)</f>
        <v/>
      </c>
      <c r="LJ40" s="17">
        <f>IF(AND(319&gt;=DeliverStart,319&lt;=DispoMonth),1,0)</f>
        <v/>
      </c>
      <c r="LK40" s="17">
        <f>IF(AND(320&gt;=DeliverStart,320&lt;=DispoMonth),1,0)</f>
        <v/>
      </c>
      <c r="LL40" s="17">
        <f>IF(AND(321&gt;=DeliverStart,321&lt;=DispoMonth),1,0)</f>
        <v/>
      </c>
      <c r="LM40" s="17">
        <f>IF(AND(322&gt;=DeliverStart,322&lt;=DispoMonth),1,0)</f>
        <v/>
      </c>
      <c r="LN40" s="17">
        <f>IF(AND(323&gt;=DeliverStart,323&lt;=DispoMonth),1,0)</f>
        <v/>
      </c>
      <c r="LO40" s="17">
        <f>IF(AND(324&gt;=DeliverStart,324&lt;=DispoMonth),1,0)</f>
        <v/>
      </c>
      <c r="LP40" s="17">
        <f>IF(AND(325&gt;=DeliverStart,325&lt;=DispoMonth),1,0)</f>
        <v/>
      </c>
      <c r="LQ40" s="17">
        <f>IF(AND(326&gt;=DeliverStart,326&lt;=DispoMonth),1,0)</f>
        <v/>
      </c>
      <c r="LR40" s="17">
        <f>IF(AND(327&gt;=DeliverStart,327&lt;=DispoMonth),1,0)</f>
        <v/>
      </c>
      <c r="LS40" s="17">
        <f>IF(AND(328&gt;=DeliverStart,328&lt;=DispoMonth),1,0)</f>
        <v/>
      </c>
      <c r="LT40" s="17">
        <f>IF(AND(329&gt;=DeliverStart,329&lt;=DispoMonth),1,0)</f>
        <v/>
      </c>
      <c r="LU40" s="17">
        <f>IF(AND(330&gt;=DeliverStart,330&lt;=DispoMonth),1,0)</f>
        <v/>
      </c>
      <c r="LV40" s="17">
        <f>IF(AND(331&gt;=DeliverStart,331&lt;=DispoMonth),1,0)</f>
        <v/>
      </c>
      <c r="LW40" s="17">
        <f>IF(AND(332&gt;=DeliverStart,332&lt;=DispoMonth),1,0)</f>
        <v/>
      </c>
      <c r="LX40" s="17">
        <f>IF(AND(333&gt;=DeliverStart,333&lt;=DispoMonth),1,0)</f>
        <v/>
      </c>
      <c r="LY40" s="17">
        <f>IF(AND(334&gt;=DeliverStart,334&lt;=DispoMonth),1,0)</f>
        <v/>
      </c>
      <c r="LZ40" s="17">
        <f>IF(AND(335&gt;=DeliverStart,335&lt;=DispoMonth),1,0)</f>
        <v/>
      </c>
      <c r="MA40" s="17">
        <f>IF(AND(336&gt;=DeliverStart,336&lt;=DispoMonth),1,0)</f>
        <v/>
      </c>
      <c r="MB40" s="17">
        <f>IF(AND(337&gt;=DeliverStart,337&lt;=DispoMonth),1,0)</f>
        <v/>
      </c>
      <c r="MC40" s="17">
        <f>IF(AND(338&gt;=DeliverStart,338&lt;=DispoMonth),1,0)</f>
        <v/>
      </c>
      <c r="MD40" s="17">
        <f>IF(AND(339&gt;=DeliverStart,339&lt;=DispoMonth),1,0)</f>
        <v/>
      </c>
      <c r="ME40" s="17">
        <f>IF(AND(340&gt;=DeliverStart,340&lt;=DispoMonth),1,0)</f>
        <v/>
      </c>
      <c r="MF40" s="17">
        <f>IF(AND(341&gt;=DeliverStart,341&lt;=DispoMonth),1,0)</f>
        <v/>
      </c>
      <c r="MG40" s="17">
        <f>IF(AND(342&gt;=DeliverStart,342&lt;=DispoMonth),1,0)</f>
        <v/>
      </c>
      <c r="MH40" s="17">
        <f>IF(AND(343&gt;=DeliverStart,343&lt;=DispoMonth),1,0)</f>
        <v/>
      </c>
      <c r="MI40" s="17">
        <f>IF(AND(344&gt;=DeliverStart,344&lt;=DispoMonth),1,0)</f>
        <v/>
      </c>
      <c r="MJ40" s="17">
        <f>IF(AND(345&gt;=DeliverStart,345&lt;=DispoMonth),1,0)</f>
        <v/>
      </c>
      <c r="MK40" s="17">
        <f>IF(AND(346&gt;=DeliverStart,346&lt;=DispoMonth),1,0)</f>
        <v/>
      </c>
      <c r="ML40" s="17">
        <f>IF(AND(347&gt;=DeliverStart,347&lt;=DispoMonth),1,0)</f>
        <v/>
      </c>
      <c r="MM40" s="17">
        <f>IF(AND(348&gt;=DeliverStart,348&lt;=DispoMonth),1,0)</f>
        <v/>
      </c>
      <c r="MN40" s="17">
        <f>IF(AND(349&gt;=DeliverStart,349&lt;=DispoMonth),1,0)</f>
        <v/>
      </c>
      <c r="MO40" s="17">
        <f>IF(AND(350&gt;=DeliverStart,350&lt;=DispoMonth),1,0)</f>
        <v/>
      </c>
      <c r="MP40" s="17">
        <f>IF(AND(351&gt;=DeliverStart,351&lt;=DispoMonth),1,0)</f>
        <v/>
      </c>
      <c r="MQ40" s="17">
        <f>IF(AND(352&gt;=DeliverStart,352&lt;=DispoMonth),1,0)</f>
        <v/>
      </c>
      <c r="MR40" s="17">
        <f>IF(AND(353&gt;=DeliverStart,353&lt;=DispoMonth),1,0)</f>
        <v/>
      </c>
      <c r="MS40" s="17">
        <f>IF(AND(354&gt;=DeliverStart,354&lt;=DispoMonth),1,0)</f>
        <v/>
      </c>
      <c r="MT40" s="17">
        <f>IF(AND(355&gt;=DeliverStart,355&lt;=DispoMonth),1,0)</f>
        <v/>
      </c>
      <c r="MU40" s="17">
        <f>IF(AND(356&gt;=DeliverStart,356&lt;=DispoMonth),1,0)</f>
        <v/>
      </c>
      <c r="MV40" s="17">
        <f>IF(AND(357&gt;=DeliverStart,357&lt;=DispoMonth),1,0)</f>
        <v/>
      </c>
      <c r="MW40" s="17">
        <f>IF(AND(358&gt;=DeliverStart,358&lt;=DispoMonth),1,0)</f>
        <v/>
      </c>
      <c r="MX40" s="17">
        <f>IF(AND(359&gt;=DeliverStart,359&lt;=DispoMonth),1,0)</f>
        <v/>
      </c>
      <c r="MY40" s="17">
        <f>IF(AND(360&gt;=DeliverStart,360&lt;=DispoMonth),1,0)</f>
        <v/>
      </c>
      <c r="MZ40" s="17">
        <f>IF(AND(361&gt;=DeliverStart,361&lt;=DispoMonth),1,0)</f>
        <v/>
      </c>
      <c r="NA40" s="17">
        <f>IF(AND(362&gt;=DeliverStart,362&lt;=DispoMonth),1,0)</f>
        <v/>
      </c>
      <c r="NB40" s="17">
        <f>IF(AND(363&gt;=DeliverStart,363&lt;=DispoMonth),1,0)</f>
        <v/>
      </c>
      <c r="NC40" s="17">
        <f>IF(AND(364&gt;=DeliverStart,364&lt;=DispoMonth),1,0)</f>
        <v/>
      </c>
      <c r="ND40" s="17">
        <f>IF(AND(365&gt;=DeliverStart,365&lt;=DispoMonth),1,0)</f>
        <v/>
      </c>
      <c r="NE40" s="17">
        <f>IF(AND(366&gt;=DeliverStart,366&lt;=DispoMonth),1,0)</f>
        <v/>
      </c>
      <c r="NF40" s="17">
        <f>IF(AND(367&gt;=DeliverStart,367&lt;=DispoMonth),1,0)</f>
        <v/>
      </c>
      <c r="NG40" s="17">
        <f>IF(AND(368&gt;=DeliverStart,368&lt;=DispoMonth),1,0)</f>
        <v/>
      </c>
      <c r="NH40" s="17">
        <f>IF(AND(369&gt;=DeliverStart,369&lt;=DispoMonth),1,0)</f>
        <v/>
      </c>
      <c r="NI40" s="17">
        <f>IF(AND(370&gt;=DeliverStart,370&lt;=DispoMonth),1,0)</f>
        <v/>
      </c>
      <c r="NJ40" s="17">
        <f>IF(AND(371&gt;=DeliverStart,371&lt;=DispoMonth),1,0)</f>
        <v/>
      </c>
      <c r="NK40" s="17">
        <f>IF(AND(372&gt;=DeliverStart,372&lt;=DispoMonth),1,0)</f>
        <v/>
      </c>
    </row>
    <row r="41">
      <c r="A41" s="5" t="inlineStr">
        <is>
          <t>Flag: Con Loan Active</t>
        </is>
      </c>
      <c r="C41" s="40" t="n"/>
      <c r="D41" s="17">
        <f>IF(AND(1&gt;=ConStart,1&lt;=ConPayoffMonth),1,0)</f>
        <v/>
      </c>
      <c r="E41" s="17">
        <f>IF(AND(2&gt;=ConStart,2&lt;=ConPayoffMonth),1,0)</f>
        <v/>
      </c>
      <c r="F41" s="17">
        <f>IF(AND(3&gt;=ConStart,3&lt;=ConPayoffMonth),1,0)</f>
        <v/>
      </c>
      <c r="G41" s="17">
        <f>IF(AND(4&gt;=ConStart,4&lt;=ConPayoffMonth),1,0)</f>
        <v/>
      </c>
      <c r="H41" s="17">
        <f>IF(AND(5&gt;=ConStart,5&lt;=ConPayoffMonth),1,0)</f>
        <v/>
      </c>
      <c r="I41" s="17">
        <f>IF(AND(6&gt;=ConStart,6&lt;=ConPayoffMonth),1,0)</f>
        <v/>
      </c>
      <c r="J41" s="17">
        <f>IF(AND(7&gt;=ConStart,7&lt;=ConPayoffMonth),1,0)</f>
        <v/>
      </c>
      <c r="K41" s="17">
        <f>IF(AND(8&gt;=ConStart,8&lt;=ConPayoffMonth),1,0)</f>
        <v/>
      </c>
      <c r="L41" s="17">
        <f>IF(AND(9&gt;=ConStart,9&lt;=ConPayoffMonth),1,0)</f>
        <v/>
      </c>
      <c r="M41" s="17">
        <f>IF(AND(10&gt;=ConStart,10&lt;=ConPayoffMonth),1,0)</f>
        <v/>
      </c>
      <c r="N41" s="17">
        <f>IF(AND(11&gt;=ConStart,11&lt;=ConPayoffMonth),1,0)</f>
        <v/>
      </c>
      <c r="O41" s="17">
        <f>IF(AND(12&gt;=ConStart,12&lt;=ConPayoffMonth),1,0)</f>
        <v/>
      </c>
      <c r="P41" s="17">
        <f>IF(AND(13&gt;=ConStart,13&lt;=ConPayoffMonth),1,0)</f>
        <v/>
      </c>
      <c r="Q41" s="17">
        <f>IF(AND(14&gt;=ConStart,14&lt;=ConPayoffMonth),1,0)</f>
        <v/>
      </c>
      <c r="R41" s="17">
        <f>IF(AND(15&gt;=ConStart,15&lt;=ConPayoffMonth),1,0)</f>
        <v/>
      </c>
      <c r="S41" s="17">
        <f>IF(AND(16&gt;=ConStart,16&lt;=ConPayoffMonth),1,0)</f>
        <v/>
      </c>
      <c r="T41" s="17">
        <f>IF(AND(17&gt;=ConStart,17&lt;=ConPayoffMonth),1,0)</f>
        <v/>
      </c>
      <c r="U41" s="17">
        <f>IF(AND(18&gt;=ConStart,18&lt;=ConPayoffMonth),1,0)</f>
        <v/>
      </c>
      <c r="V41" s="17">
        <f>IF(AND(19&gt;=ConStart,19&lt;=ConPayoffMonth),1,0)</f>
        <v/>
      </c>
      <c r="W41" s="17">
        <f>IF(AND(20&gt;=ConStart,20&lt;=ConPayoffMonth),1,0)</f>
        <v/>
      </c>
      <c r="X41" s="17">
        <f>IF(AND(21&gt;=ConStart,21&lt;=ConPayoffMonth),1,0)</f>
        <v/>
      </c>
      <c r="Y41" s="17">
        <f>IF(AND(22&gt;=ConStart,22&lt;=ConPayoffMonth),1,0)</f>
        <v/>
      </c>
      <c r="Z41" s="17">
        <f>IF(AND(23&gt;=ConStart,23&lt;=ConPayoffMonth),1,0)</f>
        <v/>
      </c>
      <c r="AA41" s="17">
        <f>IF(AND(24&gt;=ConStart,24&lt;=ConPayoffMonth),1,0)</f>
        <v/>
      </c>
      <c r="AB41" s="17">
        <f>IF(AND(25&gt;=ConStart,25&lt;=ConPayoffMonth),1,0)</f>
        <v/>
      </c>
      <c r="AC41" s="17">
        <f>IF(AND(26&gt;=ConStart,26&lt;=ConPayoffMonth),1,0)</f>
        <v/>
      </c>
      <c r="AD41" s="17">
        <f>IF(AND(27&gt;=ConStart,27&lt;=ConPayoffMonth),1,0)</f>
        <v/>
      </c>
      <c r="AE41" s="17">
        <f>IF(AND(28&gt;=ConStart,28&lt;=ConPayoffMonth),1,0)</f>
        <v/>
      </c>
      <c r="AF41" s="17">
        <f>IF(AND(29&gt;=ConStart,29&lt;=ConPayoffMonth),1,0)</f>
        <v/>
      </c>
      <c r="AG41" s="17">
        <f>IF(AND(30&gt;=ConStart,30&lt;=ConPayoffMonth),1,0)</f>
        <v/>
      </c>
      <c r="AH41" s="17">
        <f>IF(AND(31&gt;=ConStart,31&lt;=ConPayoffMonth),1,0)</f>
        <v/>
      </c>
      <c r="AI41" s="17">
        <f>IF(AND(32&gt;=ConStart,32&lt;=ConPayoffMonth),1,0)</f>
        <v/>
      </c>
      <c r="AJ41" s="17">
        <f>IF(AND(33&gt;=ConStart,33&lt;=ConPayoffMonth),1,0)</f>
        <v/>
      </c>
      <c r="AK41" s="17">
        <f>IF(AND(34&gt;=ConStart,34&lt;=ConPayoffMonth),1,0)</f>
        <v/>
      </c>
      <c r="AL41" s="17">
        <f>IF(AND(35&gt;=ConStart,35&lt;=ConPayoffMonth),1,0)</f>
        <v/>
      </c>
      <c r="AM41" s="17">
        <f>IF(AND(36&gt;=ConStart,36&lt;=ConPayoffMonth),1,0)</f>
        <v/>
      </c>
      <c r="AN41" s="17">
        <f>IF(AND(37&gt;=ConStart,37&lt;=ConPayoffMonth),1,0)</f>
        <v/>
      </c>
      <c r="AO41" s="17">
        <f>IF(AND(38&gt;=ConStart,38&lt;=ConPayoffMonth),1,0)</f>
        <v/>
      </c>
      <c r="AP41" s="17">
        <f>IF(AND(39&gt;=ConStart,39&lt;=ConPayoffMonth),1,0)</f>
        <v/>
      </c>
      <c r="AQ41" s="17">
        <f>IF(AND(40&gt;=ConStart,40&lt;=ConPayoffMonth),1,0)</f>
        <v/>
      </c>
      <c r="AR41" s="17">
        <f>IF(AND(41&gt;=ConStart,41&lt;=ConPayoffMonth),1,0)</f>
        <v/>
      </c>
      <c r="AS41" s="17">
        <f>IF(AND(42&gt;=ConStart,42&lt;=ConPayoffMonth),1,0)</f>
        <v/>
      </c>
      <c r="AT41" s="17">
        <f>IF(AND(43&gt;=ConStart,43&lt;=ConPayoffMonth),1,0)</f>
        <v/>
      </c>
      <c r="AU41" s="17">
        <f>IF(AND(44&gt;=ConStart,44&lt;=ConPayoffMonth),1,0)</f>
        <v/>
      </c>
      <c r="AV41" s="17">
        <f>IF(AND(45&gt;=ConStart,45&lt;=ConPayoffMonth),1,0)</f>
        <v/>
      </c>
      <c r="AW41" s="17">
        <f>IF(AND(46&gt;=ConStart,46&lt;=ConPayoffMonth),1,0)</f>
        <v/>
      </c>
      <c r="AX41" s="17">
        <f>IF(AND(47&gt;=ConStart,47&lt;=ConPayoffMonth),1,0)</f>
        <v/>
      </c>
      <c r="AY41" s="17">
        <f>IF(AND(48&gt;=ConStart,48&lt;=ConPayoffMonth),1,0)</f>
        <v/>
      </c>
      <c r="AZ41" s="17">
        <f>IF(AND(49&gt;=ConStart,49&lt;=ConPayoffMonth),1,0)</f>
        <v/>
      </c>
      <c r="BA41" s="17">
        <f>IF(AND(50&gt;=ConStart,50&lt;=ConPayoffMonth),1,0)</f>
        <v/>
      </c>
      <c r="BB41" s="17">
        <f>IF(AND(51&gt;=ConStart,51&lt;=ConPayoffMonth),1,0)</f>
        <v/>
      </c>
      <c r="BC41" s="17">
        <f>IF(AND(52&gt;=ConStart,52&lt;=ConPayoffMonth),1,0)</f>
        <v/>
      </c>
      <c r="BD41" s="17">
        <f>IF(AND(53&gt;=ConStart,53&lt;=ConPayoffMonth),1,0)</f>
        <v/>
      </c>
      <c r="BE41" s="17">
        <f>IF(AND(54&gt;=ConStart,54&lt;=ConPayoffMonth),1,0)</f>
        <v/>
      </c>
      <c r="BF41" s="17">
        <f>IF(AND(55&gt;=ConStart,55&lt;=ConPayoffMonth),1,0)</f>
        <v/>
      </c>
      <c r="BG41" s="17">
        <f>IF(AND(56&gt;=ConStart,56&lt;=ConPayoffMonth),1,0)</f>
        <v/>
      </c>
      <c r="BH41" s="17">
        <f>IF(AND(57&gt;=ConStart,57&lt;=ConPayoffMonth),1,0)</f>
        <v/>
      </c>
      <c r="BI41" s="17">
        <f>IF(AND(58&gt;=ConStart,58&lt;=ConPayoffMonth),1,0)</f>
        <v/>
      </c>
      <c r="BJ41" s="17">
        <f>IF(AND(59&gt;=ConStart,59&lt;=ConPayoffMonth),1,0)</f>
        <v/>
      </c>
      <c r="BK41" s="17">
        <f>IF(AND(60&gt;=ConStart,60&lt;=ConPayoffMonth),1,0)</f>
        <v/>
      </c>
      <c r="BL41" s="17">
        <f>IF(AND(61&gt;=ConStart,61&lt;=ConPayoffMonth),1,0)</f>
        <v/>
      </c>
      <c r="BM41" s="17">
        <f>IF(AND(62&gt;=ConStart,62&lt;=ConPayoffMonth),1,0)</f>
        <v/>
      </c>
      <c r="BN41" s="17">
        <f>IF(AND(63&gt;=ConStart,63&lt;=ConPayoffMonth),1,0)</f>
        <v/>
      </c>
      <c r="BO41" s="17">
        <f>IF(AND(64&gt;=ConStart,64&lt;=ConPayoffMonth),1,0)</f>
        <v/>
      </c>
      <c r="BP41" s="17">
        <f>IF(AND(65&gt;=ConStart,65&lt;=ConPayoffMonth),1,0)</f>
        <v/>
      </c>
      <c r="BQ41" s="17">
        <f>IF(AND(66&gt;=ConStart,66&lt;=ConPayoffMonth),1,0)</f>
        <v/>
      </c>
      <c r="BR41" s="17">
        <f>IF(AND(67&gt;=ConStart,67&lt;=ConPayoffMonth),1,0)</f>
        <v/>
      </c>
      <c r="BS41" s="17">
        <f>IF(AND(68&gt;=ConStart,68&lt;=ConPayoffMonth),1,0)</f>
        <v/>
      </c>
      <c r="BT41" s="17">
        <f>IF(AND(69&gt;=ConStart,69&lt;=ConPayoffMonth),1,0)</f>
        <v/>
      </c>
      <c r="BU41" s="17">
        <f>IF(AND(70&gt;=ConStart,70&lt;=ConPayoffMonth),1,0)</f>
        <v/>
      </c>
      <c r="BV41" s="17">
        <f>IF(AND(71&gt;=ConStart,71&lt;=ConPayoffMonth),1,0)</f>
        <v/>
      </c>
      <c r="BW41" s="17">
        <f>IF(AND(72&gt;=ConStart,72&lt;=ConPayoffMonth),1,0)</f>
        <v/>
      </c>
      <c r="BX41" s="17">
        <f>IF(AND(73&gt;=ConStart,73&lt;=ConPayoffMonth),1,0)</f>
        <v/>
      </c>
      <c r="BY41" s="17">
        <f>IF(AND(74&gt;=ConStart,74&lt;=ConPayoffMonth),1,0)</f>
        <v/>
      </c>
      <c r="BZ41" s="17">
        <f>IF(AND(75&gt;=ConStart,75&lt;=ConPayoffMonth),1,0)</f>
        <v/>
      </c>
      <c r="CA41" s="17">
        <f>IF(AND(76&gt;=ConStart,76&lt;=ConPayoffMonth),1,0)</f>
        <v/>
      </c>
      <c r="CB41" s="17">
        <f>IF(AND(77&gt;=ConStart,77&lt;=ConPayoffMonth),1,0)</f>
        <v/>
      </c>
      <c r="CC41" s="17">
        <f>IF(AND(78&gt;=ConStart,78&lt;=ConPayoffMonth),1,0)</f>
        <v/>
      </c>
      <c r="CD41" s="17">
        <f>IF(AND(79&gt;=ConStart,79&lt;=ConPayoffMonth),1,0)</f>
        <v/>
      </c>
      <c r="CE41" s="17">
        <f>IF(AND(80&gt;=ConStart,80&lt;=ConPayoffMonth),1,0)</f>
        <v/>
      </c>
      <c r="CF41" s="17">
        <f>IF(AND(81&gt;=ConStart,81&lt;=ConPayoffMonth),1,0)</f>
        <v/>
      </c>
      <c r="CG41" s="17">
        <f>IF(AND(82&gt;=ConStart,82&lt;=ConPayoffMonth),1,0)</f>
        <v/>
      </c>
      <c r="CH41" s="17">
        <f>IF(AND(83&gt;=ConStart,83&lt;=ConPayoffMonth),1,0)</f>
        <v/>
      </c>
      <c r="CI41" s="17">
        <f>IF(AND(84&gt;=ConStart,84&lt;=ConPayoffMonth),1,0)</f>
        <v/>
      </c>
      <c r="CJ41" s="17">
        <f>IF(AND(85&gt;=ConStart,85&lt;=ConPayoffMonth),1,0)</f>
        <v/>
      </c>
      <c r="CK41" s="17">
        <f>IF(AND(86&gt;=ConStart,86&lt;=ConPayoffMonth),1,0)</f>
        <v/>
      </c>
      <c r="CL41" s="17">
        <f>IF(AND(87&gt;=ConStart,87&lt;=ConPayoffMonth),1,0)</f>
        <v/>
      </c>
      <c r="CM41" s="17">
        <f>IF(AND(88&gt;=ConStart,88&lt;=ConPayoffMonth),1,0)</f>
        <v/>
      </c>
      <c r="CN41" s="17">
        <f>IF(AND(89&gt;=ConStart,89&lt;=ConPayoffMonth),1,0)</f>
        <v/>
      </c>
      <c r="CO41" s="17">
        <f>IF(AND(90&gt;=ConStart,90&lt;=ConPayoffMonth),1,0)</f>
        <v/>
      </c>
      <c r="CP41" s="17">
        <f>IF(AND(91&gt;=ConStart,91&lt;=ConPayoffMonth),1,0)</f>
        <v/>
      </c>
      <c r="CQ41" s="17">
        <f>IF(AND(92&gt;=ConStart,92&lt;=ConPayoffMonth),1,0)</f>
        <v/>
      </c>
      <c r="CR41" s="17">
        <f>IF(AND(93&gt;=ConStart,93&lt;=ConPayoffMonth),1,0)</f>
        <v/>
      </c>
      <c r="CS41" s="17">
        <f>IF(AND(94&gt;=ConStart,94&lt;=ConPayoffMonth),1,0)</f>
        <v/>
      </c>
      <c r="CT41" s="17">
        <f>IF(AND(95&gt;=ConStart,95&lt;=ConPayoffMonth),1,0)</f>
        <v/>
      </c>
      <c r="CU41" s="17">
        <f>IF(AND(96&gt;=ConStart,96&lt;=ConPayoffMonth),1,0)</f>
        <v/>
      </c>
      <c r="CV41" s="17">
        <f>IF(AND(97&gt;=ConStart,97&lt;=ConPayoffMonth),1,0)</f>
        <v/>
      </c>
      <c r="CW41" s="17">
        <f>IF(AND(98&gt;=ConStart,98&lt;=ConPayoffMonth),1,0)</f>
        <v/>
      </c>
      <c r="CX41" s="17">
        <f>IF(AND(99&gt;=ConStart,99&lt;=ConPayoffMonth),1,0)</f>
        <v/>
      </c>
      <c r="CY41" s="17">
        <f>IF(AND(100&gt;=ConStart,100&lt;=ConPayoffMonth),1,0)</f>
        <v/>
      </c>
      <c r="CZ41" s="17">
        <f>IF(AND(101&gt;=ConStart,101&lt;=ConPayoffMonth),1,0)</f>
        <v/>
      </c>
      <c r="DA41" s="17">
        <f>IF(AND(102&gt;=ConStart,102&lt;=ConPayoffMonth),1,0)</f>
        <v/>
      </c>
      <c r="DB41" s="17">
        <f>IF(AND(103&gt;=ConStart,103&lt;=ConPayoffMonth),1,0)</f>
        <v/>
      </c>
      <c r="DC41" s="17">
        <f>IF(AND(104&gt;=ConStart,104&lt;=ConPayoffMonth),1,0)</f>
        <v/>
      </c>
      <c r="DD41" s="17">
        <f>IF(AND(105&gt;=ConStart,105&lt;=ConPayoffMonth),1,0)</f>
        <v/>
      </c>
      <c r="DE41" s="17">
        <f>IF(AND(106&gt;=ConStart,106&lt;=ConPayoffMonth),1,0)</f>
        <v/>
      </c>
      <c r="DF41" s="17">
        <f>IF(AND(107&gt;=ConStart,107&lt;=ConPayoffMonth),1,0)</f>
        <v/>
      </c>
      <c r="DG41" s="17">
        <f>IF(AND(108&gt;=ConStart,108&lt;=ConPayoffMonth),1,0)</f>
        <v/>
      </c>
      <c r="DH41" s="17">
        <f>IF(AND(109&gt;=ConStart,109&lt;=ConPayoffMonth),1,0)</f>
        <v/>
      </c>
      <c r="DI41" s="17">
        <f>IF(AND(110&gt;=ConStart,110&lt;=ConPayoffMonth),1,0)</f>
        <v/>
      </c>
      <c r="DJ41" s="17">
        <f>IF(AND(111&gt;=ConStart,111&lt;=ConPayoffMonth),1,0)</f>
        <v/>
      </c>
      <c r="DK41" s="17">
        <f>IF(AND(112&gt;=ConStart,112&lt;=ConPayoffMonth),1,0)</f>
        <v/>
      </c>
      <c r="DL41" s="17">
        <f>IF(AND(113&gt;=ConStart,113&lt;=ConPayoffMonth),1,0)</f>
        <v/>
      </c>
      <c r="DM41" s="17">
        <f>IF(AND(114&gt;=ConStart,114&lt;=ConPayoffMonth),1,0)</f>
        <v/>
      </c>
      <c r="DN41" s="17">
        <f>IF(AND(115&gt;=ConStart,115&lt;=ConPayoffMonth),1,0)</f>
        <v/>
      </c>
      <c r="DO41" s="17">
        <f>IF(AND(116&gt;=ConStart,116&lt;=ConPayoffMonth),1,0)</f>
        <v/>
      </c>
      <c r="DP41" s="17">
        <f>IF(AND(117&gt;=ConStart,117&lt;=ConPayoffMonth),1,0)</f>
        <v/>
      </c>
      <c r="DQ41" s="17">
        <f>IF(AND(118&gt;=ConStart,118&lt;=ConPayoffMonth),1,0)</f>
        <v/>
      </c>
      <c r="DR41" s="17">
        <f>IF(AND(119&gt;=ConStart,119&lt;=ConPayoffMonth),1,0)</f>
        <v/>
      </c>
      <c r="DS41" s="17">
        <f>IF(AND(120&gt;=ConStart,120&lt;=ConPayoffMonth),1,0)</f>
        <v/>
      </c>
      <c r="DT41" s="17">
        <f>IF(AND(121&gt;=ConStart,121&lt;=ConPayoffMonth),1,0)</f>
        <v/>
      </c>
      <c r="DU41" s="17">
        <f>IF(AND(122&gt;=ConStart,122&lt;=ConPayoffMonth),1,0)</f>
        <v/>
      </c>
      <c r="DV41" s="17">
        <f>IF(AND(123&gt;=ConStart,123&lt;=ConPayoffMonth),1,0)</f>
        <v/>
      </c>
      <c r="DW41" s="17">
        <f>IF(AND(124&gt;=ConStart,124&lt;=ConPayoffMonth),1,0)</f>
        <v/>
      </c>
      <c r="DX41" s="17">
        <f>IF(AND(125&gt;=ConStart,125&lt;=ConPayoffMonth),1,0)</f>
        <v/>
      </c>
      <c r="DY41" s="17">
        <f>IF(AND(126&gt;=ConStart,126&lt;=ConPayoffMonth),1,0)</f>
        <v/>
      </c>
      <c r="DZ41" s="17">
        <f>IF(AND(127&gt;=ConStart,127&lt;=ConPayoffMonth),1,0)</f>
        <v/>
      </c>
      <c r="EA41" s="17">
        <f>IF(AND(128&gt;=ConStart,128&lt;=ConPayoffMonth),1,0)</f>
        <v/>
      </c>
      <c r="EB41" s="17">
        <f>IF(AND(129&gt;=ConStart,129&lt;=ConPayoffMonth),1,0)</f>
        <v/>
      </c>
      <c r="EC41" s="17">
        <f>IF(AND(130&gt;=ConStart,130&lt;=ConPayoffMonth),1,0)</f>
        <v/>
      </c>
      <c r="ED41" s="17">
        <f>IF(AND(131&gt;=ConStart,131&lt;=ConPayoffMonth),1,0)</f>
        <v/>
      </c>
      <c r="EE41" s="17">
        <f>IF(AND(132&gt;=ConStart,132&lt;=ConPayoffMonth),1,0)</f>
        <v/>
      </c>
      <c r="EF41" s="17">
        <f>IF(AND(133&gt;=ConStart,133&lt;=ConPayoffMonth),1,0)</f>
        <v/>
      </c>
      <c r="EG41" s="17">
        <f>IF(AND(134&gt;=ConStart,134&lt;=ConPayoffMonth),1,0)</f>
        <v/>
      </c>
      <c r="EH41" s="17">
        <f>IF(AND(135&gt;=ConStart,135&lt;=ConPayoffMonth),1,0)</f>
        <v/>
      </c>
      <c r="EI41" s="17">
        <f>IF(AND(136&gt;=ConStart,136&lt;=ConPayoffMonth),1,0)</f>
        <v/>
      </c>
      <c r="EJ41" s="17">
        <f>IF(AND(137&gt;=ConStart,137&lt;=ConPayoffMonth),1,0)</f>
        <v/>
      </c>
      <c r="EK41" s="17">
        <f>IF(AND(138&gt;=ConStart,138&lt;=ConPayoffMonth),1,0)</f>
        <v/>
      </c>
      <c r="EL41" s="17">
        <f>IF(AND(139&gt;=ConStart,139&lt;=ConPayoffMonth),1,0)</f>
        <v/>
      </c>
      <c r="EM41" s="17">
        <f>IF(AND(140&gt;=ConStart,140&lt;=ConPayoffMonth),1,0)</f>
        <v/>
      </c>
      <c r="EN41" s="17">
        <f>IF(AND(141&gt;=ConStart,141&lt;=ConPayoffMonth),1,0)</f>
        <v/>
      </c>
      <c r="EO41" s="17">
        <f>IF(AND(142&gt;=ConStart,142&lt;=ConPayoffMonth),1,0)</f>
        <v/>
      </c>
      <c r="EP41" s="17">
        <f>IF(AND(143&gt;=ConStart,143&lt;=ConPayoffMonth),1,0)</f>
        <v/>
      </c>
      <c r="EQ41" s="17">
        <f>IF(AND(144&gt;=ConStart,144&lt;=ConPayoffMonth),1,0)</f>
        <v/>
      </c>
      <c r="ER41" s="17">
        <f>IF(AND(145&gt;=ConStart,145&lt;=ConPayoffMonth),1,0)</f>
        <v/>
      </c>
      <c r="ES41" s="17">
        <f>IF(AND(146&gt;=ConStart,146&lt;=ConPayoffMonth),1,0)</f>
        <v/>
      </c>
      <c r="ET41" s="17">
        <f>IF(AND(147&gt;=ConStart,147&lt;=ConPayoffMonth),1,0)</f>
        <v/>
      </c>
      <c r="EU41" s="17">
        <f>IF(AND(148&gt;=ConStart,148&lt;=ConPayoffMonth),1,0)</f>
        <v/>
      </c>
      <c r="EV41" s="17">
        <f>IF(AND(149&gt;=ConStart,149&lt;=ConPayoffMonth),1,0)</f>
        <v/>
      </c>
      <c r="EW41" s="17">
        <f>IF(AND(150&gt;=ConStart,150&lt;=ConPayoffMonth),1,0)</f>
        <v/>
      </c>
      <c r="EX41" s="17">
        <f>IF(AND(151&gt;=ConStart,151&lt;=ConPayoffMonth),1,0)</f>
        <v/>
      </c>
      <c r="EY41" s="17">
        <f>IF(AND(152&gt;=ConStart,152&lt;=ConPayoffMonth),1,0)</f>
        <v/>
      </c>
      <c r="EZ41" s="17">
        <f>IF(AND(153&gt;=ConStart,153&lt;=ConPayoffMonth),1,0)</f>
        <v/>
      </c>
      <c r="FA41" s="17">
        <f>IF(AND(154&gt;=ConStart,154&lt;=ConPayoffMonth),1,0)</f>
        <v/>
      </c>
      <c r="FB41" s="17">
        <f>IF(AND(155&gt;=ConStart,155&lt;=ConPayoffMonth),1,0)</f>
        <v/>
      </c>
      <c r="FC41" s="17">
        <f>IF(AND(156&gt;=ConStart,156&lt;=ConPayoffMonth),1,0)</f>
        <v/>
      </c>
      <c r="FD41" s="17">
        <f>IF(AND(157&gt;=ConStart,157&lt;=ConPayoffMonth),1,0)</f>
        <v/>
      </c>
      <c r="FE41" s="17">
        <f>IF(AND(158&gt;=ConStart,158&lt;=ConPayoffMonth),1,0)</f>
        <v/>
      </c>
      <c r="FF41" s="17">
        <f>IF(AND(159&gt;=ConStart,159&lt;=ConPayoffMonth),1,0)</f>
        <v/>
      </c>
      <c r="FG41" s="17">
        <f>IF(AND(160&gt;=ConStart,160&lt;=ConPayoffMonth),1,0)</f>
        <v/>
      </c>
      <c r="FH41" s="17">
        <f>IF(AND(161&gt;=ConStart,161&lt;=ConPayoffMonth),1,0)</f>
        <v/>
      </c>
      <c r="FI41" s="17">
        <f>IF(AND(162&gt;=ConStart,162&lt;=ConPayoffMonth),1,0)</f>
        <v/>
      </c>
      <c r="FJ41" s="17">
        <f>IF(AND(163&gt;=ConStart,163&lt;=ConPayoffMonth),1,0)</f>
        <v/>
      </c>
      <c r="FK41" s="17">
        <f>IF(AND(164&gt;=ConStart,164&lt;=ConPayoffMonth),1,0)</f>
        <v/>
      </c>
      <c r="FL41" s="17">
        <f>IF(AND(165&gt;=ConStart,165&lt;=ConPayoffMonth),1,0)</f>
        <v/>
      </c>
      <c r="FM41" s="17">
        <f>IF(AND(166&gt;=ConStart,166&lt;=ConPayoffMonth),1,0)</f>
        <v/>
      </c>
      <c r="FN41" s="17">
        <f>IF(AND(167&gt;=ConStart,167&lt;=ConPayoffMonth),1,0)</f>
        <v/>
      </c>
      <c r="FO41" s="17">
        <f>IF(AND(168&gt;=ConStart,168&lt;=ConPayoffMonth),1,0)</f>
        <v/>
      </c>
      <c r="FP41" s="17">
        <f>IF(AND(169&gt;=ConStart,169&lt;=ConPayoffMonth),1,0)</f>
        <v/>
      </c>
      <c r="FQ41" s="17">
        <f>IF(AND(170&gt;=ConStart,170&lt;=ConPayoffMonth),1,0)</f>
        <v/>
      </c>
      <c r="FR41" s="17">
        <f>IF(AND(171&gt;=ConStart,171&lt;=ConPayoffMonth),1,0)</f>
        <v/>
      </c>
      <c r="FS41" s="17">
        <f>IF(AND(172&gt;=ConStart,172&lt;=ConPayoffMonth),1,0)</f>
        <v/>
      </c>
      <c r="FT41" s="17">
        <f>IF(AND(173&gt;=ConStart,173&lt;=ConPayoffMonth),1,0)</f>
        <v/>
      </c>
      <c r="FU41" s="17">
        <f>IF(AND(174&gt;=ConStart,174&lt;=ConPayoffMonth),1,0)</f>
        <v/>
      </c>
      <c r="FV41" s="17">
        <f>IF(AND(175&gt;=ConStart,175&lt;=ConPayoffMonth),1,0)</f>
        <v/>
      </c>
      <c r="FW41" s="17">
        <f>IF(AND(176&gt;=ConStart,176&lt;=ConPayoffMonth),1,0)</f>
        <v/>
      </c>
      <c r="FX41" s="17">
        <f>IF(AND(177&gt;=ConStart,177&lt;=ConPayoffMonth),1,0)</f>
        <v/>
      </c>
      <c r="FY41" s="17">
        <f>IF(AND(178&gt;=ConStart,178&lt;=ConPayoffMonth),1,0)</f>
        <v/>
      </c>
      <c r="FZ41" s="17">
        <f>IF(AND(179&gt;=ConStart,179&lt;=ConPayoffMonth),1,0)</f>
        <v/>
      </c>
      <c r="GA41" s="17">
        <f>IF(AND(180&gt;=ConStart,180&lt;=ConPayoffMonth),1,0)</f>
        <v/>
      </c>
      <c r="GB41" s="17">
        <f>IF(AND(181&gt;=ConStart,181&lt;=ConPayoffMonth),1,0)</f>
        <v/>
      </c>
      <c r="GC41" s="17">
        <f>IF(AND(182&gt;=ConStart,182&lt;=ConPayoffMonth),1,0)</f>
        <v/>
      </c>
      <c r="GD41" s="17">
        <f>IF(AND(183&gt;=ConStart,183&lt;=ConPayoffMonth),1,0)</f>
        <v/>
      </c>
      <c r="GE41" s="17">
        <f>IF(AND(184&gt;=ConStart,184&lt;=ConPayoffMonth),1,0)</f>
        <v/>
      </c>
      <c r="GF41" s="17">
        <f>IF(AND(185&gt;=ConStart,185&lt;=ConPayoffMonth),1,0)</f>
        <v/>
      </c>
      <c r="GG41" s="17">
        <f>IF(AND(186&gt;=ConStart,186&lt;=ConPayoffMonth),1,0)</f>
        <v/>
      </c>
      <c r="GH41" s="17">
        <f>IF(AND(187&gt;=ConStart,187&lt;=ConPayoffMonth),1,0)</f>
        <v/>
      </c>
      <c r="GI41" s="17">
        <f>IF(AND(188&gt;=ConStart,188&lt;=ConPayoffMonth),1,0)</f>
        <v/>
      </c>
      <c r="GJ41" s="17">
        <f>IF(AND(189&gt;=ConStart,189&lt;=ConPayoffMonth),1,0)</f>
        <v/>
      </c>
      <c r="GK41" s="17">
        <f>IF(AND(190&gt;=ConStart,190&lt;=ConPayoffMonth),1,0)</f>
        <v/>
      </c>
      <c r="GL41" s="17">
        <f>IF(AND(191&gt;=ConStart,191&lt;=ConPayoffMonth),1,0)</f>
        <v/>
      </c>
      <c r="GM41" s="17">
        <f>IF(AND(192&gt;=ConStart,192&lt;=ConPayoffMonth),1,0)</f>
        <v/>
      </c>
      <c r="GN41" s="17">
        <f>IF(AND(193&gt;=ConStart,193&lt;=ConPayoffMonth),1,0)</f>
        <v/>
      </c>
      <c r="GO41" s="17">
        <f>IF(AND(194&gt;=ConStart,194&lt;=ConPayoffMonth),1,0)</f>
        <v/>
      </c>
      <c r="GP41" s="17">
        <f>IF(AND(195&gt;=ConStart,195&lt;=ConPayoffMonth),1,0)</f>
        <v/>
      </c>
      <c r="GQ41" s="17">
        <f>IF(AND(196&gt;=ConStart,196&lt;=ConPayoffMonth),1,0)</f>
        <v/>
      </c>
      <c r="GR41" s="17">
        <f>IF(AND(197&gt;=ConStart,197&lt;=ConPayoffMonth),1,0)</f>
        <v/>
      </c>
      <c r="GS41" s="17">
        <f>IF(AND(198&gt;=ConStart,198&lt;=ConPayoffMonth),1,0)</f>
        <v/>
      </c>
      <c r="GT41" s="17">
        <f>IF(AND(199&gt;=ConStart,199&lt;=ConPayoffMonth),1,0)</f>
        <v/>
      </c>
      <c r="GU41" s="17">
        <f>IF(AND(200&gt;=ConStart,200&lt;=ConPayoffMonth),1,0)</f>
        <v/>
      </c>
      <c r="GV41" s="17">
        <f>IF(AND(201&gt;=ConStart,201&lt;=ConPayoffMonth),1,0)</f>
        <v/>
      </c>
      <c r="GW41" s="17">
        <f>IF(AND(202&gt;=ConStart,202&lt;=ConPayoffMonth),1,0)</f>
        <v/>
      </c>
      <c r="GX41" s="17">
        <f>IF(AND(203&gt;=ConStart,203&lt;=ConPayoffMonth),1,0)</f>
        <v/>
      </c>
      <c r="GY41" s="17">
        <f>IF(AND(204&gt;=ConStart,204&lt;=ConPayoffMonth),1,0)</f>
        <v/>
      </c>
      <c r="GZ41" s="17">
        <f>IF(AND(205&gt;=ConStart,205&lt;=ConPayoffMonth),1,0)</f>
        <v/>
      </c>
      <c r="HA41" s="17">
        <f>IF(AND(206&gt;=ConStart,206&lt;=ConPayoffMonth),1,0)</f>
        <v/>
      </c>
      <c r="HB41" s="17">
        <f>IF(AND(207&gt;=ConStart,207&lt;=ConPayoffMonth),1,0)</f>
        <v/>
      </c>
      <c r="HC41" s="17">
        <f>IF(AND(208&gt;=ConStart,208&lt;=ConPayoffMonth),1,0)</f>
        <v/>
      </c>
      <c r="HD41" s="17">
        <f>IF(AND(209&gt;=ConStart,209&lt;=ConPayoffMonth),1,0)</f>
        <v/>
      </c>
      <c r="HE41" s="17">
        <f>IF(AND(210&gt;=ConStart,210&lt;=ConPayoffMonth),1,0)</f>
        <v/>
      </c>
      <c r="HF41" s="17">
        <f>IF(AND(211&gt;=ConStart,211&lt;=ConPayoffMonth),1,0)</f>
        <v/>
      </c>
      <c r="HG41" s="17">
        <f>IF(AND(212&gt;=ConStart,212&lt;=ConPayoffMonth),1,0)</f>
        <v/>
      </c>
      <c r="HH41" s="17">
        <f>IF(AND(213&gt;=ConStart,213&lt;=ConPayoffMonth),1,0)</f>
        <v/>
      </c>
      <c r="HI41" s="17">
        <f>IF(AND(214&gt;=ConStart,214&lt;=ConPayoffMonth),1,0)</f>
        <v/>
      </c>
      <c r="HJ41" s="17">
        <f>IF(AND(215&gt;=ConStart,215&lt;=ConPayoffMonth),1,0)</f>
        <v/>
      </c>
      <c r="HK41" s="17">
        <f>IF(AND(216&gt;=ConStart,216&lt;=ConPayoffMonth),1,0)</f>
        <v/>
      </c>
      <c r="HL41" s="17">
        <f>IF(AND(217&gt;=ConStart,217&lt;=ConPayoffMonth),1,0)</f>
        <v/>
      </c>
      <c r="HM41" s="17">
        <f>IF(AND(218&gt;=ConStart,218&lt;=ConPayoffMonth),1,0)</f>
        <v/>
      </c>
      <c r="HN41" s="17">
        <f>IF(AND(219&gt;=ConStart,219&lt;=ConPayoffMonth),1,0)</f>
        <v/>
      </c>
      <c r="HO41" s="17">
        <f>IF(AND(220&gt;=ConStart,220&lt;=ConPayoffMonth),1,0)</f>
        <v/>
      </c>
      <c r="HP41" s="17">
        <f>IF(AND(221&gt;=ConStart,221&lt;=ConPayoffMonth),1,0)</f>
        <v/>
      </c>
      <c r="HQ41" s="17">
        <f>IF(AND(222&gt;=ConStart,222&lt;=ConPayoffMonth),1,0)</f>
        <v/>
      </c>
      <c r="HR41" s="17">
        <f>IF(AND(223&gt;=ConStart,223&lt;=ConPayoffMonth),1,0)</f>
        <v/>
      </c>
      <c r="HS41" s="17">
        <f>IF(AND(224&gt;=ConStart,224&lt;=ConPayoffMonth),1,0)</f>
        <v/>
      </c>
      <c r="HT41" s="17">
        <f>IF(AND(225&gt;=ConStart,225&lt;=ConPayoffMonth),1,0)</f>
        <v/>
      </c>
      <c r="HU41" s="17">
        <f>IF(AND(226&gt;=ConStart,226&lt;=ConPayoffMonth),1,0)</f>
        <v/>
      </c>
      <c r="HV41" s="17">
        <f>IF(AND(227&gt;=ConStart,227&lt;=ConPayoffMonth),1,0)</f>
        <v/>
      </c>
      <c r="HW41" s="17">
        <f>IF(AND(228&gt;=ConStart,228&lt;=ConPayoffMonth),1,0)</f>
        <v/>
      </c>
      <c r="HX41" s="17">
        <f>IF(AND(229&gt;=ConStart,229&lt;=ConPayoffMonth),1,0)</f>
        <v/>
      </c>
      <c r="HY41" s="17">
        <f>IF(AND(230&gt;=ConStart,230&lt;=ConPayoffMonth),1,0)</f>
        <v/>
      </c>
      <c r="HZ41" s="17">
        <f>IF(AND(231&gt;=ConStart,231&lt;=ConPayoffMonth),1,0)</f>
        <v/>
      </c>
      <c r="IA41" s="17">
        <f>IF(AND(232&gt;=ConStart,232&lt;=ConPayoffMonth),1,0)</f>
        <v/>
      </c>
      <c r="IB41" s="17">
        <f>IF(AND(233&gt;=ConStart,233&lt;=ConPayoffMonth),1,0)</f>
        <v/>
      </c>
      <c r="IC41" s="17">
        <f>IF(AND(234&gt;=ConStart,234&lt;=ConPayoffMonth),1,0)</f>
        <v/>
      </c>
      <c r="ID41" s="17">
        <f>IF(AND(235&gt;=ConStart,235&lt;=ConPayoffMonth),1,0)</f>
        <v/>
      </c>
      <c r="IE41" s="17">
        <f>IF(AND(236&gt;=ConStart,236&lt;=ConPayoffMonth),1,0)</f>
        <v/>
      </c>
      <c r="IF41" s="17">
        <f>IF(AND(237&gt;=ConStart,237&lt;=ConPayoffMonth),1,0)</f>
        <v/>
      </c>
      <c r="IG41" s="17">
        <f>IF(AND(238&gt;=ConStart,238&lt;=ConPayoffMonth),1,0)</f>
        <v/>
      </c>
      <c r="IH41" s="17">
        <f>IF(AND(239&gt;=ConStart,239&lt;=ConPayoffMonth),1,0)</f>
        <v/>
      </c>
      <c r="II41" s="17">
        <f>IF(AND(240&gt;=ConStart,240&lt;=ConPayoffMonth),1,0)</f>
        <v/>
      </c>
      <c r="IJ41" s="17">
        <f>IF(AND(241&gt;=ConStart,241&lt;=ConPayoffMonth),1,0)</f>
        <v/>
      </c>
      <c r="IK41" s="17">
        <f>IF(AND(242&gt;=ConStart,242&lt;=ConPayoffMonth),1,0)</f>
        <v/>
      </c>
      <c r="IL41" s="17">
        <f>IF(AND(243&gt;=ConStart,243&lt;=ConPayoffMonth),1,0)</f>
        <v/>
      </c>
      <c r="IM41" s="17">
        <f>IF(AND(244&gt;=ConStart,244&lt;=ConPayoffMonth),1,0)</f>
        <v/>
      </c>
      <c r="IN41" s="17">
        <f>IF(AND(245&gt;=ConStart,245&lt;=ConPayoffMonth),1,0)</f>
        <v/>
      </c>
      <c r="IO41" s="17">
        <f>IF(AND(246&gt;=ConStart,246&lt;=ConPayoffMonth),1,0)</f>
        <v/>
      </c>
      <c r="IP41" s="17">
        <f>IF(AND(247&gt;=ConStart,247&lt;=ConPayoffMonth),1,0)</f>
        <v/>
      </c>
      <c r="IQ41" s="17">
        <f>IF(AND(248&gt;=ConStart,248&lt;=ConPayoffMonth),1,0)</f>
        <v/>
      </c>
      <c r="IR41" s="17">
        <f>IF(AND(249&gt;=ConStart,249&lt;=ConPayoffMonth),1,0)</f>
        <v/>
      </c>
      <c r="IS41" s="17">
        <f>IF(AND(250&gt;=ConStart,250&lt;=ConPayoffMonth),1,0)</f>
        <v/>
      </c>
      <c r="IT41" s="17">
        <f>IF(AND(251&gt;=ConStart,251&lt;=ConPayoffMonth),1,0)</f>
        <v/>
      </c>
      <c r="IU41" s="17">
        <f>IF(AND(252&gt;=ConStart,252&lt;=ConPayoffMonth),1,0)</f>
        <v/>
      </c>
      <c r="IV41" s="17">
        <f>IF(AND(253&gt;=ConStart,253&lt;=ConPayoffMonth),1,0)</f>
        <v/>
      </c>
      <c r="IW41" s="17">
        <f>IF(AND(254&gt;=ConStart,254&lt;=ConPayoffMonth),1,0)</f>
        <v/>
      </c>
      <c r="IX41" s="17">
        <f>IF(AND(255&gt;=ConStart,255&lt;=ConPayoffMonth),1,0)</f>
        <v/>
      </c>
      <c r="IY41" s="17">
        <f>IF(AND(256&gt;=ConStart,256&lt;=ConPayoffMonth),1,0)</f>
        <v/>
      </c>
      <c r="IZ41" s="17">
        <f>IF(AND(257&gt;=ConStart,257&lt;=ConPayoffMonth),1,0)</f>
        <v/>
      </c>
      <c r="JA41" s="17">
        <f>IF(AND(258&gt;=ConStart,258&lt;=ConPayoffMonth),1,0)</f>
        <v/>
      </c>
      <c r="JB41" s="17">
        <f>IF(AND(259&gt;=ConStart,259&lt;=ConPayoffMonth),1,0)</f>
        <v/>
      </c>
      <c r="JC41" s="17">
        <f>IF(AND(260&gt;=ConStart,260&lt;=ConPayoffMonth),1,0)</f>
        <v/>
      </c>
      <c r="JD41" s="17">
        <f>IF(AND(261&gt;=ConStart,261&lt;=ConPayoffMonth),1,0)</f>
        <v/>
      </c>
      <c r="JE41" s="17">
        <f>IF(AND(262&gt;=ConStart,262&lt;=ConPayoffMonth),1,0)</f>
        <v/>
      </c>
      <c r="JF41" s="17">
        <f>IF(AND(263&gt;=ConStart,263&lt;=ConPayoffMonth),1,0)</f>
        <v/>
      </c>
      <c r="JG41" s="17">
        <f>IF(AND(264&gt;=ConStart,264&lt;=ConPayoffMonth),1,0)</f>
        <v/>
      </c>
      <c r="JH41" s="17">
        <f>IF(AND(265&gt;=ConStart,265&lt;=ConPayoffMonth),1,0)</f>
        <v/>
      </c>
      <c r="JI41" s="17">
        <f>IF(AND(266&gt;=ConStart,266&lt;=ConPayoffMonth),1,0)</f>
        <v/>
      </c>
      <c r="JJ41" s="17">
        <f>IF(AND(267&gt;=ConStart,267&lt;=ConPayoffMonth),1,0)</f>
        <v/>
      </c>
      <c r="JK41" s="17">
        <f>IF(AND(268&gt;=ConStart,268&lt;=ConPayoffMonth),1,0)</f>
        <v/>
      </c>
      <c r="JL41" s="17">
        <f>IF(AND(269&gt;=ConStart,269&lt;=ConPayoffMonth),1,0)</f>
        <v/>
      </c>
      <c r="JM41" s="17">
        <f>IF(AND(270&gt;=ConStart,270&lt;=ConPayoffMonth),1,0)</f>
        <v/>
      </c>
      <c r="JN41" s="17">
        <f>IF(AND(271&gt;=ConStart,271&lt;=ConPayoffMonth),1,0)</f>
        <v/>
      </c>
      <c r="JO41" s="17">
        <f>IF(AND(272&gt;=ConStart,272&lt;=ConPayoffMonth),1,0)</f>
        <v/>
      </c>
      <c r="JP41" s="17">
        <f>IF(AND(273&gt;=ConStart,273&lt;=ConPayoffMonth),1,0)</f>
        <v/>
      </c>
      <c r="JQ41" s="17">
        <f>IF(AND(274&gt;=ConStart,274&lt;=ConPayoffMonth),1,0)</f>
        <v/>
      </c>
      <c r="JR41" s="17">
        <f>IF(AND(275&gt;=ConStart,275&lt;=ConPayoffMonth),1,0)</f>
        <v/>
      </c>
      <c r="JS41" s="17">
        <f>IF(AND(276&gt;=ConStart,276&lt;=ConPayoffMonth),1,0)</f>
        <v/>
      </c>
      <c r="JT41" s="17">
        <f>IF(AND(277&gt;=ConStart,277&lt;=ConPayoffMonth),1,0)</f>
        <v/>
      </c>
      <c r="JU41" s="17">
        <f>IF(AND(278&gt;=ConStart,278&lt;=ConPayoffMonth),1,0)</f>
        <v/>
      </c>
      <c r="JV41" s="17">
        <f>IF(AND(279&gt;=ConStart,279&lt;=ConPayoffMonth),1,0)</f>
        <v/>
      </c>
      <c r="JW41" s="17">
        <f>IF(AND(280&gt;=ConStart,280&lt;=ConPayoffMonth),1,0)</f>
        <v/>
      </c>
      <c r="JX41" s="17">
        <f>IF(AND(281&gt;=ConStart,281&lt;=ConPayoffMonth),1,0)</f>
        <v/>
      </c>
      <c r="JY41" s="17">
        <f>IF(AND(282&gt;=ConStart,282&lt;=ConPayoffMonth),1,0)</f>
        <v/>
      </c>
      <c r="JZ41" s="17">
        <f>IF(AND(283&gt;=ConStart,283&lt;=ConPayoffMonth),1,0)</f>
        <v/>
      </c>
      <c r="KA41" s="17">
        <f>IF(AND(284&gt;=ConStart,284&lt;=ConPayoffMonth),1,0)</f>
        <v/>
      </c>
      <c r="KB41" s="17">
        <f>IF(AND(285&gt;=ConStart,285&lt;=ConPayoffMonth),1,0)</f>
        <v/>
      </c>
      <c r="KC41" s="17">
        <f>IF(AND(286&gt;=ConStart,286&lt;=ConPayoffMonth),1,0)</f>
        <v/>
      </c>
      <c r="KD41" s="17">
        <f>IF(AND(287&gt;=ConStart,287&lt;=ConPayoffMonth),1,0)</f>
        <v/>
      </c>
      <c r="KE41" s="17">
        <f>IF(AND(288&gt;=ConStart,288&lt;=ConPayoffMonth),1,0)</f>
        <v/>
      </c>
      <c r="KF41" s="17">
        <f>IF(AND(289&gt;=ConStart,289&lt;=ConPayoffMonth),1,0)</f>
        <v/>
      </c>
      <c r="KG41" s="17">
        <f>IF(AND(290&gt;=ConStart,290&lt;=ConPayoffMonth),1,0)</f>
        <v/>
      </c>
      <c r="KH41" s="17">
        <f>IF(AND(291&gt;=ConStart,291&lt;=ConPayoffMonth),1,0)</f>
        <v/>
      </c>
      <c r="KI41" s="17">
        <f>IF(AND(292&gt;=ConStart,292&lt;=ConPayoffMonth),1,0)</f>
        <v/>
      </c>
      <c r="KJ41" s="17">
        <f>IF(AND(293&gt;=ConStart,293&lt;=ConPayoffMonth),1,0)</f>
        <v/>
      </c>
      <c r="KK41" s="17">
        <f>IF(AND(294&gt;=ConStart,294&lt;=ConPayoffMonth),1,0)</f>
        <v/>
      </c>
      <c r="KL41" s="17">
        <f>IF(AND(295&gt;=ConStart,295&lt;=ConPayoffMonth),1,0)</f>
        <v/>
      </c>
      <c r="KM41" s="17">
        <f>IF(AND(296&gt;=ConStart,296&lt;=ConPayoffMonth),1,0)</f>
        <v/>
      </c>
      <c r="KN41" s="17">
        <f>IF(AND(297&gt;=ConStart,297&lt;=ConPayoffMonth),1,0)</f>
        <v/>
      </c>
      <c r="KO41" s="17">
        <f>IF(AND(298&gt;=ConStart,298&lt;=ConPayoffMonth),1,0)</f>
        <v/>
      </c>
      <c r="KP41" s="17">
        <f>IF(AND(299&gt;=ConStart,299&lt;=ConPayoffMonth),1,0)</f>
        <v/>
      </c>
      <c r="KQ41" s="17">
        <f>IF(AND(300&gt;=ConStart,300&lt;=ConPayoffMonth),1,0)</f>
        <v/>
      </c>
      <c r="KR41" s="17">
        <f>IF(AND(301&gt;=ConStart,301&lt;=ConPayoffMonth),1,0)</f>
        <v/>
      </c>
      <c r="KS41" s="17">
        <f>IF(AND(302&gt;=ConStart,302&lt;=ConPayoffMonth),1,0)</f>
        <v/>
      </c>
      <c r="KT41" s="17">
        <f>IF(AND(303&gt;=ConStart,303&lt;=ConPayoffMonth),1,0)</f>
        <v/>
      </c>
      <c r="KU41" s="17">
        <f>IF(AND(304&gt;=ConStart,304&lt;=ConPayoffMonth),1,0)</f>
        <v/>
      </c>
      <c r="KV41" s="17">
        <f>IF(AND(305&gt;=ConStart,305&lt;=ConPayoffMonth),1,0)</f>
        <v/>
      </c>
      <c r="KW41" s="17">
        <f>IF(AND(306&gt;=ConStart,306&lt;=ConPayoffMonth),1,0)</f>
        <v/>
      </c>
      <c r="KX41" s="17">
        <f>IF(AND(307&gt;=ConStart,307&lt;=ConPayoffMonth),1,0)</f>
        <v/>
      </c>
      <c r="KY41" s="17">
        <f>IF(AND(308&gt;=ConStart,308&lt;=ConPayoffMonth),1,0)</f>
        <v/>
      </c>
      <c r="KZ41" s="17">
        <f>IF(AND(309&gt;=ConStart,309&lt;=ConPayoffMonth),1,0)</f>
        <v/>
      </c>
      <c r="LA41" s="17">
        <f>IF(AND(310&gt;=ConStart,310&lt;=ConPayoffMonth),1,0)</f>
        <v/>
      </c>
      <c r="LB41" s="17">
        <f>IF(AND(311&gt;=ConStart,311&lt;=ConPayoffMonth),1,0)</f>
        <v/>
      </c>
      <c r="LC41" s="17">
        <f>IF(AND(312&gt;=ConStart,312&lt;=ConPayoffMonth),1,0)</f>
        <v/>
      </c>
      <c r="LD41" s="17">
        <f>IF(AND(313&gt;=ConStart,313&lt;=ConPayoffMonth),1,0)</f>
        <v/>
      </c>
      <c r="LE41" s="17">
        <f>IF(AND(314&gt;=ConStart,314&lt;=ConPayoffMonth),1,0)</f>
        <v/>
      </c>
      <c r="LF41" s="17">
        <f>IF(AND(315&gt;=ConStart,315&lt;=ConPayoffMonth),1,0)</f>
        <v/>
      </c>
      <c r="LG41" s="17">
        <f>IF(AND(316&gt;=ConStart,316&lt;=ConPayoffMonth),1,0)</f>
        <v/>
      </c>
      <c r="LH41" s="17">
        <f>IF(AND(317&gt;=ConStart,317&lt;=ConPayoffMonth),1,0)</f>
        <v/>
      </c>
      <c r="LI41" s="17">
        <f>IF(AND(318&gt;=ConStart,318&lt;=ConPayoffMonth),1,0)</f>
        <v/>
      </c>
      <c r="LJ41" s="17">
        <f>IF(AND(319&gt;=ConStart,319&lt;=ConPayoffMonth),1,0)</f>
        <v/>
      </c>
      <c r="LK41" s="17">
        <f>IF(AND(320&gt;=ConStart,320&lt;=ConPayoffMonth),1,0)</f>
        <v/>
      </c>
      <c r="LL41" s="17">
        <f>IF(AND(321&gt;=ConStart,321&lt;=ConPayoffMonth),1,0)</f>
        <v/>
      </c>
      <c r="LM41" s="17">
        <f>IF(AND(322&gt;=ConStart,322&lt;=ConPayoffMonth),1,0)</f>
        <v/>
      </c>
      <c r="LN41" s="17">
        <f>IF(AND(323&gt;=ConStart,323&lt;=ConPayoffMonth),1,0)</f>
        <v/>
      </c>
      <c r="LO41" s="17">
        <f>IF(AND(324&gt;=ConStart,324&lt;=ConPayoffMonth),1,0)</f>
        <v/>
      </c>
      <c r="LP41" s="17">
        <f>IF(AND(325&gt;=ConStart,325&lt;=ConPayoffMonth),1,0)</f>
        <v/>
      </c>
      <c r="LQ41" s="17">
        <f>IF(AND(326&gt;=ConStart,326&lt;=ConPayoffMonth),1,0)</f>
        <v/>
      </c>
      <c r="LR41" s="17">
        <f>IF(AND(327&gt;=ConStart,327&lt;=ConPayoffMonth),1,0)</f>
        <v/>
      </c>
      <c r="LS41" s="17">
        <f>IF(AND(328&gt;=ConStart,328&lt;=ConPayoffMonth),1,0)</f>
        <v/>
      </c>
      <c r="LT41" s="17">
        <f>IF(AND(329&gt;=ConStart,329&lt;=ConPayoffMonth),1,0)</f>
        <v/>
      </c>
      <c r="LU41" s="17">
        <f>IF(AND(330&gt;=ConStart,330&lt;=ConPayoffMonth),1,0)</f>
        <v/>
      </c>
      <c r="LV41" s="17">
        <f>IF(AND(331&gt;=ConStart,331&lt;=ConPayoffMonth),1,0)</f>
        <v/>
      </c>
      <c r="LW41" s="17">
        <f>IF(AND(332&gt;=ConStart,332&lt;=ConPayoffMonth),1,0)</f>
        <v/>
      </c>
      <c r="LX41" s="17">
        <f>IF(AND(333&gt;=ConStart,333&lt;=ConPayoffMonth),1,0)</f>
        <v/>
      </c>
      <c r="LY41" s="17">
        <f>IF(AND(334&gt;=ConStart,334&lt;=ConPayoffMonth),1,0)</f>
        <v/>
      </c>
      <c r="LZ41" s="17">
        <f>IF(AND(335&gt;=ConStart,335&lt;=ConPayoffMonth),1,0)</f>
        <v/>
      </c>
      <c r="MA41" s="17">
        <f>IF(AND(336&gt;=ConStart,336&lt;=ConPayoffMonth),1,0)</f>
        <v/>
      </c>
      <c r="MB41" s="17">
        <f>IF(AND(337&gt;=ConStart,337&lt;=ConPayoffMonth),1,0)</f>
        <v/>
      </c>
      <c r="MC41" s="17">
        <f>IF(AND(338&gt;=ConStart,338&lt;=ConPayoffMonth),1,0)</f>
        <v/>
      </c>
      <c r="MD41" s="17">
        <f>IF(AND(339&gt;=ConStart,339&lt;=ConPayoffMonth),1,0)</f>
        <v/>
      </c>
      <c r="ME41" s="17">
        <f>IF(AND(340&gt;=ConStart,340&lt;=ConPayoffMonth),1,0)</f>
        <v/>
      </c>
      <c r="MF41" s="17">
        <f>IF(AND(341&gt;=ConStart,341&lt;=ConPayoffMonth),1,0)</f>
        <v/>
      </c>
      <c r="MG41" s="17">
        <f>IF(AND(342&gt;=ConStart,342&lt;=ConPayoffMonth),1,0)</f>
        <v/>
      </c>
      <c r="MH41" s="17">
        <f>IF(AND(343&gt;=ConStart,343&lt;=ConPayoffMonth),1,0)</f>
        <v/>
      </c>
      <c r="MI41" s="17">
        <f>IF(AND(344&gt;=ConStart,344&lt;=ConPayoffMonth),1,0)</f>
        <v/>
      </c>
      <c r="MJ41" s="17">
        <f>IF(AND(345&gt;=ConStart,345&lt;=ConPayoffMonth),1,0)</f>
        <v/>
      </c>
      <c r="MK41" s="17">
        <f>IF(AND(346&gt;=ConStart,346&lt;=ConPayoffMonth),1,0)</f>
        <v/>
      </c>
      <c r="ML41" s="17">
        <f>IF(AND(347&gt;=ConStart,347&lt;=ConPayoffMonth),1,0)</f>
        <v/>
      </c>
      <c r="MM41" s="17">
        <f>IF(AND(348&gt;=ConStart,348&lt;=ConPayoffMonth),1,0)</f>
        <v/>
      </c>
      <c r="MN41" s="17">
        <f>IF(AND(349&gt;=ConStart,349&lt;=ConPayoffMonth),1,0)</f>
        <v/>
      </c>
      <c r="MO41" s="17">
        <f>IF(AND(350&gt;=ConStart,350&lt;=ConPayoffMonth),1,0)</f>
        <v/>
      </c>
      <c r="MP41" s="17">
        <f>IF(AND(351&gt;=ConStart,351&lt;=ConPayoffMonth),1,0)</f>
        <v/>
      </c>
      <c r="MQ41" s="17">
        <f>IF(AND(352&gt;=ConStart,352&lt;=ConPayoffMonth),1,0)</f>
        <v/>
      </c>
      <c r="MR41" s="17">
        <f>IF(AND(353&gt;=ConStart,353&lt;=ConPayoffMonth),1,0)</f>
        <v/>
      </c>
      <c r="MS41" s="17">
        <f>IF(AND(354&gt;=ConStart,354&lt;=ConPayoffMonth),1,0)</f>
        <v/>
      </c>
      <c r="MT41" s="17">
        <f>IF(AND(355&gt;=ConStart,355&lt;=ConPayoffMonth),1,0)</f>
        <v/>
      </c>
      <c r="MU41" s="17">
        <f>IF(AND(356&gt;=ConStart,356&lt;=ConPayoffMonth),1,0)</f>
        <v/>
      </c>
      <c r="MV41" s="17">
        <f>IF(AND(357&gt;=ConStart,357&lt;=ConPayoffMonth),1,0)</f>
        <v/>
      </c>
      <c r="MW41" s="17">
        <f>IF(AND(358&gt;=ConStart,358&lt;=ConPayoffMonth),1,0)</f>
        <v/>
      </c>
      <c r="MX41" s="17">
        <f>IF(AND(359&gt;=ConStart,359&lt;=ConPayoffMonth),1,0)</f>
        <v/>
      </c>
      <c r="MY41" s="17">
        <f>IF(AND(360&gt;=ConStart,360&lt;=ConPayoffMonth),1,0)</f>
        <v/>
      </c>
      <c r="MZ41" s="17">
        <f>IF(AND(361&gt;=ConStart,361&lt;=ConPayoffMonth),1,0)</f>
        <v/>
      </c>
      <c r="NA41" s="17">
        <f>IF(AND(362&gt;=ConStart,362&lt;=ConPayoffMonth),1,0)</f>
        <v/>
      </c>
      <c r="NB41" s="17">
        <f>IF(AND(363&gt;=ConStart,363&lt;=ConPayoffMonth),1,0)</f>
        <v/>
      </c>
      <c r="NC41" s="17">
        <f>IF(AND(364&gt;=ConStart,364&lt;=ConPayoffMonth),1,0)</f>
        <v/>
      </c>
      <c r="ND41" s="17">
        <f>IF(AND(365&gt;=ConStart,365&lt;=ConPayoffMonth),1,0)</f>
        <v/>
      </c>
      <c r="NE41" s="17">
        <f>IF(AND(366&gt;=ConStart,366&lt;=ConPayoffMonth),1,0)</f>
        <v/>
      </c>
      <c r="NF41" s="17">
        <f>IF(AND(367&gt;=ConStart,367&lt;=ConPayoffMonth),1,0)</f>
        <v/>
      </c>
      <c r="NG41" s="17">
        <f>IF(AND(368&gt;=ConStart,368&lt;=ConPayoffMonth),1,0)</f>
        <v/>
      </c>
      <c r="NH41" s="17">
        <f>IF(AND(369&gt;=ConStart,369&lt;=ConPayoffMonth),1,0)</f>
        <v/>
      </c>
      <c r="NI41" s="17">
        <f>IF(AND(370&gt;=ConStart,370&lt;=ConPayoffMonth),1,0)</f>
        <v/>
      </c>
      <c r="NJ41" s="17">
        <f>IF(AND(371&gt;=ConStart,371&lt;=ConPayoffMonth),1,0)</f>
        <v/>
      </c>
      <c r="NK41" s="17">
        <f>IF(AND(372&gt;=ConStart,372&lt;=ConPayoffMonth),1,0)</f>
        <v/>
      </c>
    </row>
    <row r="42">
      <c r="A42" s="5" t="inlineStr">
        <is>
          <t>Flag: Perm Loan Active</t>
        </is>
      </c>
      <c r="C42" s="40" t="n"/>
      <c r="D42" s="17">
        <f>IF(AND(RefiFlag=1,1&gt;RefiMonth,1&lt;=DispoMonth),1,0)</f>
        <v/>
      </c>
      <c r="E42" s="17">
        <f>IF(AND(RefiFlag=1,2&gt;RefiMonth,2&lt;=DispoMonth),1,0)</f>
        <v/>
      </c>
      <c r="F42" s="17">
        <f>IF(AND(RefiFlag=1,3&gt;RefiMonth,3&lt;=DispoMonth),1,0)</f>
        <v/>
      </c>
      <c r="G42" s="17">
        <f>IF(AND(RefiFlag=1,4&gt;RefiMonth,4&lt;=DispoMonth),1,0)</f>
        <v/>
      </c>
      <c r="H42" s="17">
        <f>IF(AND(RefiFlag=1,5&gt;RefiMonth,5&lt;=DispoMonth),1,0)</f>
        <v/>
      </c>
      <c r="I42" s="17">
        <f>IF(AND(RefiFlag=1,6&gt;RefiMonth,6&lt;=DispoMonth),1,0)</f>
        <v/>
      </c>
      <c r="J42" s="17">
        <f>IF(AND(RefiFlag=1,7&gt;RefiMonth,7&lt;=DispoMonth),1,0)</f>
        <v/>
      </c>
      <c r="K42" s="17">
        <f>IF(AND(RefiFlag=1,8&gt;RefiMonth,8&lt;=DispoMonth),1,0)</f>
        <v/>
      </c>
      <c r="L42" s="17">
        <f>IF(AND(RefiFlag=1,9&gt;RefiMonth,9&lt;=DispoMonth),1,0)</f>
        <v/>
      </c>
      <c r="M42" s="17">
        <f>IF(AND(RefiFlag=1,10&gt;RefiMonth,10&lt;=DispoMonth),1,0)</f>
        <v/>
      </c>
      <c r="N42" s="17">
        <f>IF(AND(RefiFlag=1,11&gt;RefiMonth,11&lt;=DispoMonth),1,0)</f>
        <v/>
      </c>
      <c r="O42" s="17">
        <f>IF(AND(RefiFlag=1,12&gt;RefiMonth,12&lt;=DispoMonth),1,0)</f>
        <v/>
      </c>
      <c r="P42" s="17">
        <f>IF(AND(RefiFlag=1,13&gt;RefiMonth,13&lt;=DispoMonth),1,0)</f>
        <v/>
      </c>
      <c r="Q42" s="17">
        <f>IF(AND(RefiFlag=1,14&gt;RefiMonth,14&lt;=DispoMonth),1,0)</f>
        <v/>
      </c>
      <c r="R42" s="17">
        <f>IF(AND(RefiFlag=1,15&gt;RefiMonth,15&lt;=DispoMonth),1,0)</f>
        <v/>
      </c>
      <c r="S42" s="17">
        <f>IF(AND(RefiFlag=1,16&gt;RefiMonth,16&lt;=DispoMonth),1,0)</f>
        <v/>
      </c>
      <c r="T42" s="17">
        <f>IF(AND(RefiFlag=1,17&gt;RefiMonth,17&lt;=DispoMonth),1,0)</f>
        <v/>
      </c>
      <c r="U42" s="17">
        <f>IF(AND(RefiFlag=1,18&gt;RefiMonth,18&lt;=DispoMonth),1,0)</f>
        <v/>
      </c>
      <c r="V42" s="17">
        <f>IF(AND(RefiFlag=1,19&gt;RefiMonth,19&lt;=DispoMonth),1,0)</f>
        <v/>
      </c>
      <c r="W42" s="17">
        <f>IF(AND(RefiFlag=1,20&gt;RefiMonth,20&lt;=DispoMonth),1,0)</f>
        <v/>
      </c>
      <c r="X42" s="17">
        <f>IF(AND(RefiFlag=1,21&gt;RefiMonth,21&lt;=DispoMonth),1,0)</f>
        <v/>
      </c>
      <c r="Y42" s="17">
        <f>IF(AND(RefiFlag=1,22&gt;RefiMonth,22&lt;=DispoMonth),1,0)</f>
        <v/>
      </c>
      <c r="Z42" s="17">
        <f>IF(AND(RefiFlag=1,23&gt;RefiMonth,23&lt;=DispoMonth),1,0)</f>
        <v/>
      </c>
      <c r="AA42" s="17">
        <f>IF(AND(RefiFlag=1,24&gt;RefiMonth,24&lt;=DispoMonth),1,0)</f>
        <v/>
      </c>
      <c r="AB42" s="17">
        <f>IF(AND(RefiFlag=1,25&gt;RefiMonth,25&lt;=DispoMonth),1,0)</f>
        <v/>
      </c>
      <c r="AC42" s="17">
        <f>IF(AND(RefiFlag=1,26&gt;RefiMonth,26&lt;=DispoMonth),1,0)</f>
        <v/>
      </c>
      <c r="AD42" s="17">
        <f>IF(AND(RefiFlag=1,27&gt;RefiMonth,27&lt;=DispoMonth),1,0)</f>
        <v/>
      </c>
      <c r="AE42" s="17">
        <f>IF(AND(RefiFlag=1,28&gt;RefiMonth,28&lt;=DispoMonth),1,0)</f>
        <v/>
      </c>
      <c r="AF42" s="17">
        <f>IF(AND(RefiFlag=1,29&gt;RefiMonth,29&lt;=DispoMonth),1,0)</f>
        <v/>
      </c>
      <c r="AG42" s="17">
        <f>IF(AND(RefiFlag=1,30&gt;RefiMonth,30&lt;=DispoMonth),1,0)</f>
        <v/>
      </c>
      <c r="AH42" s="17">
        <f>IF(AND(RefiFlag=1,31&gt;RefiMonth,31&lt;=DispoMonth),1,0)</f>
        <v/>
      </c>
      <c r="AI42" s="17">
        <f>IF(AND(RefiFlag=1,32&gt;RefiMonth,32&lt;=DispoMonth),1,0)</f>
        <v/>
      </c>
      <c r="AJ42" s="17">
        <f>IF(AND(RefiFlag=1,33&gt;RefiMonth,33&lt;=DispoMonth),1,0)</f>
        <v/>
      </c>
      <c r="AK42" s="17">
        <f>IF(AND(RefiFlag=1,34&gt;RefiMonth,34&lt;=DispoMonth),1,0)</f>
        <v/>
      </c>
      <c r="AL42" s="17">
        <f>IF(AND(RefiFlag=1,35&gt;RefiMonth,35&lt;=DispoMonth),1,0)</f>
        <v/>
      </c>
      <c r="AM42" s="17">
        <f>IF(AND(RefiFlag=1,36&gt;RefiMonth,36&lt;=DispoMonth),1,0)</f>
        <v/>
      </c>
      <c r="AN42" s="17">
        <f>IF(AND(RefiFlag=1,37&gt;RefiMonth,37&lt;=DispoMonth),1,0)</f>
        <v/>
      </c>
      <c r="AO42" s="17">
        <f>IF(AND(RefiFlag=1,38&gt;RefiMonth,38&lt;=DispoMonth),1,0)</f>
        <v/>
      </c>
      <c r="AP42" s="17">
        <f>IF(AND(RefiFlag=1,39&gt;RefiMonth,39&lt;=DispoMonth),1,0)</f>
        <v/>
      </c>
      <c r="AQ42" s="17">
        <f>IF(AND(RefiFlag=1,40&gt;RefiMonth,40&lt;=DispoMonth),1,0)</f>
        <v/>
      </c>
      <c r="AR42" s="17">
        <f>IF(AND(RefiFlag=1,41&gt;RefiMonth,41&lt;=DispoMonth),1,0)</f>
        <v/>
      </c>
      <c r="AS42" s="17">
        <f>IF(AND(RefiFlag=1,42&gt;RefiMonth,42&lt;=DispoMonth),1,0)</f>
        <v/>
      </c>
      <c r="AT42" s="17">
        <f>IF(AND(RefiFlag=1,43&gt;RefiMonth,43&lt;=DispoMonth),1,0)</f>
        <v/>
      </c>
      <c r="AU42" s="17">
        <f>IF(AND(RefiFlag=1,44&gt;RefiMonth,44&lt;=DispoMonth),1,0)</f>
        <v/>
      </c>
      <c r="AV42" s="17">
        <f>IF(AND(RefiFlag=1,45&gt;RefiMonth,45&lt;=DispoMonth),1,0)</f>
        <v/>
      </c>
      <c r="AW42" s="17">
        <f>IF(AND(RefiFlag=1,46&gt;RefiMonth,46&lt;=DispoMonth),1,0)</f>
        <v/>
      </c>
      <c r="AX42" s="17">
        <f>IF(AND(RefiFlag=1,47&gt;RefiMonth,47&lt;=DispoMonth),1,0)</f>
        <v/>
      </c>
      <c r="AY42" s="17">
        <f>IF(AND(RefiFlag=1,48&gt;RefiMonth,48&lt;=DispoMonth),1,0)</f>
        <v/>
      </c>
      <c r="AZ42" s="17">
        <f>IF(AND(RefiFlag=1,49&gt;RefiMonth,49&lt;=DispoMonth),1,0)</f>
        <v/>
      </c>
      <c r="BA42" s="17">
        <f>IF(AND(RefiFlag=1,50&gt;RefiMonth,50&lt;=DispoMonth),1,0)</f>
        <v/>
      </c>
      <c r="BB42" s="17">
        <f>IF(AND(RefiFlag=1,51&gt;RefiMonth,51&lt;=DispoMonth),1,0)</f>
        <v/>
      </c>
      <c r="BC42" s="17">
        <f>IF(AND(RefiFlag=1,52&gt;RefiMonth,52&lt;=DispoMonth),1,0)</f>
        <v/>
      </c>
      <c r="BD42" s="17">
        <f>IF(AND(RefiFlag=1,53&gt;RefiMonth,53&lt;=DispoMonth),1,0)</f>
        <v/>
      </c>
      <c r="BE42" s="17">
        <f>IF(AND(RefiFlag=1,54&gt;RefiMonth,54&lt;=DispoMonth),1,0)</f>
        <v/>
      </c>
      <c r="BF42" s="17">
        <f>IF(AND(RefiFlag=1,55&gt;RefiMonth,55&lt;=DispoMonth),1,0)</f>
        <v/>
      </c>
      <c r="BG42" s="17">
        <f>IF(AND(RefiFlag=1,56&gt;RefiMonth,56&lt;=DispoMonth),1,0)</f>
        <v/>
      </c>
      <c r="BH42" s="17">
        <f>IF(AND(RefiFlag=1,57&gt;RefiMonth,57&lt;=DispoMonth),1,0)</f>
        <v/>
      </c>
      <c r="BI42" s="17">
        <f>IF(AND(RefiFlag=1,58&gt;RefiMonth,58&lt;=DispoMonth),1,0)</f>
        <v/>
      </c>
      <c r="BJ42" s="17">
        <f>IF(AND(RefiFlag=1,59&gt;RefiMonth,59&lt;=DispoMonth),1,0)</f>
        <v/>
      </c>
      <c r="BK42" s="17">
        <f>IF(AND(RefiFlag=1,60&gt;RefiMonth,60&lt;=DispoMonth),1,0)</f>
        <v/>
      </c>
      <c r="BL42" s="17">
        <f>IF(AND(RefiFlag=1,61&gt;RefiMonth,61&lt;=DispoMonth),1,0)</f>
        <v/>
      </c>
      <c r="BM42" s="17">
        <f>IF(AND(RefiFlag=1,62&gt;RefiMonth,62&lt;=DispoMonth),1,0)</f>
        <v/>
      </c>
      <c r="BN42" s="17">
        <f>IF(AND(RefiFlag=1,63&gt;RefiMonth,63&lt;=DispoMonth),1,0)</f>
        <v/>
      </c>
      <c r="BO42" s="17">
        <f>IF(AND(RefiFlag=1,64&gt;RefiMonth,64&lt;=DispoMonth),1,0)</f>
        <v/>
      </c>
      <c r="BP42" s="17">
        <f>IF(AND(RefiFlag=1,65&gt;RefiMonth,65&lt;=DispoMonth),1,0)</f>
        <v/>
      </c>
      <c r="BQ42" s="17">
        <f>IF(AND(RefiFlag=1,66&gt;RefiMonth,66&lt;=DispoMonth),1,0)</f>
        <v/>
      </c>
      <c r="BR42" s="17">
        <f>IF(AND(RefiFlag=1,67&gt;RefiMonth,67&lt;=DispoMonth),1,0)</f>
        <v/>
      </c>
      <c r="BS42" s="17">
        <f>IF(AND(RefiFlag=1,68&gt;RefiMonth,68&lt;=DispoMonth),1,0)</f>
        <v/>
      </c>
      <c r="BT42" s="17">
        <f>IF(AND(RefiFlag=1,69&gt;RefiMonth,69&lt;=DispoMonth),1,0)</f>
        <v/>
      </c>
      <c r="BU42" s="17">
        <f>IF(AND(RefiFlag=1,70&gt;RefiMonth,70&lt;=DispoMonth),1,0)</f>
        <v/>
      </c>
      <c r="BV42" s="17">
        <f>IF(AND(RefiFlag=1,71&gt;RefiMonth,71&lt;=DispoMonth),1,0)</f>
        <v/>
      </c>
      <c r="BW42" s="17">
        <f>IF(AND(RefiFlag=1,72&gt;RefiMonth,72&lt;=DispoMonth),1,0)</f>
        <v/>
      </c>
      <c r="BX42" s="17">
        <f>IF(AND(RefiFlag=1,73&gt;RefiMonth,73&lt;=DispoMonth),1,0)</f>
        <v/>
      </c>
      <c r="BY42" s="17">
        <f>IF(AND(RefiFlag=1,74&gt;RefiMonth,74&lt;=DispoMonth),1,0)</f>
        <v/>
      </c>
      <c r="BZ42" s="17">
        <f>IF(AND(RefiFlag=1,75&gt;RefiMonth,75&lt;=DispoMonth),1,0)</f>
        <v/>
      </c>
      <c r="CA42" s="17">
        <f>IF(AND(RefiFlag=1,76&gt;RefiMonth,76&lt;=DispoMonth),1,0)</f>
        <v/>
      </c>
      <c r="CB42" s="17">
        <f>IF(AND(RefiFlag=1,77&gt;RefiMonth,77&lt;=DispoMonth),1,0)</f>
        <v/>
      </c>
      <c r="CC42" s="17">
        <f>IF(AND(RefiFlag=1,78&gt;RefiMonth,78&lt;=DispoMonth),1,0)</f>
        <v/>
      </c>
      <c r="CD42" s="17">
        <f>IF(AND(RefiFlag=1,79&gt;RefiMonth,79&lt;=DispoMonth),1,0)</f>
        <v/>
      </c>
      <c r="CE42" s="17">
        <f>IF(AND(RefiFlag=1,80&gt;RefiMonth,80&lt;=DispoMonth),1,0)</f>
        <v/>
      </c>
      <c r="CF42" s="17">
        <f>IF(AND(RefiFlag=1,81&gt;RefiMonth,81&lt;=DispoMonth),1,0)</f>
        <v/>
      </c>
      <c r="CG42" s="17">
        <f>IF(AND(RefiFlag=1,82&gt;RefiMonth,82&lt;=DispoMonth),1,0)</f>
        <v/>
      </c>
      <c r="CH42" s="17">
        <f>IF(AND(RefiFlag=1,83&gt;RefiMonth,83&lt;=DispoMonth),1,0)</f>
        <v/>
      </c>
      <c r="CI42" s="17">
        <f>IF(AND(RefiFlag=1,84&gt;RefiMonth,84&lt;=DispoMonth),1,0)</f>
        <v/>
      </c>
      <c r="CJ42" s="17">
        <f>IF(AND(RefiFlag=1,85&gt;RefiMonth,85&lt;=DispoMonth),1,0)</f>
        <v/>
      </c>
      <c r="CK42" s="17">
        <f>IF(AND(RefiFlag=1,86&gt;RefiMonth,86&lt;=DispoMonth),1,0)</f>
        <v/>
      </c>
      <c r="CL42" s="17">
        <f>IF(AND(RefiFlag=1,87&gt;RefiMonth,87&lt;=DispoMonth),1,0)</f>
        <v/>
      </c>
      <c r="CM42" s="17">
        <f>IF(AND(RefiFlag=1,88&gt;RefiMonth,88&lt;=DispoMonth),1,0)</f>
        <v/>
      </c>
      <c r="CN42" s="17">
        <f>IF(AND(RefiFlag=1,89&gt;RefiMonth,89&lt;=DispoMonth),1,0)</f>
        <v/>
      </c>
      <c r="CO42" s="17">
        <f>IF(AND(RefiFlag=1,90&gt;RefiMonth,90&lt;=DispoMonth),1,0)</f>
        <v/>
      </c>
      <c r="CP42" s="17">
        <f>IF(AND(RefiFlag=1,91&gt;RefiMonth,91&lt;=DispoMonth),1,0)</f>
        <v/>
      </c>
      <c r="CQ42" s="17">
        <f>IF(AND(RefiFlag=1,92&gt;RefiMonth,92&lt;=DispoMonth),1,0)</f>
        <v/>
      </c>
      <c r="CR42" s="17">
        <f>IF(AND(RefiFlag=1,93&gt;RefiMonth,93&lt;=DispoMonth),1,0)</f>
        <v/>
      </c>
      <c r="CS42" s="17">
        <f>IF(AND(RefiFlag=1,94&gt;RefiMonth,94&lt;=DispoMonth),1,0)</f>
        <v/>
      </c>
      <c r="CT42" s="17">
        <f>IF(AND(RefiFlag=1,95&gt;RefiMonth,95&lt;=DispoMonth),1,0)</f>
        <v/>
      </c>
      <c r="CU42" s="17">
        <f>IF(AND(RefiFlag=1,96&gt;RefiMonth,96&lt;=DispoMonth),1,0)</f>
        <v/>
      </c>
      <c r="CV42" s="17">
        <f>IF(AND(RefiFlag=1,97&gt;RefiMonth,97&lt;=DispoMonth),1,0)</f>
        <v/>
      </c>
      <c r="CW42" s="17">
        <f>IF(AND(RefiFlag=1,98&gt;RefiMonth,98&lt;=DispoMonth),1,0)</f>
        <v/>
      </c>
      <c r="CX42" s="17">
        <f>IF(AND(RefiFlag=1,99&gt;RefiMonth,99&lt;=DispoMonth),1,0)</f>
        <v/>
      </c>
      <c r="CY42" s="17">
        <f>IF(AND(RefiFlag=1,100&gt;RefiMonth,100&lt;=DispoMonth),1,0)</f>
        <v/>
      </c>
      <c r="CZ42" s="17">
        <f>IF(AND(RefiFlag=1,101&gt;RefiMonth,101&lt;=DispoMonth),1,0)</f>
        <v/>
      </c>
      <c r="DA42" s="17">
        <f>IF(AND(RefiFlag=1,102&gt;RefiMonth,102&lt;=DispoMonth),1,0)</f>
        <v/>
      </c>
      <c r="DB42" s="17">
        <f>IF(AND(RefiFlag=1,103&gt;RefiMonth,103&lt;=DispoMonth),1,0)</f>
        <v/>
      </c>
      <c r="DC42" s="17">
        <f>IF(AND(RefiFlag=1,104&gt;RefiMonth,104&lt;=DispoMonth),1,0)</f>
        <v/>
      </c>
      <c r="DD42" s="17">
        <f>IF(AND(RefiFlag=1,105&gt;RefiMonth,105&lt;=DispoMonth),1,0)</f>
        <v/>
      </c>
      <c r="DE42" s="17">
        <f>IF(AND(RefiFlag=1,106&gt;RefiMonth,106&lt;=DispoMonth),1,0)</f>
        <v/>
      </c>
      <c r="DF42" s="17">
        <f>IF(AND(RefiFlag=1,107&gt;RefiMonth,107&lt;=DispoMonth),1,0)</f>
        <v/>
      </c>
      <c r="DG42" s="17">
        <f>IF(AND(RefiFlag=1,108&gt;RefiMonth,108&lt;=DispoMonth),1,0)</f>
        <v/>
      </c>
      <c r="DH42" s="17">
        <f>IF(AND(RefiFlag=1,109&gt;RefiMonth,109&lt;=DispoMonth),1,0)</f>
        <v/>
      </c>
      <c r="DI42" s="17">
        <f>IF(AND(RefiFlag=1,110&gt;RefiMonth,110&lt;=DispoMonth),1,0)</f>
        <v/>
      </c>
      <c r="DJ42" s="17">
        <f>IF(AND(RefiFlag=1,111&gt;RefiMonth,111&lt;=DispoMonth),1,0)</f>
        <v/>
      </c>
      <c r="DK42" s="17">
        <f>IF(AND(RefiFlag=1,112&gt;RefiMonth,112&lt;=DispoMonth),1,0)</f>
        <v/>
      </c>
      <c r="DL42" s="17">
        <f>IF(AND(RefiFlag=1,113&gt;RefiMonth,113&lt;=DispoMonth),1,0)</f>
        <v/>
      </c>
      <c r="DM42" s="17">
        <f>IF(AND(RefiFlag=1,114&gt;RefiMonth,114&lt;=DispoMonth),1,0)</f>
        <v/>
      </c>
      <c r="DN42" s="17">
        <f>IF(AND(RefiFlag=1,115&gt;RefiMonth,115&lt;=DispoMonth),1,0)</f>
        <v/>
      </c>
      <c r="DO42" s="17">
        <f>IF(AND(RefiFlag=1,116&gt;RefiMonth,116&lt;=DispoMonth),1,0)</f>
        <v/>
      </c>
      <c r="DP42" s="17">
        <f>IF(AND(RefiFlag=1,117&gt;RefiMonth,117&lt;=DispoMonth),1,0)</f>
        <v/>
      </c>
      <c r="DQ42" s="17">
        <f>IF(AND(RefiFlag=1,118&gt;RefiMonth,118&lt;=DispoMonth),1,0)</f>
        <v/>
      </c>
      <c r="DR42" s="17">
        <f>IF(AND(RefiFlag=1,119&gt;RefiMonth,119&lt;=DispoMonth),1,0)</f>
        <v/>
      </c>
      <c r="DS42" s="17">
        <f>IF(AND(RefiFlag=1,120&gt;RefiMonth,120&lt;=DispoMonth),1,0)</f>
        <v/>
      </c>
      <c r="DT42" s="17">
        <f>IF(AND(RefiFlag=1,121&gt;RefiMonth,121&lt;=DispoMonth),1,0)</f>
        <v/>
      </c>
      <c r="DU42" s="17">
        <f>IF(AND(RefiFlag=1,122&gt;RefiMonth,122&lt;=DispoMonth),1,0)</f>
        <v/>
      </c>
      <c r="DV42" s="17">
        <f>IF(AND(RefiFlag=1,123&gt;RefiMonth,123&lt;=DispoMonth),1,0)</f>
        <v/>
      </c>
      <c r="DW42" s="17">
        <f>IF(AND(RefiFlag=1,124&gt;RefiMonth,124&lt;=DispoMonth),1,0)</f>
        <v/>
      </c>
      <c r="DX42" s="17">
        <f>IF(AND(RefiFlag=1,125&gt;RefiMonth,125&lt;=DispoMonth),1,0)</f>
        <v/>
      </c>
      <c r="DY42" s="17">
        <f>IF(AND(RefiFlag=1,126&gt;RefiMonth,126&lt;=DispoMonth),1,0)</f>
        <v/>
      </c>
      <c r="DZ42" s="17">
        <f>IF(AND(RefiFlag=1,127&gt;RefiMonth,127&lt;=DispoMonth),1,0)</f>
        <v/>
      </c>
      <c r="EA42" s="17">
        <f>IF(AND(RefiFlag=1,128&gt;RefiMonth,128&lt;=DispoMonth),1,0)</f>
        <v/>
      </c>
      <c r="EB42" s="17">
        <f>IF(AND(RefiFlag=1,129&gt;RefiMonth,129&lt;=DispoMonth),1,0)</f>
        <v/>
      </c>
      <c r="EC42" s="17">
        <f>IF(AND(RefiFlag=1,130&gt;RefiMonth,130&lt;=DispoMonth),1,0)</f>
        <v/>
      </c>
      <c r="ED42" s="17">
        <f>IF(AND(RefiFlag=1,131&gt;RefiMonth,131&lt;=DispoMonth),1,0)</f>
        <v/>
      </c>
      <c r="EE42" s="17">
        <f>IF(AND(RefiFlag=1,132&gt;RefiMonth,132&lt;=DispoMonth),1,0)</f>
        <v/>
      </c>
      <c r="EF42" s="17">
        <f>IF(AND(RefiFlag=1,133&gt;RefiMonth,133&lt;=DispoMonth),1,0)</f>
        <v/>
      </c>
      <c r="EG42" s="17">
        <f>IF(AND(RefiFlag=1,134&gt;RefiMonth,134&lt;=DispoMonth),1,0)</f>
        <v/>
      </c>
      <c r="EH42" s="17">
        <f>IF(AND(RefiFlag=1,135&gt;RefiMonth,135&lt;=DispoMonth),1,0)</f>
        <v/>
      </c>
      <c r="EI42" s="17">
        <f>IF(AND(RefiFlag=1,136&gt;RefiMonth,136&lt;=DispoMonth),1,0)</f>
        <v/>
      </c>
      <c r="EJ42" s="17">
        <f>IF(AND(RefiFlag=1,137&gt;RefiMonth,137&lt;=DispoMonth),1,0)</f>
        <v/>
      </c>
      <c r="EK42" s="17">
        <f>IF(AND(RefiFlag=1,138&gt;RefiMonth,138&lt;=DispoMonth),1,0)</f>
        <v/>
      </c>
      <c r="EL42" s="17">
        <f>IF(AND(RefiFlag=1,139&gt;RefiMonth,139&lt;=DispoMonth),1,0)</f>
        <v/>
      </c>
      <c r="EM42" s="17">
        <f>IF(AND(RefiFlag=1,140&gt;RefiMonth,140&lt;=DispoMonth),1,0)</f>
        <v/>
      </c>
      <c r="EN42" s="17">
        <f>IF(AND(RefiFlag=1,141&gt;RefiMonth,141&lt;=DispoMonth),1,0)</f>
        <v/>
      </c>
      <c r="EO42" s="17">
        <f>IF(AND(RefiFlag=1,142&gt;RefiMonth,142&lt;=DispoMonth),1,0)</f>
        <v/>
      </c>
      <c r="EP42" s="17">
        <f>IF(AND(RefiFlag=1,143&gt;RefiMonth,143&lt;=DispoMonth),1,0)</f>
        <v/>
      </c>
      <c r="EQ42" s="17">
        <f>IF(AND(RefiFlag=1,144&gt;RefiMonth,144&lt;=DispoMonth),1,0)</f>
        <v/>
      </c>
      <c r="ER42" s="17">
        <f>IF(AND(RefiFlag=1,145&gt;RefiMonth,145&lt;=DispoMonth),1,0)</f>
        <v/>
      </c>
      <c r="ES42" s="17">
        <f>IF(AND(RefiFlag=1,146&gt;RefiMonth,146&lt;=DispoMonth),1,0)</f>
        <v/>
      </c>
      <c r="ET42" s="17">
        <f>IF(AND(RefiFlag=1,147&gt;RefiMonth,147&lt;=DispoMonth),1,0)</f>
        <v/>
      </c>
      <c r="EU42" s="17">
        <f>IF(AND(RefiFlag=1,148&gt;RefiMonth,148&lt;=DispoMonth),1,0)</f>
        <v/>
      </c>
      <c r="EV42" s="17">
        <f>IF(AND(RefiFlag=1,149&gt;RefiMonth,149&lt;=DispoMonth),1,0)</f>
        <v/>
      </c>
      <c r="EW42" s="17">
        <f>IF(AND(RefiFlag=1,150&gt;RefiMonth,150&lt;=DispoMonth),1,0)</f>
        <v/>
      </c>
      <c r="EX42" s="17">
        <f>IF(AND(RefiFlag=1,151&gt;RefiMonth,151&lt;=DispoMonth),1,0)</f>
        <v/>
      </c>
      <c r="EY42" s="17">
        <f>IF(AND(RefiFlag=1,152&gt;RefiMonth,152&lt;=DispoMonth),1,0)</f>
        <v/>
      </c>
      <c r="EZ42" s="17">
        <f>IF(AND(RefiFlag=1,153&gt;RefiMonth,153&lt;=DispoMonth),1,0)</f>
        <v/>
      </c>
      <c r="FA42" s="17">
        <f>IF(AND(RefiFlag=1,154&gt;RefiMonth,154&lt;=DispoMonth),1,0)</f>
        <v/>
      </c>
      <c r="FB42" s="17">
        <f>IF(AND(RefiFlag=1,155&gt;RefiMonth,155&lt;=DispoMonth),1,0)</f>
        <v/>
      </c>
      <c r="FC42" s="17">
        <f>IF(AND(RefiFlag=1,156&gt;RefiMonth,156&lt;=DispoMonth),1,0)</f>
        <v/>
      </c>
      <c r="FD42" s="17">
        <f>IF(AND(RefiFlag=1,157&gt;RefiMonth,157&lt;=DispoMonth),1,0)</f>
        <v/>
      </c>
      <c r="FE42" s="17">
        <f>IF(AND(RefiFlag=1,158&gt;RefiMonth,158&lt;=DispoMonth),1,0)</f>
        <v/>
      </c>
      <c r="FF42" s="17">
        <f>IF(AND(RefiFlag=1,159&gt;RefiMonth,159&lt;=DispoMonth),1,0)</f>
        <v/>
      </c>
      <c r="FG42" s="17">
        <f>IF(AND(RefiFlag=1,160&gt;RefiMonth,160&lt;=DispoMonth),1,0)</f>
        <v/>
      </c>
      <c r="FH42" s="17">
        <f>IF(AND(RefiFlag=1,161&gt;RefiMonth,161&lt;=DispoMonth),1,0)</f>
        <v/>
      </c>
      <c r="FI42" s="17">
        <f>IF(AND(RefiFlag=1,162&gt;RefiMonth,162&lt;=DispoMonth),1,0)</f>
        <v/>
      </c>
      <c r="FJ42" s="17">
        <f>IF(AND(RefiFlag=1,163&gt;RefiMonth,163&lt;=DispoMonth),1,0)</f>
        <v/>
      </c>
      <c r="FK42" s="17">
        <f>IF(AND(RefiFlag=1,164&gt;RefiMonth,164&lt;=DispoMonth),1,0)</f>
        <v/>
      </c>
      <c r="FL42" s="17">
        <f>IF(AND(RefiFlag=1,165&gt;RefiMonth,165&lt;=DispoMonth),1,0)</f>
        <v/>
      </c>
      <c r="FM42" s="17">
        <f>IF(AND(RefiFlag=1,166&gt;RefiMonth,166&lt;=DispoMonth),1,0)</f>
        <v/>
      </c>
      <c r="FN42" s="17">
        <f>IF(AND(RefiFlag=1,167&gt;RefiMonth,167&lt;=DispoMonth),1,0)</f>
        <v/>
      </c>
      <c r="FO42" s="17">
        <f>IF(AND(RefiFlag=1,168&gt;RefiMonth,168&lt;=DispoMonth),1,0)</f>
        <v/>
      </c>
      <c r="FP42" s="17">
        <f>IF(AND(RefiFlag=1,169&gt;RefiMonth,169&lt;=DispoMonth),1,0)</f>
        <v/>
      </c>
      <c r="FQ42" s="17">
        <f>IF(AND(RefiFlag=1,170&gt;RefiMonth,170&lt;=DispoMonth),1,0)</f>
        <v/>
      </c>
      <c r="FR42" s="17">
        <f>IF(AND(RefiFlag=1,171&gt;RefiMonth,171&lt;=DispoMonth),1,0)</f>
        <v/>
      </c>
      <c r="FS42" s="17">
        <f>IF(AND(RefiFlag=1,172&gt;RefiMonth,172&lt;=DispoMonth),1,0)</f>
        <v/>
      </c>
      <c r="FT42" s="17">
        <f>IF(AND(RefiFlag=1,173&gt;RefiMonth,173&lt;=DispoMonth),1,0)</f>
        <v/>
      </c>
      <c r="FU42" s="17">
        <f>IF(AND(RefiFlag=1,174&gt;RefiMonth,174&lt;=DispoMonth),1,0)</f>
        <v/>
      </c>
      <c r="FV42" s="17">
        <f>IF(AND(RefiFlag=1,175&gt;RefiMonth,175&lt;=DispoMonth),1,0)</f>
        <v/>
      </c>
      <c r="FW42" s="17">
        <f>IF(AND(RefiFlag=1,176&gt;RefiMonth,176&lt;=DispoMonth),1,0)</f>
        <v/>
      </c>
      <c r="FX42" s="17">
        <f>IF(AND(RefiFlag=1,177&gt;RefiMonth,177&lt;=DispoMonth),1,0)</f>
        <v/>
      </c>
      <c r="FY42" s="17">
        <f>IF(AND(RefiFlag=1,178&gt;RefiMonth,178&lt;=DispoMonth),1,0)</f>
        <v/>
      </c>
      <c r="FZ42" s="17">
        <f>IF(AND(RefiFlag=1,179&gt;RefiMonth,179&lt;=DispoMonth),1,0)</f>
        <v/>
      </c>
      <c r="GA42" s="17">
        <f>IF(AND(RefiFlag=1,180&gt;RefiMonth,180&lt;=DispoMonth),1,0)</f>
        <v/>
      </c>
      <c r="GB42" s="17">
        <f>IF(AND(RefiFlag=1,181&gt;RefiMonth,181&lt;=DispoMonth),1,0)</f>
        <v/>
      </c>
      <c r="GC42" s="17">
        <f>IF(AND(RefiFlag=1,182&gt;RefiMonth,182&lt;=DispoMonth),1,0)</f>
        <v/>
      </c>
      <c r="GD42" s="17">
        <f>IF(AND(RefiFlag=1,183&gt;RefiMonth,183&lt;=DispoMonth),1,0)</f>
        <v/>
      </c>
      <c r="GE42" s="17">
        <f>IF(AND(RefiFlag=1,184&gt;RefiMonth,184&lt;=DispoMonth),1,0)</f>
        <v/>
      </c>
      <c r="GF42" s="17">
        <f>IF(AND(RefiFlag=1,185&gt;RefiMonth,185&lt;=DispoMonth),1,0)</f>
        <v/>
      </c>
      <c r="GG42" s="17">
        <f>IF(AND(RefiFlag=1,186&gt;RefiMonth,186&lt;=DispoMonth),1,0)</f>
        <v/>
      </c>
      <c r="GH42" s="17">
        <f>IF(AND(RefiFlag=1,187&gt;RefiMonth,187&lt;=DispoMonth),1,0)</f>
        <v/>
      </c>
      <c r="GI42" s="17">
        <f>IF(AND(RefiFlag=1,188&gt;RefiMonth,188&lt;=DispoMonth),1,0)</f>
        <v/>
      </c>
      <c r="GJ42" s="17">
        <f>IF(AND(RefiFlag=1,189&gt;RefiMonth,189&lt;=DispoMonth),1,0)</f>
        <v/>
      </c>
      <c r="GK42" s="17">
        <f>IF(AND(RefiFlag=1,190&gt;RefiMonth,190&lt;=DispoMonth),1,0)</f>
        <v/>
      </c>
      <c r="GL42" s="17">
        <f>IF(AND(RefiFlag=1,191&gt;RefiMonth,191&lt;=DispoMonth),1,0)</f>
        <v/>
      </c>
      <c r="GM42" s="17">
        <f>IF(AND(RefiFlag=1,192&gt;RefiMonth,192&lt;=DispoMonth),1,0)</f>
        <v/>
      </c>
      <c r="GN42" s="17">
        <f>IF(AND(RefiFlag=1,193&gt;RefiMonth,193&lt;=DispoMonth),1,0)</f>
        <v/>
      </c>
      <c r="GO42" s="17">
        <f>IF(AND(RefiFlag=1,194&gt;RefiMonth,194&lt;=DispoMonth),1,0)</f>
        <v/>
      </c>
      <c r="GP42" s="17">
        <f>IF(AND(RefiFlag=1,195&gt;RefiMonth,195&lt;=DispoMonth),1,0)</f>
        <v/>
      </c>
      <c r="GQ42" s="17">
        <f>IF(AND(RefiFlag=1,196&gt;RefiMonth,196&lt;=DispoMonth),1,0)</f>
        <v/>
      </c>
      <c r="GR42" s="17">
        <f>IF(AND(RefiFlag=1,197&gt;RefiMonth,197&lt;=DispoMonth),1,0)</f>
        <v/>
      </c>
      <c r="GS42" s="17">
        <f>IF(AND(RefiFlag=1,198&gt;RefiMonth,198&lt;=DispoMonth),1,0)</f>
        <v/>
      </c>
      <c r="GT42" s="17">
        <f>IF(AND(RefiFlag=1,199&gt;RefiMonth,199&lt;=DispoMonth),1,0)</f>
        <v/>
      </c>
      <c r="GU42" s="17">
        <f>IF(AND(RefiFlag=1,200&gt;RefiMonth,200&lt;=DispoMonth),1,0)</f>
        <v/>
      </c>
      <c r="GV42" s="17">
        <f>IF(AND(RefiFlag=1,201&gt;RefiMonth,201&lt;=DispoMonth),1,0)</f>
        <v/>
      </c>
      <c r="GW42" s="17">
        <f>IF(AND(RefiFlag=1,202&gt;RefiMonth,202&lt;=DispoMonth),1,0)</f>
        <v/>
      </c>
      <c r="GX42" s="17">
        <f>IF(AND(RefiFlag=1,203&gt;RefiMonth,203&lt;=DispoMonth),1,0)</f>
        <v/>
      </c>
      <c r="GY42" s="17">
        <f>IF(AND(RefiFlag=1,204&gt;RefiMonth,204&lt;=DispoMonth),1,0)</f>
        <v/>
      </c>
      <c r="GZ42" s="17">
        <f>IF(AND(RefiFlag=1,205&gt;RefiMonth,205&lt;=DispoMonth),1,0)</f>
        <v/>
      </c>
      <c r="HA42" s="17">
        <f>IF(AND(RefiFlag=1,206&gt;RefiMonth,206&lt;=DispoMonth),1,0)</f>
        <v/>
      </c>
      <c r="HB42" s="17">
        <f>IF(AND(RefiFlag=1,207&gt;RefiMonth,207&lt;=DispoMonth),1,0)</f>
        <v/>
      </c>
      <c r="HC42" s="17">
        <f>IF(AND(RefiFlag=1,208&gt;RefiMonth,208&lt;=DispoMonth),1,0)</f>
        <v/>
      </c>
      <c r="HD42" s="17">
        <f>IF(AND(RefiFlag=1,209&gt;RefiMonth,209&lt;=DispoMonth),1,0)</f>
        <v/>
      </c>
      <c r="HE42" s="17">
        <f>IF(AND(RefiFlag=1,210&gt;RefiMonth,210&lt;=DispoMonth),1,0)</f>
        <v/>
      </c>
      <c r="HF42" s="17">
        <f>IF(AND(RefiFlag=1,211&gt;RefiMonth,211&lt;=DispoMonth),1,0)</f>
        <v/>
      </c>
      <c r="HG42" s="17">
        <f>IF(AND(RefiFlag=1,212&gt;RefiMonth,212&lt;=DispoMonth),1,0)</f>
        <v/>
      </c>
      <c r="HH42" s="17">
        <f>IF(AND(RefiFlag=1,213&gt;RefiMonth,213&lt;=DispoMonth),1,0)</f>
        <v/>
      </c>
      <c r="HI42" s="17">
        <f>IF(AND(RefiFlag=1,214&gt;RefiMonth,214&lt;=DispoMonth),1,0)</f>
        <v/>
      </c>
      <c r="HJ42" s="17">
        <f>IF(AND(RefiFlag=1,215&gt;RefiMonth,215&lt;=DispoMonth),1,0)</f>
        <v/>
      </c>
      <c r="HK42" s="17">
        <f>IF(AND(RefiFlag=1,216&gt;RefiMonth,216&lt;=DispoMonth),1,0)</f>
        <v/>
      </c>
      <c r="HL42" s="17">
        <f>IF(AND(RefiFlag=1,217&gt;RefiMonth,217&lt;=DispoMonth),1,0)</f>
        <v/>
      </c>
      <c r="HM42" s="17">
        <f>IF(AND(RefiFlag=1,218&gt;RefiMonth,218&lt;=DispoMonth),1,0)</f>
        <v/>
      </c>
      <c r="HN42" s="17">
        <f>IF(AND(RefiFlag=1,219&gt;RefiMonth,219&lt;=DispoMonth),1,0)</f>
        <v/>
      </c>
      <c r="HO42" s="17">
        <f>IF(AND(RefiFlag=1,220&gt;RefiMonth,220&lt;=DispoMonth),1,0)</f>
        <v/>
      </c>
      <c r="HP42" s="17">
        <f>IF(AND(RefiFlag=1,221&gt;RefiMonth,221&lt;=DispoMonth),1,0)</f>
        <v/>
      </c>
      <c r="HQ42" s="17">
        <f>IF(AND(RefiFlag=1,222&gt;RefiMonth,222&lt;=DispoMonth),1,0)</f>
        <v/>
      </c>
      <c r="HR42" s="17">
        <f>IF(AND(RefiFlag=1,223&gt;RefiMonth,223&lt;=DispoMonth),1,0)</f>
        <v/>
      </c>
      <c r="HS42" s="17">
        <f>IF(AND(RefiFlag=1,224&gt;RefiMonth,224&lt;=DispoMonth),1,0)</f>
        <v/>
      </c>
      <c r="HT42" s="17">
        <f>IF(AND(RefiFlag=1,225&gt;RefiMonth,225&lt;=DispoMonth),1,0)</f>
        <v/>
      </c>
      <c r="HU42" s="17">
        <f>IF(AND(RefiFlag=1,226&gt;RefiMonth,226&lt;=DispoMonth),1,0)</f>
        <v/>
      </c>
      <c r="HV42" s="17">
        <f>IF(AND(RefiFlag=1,227&gt;RefiMonth,227&lt;=DispoMonth),1,0)</f>
        <v/>
      </c>
      <c r="HW42" s="17">
        <f>IF(AND(RefiFlag=1,228&gt;RefiMonth,228&lt;=DispoMonth),1,0)</f>
        <v/>
      </c>
      <c r="HX42" s="17">
        <f>IF(AND(RefiFlag=1,229&gt;RefiMonth,229&lt;=DispoMonth),1,0)</f>
        <v/>
      </c>
      <c r="HY42" s="17">
        <f>IF(AND(RefiFlag=1,230&gt;RefiMonth,230&lt;=DispoMonth),1,0)</f>
        <v/>
      </c>
      <c r="HZ42" s="17">
        <f>IF(AND(RefiFlag=1,231&gt;RefiMonth,231&lt;=DispoMonth),1,0)</f>
        <v/>
      </c>
      <c r="IA42" s="17">
        <f>IF(AND(RefiFlag=1,232&gt;RefiMonth,232&lt;=DispoMonth),1,0)</f>
        <v/>
      </c>
      <c r="IB42" s="17">
        <f>IF(AND(RefiFlag=1,233&gt;RefiMonth,233&lt;=DispoMonth),1,0)</f>
        <v/>
      </c>
      <c r="IC42" s="17">
        <f>IF(AND(RefiFlag=1,234&gt;RefiMonth,234&lt;=DispoMonth),1,0)</f>
        <v/>
      </c>
      <c r="ID42" s="17">
        <f>IF(AND(RefiFlag=1,235&gt;RefiMonth,235&lt;=DispoMonth),1,0)</f>
        <v/>
      </c>
      <c r="IE42" s="17">
        <f>IF(AND(RefiFlag=1,236&gt;RefiMonth,236&lt;=DispoMonth),1,0)</f>
        <v/>
      </c>
      <c r="IF42" s="17">
        <f>IF(AND(RefiFlag=1,237&gt;RefiMonth,237&lt;=DispoMonth),1,0)</f>
        <v/>
      </c>
      <c r="IG42" s="17">
        <f>IF(AND(RefiFlag=1,238&gt;RefiMonth,238&lt;=DispoMonth),1,0)</f>
        <v/>
      </c>
      <c r="IH42" s="17">
        <f>IF(AND(RefiFlag=1,239&gt;RefiMonth,239&lt;=DispoMonth),1,0)</f>
        <v/>
      </c>
      <c r="II42" s="17">
        <f>IF(AND(RefiFlag=1,240&gt;RefiMonth,240&lt;=DispoMonth),1,0)</f>
        <v/>
      </c>
      <c r="IJ42" s="17">
        <f>IF(AND(RefiFlag=1,241&gt;RefiMonth,241&lt;=DispoMonth),1,0)</f>
        <v/>
      </c>
      <c r="IK42" s="17">
        <f>IF(AND(RefiFlag=1,242&gt;RefiMonth,242&lt;=DispoMonth),1,0)</f>
        <v/>
      </c>
      <c r="IL42" s="17">
        <f>IF(AND(RefiFlag=1,243&gt;RefiMonth,243&lt;=DispoMonth),1,0)</f>
        <v/>
      </c>
      <c r="IM42" s="17">
        <f>IF(AND(RefiFlag=1,244&gt;RefiMonth,244&lt;=DispoMonth),1,0)</f>
        <v/>
      </c>
      <c r="IN42" s="17">
        <f>IF(AND(RefiFlag=1,245&gt;RefiMonth,245&lt;=DispoMonth),1,0)</f>
        <v/>
      </c>
      <c r="IO42" s="17">
        <f>IF(AND(RefiFlag=1,246&gt;RefiMonth,246&lt;=DispoMonth),1,0)</f>
        <v/>
      </c>
      <c r="IP42" s="17">
        <f>IF(AND(RefiFlag=1,247&gt;RefiMonth,247&lt;=DispoMonth),1,0)</f>
        <v/>
      </c>
      <c r="IQ42" s="17">
        <f>IF(AND(RefiFlag=1,248&gt;RefiMonth,248&lt;=DispoMonth),1,0)</f>
        <v/>
      </c>
      <c r="IR42" s="17">
        <f>IF(AND(RefiFlag=1,249&gt;RefiMonth,249&lt;=DispoMonth),1,0)</f>
        <v/>
      </c>
      <c r="IS42" s="17">
        <f>IF(AND(RefiFlag=1,250&gt;RefiMonth,250&lt;=DispoMonth),1,0)</f>
        <v/>
      </c>
      <c r="IT42" s="17">
        <f>IF(AND(RefiFlag=1,251&gt;RefiMonth,251&lt;=DispoMonth),1,0)</f>
        <v/>
      </c>
      <c r="IU42" s="17">
        <f>IF(AND(RefiFlag=1,252&gt;RefiMonth,252&lt;=DispoMonth),1,0)</f>
        <v/>
      </c>
      <c r="IV42" s="17">
        <f>IF(AND(RefiFlag=1,253&gt;RefiMonth,253&lt;=DispoMonth),1,0)</f>
        <v/>
      </c>
      <c r="IW42" s="17">
        <f>IF(AND(RefiFlag=1,254&gt;RefiMonth,254&lt;=DispoMonth),1,0)</f>
        <v/>
      </c>
      <c r="IX42" s="17">
        <f>IF(AND(RefiFlag=1,255&gt;RefiMonth,255&lt;=DispoMonth),1,0)</f>
        <v/>
      </c>
      <c r="IY42" s="17">
        <f>IF(AND(RefiFlag=1,256&gt;RefiMonth,256&lt;=DispoMonth),1,0)</f>
        <v/>
      </c>
      <c r="IZ42" s="17">
        <f>IF(AND(RefiFlag=1,257&gt;RefiMonth,257&lt;=DispoMonth),1,0)</f>
        <v/>
      </c>
      <c r="JA42" s="17">
        <f>IF(AND(RefiFlag=1,258&gt;RefiMonth,258&lt;=DispoMonth),1,0)</f>
        <v/>
      </c>
      <c r="JB42" s="17">
        <f>IF(AND(RefiFlag=1,259&gt;RefiMonth,259&lt;=DispoMonth),1,0)</f>
        <v/>
      </c>
      <c r="JC42" s="17">
        <f>IF(AND(RefiFlag=1,260&gt;RefiMonth,260&lt;=DispoMonth),1,0)</f>
        <v/>
      </c>
      <c r="JD42" s="17">
        <f>IF(AND(RefiFlag=1,261&gt;RefiMonth,261&lt;=DispoMonth),1,0)</f>
        <v/>
      </c>
      <c r="JE42" s="17">
        <f>IF(AND(RefiFlag=1,262&gt;RefiMonth,262&lt;=DispoMonth),1,0)</f>
        <v/>
      </c>
      <c r="JF42" s="17">
        <f>IF(AND(RefiFlag=1,263&gt;RefiMonth,263&lt;=DispoMonth),1,0)</f>
        <v/>
      </c>
      <c r="JG42" s="17">
        <f>IF(AND(RefiFlag=1,264&gt;RefiMonth,264&lt;=DispoMonth),1,0)</f>
        <v/>
      </c>
      <c r="JH42" s="17">
        <f>IF(AND(RefiFlag=1,265&gt;RefiMonth,265&lt;=DispoMonth),1,0)</f>
        <v/>
      </c>
      <c r="JI42" s="17">
        <f>IF(AND(RefiFlag=1,266&gt;RefiMonth,266&lt;=DispoMonth),1,0)</f>
        <v/>
      </c>
      <c r="JJ42" s="17">
        <f>IF(AND(RefiFlag=1,267&gt;RefiMonth,267&lt;=DispoMonth),1,0)</f>
        <v/>
      </c>
      <c r="JK42" s="17">
        <f>IF(AND(RefiFlag=1,268&gt;RefiMonth,268&lt;=DispoMonth),1,0)</f>
        <v/>
      </c>
      <c r="JL42" s="17">
        <f>IF(AND(RefiFlag=1,269&gt;RefiMonth,269&lt;=DispoMonth),1,0)</f>
        <v/>
      </c>
      <c r="JM42" s="17">
        <f>IF(AND(RefiFlag=1,270&gt;RefiMonth,270&lt;=DispoMonth),1,0)</f>
        <v/>
      </c>
      <c r="JN42" s="17">
        <f>IF(AND(RefiFlag=1,271&gt;RefiMonth,271&lt;=DispoMonth),1,0)</f>
        <v/>
      </c>
      <c r="JO42" s="17">
        <f>IF(AND(RefiFlag=1,272&gt;RefiMonth,272&lt;=DispoMonth),1,0)</f>
        <v/>
      </c>
      <c r="JP42" s="17">
        <f>IF(AND(RefiFlag=1,273&gt;RefiMonth,273&lt;=DispoMonth),1,0)</f>
        <v/>
      </c>
      <c r="JQ42" s="17">
        <f>IF(AND(RefiFlag=1,274&gt;RefiMonth,274&lt;=DispoMonth),1,0)</f>
        <v/>
      </c>
      <c r="JR42" s="17">
        <f>IF(AND(RefiFlag=1,275&gt;RefiMonth,275&lt;=DispoMonth),1,0)</f>
        <v/>
      </c>
      <c r="JS42" s="17">
        <f>IF(AND(RefiFlag=1,276&gt;RefiMonth,276&lt;=DispoMonth),1,0)</f>
        <v/>
      </c>
      <c r="JT42" s="17">
        <f>IF(AND(RefiFlag=1,277&gt;RefiMonth,277&lt;=DispoMonth),1,0)</f>
        <v/>
      </c>
      <c r="JU42" s="17">
        <f>IF(AND(RefiFlag=1,278&gt;RefiMonth,278&lt;=DispoMonth),1,0)</f>
        <v/>
      </c>
      <c r="JV42" s="17">
        <f>IF(AND(RefiFlag=1,279&gt;RefiMonth,279&lt;=DispoMonth),1,0)</f>
        <v/>
      </c>
      <c r="JW42" s="17">
        <f>IF(AND(RefiFlag=1,280&gt;RefiMonth,280&lt;=DispoMonth),1,0)</f>
        <v/>
      </c>
      <c r="JX42" s="17">
        <f>IF(AND(RefiFlag=1,281&gt;RefiMonth,281&lt;=DispoMonth),1,0)</f>
        <v/>
      </c>
      <c r="JY42" s="17">
        <f>IF(AND(RefiFlag=1,282&gt;RefiMonth,282&lt;=DispoMonth),1,0)</f>
        <v/>
      </c>
      <c r="JZ42" s="17">
        <f>IF(AND(RefiFlag=1,283&gt;RefiMonth,283&lt;=DispoMonth),1,0)</f>
        <v/>
      </c>
      <c r="KA42" s="17">
        <f>IF(AND(RefiFlag=1,284&gt;RefiMonth,284&lt;=DispoMonth),1,0)</f>
        <v/>
      </c>
      <c r="KB42" s="17">
        <f>IF(AND(RefiFlag=1,285&gt;RefiMonth,285&lt;=DispoMonth),1,0)</f>
        <v/>
      </c>
      <c r="KC42" s="17">
        <f>IF(AND(RefiFlag=1,286&gt;RefiMonth,286&lt;=DispoMonth),1,0)</f>
        <v/>
      </c>
      <c r="KD42" s="17">
        <f>IF(AND(RefiFlag=1,287&gt;RefiMonth,287&lt;=DispoMonth),1,0)</f>
        <v/>
      </c>
      <c r="KE42" s="17">
        <f>IF(AND(RefiFlag=1,288&gt;RefiMonth,288&lt;=DispoMonth),1,0)</f>
        <v/>
      </c>
      <c r="KF42" s="17">
        <f>IF(AND(RefiFlag=1,289&gt;RefiMonth,289&lt;=DispoMonth),1,0)</f>
        <v/>
      </c>
      <c r="KG42" s="17">
        <f>IF(AND(RefiFlag=1,290&gt;RefiMonth,290&lt;=DispoMonth),1,0)</f>
        <v/>
      </c>
      <c r="KH42" s="17">
        <f>IF(AND(RefiFlag=1,291&gt;RefiMonth,291&lt;=DispoMonth),1,0)</f>
        <v/>
      </c>
      <c r="KI42" s="17">
        <f>IF(AND(RefiFlag=1,292&gt;RefiMonth,292&lt;=DispoMonth),1,0)</f>
        <v/>
      </c>
      <c r="KJ42" s="17">
        <f>IF(AND(RefiFlag=1,293&gt;RefiMonth,293&lt;=DispoMonth),1,0)</f>
        <v/>
      </c>
      <c r="KK42" s="17">
        <f>IF(AND(RefiFlag=1,294&gt;RefiMonth,294&lt;=DispoMonth),1,0)</f>
        <v/>
      </c>
      <c r="KL42" s="17">
        <f>IF(AND(RefiFlag=1,295&gt;RefiMonth,295&lt;=DispoMonth),1,0)</f>
        <v/>
      </c>
      <c r="KM42" s="17">
        <f>IF(AND(RefiFlag=1,296&gt;RefiMonth,296&lt;=DispoMonth),1,0)</f>
        <v/>
      </c>
      <c r="KN42" s="17">
        <f>IF(AND(RefiFlag=1,297&gt;RefiMonth,297&lt;=DispoMonth),1,0)</f>
        <v/>
      </c>
      <c r="KO42" s="17">
        <f>IF(AND(RefiFlag=1,298&gt;RefiMonth,298&lt;=DispoMonth),1,0)</f>
        <v/>
      </c>
      <c r="KP42" s="17">
        <f>IF(AND(RefiFlag=1,299&gt;RefiMonth,299&lt;=DispoMonth),1,0)</f>
        <v/>
      </c>
      <c r="KQ42" s="17">
        <f>IF(AND(RefiFlag=1,300&gt;RefiMonth,300&lt;=DispoMonth),1,0)</f>
        <v/>
      </c>
      <c r="KR42" s="17">
        <f>IF(AND(RefiFlag=1,301&gt;RefiMonth,301&lt;=DispoMonth),1,0)</f>
        <v/>
      </c>
      <c r="KS42" s="17">
        <f>IF(AND(RefiFlag=1,302&gt;RefiMonth,302&lt;=DispoMonth),1,0)</f>
        <v/>
      </c>
      <c r="KT42" s="17">
        <f>IF(AND(RefiFlag=1,303&gt;RefiMonth,303&lt;=DispoMonth),1,0)</f>
        <v/>
      </c>
      <c r="KU42" s="17">
        <f>IF(AND(RefiFlag=1,304&gt;RefiMonth,304&lt;=DispoMonth),1,0)</f>
        <v/>
      </c>
      <c r="KV42" s="17">
        <f>IF(AND(RefiFlag=1,305&gt;RefiMonth,305&lt;=DispoMonth),1,0)</f>
        <v/>
      </c>
      <c r="KW42" s="17">
        <f>IF(AND(RefiFlag=1,306&gt;RefiMonth,306&lt;=DispoMonth),1,0)</f>
        <v/>
      </c>
      <c r="KX42" s="17">
        <f>IF(AND(RefiFlag=1,307&gt;RefiMonth,307&lt;=DispoMonth),1,0)</f>
        <v/>
      </c>
      <c r="KY42" s="17">
        <f>IF(AND(RefiFlag=1,308&gt;RefiMonth,308&lt;=DispoMonth),1,0)</f>
        <v/>
      </c>
      <c r="KZ42" s="17">
        <f>IF(AND(RefiFlag=1,309&gt;RefiMonth,309&lt;=DispoMonth),1,0)</f>
        <v/>
      </c>
      <c r="LA42" s="17">
        <f>IF(AND(RefiFlag=1,310&gt;RefiMonth,310&lt;=DispoMonth),1,0)</f>
        <v/>
      </c>
      <c r="LB42" s="17">
        <f>IF(AND(RefiFlag=1,311&gt;RefiMonth,311&lt;=DispoMonth),1,0)</f>
        <v/>
      </c>
      <c r="LC42" s="17">
        <f>IF(AND(RefiFlag=1,312&gt;RefiMonth,312&lt;=DispoMonth),1,0)</f>
        <v/>
      </c>
      <c r="LD42" s="17">
        <f>IF(AND(RefiFlag=1,313&gt;RefiMonth,313&lt;=DispoMonth),1,0)</f>
        <v/>
      </c>
      <c r="LE42" s="17">
        <f>IF(AND(RefiFlag=1,314&gt;RefiMonth,314&lt;=DispoMonth),1,0)</f>
        <v/>
      </c>
      <c r="LF42" s="17">
        <f>IF(AND(RefiFlag=1,315&gt;RefiMonth,315&lt;=DispoMonth),1,0)</f>
        <v/>
      </c>
      <c r="LG42" s="17">
        <f>IF(AND(RefiFlag=1,316&gt;RefiMonth,316&lt;=DispoMonth),1,0)</f>
        <v/>
      </c>
      <c r="LH42" s="17">
        <f>IF(AND(RefiFlag=1,317&gt;RefiMonth,317&lt;=DispoMonth),1,0)</f>
        <v/>
      </c>
      <c r="LI42" s="17">
        <f>IF(AND(RefiFlag=1,318&gt;RefiMonth,318&lt;=DispoMonth),1,0)</f>
        <v/>
      </c>
      <c r="LJ42" s="17">
        <f>IF(AND(RefiFlag=1,319&gt;RefiMonth,319&lt;=DispoMonth),1,0)</f>
        <v/>
      </c>
      <c r="LK42" s="17">
        <f>IF(AND(RefiFlag=1,320&gt;RefiMonth,320&lt;=DispoMonth),1,0)</f>
        <v/>
      </c>
      <c r="LL42" s="17">
        <f>IF(AND(RefiFlag=1,321&gt;RefiMonth,321&lt;=DispoMonth),1,0)</f>
        <v/>
      </c>
      <c r="LM42" s="17">
        <f>IF(AND(RefiFlag=1,322&gt;RefiMonth,322&lt;=DispoMonth),1,0)</f>
        <v/>
      </c>
      <c r="LN42" s="17">
        <f>IF(AND(RefiFlag=1,323&gt;RefiMonth,323&lt;=DispoMonth),1,0)</f>
        <v/>
      </c>
      <c r="LO42" s="17">
        <f>IF(AND(RefiFlag=1,324&gt;RefiMonth,324&lt;=DispoMonth),1,0)</f>
        <v/>
      </c>
      <c r="LP42" s="17">
        <f>IF(AND(RefiFlag=1,325&gt;RefiMonth,325&lt;=DispoMonth),1,0)</f>
        <v/>
      </c>
      <c r="LQ42" s="17">
        <f>IF(AND(RefiFlag=1,326&gt;RefiMonth,326&lt;=DispoMonth),1,0)</f>
        <v/>
      </c>
      <c r="LR42" s="17">
        <f>IF(AND(RefiFlag=1,327&gt;RefiMonth,327&lt;=DispoMonth),1,0)</f>
        <v/>
      </c>
      <c r="LS42" s="17">
        <f>IF(AND(RefiFlag=1,328&gt;RefiMonth,328&lt;=DispoMonth),1,0)</f>
        <v/>
      </c>
      <c r="LT42" s="17">
        <f>IF(AND(RefiFlag=1,329&gt;RefiMonth,329&lt;=DispoMonth),1,0)</f>
        <v/>
      </c>
      <c r="LU42" s="17">
        <f>IF(AND(RefiFlag=1,330&gt;RefiMonth,330&lt;=DispoMonth),1,0)</f>
        <v/>
      </c>
      <c r="LV42" s="17">
        <f>IF(AND(RefiFlag=1,331&gt;RefiMonth,331&lt;=DispoMonth),1,0)</f>
        <v/>
      </c>
      <c r="LW42" s="17">
        <f>IF(AND(RefiFlag=1,332&gt;RefiMonth,332&lt;=DispoMonth),1,0)</f>
        <v/>
      </c>
      <c r="LX42" s="17">
        <f>IF(AND(RefiFlag=1,333&gt;RefiMonth,333&lt;=DispoMonth),1,0)</f>
        <v/>
      </c>
      <c r="LY42" s="17">
        <f>IF(AND(RefiFlag=1,334&gt;RefiMonth,334&lt;=DispoMonth),1,0)</f>
        <v/>
      </c>
      <c r="LZ42" s="17">
        <f>IF(AND(RefiFlag=1,335&gt;RefiMonth,335&lt;=DispoMonth),1,0)</f>
        <v/>
      </c>
      <c r="MA42" s="17">
        <f>IF(AND(RefiFlag=1,336&gt;RefiMonth,336&lt;=DispoMonth),1,0)</f>
        <v/>
      </c>
      <c r="MB42" s="17">
        <f>IF(AND(RefiFlag=1,337&gt;RefiMonth,337&lt;=DispoMonth),1,0)</f>
        <v/>
      </c>
      <c r="MC42" s="17">
        <f>IF(AND(RefiFlag=1,338&gt;RefiMonth,338&lt;=DispoMonth),1,0)</f>
        <v/>
      </c>
      <c r="MD42" s="17">
        <f>IF(AND(RefiFlag=1,339&gt;RefiMonth,339&lt;=DispoMonth),1,0)</f>
        <v/>
      </c>
      <c r="ME42" s="17">
        <f>IF(AND(RefiFlag=1,340&gt;RefiMonth,340&lt;=DispoMonth),1,0)</f>
        <v/>
      </c>
      <c r="MF42" s="17">
        <f>IF(AND(RefiFlag=1,341&gt;RefiMonth,341&lt;=DispoMonth),1,0)</f>
        <v/>
      </c>
      <c r="MG42" s="17">
        <f>IF(AND(RefiFlag=1,342&gt;RefiMonth,342&lt;=DispoMonth),1,0)</f>
        <v/>
      </c>
      <c r="MH42" s="17">
        <f>IF(AND(RefiFlag=1,343&gt;RefiMonth,343&lt;=DispoMonth),1,0)</f>
        <v/>
      </c>
      <c r="MI42" s="17">
        <f>IF(AND(RefiFlag=1,344&gt;RefiMonth,344&lt;=DispoMonth),1,0)</f>
        <v/>
      </c>
      <c r="MJ42" s="17">
        <f>IF(AND(RefiFlag=1,345&gt;RefiMonth,345&lt;=DispoMonth),1,0)</f>
        <v/>
      </c>
      <c r="MK42" s="17">
        <f>IF(AND(RefiFlag=1,346&gt;RefiMonth,346&lt;=DispoMonth),1,0)</f>
        <v/>
      </c>
      <c r="ML42" s="17">
        <f>IF(AND(RefiFlag=1,347&gt;RefiMonth,347&lt;=DispoMonth),1,0)</f>
        <v/>
      </c>
      <c r="MM42" s="17">
        <f>IF(AND(RefiFlag=1,348&gt;RefiMonth,348&lt;=DispoMonth),1,0)</f>
        <v/>
      </c>
      <c r="MN42" s="17">
        <f>IF(AND(RefiFlag=1,349&gt;RefiMonth,349&lt;=DispoMonth),1,0)</f>
        <v/>
      </c>
      <c r="MO42" s="17">
        <f>IF(AND(RefiFlag=1,350&gt;RefiMonth,350&lt;=DispoMonth),1,0)</f>
        <v/>
      </c>
      <c r="MP42" s="17">
        <f>IF(AND(RefiFlag=1,351&gt;RefiMonth,351&lt;=DispoMonth),1,0)</f>
        <v/>
      </c>
      <c r="MQ42" s="17">
        <f>IF(AND(RefiFlag=1,352&gt;RefiMonth,352&lt;=DispoMonth),1,0)</f>
        <v/>
      </c>
      <c r="MR42" s="17">
        <f>IF(AND(RefiFlag=1,353&gt;RefiMonth,353&lt;=DispoMonth),1,0)</f>
        <v/>
      </c>
      <c r="MS42" s="17">
        <f>IF(AND(RefiFlag=1,354&gt;RefiMonth,354&lt;=DispoMonth),1,0)</f>
        <v/>
      </c>
      <c r="MT42" s="17">
        <f>IF(AND(RefiFlag=1,355&gt;RefiMonth,355&lt;=DispoMonth),1,0)</f>
        <v/>
      </c>
      <c r="MU42" s="17">
        <f>IF(AND(RefiFlag=1,356&gt;RefiMonth,356&lt;=DispoMonth),1,0)</f>
        <v/>
      </c>
      <c r="MV42" s="17">
        <f>IF(AND(RefiFlag=1,357&gt;RefiMonth,357&lt;=DispoMonth),1,0)</f>
        <v/>
      </c>
      <c r="MW42" s="17">
        <f>IF(AND(RefiFlag=1,358&gt;RefiMonth,358&lt;=DispoMonth),1,0)</f>
        <v/>
      </c>
      <c r="MX42" s="17">
        <f>IF(AND(RefiFlag=1,359&gt;RefiMonth,359&lt;=DispoMonth),1,0)</f>
        <v/>
      </c>
      <c r="MY42" s="17">
        <f>IF(AND(RefiFlag=1,360&gt;RefiMonth,360&lt;=DispoMonth),1,0)</f>
        <v/>
      </c>
      <c r="MZ42" s="17">
        <f>IF(AND(RefiFlag=1,361&gt;RefiMonth,361&lt;=DispoMonth),1,0)</f>
        <v/>
      </c>
      <c r="NA42" s="17">
        <f>IF(AND(RefiFlag=1,362&gt;RefiMonth,362&lt;=DispoMonth),1,0)</f>
        <v/>
      </c>
      <c r="NB42" s="17">
        <f>IF(AND(RefiFlag=1,363&gt;RefiMonth,363&lt;=DispoMonth),1,0)</f>
        <v/>
      </c>
      <c r="NC42" s="17">
        <f>IF(AND(RefiFlag=1,364&gt;RefiMonth,364&lt;=DispoMonth),1,0)</f>
        <v/>
      </c>
      <c r="ND42" s="17">
        <f>IF(AND(RefiFlag=1,365&gt;RefiMonth,365&lt;=DispoMonth),1,0)</f>
        <v/>
      </c>
      <c r="NE42" s="17">
        <f>IF(AND(RefiFlag=1,366&gt;RefiMonth,366&lt;=DispoMonth),1,0)</f>
        <v/>
      </c>
      <c r="NF42" s="17">
        <f>IF(AND(RefiFlag=1,367&gt;RefiMonth,367&lt;=DispoMonth),1,0)</f>
        <v/>
      </c>
      <c r="NG42" s="17">
        <f>IF(AND(RefiFlag=1,368&gt;RefiMonth,368&lt;=DispoMonth),1,0)</f>
        <v/>
      </c>
      <c r="NH42" s="17">
        <f>IF(AND(RefiFlag=1,369&gt;RefiMonth,369&lt;=DispoMonth),1,0)</f>
        <v/>
      </c>
      <c r="NI42" s="17">
        <f>IF(AND(RefiFlag=1,370&gt;RefiMonth,370&lt;=DispoMonth),1,0)</f>
        <v/>
      </c>
      <c r="NJ42" s="17">
        <f>IF(AND(RefiFlag=1,371&gt;RefiMonth,371&lt;=DispoMonth),1,0)</f>
        <v/>
      </c>
      <c r="NK42" s="17">
        <f>IF(AND(RefiFlag=1,372&gt;RefiMonth,372&lt;=DispoMonth),1,0)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2026-07-02T16:33:59Z</dcterms:created>
  <dcterms:modified xsi:type="dcterms:W3CDTF">2026-07-02T16:33:59Z</dcterms:modified>
</cp:coreProperties>
</file>