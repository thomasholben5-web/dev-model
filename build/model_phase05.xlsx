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  <numFmt numFmtId="172" formatCode="0.0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7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DirectCosts+DevFee+ConOtherCosts+ConTaxTotal+OpReserve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DirectCosts+DevFee+ConOtherCosts+ConTaxTotal+ConPoints+RecourseFee+OpReserve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'DevSpend'!D$34+'DevSpend'!D$35+'DevSpend'!D$38+IF(1=MS_Initial_Closing_Start,ConOtherCosts+ConPoints+RecourseFee+OpReserve,0)</f>
        <v/>
      </c>
      <c r="E26" s="18">
        <f>'DevSpend'!E$34+'DevSpend'!E$35+'DevSpend'!E$38+IF(2=MS_Initial_Closing_Start,ConOtherCosts+ConPoints+RecourseFee+OpReserve,0)</f>
        <v/>
      </c>
      <c r="F26" s="18">
        <f>'DevSpend'!F$34+'DevSpend'!F$35+'DevSpend'!F$38+IF(3=MS_Initial_Closing_Start,ConOtherCosts+ConPoints+RecourseFee+OpReserve,0)</f>
        <v/>
      </c>
      <c r="G26" s="18">
        <f>'DevSpend'!G$34+'DevSpend'!G$35+'DevSpend'!G$38+IF(4=MS_Initial_Closing_Start,ConOtherCosts+ConPoints+RecourseFee+OpReserve,0)</f>
        <v/>
      </c>
      <c r="H26" s="18">
        <f>'DevSpend'!H$34+'DevSpend'!H$35+'DevSpend'!H$38+IF(5=MS_Initial_Closing_Start,ConOtherCosts+ConPoints+RecourseFee+OpReserve,0)</f>
        <v/>
      </c>
      <c r="I26" s="18">
        <f>'DevSpend'!I$34+'DevSpend'!I$35+'DevSpend'!I$38+IF(6=MS_Initial_Closing_Start,ConOtherCosts+ConPoints+RecourseFee+OpReserve,0)</f>
        <v/>
      </c>
      <c r="J26" s="18">
        <f>'DevSpend'!J$34+'DevSpend'!J$35+'DevSpend'!J$38+IF(7=MS_Initial_Closing_Start,ConOtherCosts+ConPoints+RecourseFee+OpReserve,0)</f>
        <v/>
      </c>
      <c r="K26" s="18">
        <f>'DevSpend'!K$34+'DevSpend'!K$35+'DevSpend'!K$38+IF(8=MS_Initial_Closing_Start,ConOtherCosts+ConPoints+RecourseFee+OpReserve,0)</f>
        <v/>
      </c>
      <c r="L26" s="18">
        <f>'DevSpend'!L$34+'DevSpend'!L$35+'DevSpend'!L$38+IF(9=MS_Initial_Closing_Start,ConOtherCosts+ConPoints+RecourseFee+OpReserve,0)</f>
        <v/>
      </c>
      <c r="M26" s="18">
        <f>'DevSpend'!M$34+'DevSpend'!M$35+'DevSpend'!M$38+IF(10=MS_Initial_Closing_Start,ConOtherCosts+ConPoints+RecourseFee+OpReserve,0)</f>
        <v/>
      </c>
      <c r="N26" s="18">
        <f>'DevSpend'!N$34+'DevSpend'!N$35+'DevSpend'!N$38+IF(11=MS_Initial_Closing_Start,ConOtherCosts+ConPoints+RecourseFee+OpReserve,0)</f>
        <v/>
      </c>
      <c r="O26" s="18">
        <f>'DevSpend'!O$34+'DevSpend'!O$35+'DevSpend'!O$38+IF(12=MS_Initial_Closing_Start,ConOtherCosts+ConPoints+RecourseFee+OpReserve,0)</f>
        <v/>
      </c>
      <c r="P26" s="18">
        <f>'DevSpend'!P$34+'DevSpend'!P$35+'DevSpend'!P$38+IF(13=MS_Initial_Closing_Start,ConOtherCosts+ConPoints+RecourseFee+OpReserve,0)</f>
        <v/>
      </c>
      <c r="Q26" s="18">
        <f>'DevSpend'!Q$34+'DevSpend'!Q$35+'DevSpend'!Q$38+IF(14=MS_Initial_Closing_Start,ConOtherCosts+ConPoints+RecourseFee+OpReserve,0)</f>
        <v/>
      </c>
      <c r="R26" s="18">
        <f>'DevSpend'!R$34+'DevSpend'!R$35+'DevSpend'!R$38+IF(15=MS_Initial_Closing_Start,ConOtherCosts+ConPoints+RecourseFee+OpReserve,0)</f>
        <v/>
      </c>
      <c r="S26" s="18">
        <f>'DevSpend'!S$34+'DevSpend'!S$35+'DevSpend'!S$38+IF(16=MS_Initial_Closing_Start,ConOtherCosts+ConPoints+RecourseFee+OpReserve,0)</f>
        <v/>
      </c>
      <c r="T26" s="18">
        <f>'DevSpend'!T$34+'DevSpend'!T$35+'DevSpend'!T$38+IF(17=MS_Initial_Closing_Start,ConOtherCosts+ConPoints+RecourseFee+OpReserve,0)</f>
        <v/>
      </c>
      <c r="U26" s="18">
        <f>'DevSpend'!U$34+'DevSpend'!U$35+'DevSpend'!U$38+IF(18=MS_Initial_Closing_Start,ConOtherCosts+ConPoints+RecourseFee+OpReserve,0)</f>
        <v/>
      </c>
      <c r="V26" s="18">
        <f>'DevSpend'!V$34+'DevSpend'!V$35+'DevSpend'!V$38+IF(19=MS_Initial_Closing_Start,ConOtherCosts+ConPoints+RecourseFee+OpReserve,0)</f>
        <v/>
      </c>
      <c r="W26" s="18">
        <f>'DevSpend'!W$34+'DevSpend'!W$35+'DevSpend'!W$38+IF(20=MS_Initial_Closing_Start,ConOtherCosts+ConPoints+RecourseFee+OpReserve,0)</f>
        <v/>
      </c>
      <c r="X26" s="18">
        <f>'DevSpend'!X$34+'DevSpend'!X$35+'DevSpend'!X$38+IF(21=MS_Initial_Closing_Start,ConOtherCosts+ConPoints+RecourseFee+OpReserve,0)</f>
        <v/>
      </c>
      <c r="Y26" s="18">
        <f>'DevSpend'!Y$34+'DevSpend'!Y$35+'DevSpend'!Y$38+IF(22=MS_Initial_Closing_Start,ConOtherCosts+ConPoints+RecourseFee+OpReserve,0)</f>
        <v/>
      </c>
      <c r="Z26" s="18">
        <f>'DevSpend'!Z$34+'DevSpend'!Z$35+'DevSpend'!Z$38+IF(23=MS_Initial_Closing_Start,ConOtherCosts+ConPoints+RecourseFee+OpReserve,0)</f>
        <v/>
      </c>
      <c r="AA26" s="18">
        <f>'DevSpend'!AA$34+'DevSpend'!AA$35+'DevSpend'!AA$38+IF(24=MS_Initial_Closing_Start,ConOtherCosts+ConPoints+RecourseFee+OpReserve,0)</f>
        <v/>
      </c>
      <c r="AB26" s="18">
        <f>'DevSpend'!AB$34+'DevSpend'!AB$35+'DevSpend'!AB$38+IF(25=MS_Initial_Closing_Start,ConOtherCosts+ConPoints+RecourseFee+OpReserve,0)</f>
        <v/>
      </c>
      <c r="AC26" s="18">
        <f>'DevSpend'!AC$34+'DevSpend'!AC$35+'DevSpend'!AC$38+IF(26=MS_Initial_Closing_Start,ConOtherCosts+ConPoints+RecourseFee+OpReserve,0)</f>
        <v/>
      </c>
      <c r="AD26" s="18">
        <f>'DevSpend'!AD$34+'DevSpend'!AD$35+'DevSpend'!AD$38+IF(27=MS_Initial_Closing_Start,ConOtherCosts+ConPoints+RecourseFee+OpReserve,0)</f>
        <v/>
      </c>
      <c r="AE26" s="18">
        <f>'DevSpend'!AE$34+'DevSpend'!AE$35+'DevSpend'!AE$38+IF(28=MS_Initial_Closing_Start,ConOtherCosts+ConPoints+RecourseFee+OpReserve,0)</f>
        <v/>
      </c>
      <c r="AF26" s="18">
        <f>'DevSpend'!AF$34+'DevSpend'!AF$35+'DevSpend'!AF$38+IF(29=MS_Initial_Closing_Start,ConOtherCosts+ConPoints+RecourseFee+OpReserve,0)</f>
        <v/>
      </c>
      <c r="AG26" s="18">
        <f>'DevSpend'!AG$34+'DevSpend'!AG$35+'DevSpend'!AG$38+IF(30=MS_Initial_Closing_Start,ConOtherCosts+ConPoints+RecourseFee+OpReserve,0)</f>
        <v/>
      </c>
      <c r="AH26" s="18">
        <f>'DevSpend'!AH$34+'DevSpend'!AH$35+'DevSpend'!AH$38+IF(31=MS_Initial_Closing_Start,ConOtherCosts+ConPoints+RecourseFee+OpReserve,0)</f>
        <v/>
      </c>
      <c r="AI26" s="18">
        <f>'DevSpend'!AI$34+'DevSpend'!AI$35+'DevSpend'!AI$38+IF(32=MS_Initial_Closing_Start,ConOtherCosts+ConPoints+RecourseFee+OpReserve,0)</f>
        <v/>
      </c>
      <c r="AJ26" s="18">
        <f>'DevSpend'!AJ$34+'DevSpend'!AJ$35+'DevSpend'!AJ$38+IF(33=MS_Initial_Closing_Start,ConOtherCosts+ConPoints+RecourseFee+OpReserve,0)</f>
        <v/>
      </c>
      <c r="AK26" s="18">
        <f>'DevSpend'!AK$34+'DevSpend'!AK$35+'DevSpend'!AK$38+IF(34=MS_Initial_Closing_Start,ConOtherCosts+ConPoints+RecourseFee+OpReserve,0)</f>
        <v/>
      </c>
      <c r="AL26" s="18">
        <f>'DevSpend'!AL$34+'DevSpend'!AL$35+'DevSpend'!AL$38+IF(35=MS_Initial_Closing_Start,ConOtherCosts+ConPoints+RecourseFee+OpReserve,0)</f>
        <v/>
      </c>
      <c r="AM26" s="18">
        <f>'DevSpend'!AM$34+'DevSpend'!AM$35+'DevSpend'!AM$38+IF(36=MS_Initial_Closing_Start,ConOtherCosts+ConPoints+RecourseFee+OpReserve,0)</f>
        <v/>
      </c>
      <c r="AN26" s="18">
        <f>'DevSpend'!AN$34+'DevSpend'!AN$35+'DevSpend'!AN$38+IF(37=MS_Initial_Closing_Start,ConOtherCosts+ConPoints+RecourseFee+OpReserve,0)</f>
        <v/>
      </c>
      <c r="AO26" s="18">
        <f>'DevSpend'!AO$34+'DevSpend'!AO$35+'DevSpend'!AO$38+IF(38=MS_Initial_Closing_Start,ConOtherCosts+ConPoints+RecourseFee+OpReserve,0)</f>
        <v/>
      </c>
      <c r="AP26" s="18">
        <f>'DevSpend'!AP$34+'DevSpend'!AP$35+'DevSpend'!AP$38+IF(39=MS_Initial_Closing_Start,ConOtherCosts+ConPoints+RecourseFee+OpReserve,0)</f>
        <v/>
      </c>
      <c r="AQ26" s="18">
        <f>'DevSpend'!AQ$34+'DevSpend'!AQ$35+'DevSpend'!AQ$38+IF(40=MS_Initial_Closing_Start,ConOtherCosts+ConPoints+RecourseFee+OpReserve,0)</f>
        <v/>
      </c>
      <c r="AR26" s="18">
        <f>'DevSpend'!AR$34+'DevSpend'!AR$35+'DevSpend'!AR$38+IF(41=MS_Initial_Closing_Start,ConOtherCosts+ConPoints+RecourseFee+OpReserve,0)</f>
        <v/>
      </c>
      <c r="AS26" s="18">
        <f>'DevSpend'!AS$34+'DevSpend'!AS$35+'DevSpend'!AS$38+IF(42=MS_Initial_Closing_Start,ConOtherCosts+ConPoints+RecourseFee+OpReserve,0)</f>
        <v/>
      </c>
      <c r="AT26" s="18">
        <f>'DevSpend'!AT$34+'DevSpend'!AT$35+'DevSpend'!AT$38+IF(43=MS_Initial_Closing_Start,ConOtherCosts+ConPoints+RecourseFee+OpReserve,0)</f>
        <v/>
      </c>
      <c r="AU26" s="18">
        <f>'DevSpend'!AU$34+'DevSpend'!AU$35+'DevSpend'!AU$38+IF(44=MS_Initial_Closing_Start,ConOtherCosts+ConPoints+RecourseFee+OpReserve,0)</f>
        <v/>
      </c>
      <c r="AV26" s="18">
        <f>'DevSpend'!AV$34+'DevSpend'!AV$35+'DevSpend'!AV$38+IF(45=MS_Initial_Closing_Start,ConOtherCosts+ConPoints+RecourseFee+OpReserve,0)</f>
        <v/>
      </c>
      <c r="AW26" s="18">
        <f>'DevSpend'!AW$34+'DevSpend'!AW$35+'DevSpend'!AW$38+IF(46=MS_Initial_Closing_Start,ConOtherCosts+ConPoints+RecourseFee+OpReserve,0)</f>
        <v/>
      </c>
      <c r="AX26" s="18">
        <f>'DevSpend'!AX$34+'DevSpend'!AX$35+'DevSpend'!AX$38+IF(47=MS_Initial_Closing_Start,ConOtherCosts+ConPoints+RecourseFee+OpReserve,0)</f>
        <v/>
      </c>
      <c r="AY26" s="18">
        <f>'DevSpend'!AY$34+'DevSpend'!AY$35+'DevSpend'!AY$38+IF(48=MS_Initial_Closing_Start,ConOtherCosts+ConPoints+RecourseFee+OpReserve,0)</f>
        <v/>
      </c>
      <c r="AZ26" s="18">
        <f>'DevSpend'!AZ$34+'DevSpend'!AZ$35+'DevSpend'!AZ$38+IF(49=MS_Initial_Closing_Start,ConOtherCosts+ConPoints+RecourseFee+OpReserve,0)</f>
        <v/>
      </c>
      <c r="BA26" s="18">
        <f>'DevSpend'!BA$34+'DevSpend'!BA$35+'DevSpend'!BA$38+IF(50=MS_Initial_Closing_Start,ConOtherCosts+ConPoints+RecourseFee+OpReserve,0)</f>
        <v/>
      </c>
      <c r="BB26" s="18">
        <f>'DevSpend'!BB$34+'DevSpend'!BB$35+'DevSpend'!BB$38+IF(51=MS_Initial_Closing_Start,ConOtherCosts+ConPoints+RecourseFee+OpReserve,0)</f>
        <v/>
      </c>
      <c r="BC26" s="18">
        <f>'DevSpend'!BC$34+'DevSpend'!BC$35+'DevSpend'!BC$38+IF(52=MS_Initial_Closing_Start,ConOtherCosts+ConPoints+RecourseFee+OpReserve,0)</f>
        <v/>
      </c>
      <c r="BD26" s="18">
        <f>'DevSpend'!BD$34+'DevSpend'!BD$35+'DevSpend'!BD$38+IF(53=MS_Initial_Closing_Start,ConOtherCosts+ConPoints+RecourseFee+OpReserve,0)</f>
        <v/>
      </c>
      <c r="BE26" s="18">
        <f>'DevSpend'!BE$34+'DevSpend'!BE$35+'DevSpend'!BE$38+IF(54=MS_Initial_Closing_Start,ConOtherCosts+ConPoints+RecourseFee+OpReserve,0)</f>
        <v/>
      </c>
      <c r="BF26" s="18">
        <f>'DevSpend'!BF$34+'DevSpend'!BF$35+'DevSpend'!BF$38+IF(55=MS_Initial_Closing_Start,ConOtherCosts+ConPoints+RecourseFee+OpReserve,0)</f>
        <v/>
      </c>
      <c r="BG26" s="18">
        <f>'DevSpend'!BG$34+'DevSpend'!BG$35+'DevSpend'!BG$38+IF(56=MS_Initial_Closing_Start,ConOtherCosts+ConPoints+RecourseFee+OpReserve,0)</f>
        <v/>
      </c>
      <c r="BH26" s="18">
        <f>'DevSpend'!BH$34+'DevSpend'!BH$35+'DevSpend'!BH$38+IF(57=MS_Initial_Closing_Start,ConOtherCosts+ConPoints+RecourseFee+OpReserve,0)</f>
        <v/>
      </c>
      <c r="BI26" s="18">
        <f>'DevSpend'!BI$34+'DevSpend'!BI$35+'DevSpend'!BI$38+IF(58=MS_Initial_Closing_Start,ConOtherCosts+ConPoints+RecourseFee+OpReserve,0)</f>
        <v/>
      </c>
      <c r="BJ26" s="18">
        <f>'DevSpend'!BJ$34+'DevSpend'!BJ$35+'DevSpend'!BJ$38+IF(59=MS_Initial_Closing_Start,ConOtherCosts+ConPoints+RecourseFee+OpReserve,0)</f>
        <v/>
      </c>
      <c r="BK26" s="18">
        <f>'DevSpend'!BK$34+'DevSpend'!BK$35+'DevSpend'!BK$38+IF(60=MS_Initial_Closing_Start,ConOtherCosts+ConPoints+RecourseFee+OpReserve,0)</f>
        <v/>
      </c>
      <c r="BL26" s="18">
        <f>'DevSpend'!BL$34+'DevSpend'!BL$35+'DevSpend'!BL$38+IF(61=MS_Initial_Closing_Start,ConOtherCosts+ConPoints+RecourseFee+OpReserve,0)</f>
        <v/>
      </c>
      <c r="BM26" s="18">
        <f>'DevSpend'!BM$34+'DevSpend'!BM$35+'DevSpend'!BM$38+IF(62=MS_Initial_Closing_Start,ConOtherCosts+ConPoints+RecourseFee+OpReserve,0)</f>
        <v/>
      </c>
      <c r="BN26" s="18">
        <f>'DevSpend'!BN$34+'DevSpend'!BN$35+'DevSpend'!BN$38+IF(63=MS_Initial_Closing_Start,ConOtherCosts+ConPoints+RecourseFee+OpReserve,0)</f>
        <v/>
      </c>
      <c r="BO26" s="18">
        <f>'DevSpend'!BO$34+'DevSpend'!BO$35+'DevSpend'!BO$38+IF(64=MS_Initial_Closing_Start,ConOtherCosts+ConPoints+RecourseFee+OpReserve,0)</f>
        <v/>
      </c>
      <c r="BP26" s="18">
        <f>'DevSpend'!BP$34+'DevSpend'!BP$35+'DevSpend'!BP$38+IF(65=MS_Initial_Closing_Start,ConOtherCosts+ConPoints+RecourseFee+OpReserve,0)</f>
        <v/>
      </c>
      <c r="BQ26" s="18">
        <f>'DevSpend'!BQ$34+'DevSpend'!BQ$35+'DevSpend'!BQ$38+IF(66=MS_Initial_Closing_Start,ConOtherCosts+ConPoints+RecourseFee+OpReserve,0)</f>
        <v/>
      </c>
      <c r="BR26" s="18">
        <f>'DevSpend'!BR$34+'DevSpend'!BR$35+'DevSpend'!BR$38+IF(67=MS_Initial_Closing_Start,ConOtherCosts+ConPoints+RecourseFee+OpReserve,0)</f>
        <v/>
      </c>
      <c r="BS26" s="18">
        <f>'DevSpend'!BS$34+'DevSpend'!BS$35+'DevSpend'!BS$38+IF(68=MS_Initial_Closing_Start,ConOtherCosts+ConPoints+RecourseFee+OpReserve,0)</f>
        <v/>
      </c>
      <c r="BT26" s="18">
        <f>'DevSpend'!BT$34+'DevSpend'!BT$35+'DevSpend'!BT$38+IF(69=MS_Initial_Closing_Start,ConOtherCosts+ConPoints+RecourseFee+OpReserve,0)</f>
        <v/>
      </c>
      <c r="BU26" s="18">
        <f>'DevSpend'!BU$34+'DevSpend'!BU$35+'DevSpend'!BU$38+IF(70=MS_Initial_Closing_Start,ConOtherCosts+ConPoints+RecourseFee+OpReserve,0)</f>
        <v/>
      </c>
      <c r="BV26" s="18">
        <f>'DevSpend'!BV$34+'DevSpend'!BV$35+'DevSpend'!BV$38+IF(71=MS_Initial_Closing_Start,ConOtherCosts+ConPoints+RecourseFee+OpReserve,0)</f>
        <v/>
      </c>
      <c r="BW26" s="18">
        <f>'DevSpend'!BW$34+'DevSpend'!BW$35+'DevSpend'!BW$38+IF(72=MS_Initial_Closing_Start,ConOtherCosts+ConPoints+RecourseFee+OpReserve,0)</f>
        <v/>
      </c>
      <c r="BX26" s="18">
        <f>'DevSpend'!BX$34+'DevSpend'!BX$35+'DevSpend'!BX$38+IF(73=MS_Initial_Closing_Start,ConOtherCosts+ConPoints+RecourseFee+OpReserve,0)</f>
        <v/>
      </c>
      <c r="BY26" s="18">
        <f>'DevSpend'!BY$34+'DevSpend'!BY$35+'DevSpend'!BY$38+IF(74=MS_Initial_Closing_Start,ConOtherCosts+ConPoints+RecourseFee+OpReserve,0)</f>
        <v/>
      </c>
      <c r="BZ26" s="18">
        <f>'DevSpend'!BZ$34+'DevSpend'!BZ$35+'DevSpend'!BZ$38+IF(75=MS_Initial_Closing_Start,ConOtherCosts+ConPoints+RecourseFee+OpReserve,0)</f>
        <v/>
      </c>
      <c r="CA26" s="18">
        <f>'DevSpend'!CA$34+'DevSpend'!CA$35+'DevSpend'!CA$38+IF(76=MS_Initial_Closing_Start,ConOtherCosts+ConPoints+RecourseFee+OpReserve,0)</f>
        <v/>
      </c>
      <c r="CB26" s="18">
        <f>'DevSpend'!CB$34+'DevSpend'!CB$35+'DevSpend'!CB$38+IF(77=MS_Initial_Closing_Start,ConOtherCosts+ConPoints+RecourseFee+OpReserve,0)</f>
        <v/>
      </c>
      <c r="CC26" s="18">
        <f>'DevSpend'!CC$34+'DevSpend'!CC$35+'DevSpend'!CC$38+IF(78=MS_Initial_Closing_Start,ConOtherCosts+ConPoints+RecourseFee+OpReserve,0)</f>
        <v/>
      </c>
      <c r="CD26" s="18">
        <f>'DevSpend'!CD$34+'DevSpend'!CD$35+'DevSpend'!CD$38+IF(79=MS_Initial_Closing_Start,ConOtherCosts+ConPoints+RecourseFee+OpReserve,0)</f>
        <v/>
      </c>
      <c r="CE26" s="18">
        <f>'DevSpend'!CE$34+'DevSpend'!CE$35+'DevSpend'!CE$38+IF(80=MS_Initial_Closing_Start,ConOtherCosts+ConPoints+RecourseFee+OpReserve,0)</f>
        <v/>
      </c>
      <c r="CF26" s="18">
        <f>'DevSpend'!CF$34+'DevSpend'!CF$35+'DevSpend'!CF$38+IF(81=MS_Initial_Closing_Start,ConOtherCosts+ConPoints+RecourseFee+OpReserve,0)</f>
        <v/>
      </c>
      <c r="CG26" s="18">
        <f>'DevSpend'!CG$34+'DevSpend'!CG$35+'DevSpend'!CG$38+IF(82=MS_Initial_Closing_Start,ConOtherCosts+ConPoints+RecourseFee+OpReserve,0)</f>
        <v/>
      </c>
      <c r="CH26" s="18">
        <f>'DevSpend'!CH$34+'DevSpend'!CH$35+'DevSpend'!CH$38+IF(83=MS_Initial_Closing_Start,ConOtherCosts+ConPoints+RecourseFee+OpReserve,0)</f>
        <v/>
      </c>
      <c r="CI26" s="18">
        <f>'DevSpend'!CI$34+'DevSpend'!CI$35+'DevSpend'!CI$38+IF(84=MS_Initial_Closing_Start,ConOtherCosts+ConPoints+RecourseFee+OpReserve,0)</f>
        <v/>
      </c>
      <c r="CJ26" s="18">
        <f>'DevSpend'!CJ$34+'DevSpend'!CJ$35+'DevSpend'!CJ$38+IF(85=MS_Initial_Closing_Start,ConOtherCosts+ConPoints+RecourseFee+OpReserve,0)</f>
        <v/>
      </c>
      <c r="CK26" s="18">
        <f>'DevSpend'!CK$34+'DevSpend'!CK$35+'DevSpend'!CK$38+IF(86=MS_Initial_Closing_Start,ConOtherCosts+ConPoints+RecourseFee+OpReserve,0)</f>
        <v/>
      </c>
      <c r="CL26" s="18">
        <f>'DevSpend'!CL$34+'DevSpend'!CL$35+'DevSpend'!CL$38+IF(87=MS_Initial_Closing_Start,ConOtherCosts+ConPoints+RecourseFee+OpReserve,0)</f>
        <v/>
      </c>
      <c r="CM26" s="18">
        <f>'DevSpend'!CM$34+'DevSpend'!CM$35+'DevSpend'!CM$38+IF(88=MS_Initial_Closing_Start,ConOtherCosts+ConPoints+RecourseFee+OpReserve,0)</f>
        <v/>
      </c>
      <c r="CN26" s="18">
        <f>'DevSpend'!CN$34+'DevSpend'!CN$35+'DevSpend'!CN$38+IF(89=MS_Initial_Closing_Start,ConOtherCosts+ConPoints+RecourseFee+OpReserve,0)</f>
        <v/>
      </c>
      <c r="CO26" s="18">
        <f>'DevSpend'!CO$34+'DevSpend'!CO$35+'DevSpend'!CO$38+IF(90=MS_Initial_Closing_Start,ConOtherCosts+ConPoints+RecourseFee+OpReserve,0)</f>
        <v/>
      </c>
      <c r="CP26" s="18">
        <f>'DevSpend'!CP$34+'DevSpend'!CP$35+'DevSpend'!CP$38+IF(91=MS_Initial_Closing_Start,ConOtherCosts+ConPoints+RecourseFee+OpReserve,0)</f>
        <v/>
      </c>
      <c r="CQ26" s="18">
        <f>'DevSpend'!CQ$34+'DevSpend'!CQ$35+'DevSpend'!CQ$38+IF(92=MS_Initial_Closing_Start,ConOtherCosts+ConPoints+RecourseFee+OpReserve,0)</f>
        <v/>
      </c>
      <c r="CR26" s="18">
        <f>'DevSpend'!CR$34+'DevSpend'!CR$35+'DevSpend'!CR$38+IF(93=MS_Initial_Closing_Start,ConOtherCosts+ConPoints+RecourseFee+OpReserve,0)</f>
        <v/>
      </c>
      <c r="CS26" s="18">
        <f>'DevSpend'!CS$34+'DevSpend'!CS$35+'DevSpend'!CS$38+IF(94=MS_Initial_Closing_Start,ConOtherCosts+ConPoints+RecourseFee+OpReserve,0)</f>
        <v/>
      </c>
      <c r="CT26" s="18">
        <f>'DevSpend'!CT$34+'DevSpend'!CT$35+'DevSpend'!CT$38+IF(95=MS_Initial_Closing_Start,ConOtherCosts+ConPoints+RecourseFee+OpReserve,0)</f>
        <v/>
      </c>
      <c r="CU26" s="18">
        <f>'DevSpend'!CU$34+'DevSpend'!CU$35+'DevSpend'!CU$38+IF(96=MS_Initial_Closing_Start,ConOtherCosts+ConPoints+RecourseFee+OpReserve,0)</f>
        <v/>
      </c>
      <c r="CV26" s="18">
        <f>'DevSpend'!CV$34+'DevSpend'!CV$35+'DevSpend'!CV$38+IF(97=MS_Initial_Closing_Start,ConOtherCosts+ConPoints+RecourseFee+OpReserve,0)</f>
        <v/>
      </c>
      <c r="CW26" s="18">
        <f>'DevSpend'!CW$34+'DevSpend'!CW$35+'DevSpend'!CW$38+IF(98=MS_Initial_Closing_Start,ConOtherCosts+ConPoints+RecourseFee+OpReserve,0)</f>
        <v/>
      </c>
      <c r="CX26" s="18">
        <f>'DevSpend'!CX$34+'DevSpend'!CX$35+'DevSpend'!CX$38+IF(99=MS_Initial_Closing_Start,ConOtherCosts+ConPoints+RecourseFee+OpReserve,0)</f>
        <v/>
      </c>
      <c r="CY26" s="18">
        <f>'DevSpend'!CY$34+'DevSpend'!CY$35+'DevSpend'!CY$38+IF(100=MS_Initial_Closing_Start,ConOtherCosts+ConPoints+RecourseFee+OpReserve,0)</f>
        <v/>
      </c>
      <c r="CZ26" s="18">
        <f>'DevSpend'!CZ$34+'DevSpend'!CZ$35+'DevSpend'!CZ$38+IF(101=MS_Initial_Closing_Start,ConOtherCosts+ConPoints+RecourseFee+OpReserve,0)</f>
        <v/>
      </c>
      <c r="DA26" s="18">
        <f>'DevSpend'!DA$34+'DevSpend'!DA$35+'DevSpend'!DA$38+IF(102=MS_Initial_Closing_Start,ConOtherCosts+ConPoints+RecourseFee+OpReserve,0)</f>
        <v/>
      </c>
      <c r="DB26" s="18">
        <f>'DevSpend'!DB$34+'DevSpend'!DB$35+'DevSpend'!DB$38+IF(103=MS_Initial_Closing_Start,ConOtherCosts+ConPoints+RecourseFee+OpReserve,0)</f>
        <v/>
      </c>
      <c r="DC26" s="18">
        <f>'DevSpend'!DC$34+'DevSpend'!DC$35+'DevSpend'!DC$38+IF(104=MS_Initial_Closing_Start,ConOtherCosts+ConPoints+RecourseFee+OpReserve,0)</f>
        <v/>
      </c>
      <c r="DD26" s="18">
        <f>'DevSpend'!DD$34+'DevSpend'!DD$35+'DevSpend'!DD$38+IF(105=MS_Initial_Closing_Start,ConOtherCosts+ConPoints+RecourseFee+OpReserve,0)</f>
        <v/>
      </c>
      <c r="DE26" s="18">
        <f>'DevSpend'!DE$34+'DevSpend'!DE$35+'DevSpend'!DE$38+IF(106=MS_Initial_Closing_Start,ConOtherCosts+ConPoints+RecourseFee+OpReserve,0)</f>
        <v/>
      </c>
      <c r="DF26" s="18">
        <f>'DevSpend'!DF$34+'DevSpend'!DF$35+'DevSpend'!DF$38+IF(107=MS_Initial_Closing_Start,ConOtherCosts+ConPoints+RecourseFee+OpReserve,0)</f>
        <v/>
      </c>
      <c r="DG26" s="18">
        <f>'DevSpend'!DG$34+'DevSpend'!DG$35+'DevSpend'!DG$38+IF(108=MS_Initial_Closing_Start,ConOtherCosts+ConPoints+RecourseFee+OpReserve,0)</f>
        <v/>
      </c>
      <c r="DH26" s="18">
        <f>'DevSpend'!DH$34+'DevSpend'!DH$35+'DevSpend'!DH$38+IF(109=MS_Initial_Closing_Start,ConOtherCosts+ConPoints+RecourseFee+OpReserve,0)</f>
        <v/>
      </c>
      <c r="DI26" s="18">
        <f>'DevSpend'!DI$34+'DevSpend'!DI$35+'DevSpend'!DI$38+IF(110=MS_Initial_Closing_Start,ConOtherCosts+ConPoints+RecourseFee+OpReserve,0)</f>
        <v/>
      </c>
      <c r="DJ26" s="18">
        <f>'DevSpend'!DJ$34+'DevSpend'!DJ$35+'DevSpend'!DJ$38+IF(111=MS_Initial_Closing_Start,ConOtherCosts+ConPoints+RecourseFee+OpReserve,0)</f>
        <v/>
      </c>
      <c r="DK26" s="18">
        <f>'DevSpend'!DK$34+'DevSpend'!DK$35+'DevSpend'!DK$38+IF(112=MS_Initial_Closing_Start,ConOtherCosts+ConPoints+RecourseFee+OpReserve,0)</f>
        <v/>
      </c>
      <c r="DL26" s="18">
        <f>'DevSpend'!DL$34+'DevSpend'!DL$35+'DevSpend'!DL$38+IF(113=MS_Initial_Closing_Start,ConOtherCosts+ConPoints+RecourseFee+OpReserve,0)</f>
        <v/>
      </c>
      <c r="DM26" s="18">
        <f>'DevSpend'!DM$34+'DevSpend'!DM$35+'DevSpend'!DM$38+IF(114=MS_Initial_Closing_Start,ConOtherCosts+ConPoints+RecourseFee+OpReserve,0)</f>
        <v/>
      </c>
      <c r="DN26" s="18">
        <f>'DevSpend'!DN$34+'DevSpend'!DN$35+'DevSpend'!DN$38+IF(115=MS_Initial_Closing_Start,ConOtherCosts+ConPoints+RecourseFee+OpReserve,0)</f>
        <v/>
      </c>
      <c r="DO26" s="18">
        <f>'DevSpend'!DO$34+'DevSpend'!DO$35+'DevSpend'!DO$38+IF(116=MS_Initial_Closing_Start,ConOtherCosts+ConPoints+RecourseFee+OpReserve,0)</f>
        <v/>
      </c>
      <c r="DP26" s="18">
        <f>'DevSpend'!DP$34+'DevSpend'!DP$35+'DevSpend'!DP$38+IF(117=MS_Initial_Closing_Start,ConOtherCosts+ConPoints+RecourseFee+OpReserve,0)</f>
        <v/>
      </c>
      <c r="DQ26" s="18">
        <f>'DevSpend'!DQ$34+'DevSpend'!DQ$35+'DevSpend'!DQ$38+IF(118=MS_Initial_Closing_Start,ConOtherCosts+ConPoints+RecourseFee+OpReserve,0)</f>
        <v/>
      </c>
      <c r="DR26" s="18">
        <f>'DevSpend'!DR$34+'DevSpend'!DR$35+'DevSpend'!DR$38+IF(119=MS_Initial_Closing_Start,ConOtherCosts+ConPoints+RecourseFee+OpReserve,0)</f>
        <v/>
      </c>
      <c r="DS26" s="18">
        <f>'DevSpend'!DS$34+'DevSpend'!DS$35+'DevSpend'!DS$38+IF(120=MS_Initial_Closing_Start,ConOtherCosts+ConPoints+RecourseFee+OpReserve,0)</f>
        <v/>
      </c>
      <c r="DT26" s="18">
        <f>'DevSpend'!DT$34+'DevSpend'!DT$35+'DevSpend'!DT$38+IF(121=MS_Initial_Closing_Start,ConOtherCosts+ConPoints+RecourseFee+OpReserve,0)</f>
        <v/>
      </c>
      <c r="DU26" s="18">
        <f>'DevSpend'!DU$34+'DevSpend'!DU$35+'DevSpend'!DU$38+IF(122=MS_Initial_Closing_Start,ConOtherCosts+ConPoints+RecourseFee+OpReserve,0)</f>
        <v/>
      </c>
      <c r="DV26" s="18">
        <f>'DevSpend'!DV$34+'DevSpend'!DV$35+'DevSpend'!DV$38+IF(123=MS_Initial_Closing_Start,ConOtherCosts+ConPoints+RecourseFee+OpReserve,0)</f>
        <v/>
      </c>
      <c r="DW26" s="18">
        <f>'DevSpend'!DW$34+'DevSpend'!DW$35+'DevSpend'!DW$38+IF(124=MS_Initial_Closing_Start,ConOtherCosts+ConPoints+RecourseFee+OpReserve,0)</f>
        <v/>
      </c>
      <c r="DX26" s="18">
        <f>'DevSpend'!DX$34+'DevSpend'!DX$35+'DevSpend'!DX$38+IF(125=MS_Initial_Closing_Start,ConOtherCosts+ConPoints+RecourseFee+OpReserve,0)</f>
        <v/>
      </c>
      <c r="DY26" s="18">
        <f>'DevSpend'!DY$34+'DevSpend'!DY$35+'DevSpend'!DY$38+IF(126=MS_Initial_Closing_Start,ConOtherCosts+ConPoints+RecourseFee+OpReserve,0)</f>
        <v/>
      </c>
      <c r="DZ26" s="18">
        <f>'DevSpend'!DZ$34+'DevSpend'!DZ$35+'DevSpend'!DZ$38+IF(127=MS_Initial_Closing_Start,ConOtherCosts+ConPoints+RecourseFee+OpReserve,0)</f>
        <v/>
      </c>
      <c r="EA26" s="18">
        <f>'DevSpend'!EA$34+'DevSpend'!EA$35+'DevSpend'!EA$38+IF(128=MS_Initial_Closing_Start,ConOtherCosts+ConPoints+RecourseFee+OpReserve,0)</f>
        <v/>
      </c>
      <c r="EB26" s="18">
        <f>'DevSpend'!EB$34+'DevSpend'!EB$35+'DevSpend'!EB$38+IF(129=MS_Initial_Closing_Start,ConOtherCosts+ConPoints+RecourseFee+OpReserve,0)</f>
        <v/>
      </c>
      <c r="EC26" s="18">
        <f>'DevSpend'!EC$34+'DevSpend'!EC$35+'DevSpend'!EC$38+IF(130=MS_Initial_Closing_Start,ConOtherCosts+ConPoints+RecourseFee+OpReserve,0)</f>
        <v/>
      </c>
      <c r="ED26" s="18">
        <f>'DevSpend'!ED$34+'DevSpend'!ED$35+'DevSpend'!ED$38+IF(131=MS_Initial_Closing_Start,ConOtherCosts+ConPoints+RecourseFee+OpReserve,0)</f>
        <v/>
      </c>
      <c r="EE26" s="18">
        <f>'DevSpend'!EE$34+'DevSpend'!EE$35+'DevSpend'!EE$38+IF(132=MS_Initial_Closing_Start,ConOtherCosts+ConPoints+RecourseFee+OpReserve,0)</f>
        <v/>
      </c>
      <c r="EF26" s="18">
        <f>'DevSpend'!EF$34+'DevSpend'!EF$35+'DevSpend'!EF$38+IF(133=MS_Initial_Closing_Start,ConOtherCosts+ConPoints+RecourseFee+OpReserve,0)</f>
        <v/>
      </c>
      <c r="EG26" s="18">
        <f>'DevSpend'!EG$34+'DevSpend'!EG$35+'DevSpend'!EG$38+IF(134=MS_Initial_Closing_Start,ConOtherCosts+ConPoints+RecourseFee+OpReserve,0)</f>
        <v/>
      </c>
      <c r="EH26" s="18">
        <f>'DevSpend'!EH$34+'DevSpend'!EH$35+'DevSpend'!EH$38+IF(135=MS_Initial_Closing_Start,ConOtherCosts+ConPoints+RecourseFee+OpReserve,0)</f>
        <v/>
      </c>
      <c r="EI26" s="18">
        <f>'DevSpend'!EI$34+'DevSpend'!EI$35+'DevSpend'!EI$38+IF(136=MS_Initial_Closing_Start,ConOtherCosts+ConPoints+RecourseFee+OpReserve,0)</f>
        <v/>
      </c>
      <c r="EJ26" s="18">
        <f>'DevSpend'!EJ$34+'DevSpend'!EJ$35+'DevSpend'!EJ$38+IF(137=MS_Initial_Closing_Start,ConOtherCosts+ConPoints+RecourseFee+OpReserve,0)</f>
        <v/>
      </c>
      <c r="EK26" s="18">
        <f>'DevSpend'!EK$34+'DevSpend'!EK$35+'DevSpend'!EK$38+IF(138=MS_Initial_Closing_Start,ConOtherCosts+ConPoints+RecourseFee+OpReserve,0)</f>
        <v/>
      </c>
      <c r="EL26" s="18">
        <f>'DevSpend'!EL$34+'DevSpend'!EL$35+'DevSpend'!EL$38+IF(139=MS_Initial_Closing_Start,ConOtherCosts+ConPoints+RecourseFee+OpReserve,0)</f>
        <v/>
      </c>
      <c r="EM26" s="18">
        <f>'DevSpend'!EM$34+'DevSpend'!EM$35+'DevSpend'!EM$38+IF(140=MS_Initial_Closing_Start,ConOtherCosts+ConPoints+RecourseFee+OpReserve,0)</f>
        <v/>
      </c>
      <c r="EN26" s="18">
        <f>'DevSpend'!EN$34+'DevSpend'!EN$35+'DevSpend'!EN$38+IF(141=MS_Initial_Closing_Start,ConOtherCosts+ConPoints+RecourseFee+OpReserve,0)</f>
        <v/>
      </c>
      <c r="EO26" s="18">
        <f>'DevSpend'!EO$34+'DevSpend'!EO$35+'DevSpend'!EO$38+IF(142=MS_Initial_Closing_Start,ConOtherCosts+ConPoints+RecourseFee+OpReserve,0)</f>
        <v/>
      </c>
      <c r="EP26" s="18">
        <f>'DevSpend'!EP$34+'DevSpend'!EP$35+'DevSpend'!EP$38+IF(143=MS_Initial_Closing_Start,ConOtherCosts+ConPoints+RecourseFee+OpReserve,0)</f>
        <v/>
      </c>
      <c r="EQ26" s="18">
        <f>'DevSpend'!EQ$34+'DevSpend'!EQ$35+'DevSpend'!EQ$38+IF(144=MS_Initial_Closing_Start,ConOtherCosts+ConPoints+RecourseFee+OpReserve,0)</f>
        <v/>
      </c>
      <c r="ER26" s="18">
        <f>'DevSpend'!ER$34+'DevSpend'!ER$35+'DevSpend'!ER$38+IF(145=MS_Initial_Closing_Start,ConOtherCosts+ConPoints+RecourseFee+OpReserve,0)</f>
        <v/>
      </c>
      <c r="ES26" s="18">
        <f>'DevSpend'!ES$34+'DevSpend'!ES$35+'DevSpend'!ES$38+IF(146=MS_Initial_Closing_Start,ConOtherCosts+ConPoints+RecourseFee+OpReserve,0)</f>
        <v/>
      </c>
      <c r="ET26" s="18">
        <f>'DevSpend'!ET$34+'DevSpend'!ET$35+'DevSpend'!ET$38+IF(147=MS_Initial_Closing_Start,ConOtherCosts+ConPoints+RecourseFee+OpReserve,0)</f>
        <v/>
      </c>
      <c r="EU26" s="18">
        <f>'DevSpend'!EU$34+'DevSpend'!EU$35+'DevSpend'!EU$38+IF(148=MS_Initial_Closing_Start,ConOtherCosts+ConPoints+RecourseFee+OpReserve,0)</f>
        <v/>
      </c>
      <c r="EV26" s="18">
        <f>'DevSpend'!EV$34+'DevSpend'!EV$35+'DevSpend'!EV$38+IF(149=MS_Initial_Closing_Start,ConOtherCosts+ConPoints+RecourseFee+OpReserve,0)</f>
        <v/>
      </c>
      <c r="EW26" s="18">
        <f>'DevSpend'!EW$34+'DevSpend'!EW$35+'DevSpend'!EW$38+IF(150=MS_Initial_Closing_Start,ConOtherCosts+ConPoints+RecourseFee+OpReserve,0)</f>
        <v/>
      </c>
      <c r="EX26" s="18">
        <f>'DevSpend'!EX$34+'DevSpend'!EX$35+'DevSpend'!EX$38+IF(151=MS_Initial_Closing_Start,ConOtherCosts+ConPoints+RecourseFee+OpReserve,0)</f>
        <v/>
      </c>
      <c r="EY26" s="18">
        <f>'DevSpend'!EY$34+'DevSpend'!EY$35+'DevSpend'!EY$38+IF(152=MS_Initial_Closing_Start,ConOtherCosts+ConPoints+RecourseFee+OpReserve,0)</f>
        <v/>
      </c>
      <c r="EZ26" s="18">
        <f>'DevSpend'!EZ$34+'DevSpend'!EZ$35+'DevSpend'!EZ$38+IF(153=MS_Initial_Closing_Start,ConOtherCosts+ConPoints+RecourseFee+OpReserve,0)</f>
        <v/>
      </c>
      <c r="FA26" s="18">
        <f>'DevSpend'!FA$34+'DevSpend'!FA$35+'DevSpend'!FA$38+IF(154=MS_Initial_Closing_Start,ConOtherCosts+ConPoints+RecourseFee+OpReserve,0)</f>
        <v/>
      </c>
      <c r="FB26" s="18">
        <f>'DevSpend'!FB$34+'DevSpend'!FB$35+'DevSpend'!FB$38+IF(155=MS_Initial_Closing_Start,ConOtherCosts+ConPoints+RecourseFee+OpReserve,0)</f>
        <v/>
      </c>
      <c r="FC26" s="18">
        <f>'DevSpend'!FC$34+'DevSpend'!FC$35+'DevSpend'!FC$38+IF(156=MS_Initial_Closing_Start,ConOtherCosts+ConPoints+RecourseFee+OpReserve,0)</f>
        <v/>
      </c>
      <c r="FD26" s="18">
        <f>'DevSpend'!FD$34+'DevSpend'!FD$35+'DevSpend'!FD$38+IF(157=MS_Initial_Closing_Start,ConOtherCosts+ConPoints+RecourseFee+OpReserve,0)</f>
        <v/>
      </c>
      <c r="FE26" s="18">
        <f>'DevSpend'!FE$34+'DevSpend'!FE$35+'DevSpend'!FE$38+IF(158=MS_Initial_Closing_Start,ConOtherCosts+ConPoints+RecourseFee+OpReserve,0)</f>
        <v/>
      </c>
      <c r="FF26" s="18">
        <f>'DevSpend'!FF$34+'DevSpend'!FF$35+'DevSpend'!FF$38+IF(159=MS_Initial_Closing_Start,ConOtherCosts+ConPoints+RecourseFee+OpReserve,0)</f>
        <v/>
      </c>
      <c r="FG26" s="18">
        <f>'DevSpend'!FG$34+'DevSpend'!FG$35+'DevSpend'!FG$38+IF(160=MS_Initial_Closing_Start,ConOtherCosts+ConPoints+RecourseFee+OpReserve,0)</f>
        <v/>
      </c>
      <c r="FH26" s="18">
        <f>'DevSpend'!FH$34+'DevSpend'!FH$35+'DevSpend'!FH$38+IF(161=MS_Initial_Closing_Start,ConOtherCosts+ConPoints+RecourseFee+OpReserve,0)</f>
        <v/>
      </c>
      <c r="FI26" s="18">
        <f>'DevSpend'!FI$34+'DevSpend'!FI$35+'DevSpend'!FI$38+IF(162=MS_Initial_Closing_Start,ConOtherCosts+ConPoints+RecourseFee+OpReserve,0)</f>
        <v/>
      </c>
      <c r="FJ26" s="18">
        <f>'DevSpend'!FJ$34+'DevSpend'!FJ$35+'DevSpend'!FJ$38+IF(163=MS_Initial_Closing_Start,ConOtherCosts+ConPoints+RecourseFee+OpReserve,0)</f>
        <v/>
      </c>
      <c r="FK26" s="18">
        <f>'DevSpend'!FK$34+'DevSpend'!FK$35+'DevSpend'!FK$38+IF(164=MS_Initial_Closing_Start,ConOtherCosts+ConPoints+RecourseFee+OpReserve,0)</f>
        <v/>
      </c>
      <c r="FL26" s="18">
        <f>'DevSpend'!FL$34+'DevSpend'!FL$35+'DevSpend'!FL$38+IF(165=MS_Initial_Closing_Start,ConOtherCosts+ConPoints+RecourseFee+OpReserve,0)</f>
        <v/>
      </c>
      <c r="FM26" s="18">
        <f>'DevSpend'!FM$34+'DevSpend'!FM$35+'DevSpend'!FM$38+IF(166=MS_Initial_Closing_Start,ConOtherCosts+ConPoints+RecourseFee+OpReserve,0)</f>
        <v/>
      </c>
      <c r="FN26" s="18">
        <f>'DevSpend'!FN$34+'DevSpend'!FN$35+'DevSpend'!FN$38+IF(167=MS_Initial_Closing_Start,ConOtherCosts+ConPoints+RecourseFee+OpReserve,0)</f>
        <v/>
      </c>
      <c r="FO26" s="18">
        <f>'DevSpend'!FO$34+'DevSpend'!FO$35+'DevSpend'!FO$38+IF(168=MS_Initial_Closing_Start,ConOtherCosts+ConPoints+RecourseFee+OpReserve,0)</f>
        <v/>
      </c>
      <c r="FP26" s="18">
        <f>'DevSpend'!FP$34+'DevSpend'!FP$35+'DevSpend'!FP$38+IF(169=MS_Initial_Closing_Start,ConOtherCosts+ConPoints+RecourseFee+OpReserve,0)</f>
        <v/>
      </c>
      <c r="FQ26" s="18">
        <f>'DevSpend'!FQ$34+'DevSpend'!FQ$35+'DevSpend'!FQ$38+IF(170=MS_Initial_Closing_Start,ConOtherCosts+ConPoints+RecourseFee+OpReserve,0)</f>
        <v/>
      </c>
      <c r="FR26" s="18">
        <f>'DevSpend'!FR$34+'DevSpend'!FR$35+'DevSpend'!FR$38+IF(171=MS_Initial_Closing_Start,ConOtherCosts+ConPoints+RecourseFee+OpReserve,0)</f>
        <v/>
      </c>
      <c r="FS26" s="18">
        <f>'DevSpend'!FS$34+'DevSpend'!FS$35+'DevSpend'!FS$38+IF(172=MS_Initial_Closing_Start,ConOtherCosts+ConPoints+RecourseFee+OpReserve,0)</f>
        <v/>
      </c>
      <c r="FT26" s="18">
        <f>'DevSpend'!FT$34+'DevSpend'!FT$35+'DevSpend'!FT$38+IF(173=MS_Initial_Closing_Start,ConOtherCosts+ConPoints+RecourseFee+OpReserve,0)</f>
        <v/>
      </c>
      <c r="FU26" s="18">
        <f>'DevSpend'!FU$34+'DevSpend'!FU$35+'DevSpend'!FU$38+IF(174=MS_Initial_Closing_Start,ConOtherCosts+ConPoints+RecourseFee+OpReserve,0)</f>
        <v/>
      </c>
      <c r="FV26" s="18">
        <f>'DevSpend'!FV$34+'DevSpend'!FV$35+'DevSpend'!FV$38+IF(175=MS_Initial_Closing_Start,ConOtherCosts+ConPoints+RecourseFee+OpReserve,0)</f>
        <v/>
      </c>
      <c r="FW26" s="18">
        <f>'DevSpend'!FW$34+'DevSpend'!FW$35+'DevSpend'!FW$38+IF(176=MS_Initial_Closing_Start,ConOtherCosts+ConPoints+RecourseFee+OpReserve,0)</f>
        <v/>
      </c>
      <c r="FX26" s="18">
        <f>'DevSpend'!FX$34+'DevSpend'!FX$35+'DevSpend'!FX$38+IF(177=MS_Initial_Closing_Start,ConOtherCosts+ConPoints+RecourseFee+OpReserve,0)</f>
        <v/>
      </c>
      <c r="FY26" s="18">
        <f>'DevSpend'!FY$34+'DevSpend'!FY$35+'DevSpend'!FY$38+IF(178=MS_Initial_Closing_Start,ConOtherCosts+ConPoints+RecourseFee+OpReserve,0)</f>
        <v/>
      </c>
      <c r="FZ26" s="18">
        <f>'DevSpend'!FZ$34+'DevSpend'!FZ$35+'DevSpend'!FZ$38+IF(179=MS_Initial_Closing_Start,ConOtherCosts+ConPoints+RecourseFee+OpReserve,0)</f>
        <v/>
      </c>
      <c r="GA26" s="18">
        <f>'DevSpend'!GA$34+'DevSpend'!GA$35+'DevSpend'!GA$38+IF(180=MS_Initial_Closing_Start,ConOtherCosts+ConPoints+RecourseFee+OpReserve,0)</f>
        <v/>
      </c>
      <c r="GB26" s="18">
        <f>'DevSpend'!GB$34+'DevSpend'!GB$35+'DevSpend'!GB$38+IF(181=MS_Initial_Closing_Start,ConOtherCosts+ConPoints+RecourseFee+OpReserve,0)</f>
        <v/>
      </c>
      <c r="GC26" s="18">
        <f>'DevSpend'!GC$34+'DevSpend'!GC$35+'DevSpend'!GC$38+IF(182=MS_Initial_Closing_Start,ConOtherCosts+ConPoints+RecourseFee+OpReserve,0)</f>
        <v/>
      </c>
      <c r="GD26" s="18">
        <f>'DevSpend'!GD$34+'DevSpend'!GD$35+'DevSpend'!GD$38+IF(183=MS_Initial_Closing_Start,ConOtherCosts+ConPoints+RecourseFee+OpReserve,0)</f>
        <v/>
      </c>
      <c r="GE26" s="18">
        <f>'DevSpend'!GE$34+'DevSpend'!GE$35+'DevSpend'!GE$38+IF(184=MS_Initial_Closing_Start,ConOtherCosts+ConPoints+RecourseFee+OpReserve,0)</f>
        <v/>
      </c>
      <c r="GF26" s="18">
        <f>'DevSpend'!GF$34+'DevSpend'!GF$35+'DevSpend'!GF$38+IF(185=MS_Initial_Closing_Start,ConOtherCosts+ConPoints+RecourseFee+OpReserve,0)</f>
        <v/>
      </c>
      <c r="GG26" s="18">
        <f>'DevSpend'!GG$34+'DevSpend'!GG$35+'DevSpend'!GG$38+IF(186=MS_Initial_Closing_Start,ConOtherCosts+ConPoints+RecourseFee+OpReserve,0)</f>
        <v/>
      </c>
      <c r="GH26" s="18">
        <f>'DevSpend'!GH$34+'DevSpend'!GH$35+'DevSpend'!GH$38+IF(187=MS_Initial_Closing_Start,ConOtherCosts+ConPoints+RecourseFee+OpReserve,0)</f>
        <v/>
      </c>
      <c r="GI26" s="18">
        <f>'DevSpend'!GI$34+'DevSpend'!GI$35+'DevSpend'!GI$38+IF(188=MS_Initial_Closing_Start,ConOtherCosts+ConPoints+RecourseFee+OpReserve,0)</f>
        <v/>
      </c>
      <c r="GJ26" s="18">
        <f>'DevSpend'!GJ$34+'DevSpend'!GJ$35+'DevSpend'!GJ$38+IF(189=MS_Initial_Closing_Start,ConOtherCosts+ConPoints+RecourseFee+OpReserve,0)</f>
        <v/>
      </c>
      <c r="GK26" s="18">
        <f>'DevSpend'!GK$34+'DevSpend'!GK$35+'DevSpend'!GK$38+IF(190=MS_Initial_Closing_Start,ConOtherCosts+ConPoints+RecourseFee+OpReserve,0)</f>
        <v/>
      </c>
      <c r="GL26" s="18">
        <f>'DevSpend'!GL$34+'DevSpend'!GL$35+'DevSpend'!GL$38+IF(191=MS_Initial_Closing_Start,ConOtherCosts+ConPoints+RecourseFee+OpReserve,0)</f>
        <v/>
      </c>
      <c r="GM26" s="18">
        <f>'DevSpend'!GM$34+'DevSpend'!GM$35+'DevSpend'!GM$38+IF(192=MS_Initial_Closing_Start,ConOtherCosts+ConPoints+RecourseFee+OpReserve,0)</f>
        <v/>
      </c>
      <c r="GN26" s="18">
        <f>'DevSpend'!GN$34+'DevSpend'!GN$35+'DevSpend'!GN$38+IF(193=MS_Initial_Closing_Start,ConOtherCosts+ConPoints+RecourseFee+OpReserve,0)</f>
        <v/>
      </c>
      <c r="GO26" s="18">
        <f>'DevSpend'!GO$34+'DevSpend'!GO$35+'DevSpend'!GO$38+IF(194=MS_Initial_Closing_Start,ConOtherCosts+ConPoints+RecourseFee+OpReserve,0)</f>
        <v/>
      </c>
      <c r="GP26" s="18">
        <f>'DevSpend'!GP$34+'DevSpend'!GP$35+'DevSpend'!GP$38+IF(195=MS_Initial_Closing_Start,ConOtherCosts+ConPoints+RecourseFee+OpReserve,0)</f>
        <v/>
      </c>
      <c r="GQ26" s="18">
        <f>'DevSpend'!GQ$34+'DevSpend'!GQ$35+'DevSpend'!GQ$38+IF(196=MS_Initial_Closing_Start,ConOtherCosts+ConPoints+RecourseFee+OpReserve,0)</f>
        <v/>
      </c>
      <c r="GR26" s="18">
        <f>'DevSpend'!GR$34+'DevSpend'!GR$35+'DevSpend'!GR$38+IF(197=MS_Initial_Closing_Start,ConOtherCosts+ConPoints+RecourseFee+OpReserve,0)</f>
        <v/>
      </c>
      <c r="GS26" s="18">
        <f>'DevSpend'!GS$34+'DevSpend'!GS$35+'DevSpend'!GS$38+IF(198=MS_Initial_Closing_Start,ConOtherCosts+ConPoints+RecourseFee+OpReserve,0)</f>
        <v/>
      </c>
      <c r="GT26" s="18">
        <f>'DevSpend'!GT$34+'DevSpend'!GT$35+'DevSpend'!GT$38+IF(199=MS_Initial_Closing_Start,ConOtherCosts+ConPoints+RecourseFee+OpReserve,0)</f>
        <v/>
      </c>
      <c r="GU26" s="18">
        <f>'DevSpend'!GU$34+'DevSpend'!GU$35+'DevSpend'!GU$38+IF(200=MS_Initial_Closing_Start,ConOtherCosts+ConPoints+RecourseFee+OpReserve,0)</f>
        <v/>
      </c>
      <c r="GV26" s="18">
        <f>'DevSpend'!GV$34+'DevSpend'!GV$35+'DevSpend'!GV$38+IF(201=MS_Initial_Closing_Start,ConOtherCosts+ConPoints+RecourseFee+OpReserve,0)</f>
        <v/>
      </c>
      <c r="GW26" s="18">
        <f>'DevSpend'!GW$34+'DevSpend'!GW$35+'DevSpend'!GW$38+IF(202=MS_Initial_Closing_Start,ConOtherCosts+ConPoints+RecourseFee+OpReserve,0)</f>
        <v/>
      </c>
      <c r="GX26" s="18">
        <f>'DevSpend'!GX$34+'DevSpend'!GX$35+'DevSpend'!GX$38+IF(203=MS_Initial_Closing_Start,ConOtherCosts+ConPoints+RecourseFee+OpReserve,0)</f>
        <v/>
      </c>
      <c r="GY26" s="18">
        <f>'DevSpend'!GY$34+'DevSpend'!GY$35+'DevSpend'!GY$38+IF(204=MS_Initial_Closing_Start,ConOtherCosts+ConPoints+RecourseFee+OpReserve,0)</f>
        <v/>
      </c>
      <c r="GZ26" s="18">
        <f>'DevSpend'!GZ$34+'DevSpend'!GZ$35+'DevSpend'!GZ$38+IF(205=MS_Initial_Closing_Start,ConOtherCosts+ConPoints+RecourseFee+OpReserve,0)</f>
        <v/>
      </c>
      <c r="HA26" s="18">
        <f>'DevSpend'!HA$34+'DevSpend'!HA$35+'DevSpend'!HA$38+IF(206=MS_Initial_Closing_Start,ConOtherCosts+ConPoints+RecourseFee+OpReserve,0)</f>
        <v/>
      </c>
      <c r="HB26" s="18">
        <f>'DevSpend'!HB$34+'DevSpend'!HB$35+'DevSpend'!HB$38+IF(207=MS_Initial_Closing_Start,ConOtherCosts+ConPoints+RecourseFee+OpReserve,0)</f>
        <v/>
      </c>
      <c r="HC26" s="18">
        <f>'DevSpend'!HC$34+'DevSpend'!HC$35+'DevSpend'!HC$38+IF(208=MS_Initial_Closing_Start,ConOtherCosts+ConPoints+RecourseFee+OpReserve,0)</f>
        <v/>
      </c>
      <c r="HD26" s="18">
        <f>'DevSpend'!HD$34+'DevSpend'!HD$35+'DevSpend'!HD$38+IF(209=MS_Initial_Closing_Start,ConOtherCosts+ConPoints+RecourseFee+OpReserve,0)</f>
        <v/>
      </c>
      <c r="HE26" s="18">
        <f>'DevSpend'!HE$34+'DevSpend'!HE$35+'DevSpend'!HE$38+IF(210=MS_Initial_Closing_Start,ConOtherCosts+ConPoints+RecourseFee+OpReserve,0)</f>
        <v/>
      </c>
      <c r="HF26" s="18">
        <f>'DevSpend'!HF$34+'DevSpend'!HF$35+'DevSpend'!HF$38+IF(211=MS_Initial_Closing_Start,ConOtherCosts+ConPoints+RecourseFee+OpReserve,0)</f>
        <v/>
      </c>
      <c r="HG26" s="18">
        <f>'DevSpend'!HG$34+'DevSpend'!HG$35+'DevSpend'!HG$38+IF(212=MS_Initial_Closing_Start,ConOtherCosts+ConPoints+RecourseFee+OpReserve,0)</f>
        <v/>
      </c>
      <c r="HH26" s="18">
        <f>'DevSpend'!HH$34+'DevSpend'!HH$35+'DevSpend'!HH$38+IF(213=MS_Initial_Closing_Start,ConOtherCosts+ConPoints+RecourseFee+OpReserve,0)</f>
        <v/>
      </c>
      <c r="HI26" s="18">
        <f>'DevSpend'!HI$34+'DevSpend'!HI$35+'DevSpend'!HI$38+IF(214=MS_Initial_Closing_Start,ConOtherCosts+ConPoints+RecourseFee+OpReserve,0)</f>
        <v/>
      </c>
      <c r="HJ26" s="18">
        <f>'DevSpend'!HJ$34+'DevSpend'!HJ$35+'DevSpend'!HJ$38+IF(215=MS_Initial_Closing_Start,ConOtherCosts+ConPoints+RecourseFee+OpReserve,0)</f>
        <v/>
      </c>
      <c r="HK26" s="18">
        <f>'DevSpend'!HK$34+'DevSpend'!HK$35+'DevSpend'!HK$38+IF(216=MS_Initial_Closing_Start,ConOtherCosts+ConPoints+RecourseFee+OpReserve,0)</f>
        <v/>
      </c>
      <c r="HL26" s="18">
        <f>'DevSpend'!HL$34+'DevSpend'!HL$35+'DevSpend'!HL$38+IF(217=MS_Initial_Closing_Start,ConOtherCosts+ConPoints+RecourseFee+OpReserve,0)</f>
        <v/>
      </c>
      <c r="HM26" s="18">
        <f>'DevSpend'!HM$34+'DevSpend'!HM$35+'DevSpend'!HM$38+IF(218=MS_Initial_Closing_Start,ConOtherCosts+ConPoints+RecourseFee+OpReserve,0)</f>
        <v/>
      </c>
      <c r="HN26" s="18">
        <f>'DevSpend'!HN$34+'DevSpend'!HN$35+'DevSpend'!HN$38+IF(219=MS_Initial_Closing_Start,ConOtherCosts+ConPoints+RecourseFee+OpReserve,0)</f>
        <v/>
      </c>
      <c r="HO26" s="18">
        <f>'DevSpend'!HO$34+'DevSpend'!HO$35+'DevSpend'!HO$38+IF(220=MS_Initial_Closing_Start,ConOtherCosts+ConPoints+RecourseFee+OpReserve,0)</f>
        <v/>
      </c>
      <c r="HP26" s="18">
        <f>'DevSpend'!HP$34+'DevSpend'!HP$35+'DevSpend'!HP$38+IF(221=MS_Initial_Closing_Start,ConOtherCosts+ConPoints+RecourseFee+OpReserve,0)</f>
        <v/>
      </c>
      <c r="HQ26" s="18">
        <f>'DevSpend'!HQ$34+'DevSpend'!HQ$35+'DevSpend'!HQ$38+IF(222=MS_Initial_Closing_Start,ConOtherCosts+ConPoints+RecourseFee+OpReserve,0)</f>
        <v/>
      </c>
      <c r="HR26" s="18">
        <f>'DevSpend'!HR$34+'DevSpend'!HR$35+'DevSpend'!HR$38+IF(223=MS_Initial_Closing_Start,ConOtherCosts+ConPoints+RecourseFee+OpReserve,0)</f>
        <v/>
      </c>
      <c r="HS26" s="18">
        <f>'DevSpend'!HS$34+'DevSpend'!HS$35+'DevSpend'!HS$38+IF(224=MS_Initial_Closing_Start,ConOtherCosts+ConPoints+RecourseFee+OpReserve,0)</f>
        <v/>
      </c>
      <c r="HT26" s="18">
        <f>'DevSpend'!HT$34+'DevSpend'!HT$35+'DevSpend'!HT$38+IF(225=MS_Initial_Closing_Start,ConOtherCosts+ConPoints+RecourseFee+OpReserve,0)</f>
        <v/>
      </c>
      <c r="HU26" s="18">
        <f>'DevSpend'!HU$34+'DevSpend'!HU$35+'DevSpend'!HU$38+IF(226=MS_Initial_Closing_Start,ConOtherCosts+ConPoints+RecourseFee+OpReserve,0)</f>
        <v/>
      </c>
      <c r="HV26" s="18">
        <f>'DevSpend'!HV$34+'DevSpend'!HV$35+'DevSpend'!HV$38+IF(227=MS_Initial_Closing_Start,ConOtherCosts+ConPoints+RecourseFee+OpReserve,0)</f>
        <v/>
      </c>
      <c r="HW26" s="18">
        <f>'DevSpend'!HW$34+'DevSpend'!HW$35+'DevSpend'!HW$38+IF(228=MS_Initial_Closing_Start,ConOtherCosts+ConPoints+RecourseFee+OpReserve,0)</f>
        <v/>
      </c>
      <c r="HX26" s="18">
        <f>'DevSpend'!HX$34+'DevSpend'!HX$35+'DevSpend'!HX$38+IF(229=MS_Initial_Closing_Start,ConOtherCosts+ConPoints+RecourseFee+OpReserve,0)</f>
        <v/>
      </c>
      <c r="HY26" s="18">
        <f>'DevSpend'!HY$34+'DevSpend'!HY$35+'DevSpend'!HY$38+IF(230=MS_Initial_Closing_Start,ConOtherCosts+ConPoints+RecourseFee+OpReserve,0)</f>
        <v/>
      </c>
      <c r="HZ26" s="18">
        <f>'DevSpend'!HZ$34+'DevSpend'!HZ$35+'DevSpend'!HZ$38+IF(231=MS_Initial_Closing_Start,ConOtherCosts+ConPoints+RecourseFee+OpReserve,0)</f>
        <v/>
      </c>
      <c r="IA26" s="18">
        <f>'DevSpend'!IA$34+'DevSpend'!IA$35+'DevSpend'!IA$38+IF(232=MS_Initial_Closing_Start,ConOtherCosts+ConPoints+RecourseFee+OpReserve,0)</f>
        <v/>
      </c>
      <c r="IB26" s="18">
        <f>'DevSpend'!IB$34+'DevSpend'!IB$35+'DevSpend'!IB$38+IF(233=MS_Initial_Closing_Start,ConOtherCosts+ConPoints+RecourseFee+OpReserve,0)</f>
        <v/>
      </c>
      <c r="IC26" s="18">
        <f>'DevSpend'!IC$34+'DevSpend'!IC$35+'DevSpend'!IC$38+IF(234=MS_Initial_Closing_Start,ConOtherCosts+ConPoints+RecourseFee+OpReserve,0)</f>
        <v/>
      </c>
      <c r="ID26" s="18">
        <f>'DevSpend'!ID$34+'DevSpend'!ID$35+'DevSpend'!ID$38+IF(235=MS_Initial_Closing_Start,ConOtherCosts+ConPoints+RecourseFee+OpReserve,0)</f>
        <v/>
      </c>
      <c r="IE26" s="18">
        <f>'DevSpend'!IE$34+'DevSpend'!IE$35+'DevSpend'!IE$38+IF(236=MS_Initial_Closing_Start,ConOtherCosts+ConPoints+RecourseFee+OpReserve,0)</f>
        <v/>
      </c>
      <c r="IF26" s="18">
        <f>'DevSpend'!IF$34+'DevSpend'!IF$35+'DevSpend'!IF$38+IF(237=MS_Initial_Closing_Start,ConOtherCosts+ConPoints+RecourseFee+OpReserve,0)</f>
        <v/>
      </c>
      <c r="IG26" s="18">
        <f>'DevSpend'!IG$34+'DevSpend'!IG$35+'DevSpend'!IG$38+IF(238=MS_Initial_Closing_Start,ConOtherCosts+ConPoints+RecourseFee+OpReserve,0)</f>
        <v/>
      </c>
      <c r="IH26" s="18">
        <f>'DevSpend'!IH$34+'DevSpend'!IH$35+'DevSpend'!IH$38+IF(239=MS_Initial_Closing_Start,ConOtherCosts+ConPoints+RecourseFee+OpReserve,0)</f>
        <v/>
      </c>
      <c r="II26" s="18">
        <f>'DevSpend'!II$34+'DevSpend'!II$35+'DevSpend'!II$38+IF(240=MS_Initial_Closing_Start,ConOtherCosts+ConPoints+RecourseFee+OpReserve,0)</f>
        <v/>
      </c>
      <c r="IJ26" s="18">
        <f>'DevSpend'!IJ$34+'DevSpend'!IJ$35+'DevSpend'!IJ$38+IF(241=MS_Initial_Closing_Start,ConOtherCosts+ConPoints+RecourseFee+OpReserve,0)</f>
        <v/>
      </c>
      <c r="IK26" s="18">
        <f>'DevSpend'!IK$34+'DevSpend'!IK$35+'DevSpend'!IK$38+IF(242=MS_Initial_Closing_Start,ConOtherCosts+ConPoints+RecourseFee+OpReserve,0)</f>
        <v/>
      </c>
      <c r="IL26" s="18">
        <f>'DevSpend'!IL$34+'DevSpend'!IL$35+'DevSpend'!IL$38+IF(243=MS_Initial_Closing_Start,ConOtherCosts+ConPoints+RecourseFee+OpReserve,0)</f>
        <v/>
      </c>
      <c r="IM26" s="18">
        <f>'DevSpend'!IM$34+'DevSpend'!IM$35+'DevSpend'!IM$38+IF(244=MS_Initial_Closing_Start,ConOtherCosts+ConPoints+RecourseFee+OpReserve,0)</f>
        <v/>
      </c>
      <c r="IN26" s="18">
        <f>'DevSpend'!IN$34+'DevSpend'!IN$35+'DevSpend'!IN$38+IF(245=MS_Initial_Closing_Start,ConOtherCosts+ConPoints+RecourseFee+OpReserve,0)</f>
        <v/>
      </c>
      <c r="IO26" s="18">
        <f>'DevSpend'!IO$34+'DevSpend'!IO$35+'DevSpend'!IO$38+IF(246=MS_Initial_Closing_Start,ConOtherCosts+ConPoints+RecourseFee+OpReserve,0)</f>
        <v/>
      </c>
      <c r="IP26" s="18">
        <f>'DevSpend'!IP$34+'DevSpend'!IP$35+'DevSpend'!IP$38+IF(247=MS_Initial_Closing_Start,ConOtherCosts+ConPoints+RecourseFee+OpReserve,0)</f>
        <v/>
      </c>
      <c r="IQ26" s="18">
        <f>'DevSpend'!IQ$34+'DevSpend'!IQ$35+'DevSpend'!IQ$38+IF(248=MS_Initial_Closing_Start,ConOtherCosts+ConPoints+RecourseFee+OpReserve,0)</f>
        <v/>
      </c>
      <c r="IR26" s="18">
        <f>'DevSpend'!IR$34+'DevSpend'!IR$35+'DevSpend'!IR$38+IF(249=MS_Initial_Closing_Start,ConOtherCosts+ConPoints+RecourseFee+OpReserve,0)</f>
        <v/>
      </c>
      <c r="IS26" s="18">
        <f>'DevSpend'!IS$34+'DevSpend'!IS$35+'DevSpend'!IS$38+IF(250=MS_Initial_Closing_Start,ConOtherCosts+ConPoints+RecourseFee+OpReserve,0)</f>
        <v/>
      </c>
      <c r="IT26" s="18">
        <f>'DevSpend'!IT$34+'DevSpend'!IT$35+'DevSpend'!IT$38+IF(251=MS_Initial_Closing_Start,ConOtherCosts+ConPoints+RecourseFee+OpReserve,0)</f>
        <v/>
      </c>
      <c r="IU26" s="18">
        <f>'DevSpend'!IU$34+'DevSpend'!IU$35+'DevSpend'!IU$38+IF(252=MS_Initial_Closing_Start,ConOtherCosts+ConPoints+RecourseFee+OpReserve,0)</f>
        <v/>
      </c>
      <c r="IV26" s="18">
        <f>'DevSpend'!IV$34+'DevSpend'!IV$35+'DevSpend'!IV$38+IF(253=MS_Initial_Closing_Start,ConOtherCosts+ConPoints+RecourseFee+OpReserve,0)</f>
        <v/>
      </c>
      <c r="IW26" s="18">
        <f>'DevSpend'!IW$34+'DevSpend'!IW$35+'DevSpend'!IW$38+IF(254=MS_Initial_Closing_Start,ConOtherCosts+ConPoints+RecourseFee+OpReserve,0)</f>
        <v/>
      </c>
      <c r="IX26" s="18">
        <f>'DevSpend'!IX$34+'DevSpend'!IX$35+'DevSpend'!IX$38+IF(255=MS_Initial_Closing_Start,ConOtherCosts+ConPoints+RecourseFee+OpReserve,0)</f>
        <v/>
      </c>
      <c r="IY26" s="18">
        <f>'DevSpend'!IY$34+'DevSpend'!IY$35+'DevSpend'!IY$38+IF(256=MS_Initial_Closing_Start,ConOtherCosts+ConPoints+RecourseFee+OpReserve,0)</f>
        <v/>
      </c>
      <c r="IZ26" s="18">
        <f>'DevSpend'!IZ$34+'DevSpend'!IZ$35+'DevSpend'!IZ$38+IF(257=MS_Initial_Closing_Start,ConOtherCosts+ConPoints+RecourseFee+OpReserve,0)</f>
        <v/>
      </c>
      <c r="JA26" s="18">
        <f>'DevSpend'!JA$34+'DevSpend'!JA$35+'DevSpend'!JA$38+IF(258=MS_Initial_Closing_Start,ConOtherCosts+ConPoints+RecourseFee+OpReserve,0)</f>
        <v/>
      </c>
      <c r="JB26" s="18">
        <f>'DevSpend'!JB$34+'DevSpend'!JB$35+'DevSpend'!JB$38+IF(259=MS_Initial_Closing_Start,ConOtherCosts+ConPoints+RecourseFee+OpReserve,0)</f>
        <v/>
      </c>
      <c r="JC26" s="18">
        <f>'DevSpend'!JC$34+'DevSpend'!JC$35+'DevSpend'!JC$38+IF(260=MS_Initial_Closing_Start,ConOtherCosts+ConPoints+RecourseFee+OpReserve,0)</f>
        <v/>
      </c>
      <c r="JD26" s="18">
        <f>'DevSpend'!JD$34+'DevSpend'!JD$35+'DevSpend'!JD$38+IF(261=MS_Initial_Closing_Start,ConOtherCosts+ConPoints+RecourseFee+OpReserve,0)</f>
        <v/>
      </c>
      <c r="JE26" s="18">
        <f>'DevSpend'!JE$34+'DevSpend'!JE$35+'DevSpend'!JE$38+IF(262=MS_Initial_Closing_Start,ConOtherCosts+ConPoints+RecourseFee+OpReserve,0)</f>
        <v/>
      </c>
      <c r="JF26" s="18">
        <f>'DevSpend'!JF$34+'DevSpend'!JF$35+'DevSpend'!JF$38+IF(263=MS_Initial_Closing_Start,ConOtherCosts+ConPoints+RecourseFee+OpReserve,0)</f>
        <v/>
      </c>
      <c r="JG26" s="18">
        <f>'DevSpend'!JG$34+'DevSpend'!JG$35+'DevSpend'!JG$38+IF(264=MS_Initial_Closing_Start,ConOtherCosts+ConPoints+RecourseFee+OpReserve,0)</f>
        <v/>
      </c>
      <c r="JH26" s="18">
        <f>'DevSpend'!JH$34+'DevSpend'!JH$35+'DevSpend'!JH$38+IF(265=MS_Initial_Closing_Start,ConOtherCosts+ConPoints+RecourseFee+OpReserve,0)</f>
        <v/>
      </c>
      <c r="JI26" s="18">
        <f>'DevSpend'!JI$34+'DevSpend'!JI$35+'DevSpend'!JI$38+IF(266=MS_Initial_Closing_Start,ConOtherCosts+ConPoints+RecourseFee+OpReserve,0)</f>
        <v/>
      </c>
      <c r="JJ26" s="18">
        <f>'DevSpend'!JJ$34+'DevSpend'!JJ$35+'DevSpend'!JJ$38+IF(267=MS_Initial_Closing_Start,ConOtherCosts+ConPoints+RecourseFee+OpReserve,0)</f>
        <v/>
      </c>
      <c r="JK26" s="18">
        <f>'DevSpend'!JK$34+'DevSpend'!JK$35+'DevSpend'!JK$38+IF(268=MS_Initial_Closing_Start,ConOtherCosts+ConPoints+RecourseFee+OpReserve,0)</f>
        <v/>
      </c>
      <c r="JL26" s="18">
        <f>'DevSpend'!JL$34+'DevSpend'!JL$35+'DevSpend'!JL$38+IF(269=MS_Initial_Closing_Start,ConOtherCosts+ConPoints+RecourseFee+OpReserve,0)</f>
        <v/>
      </c>
      <c r="JM26" s="18">
        <f>'DevSpend'!JM$34+'DevSpend'!JM$35+'DevSpend'!JM$38+IF(270=MS_Initial_Closing_Start,ConOtherCosts+ConPoints+RecourseFee+OpReserve,0)</f>
        <v/>
      </c>
      <c r="JN26" s="18">
        <f>'DevSpend'!JN$34+'DevSpend'!JN$35+'DevSpend'!JN$38+IF(271=MS_Initial_Closing_Start,ConOtherCosts+ConPoints+RecourseFee+OpReserve,0)</f>
        <v/>
      </c>
      <c r="JO26" s="18">
        <f>'DevSpend'!JO$34+'DevSpend'!JO$35+'DevSpend'!JO$38+IF(272=MS_Initial_Closing_Start,ConOtherCosts+ConPoints+RecourseFee+OpReserve,0)</f>
        <v/>
      </c>
      <c r="JP26" s="18">
        <f>'DevSpend'!JP$34+'DevSpend'!JP$35+'DevSpend'!JP$38+IF(273=MS_Initial_Closing_Start,ConOtherCosts+ConPoints+RecourseFee+OpReserve,0)</f>
        <v/>
      </c>
      <c r="JQ26" s="18">
        <f>'DevSpend'!JQ$34+'DevSpend'!JQ$35+'DevSpend'!JQ$38+IF(274=MS_Initial_Closing_Start,ConOtherCosts+ConPoints+RecourseFee+OpReserve,0)</f>
        <v/>
      </c>
      <c r="JR26" s="18">
        <f>'DevSpend'!JR$34+'DevSpend'!JR$35+'DevSpend'!JR$38+IF(275=MS_Initial_Closing_Start,ConOtherCosts+ConPoints+RecourseFee+OpReserve,0)</f>
        <v/>
      </c>
      <c r="JS26" s="18">
        <f>'DevSpend'!JS$34+'DevSpend'!JS$35+'DevSpend'!JS$38+IF(276=MS_Initial_Closing_Start,ConOtherCosts+ConPoints+RecourseFee+OpReserve,0)</f>
        <v/>
      </c>
      <c r="JT26" s="18">
        <f>'DevSpend'!JT$34+'DevSpend'!JT$35+'DevSpend'!JT$38+IF(277=MS_Initial_Closing_Start,ConOtherCosts+ConPoints+RecourseFee+OpReserve,0)</f>
        <v/>
      </c>
      <c r="JU26" s="18">
        <f>'DevSpend'!JU$34+'DevSpend'!JU$35+'DevSpend'!JU$38+IF(278=MS_Initial_Closing_Start,ConOtherCosts+ConPoints+RecourseFee+OpReserve,0)</f>
        <v/>
      </c>
      <c r="JV26" s="18">
        <f>'DevSpend'!JV$34+'DevSpend'!JV$35+'DevSpend'!JV$38+IF(279=MS_Initial_Closing_Start,ConOtherCosts+ConPoints+RecourseFee+OpReserve,0)</f>
        <v/>
      </c>
      <c r="JW26" s="18">
        <f>'DevSpend'!JW$34+'DevSpend'!JW$35+'DevSpend'!JW$38+IF(280=MS_Initial_Closing_Start,ConOtherCosts+ConPoints+RecourseFee+OpReserve,0)</f>
        <v/>
      </c>
      <c r="JX26" s="18">
        <f>'DevSpend'!JX$34+'DevSpend'!JX$35+'DevSpend'!JX$38+IF(281=MS_Initial_Closing_Start,ConOtherCosts+ConPoints+RecourseFee+OpReserve,0)</f>
        <v/>
      </c>
      <c r="JY26" s="18">
        <f>'DevSpend'!JY$34+'DevSpend'!JY$35+'DevSpend'!JY$38+IF(282=MS_Initial_Closing_Start,ConOtherCosts+ConPoints+RecourseFee+OpReserve,0)</f>
        <v/>
      </c>
      <c r="JZ26" s="18">
        <f>'DevSpend'!JZ$34+'DevSpend'!JZ$35+'DevSpend'!JZ$38+IF(283=MS_Initial_Closing_Start,ConOtherCosts+ConPoints+RecourseFee+OpReserve,0)</f>
        <v/>
      </c>
      <c r="KA26" s="18">
        <f>'DevSpend'!KA$34+'DevSpend'!KA$35+'DevSpend'!KA$38+IF(284=MS_Initial_Closing_Start,ConOtherCosts+ConPoints+RecourseFee+OpReserve,0)</f>
        <v/>
      </c>
      <c r="KB26" s="18">
        <f>'DevSpend'!KB$34+'DevSpend'!KB$35+'DevSpend'!KB$38+IF(285=MS_Initial_Closing_Start,ConOtherCosts+ConPoints+RecourseFee+OpReserve,0)</f>
        <v/>
      </c>
      <c r="KC26" s="18">
        <f>'DevSpend'!KC$34+'DevSpend'!KC$35+'DevSpend'!KC$38+IF(286=MS_Initial_Closing_Start,ConOtherCosts+ConPoints+RecourseFee+OpReserve,0)</f>
        <v/>
      </c>
      <c r="KD26" s="18">
        <f>'DevSpend'!KD$34+'DevSpend'!KD$35+'DevSpend'!KD$38+IF(287=MS_Initial_Closing_Start,ConOtherCosts+ConPoints+RecourseFee+OpReserve,0)</f>
        <v/>
      </c>
      <c r="KE26" s="18">
        <f>'DevSpend'!KE$34+'DevSpend'!KE$35+'DevSpend'!KE$38+IF(288=MS_Initial_Closing_Start,ConOtherCosts+ConPoints+RecourseFee+OpReserve,0)</f>
        <v/>
      </c>
      <c r="KF26" s="18">
        <f>'DevSpend'!KF$34+'DevSpend'!KF$35+'DevSpend'!KF$38+IF(289=MS_Initial_Closing_Start,ConOtherCosts+ConPoints+RecourseFee+OpReserve,0)</f>
        <v/>
      </c>
      <c r="KG26" s="18">
        <f>'DevSpend'!KG$34+'DevSpend'!KG$35+'DevSpend'!KG$38+IF(290=MS_Initial_Closing_Start,ConOtherCosts+ConPoints+RecourseFee+OpReserve,0)</f>
        <v/>
      </c>
      <c r="KH26" s="18">
        <f>'DevSpend'!KH$34+'DevSpend'!KH$35+'DevSpend'!KH$38+IF(291=MS_Initial_Closing_Start,ConOtherCosts+ConPoints+RecourseFee+OpReserve,0)</f>
        <v/>
      </c>
      <c r="KI26" s="18">
        <f>'DevSpend'!KI$34+'DevSpend'!KI$35+'DevSpend'!KI$38+IF(292=MS_Initial_Closing_Start,ConOtherCosts+ConPoints+RecourseFee+OpReserve,0)</f>
        <v/>
      </c>
      <c r="KJ26" s="18">
        <f>'DevSpend'!KJ$34+'DevSpend'!KJ$35+'DevSpend'!KJ$38+IF(293=MS_Initial_Closing_Start,ConOtherCosts+ConPoints+RecourseFee+OpReserve,0)</f>
        <v/>
      </c>
      <c r="KK26" s="18">
        <f>'DevSpend'!KK$34+'DevSpend'!KK$35+'DevSpend'!KK$38+IF(294=MS_Initial_Closing_Start,ConOtherCosts+ConPoints+RecourseFee+OpReserve,0)</f>
        <v/>
      </c>
      <c r="KL26" s="18">
        <f>'DevSpend'!KL$34+'DevSpend'!KL$35+'DevSpend'!KL$38+IF(295=MS_Initial_Closing_Start,ConOtherCosts+ConPoints+RecourseFee+OpReserve,0)</f>
        <v/>
      </c>
      <c r="KM26" s="18">
        <f>'DevSpend'!KM$34+'DevSpend'!KM$35+'DevSpend'!KM$38+IF(296=MS_Initial_Closing_Start,ConOtherCosts+ConPoints+RecourseFee+OpReserve,0)</f>
        <v/>
      </c>
      <c r="KN26" s="18">
        <f>'DevSpend'!KN$34+'DevSpend'!KN$35+'DevSpend'!KN$38+IF(297=MS_Initial_Closing_Start,ConOtherCosts+ConPoints+RecourseFee+OpReserve,0)</f>
        <v/>
      </c>
      <c r="KO26" s="18">
        <f>'DevSpend'!KO$34+'DevSpend'!KO$35+'DevSpend'!KO$38+IF(298=MS_Initial_Closing_Start,ConOtherCosts+ConPoints+RecourseFee+OpReserve,0)</f>
        <v/>
      </c>
      <c r="KP26" s="18">
        <f>'DevSpend'!KP$34+'DevSpend'!KP$35+'DevSpend'!KP$38+IF(299=MS_Initial_Closing_Start,ConOtherCosts+ConPoints+RecourseFee+OpReserve,0)</f>
        <v/>
      </c>
      <c r="KQ26" s="18">
        <f>'DevSpend'!KQ$34+'DevSpend'!KQ$35+'DevSpend'!KQ$38+IF(300=MS_Initial_Closing_Start,ConOtherCosts+ConPoints+RecourseFee+OpReserve,0)</f>
        <v/>
      </c>
      <c r="KR26" s="18">
        <f>'DevSpend'!KR$34+'DevSpend'!KR$35+'DevSpend'!KR$38+IF(301=MS_Initial_Closing_Start,ConOtherCosts+ConPoints+RecourseFee+OpReserve,0)</f>
        <v/>
      </c>
      <c r="KS26" s="18">
        <f>'DevSpend'!KS$34+'DevSpend'!KS$35+'DevSpend'!KS$38+IF(302=MS_Initial_Closing_Start,ConOtherCosts+ConPoints+RecourseFee+OpReserve,0)</f>
        <v/>
      </c>
      <c r="KT26" s="18">
        <f>'DevSpend'!KT$34+'DevSpend'!KT$35+'DevSpend'!KT$38+IF(303=MS_Initial_Closing_Start,ConOtherCosts+ConPoints+RecourseFee+OpReserve,0)</f>
        <v/>
      </c>
      <c r="KU26" s="18">
        <f>'DevSpend'!KU$34+'DevSpend'!KU$35+'DevSpend'!KU$38+IF(304=MS_Initial_Closing_Start,ConOtherCosts+ConPoints+RecourseFee+OpReserve,0)</f>
        <v/>
      </c>
      <c r="KV26" s="18">
        <f>'DevSpend'!KV$34+'DevSpend'!KV$35+'DevSpend'!KV$38+IF(305=MS_Initial_Closing_Start,ConOtherCosts+ConPoints+RecourseFee+OpReserve,0)</f>
        <v/>
      </c>
      <c r="KW26" s="18">
        <f>'DevSpend'!KW$34+'DevSpend'!KW$35+'DevSpend'!KW$38+IF(306=MS_Initial_Closing_Start,ConOtherCosts+ConPoints+RecourseFee+OpReserve,0)</f>
        <v/>
      </c>
      <c r="KX26" s="18">
        <f>'DevSpend'!KX$34+'DevSpend'!KX$35+'DevSpend'!KX$38+IF(307=MS_Initial_Closing_Start,ConOtherCosts+ConPoints+RecourseFee+OpReserve,0)</f>
        <v/>
      </c>
      <c r="KY26" s="18">
        <f>'DevSpend'!KY$34+'DevSpend'!KY$35+'DevSpend'!KY$38+IF(308=MS_Initial_Closing_Start,ConOtherCosts+ConPoints+RecourseFee+OpReserve,0)</f>
        <v/>
      </c>
      <c r="KZ26" s="18">
        <f>'DevSpend'!KZ$34+'DevSpend'!KZ$35+'DevSpend'!KZ$38+IF(309=MS_Initial_Closing_Start,ConOtherCosts+ConPoints+RecourseFee+OpReserve,0)</f>
        <v/>
      </c>
      <c r="LA26" s="18">
        <f>'DevSpend'!LA$34+'DevSpend'!LA$35+'DevSpend'!LA$38+IF(310=MS_Initial_Closing_Start,ConOtherCosts+ConPoints+RecourseFee+OpReserve,0)</f>
        <v/>
      </c>
      <c r="LB26" s="18">
        <f>'DevSpend'!LB$34+'DevSpend'!LB$35+'DevSpend'!LB$38+IF(311=MS_Initial_Closing_Start,ConOtherCosts+ConPoints+RecourseFee+OpReserve,0)</f>
        <v/>
      </c>
      <c r="LC26" s="18">
        <f>'DevSpend'!LC$34+'DevSpend'!LC$35+'DevSpend'!LC$38+IF(312=MS_Initial_Closing_Start,ConOtherCosts+ConPoints+RecourseFee+OpReserve,0)</f>
        <v/>
      </c>
      <c r="LD26" s="18">
        <f>'DevSpend'!LD$34+'DevSpend'!LD$35+'DevSpend'!LD$38+IF(313=MS_Initial_Closing_Start,ConOtherCosts+ConPoints+RecourseFee+OpReserve,0)</f>
        <v/>
      </c>
      <c r="LE26" s="18">
        <f>'DevSpend'!LE$34+'DevSpend'!LE$35+'DevSpend'!LE$38+IF(314=MS_Initial_Closing_Start,ConOtherCosts+ConPoints+RecourseFee+OpReserve,0)</f>
        <v/>
      </c>
      <c r="LF26" s="18">
        <f>'DevSpend'!LF$34+'DevSpend'!LF$35+'DevSpend'!LF$38+IF(315=MS_Initial_Closing_Start,ConOtherCosts+ConPoints+RecourseFee+OpReserve,0)</f>
        <v/>
      </c>
      <c r="LG26" s="18">
        <f>'DevSpend'!LG$34+'DevSpend'!LG$35+'DevSpend'!LG$38+IF(316=MS_Initial_Closing_Start,ConOtherCosts+ConPoints+RecourseFee+OpReserve,0)</f>
        <v/>
      </c>
      <c r="LH26" s="18">
        <f>'DevSpend'!LH$34+'DevSpend'!LH$35+'DevSpend'!LH$38+IF(317=MS_Initial_Closing_Start,ConOtherCosts+ConPoints+RecourseFee+OpReserve,0)</f>
        <v/>
      </c>
      <c r="LI26" s="18">
        <f>'DevSpend'!LI$34+'DevSpend'!LI$35+'DevSpend'!LI$38+IF(318=MS_Initial_Closing_Start,ConOtherCosts+ConPoints+RecourseFee+OpReserve,0)</f>
        <v/>
      </c>
      <c r="LJ26" s="18">
        <f>'DevSpend'!LJ$34+'DevSpend'!LJ$35+'DevSpend'!LJ$38+IF(319=MS_Initial_Closing_Start,ConOtherCosts+ConPoints+RecourseFee+OpReserve,0)</f>
        <v/>
      </c>
      <c r="LK26" s="18">
        <f>'DevSpend'!LK$34+'DevSpend'!LK$35+'DevSpend'!LK$38+IF(320=MS_Initial_Closing_Start,ConOtherCosts+ConPoints+RecourseFee+OpReserve,0)</f>
        <v/>
      </c>
      <c r="LL26" s="18">
        <f>'DevSpend'!LL$34+'DevSpend'!LL$35+'DevSpend'!LL$38+IF(321=MS_Initial_Closing_Start,ConOtherCosts+ConPoints+RecourseFee+OpReserve,0)</f>
        <v/>
      </c>
      <c r="LM26" s="18">
        <f>'DevSpend'!LM$34+'DevSpend'!LM$35+'DevSpend'!LM$38+IF(322=MS_Initial_Closing_Start,ConOtherCosts+ConPoints+RecourseFee+OpReserve,0)</f>
        <v/>
      </c>
      <c r="LN26" s="18">
        <f>'DevSpend'!LN$34+'DevSpend'!LN$35+'DevSpend'!LN$38+IF(323=MS_Initial_Closing_Start,ConOtherCosts+ConPoints+RecourseFee+OpReserve,0)</f>
        <v/>
      </c>
      <c r="LO26" s="18">
        <f>'DevSpend'!LO$34+'DevSpend'!LO$35+'DevSpend'!LO$38+IF(324=MS_Initial_Closing_Start,ConOtherCosts+ConPoints+RecourseFee+OpReserve,0)</f>
        <v/>
      </c>
      <c r="LP26" s="18">
        <f>'DevSpend'!LP$34+'DevSpend'!LP$35+'DevSpend'!LP$38+IF(325=MS_Initial_Closing_Start,ConOtherCosts+ConPoints+RecourseFee+OpReserve,0)</f>
        <v/>
      </c>
      <c r="LQ26" s="18">
        <f>'DevSpend'!LQ$34+'DevSpend'!LQ$35+'DevSpend'!LQ$38+IF(326=MS_Initial_Closing_Start,ConOtherCosts+ConPoints+RecourseFee+OpReserve,0)</f>
        <v/>
      </c>
      <c r="LR26" s="18">
        <f>'DevSpend'!LR$34+'DevSpend'!LR$35+'DevSpend'!LR$38+IF(327=MS_Initial_Closing_Start,ConOtherCosts+ConPoints+RecourseFee+OpReserve,0)</f>
        <v/>
      </c>
      <c r="LS26" s="18">
        <f>'DevSpend'!LS$34+'DevSpend'!LS$35+'DevSpend'!LS$38+IF(328=MS_Initial_Closing_Start,ConOtherCosts+ConPoints+RecourseFee+OpReserve,0)</f>
        <v/>
      </c>
      <c r="LT26" s="18">
        <f>'DevSpend'!LT$34+'DevSpend'!LT$35+'DevSpend'!LT$38+IF(329=MS_Initial_Closing_Start,ConOtherCosts+ConPoints+RecourseFee+OpReserve,0)</f>
        <v/>
      </c>
      <c r="LU26" s="18">
        <f>'DevSpend'!LU$34+'DevSpend'!LU$35+'DevSpend'!LU$38+IF(330=MS_Initial_Closing_Start,ConOtherCosts+ConPoints+RecourseFee+OpReserve,0)</f>
        <v/>
      </c>
      <c r="LV26" s="18">
        <f>'DevSpend'!LV$34+'DevSpend'!LV$35+'DevSpend'!LV$38+IF(331=MS_Initial_Closing_Start,ConOtherCosts+ConPoints+RecourseFee+OpReserve,0)</f>
        <v/>
      </c>
      <c r="LW26" s="18">
        <f>'DevSpend'!LW$34+'DevSpend'!LW$35+'DevSpend'!LW$38+IF(332=MS_Initial_Closing_Start,ConOtherCosts+ConPoints+RecourseFee+OpReserve,0)</f>
        <v/>
      </c>
      <c r="LX26" s="18">
        <f>'DevSpend'!LX$34+'DevSpend'!LX$35+'DevSpend'!LX$38+IF(333=MS_Initial_Closing_Start,ConOtherCosts+ConPoints+RecourseFee+OpReserve,0)</f>
        <v/>
      </c>
      <c r="LY26" s="18">
        <f>'DevSpend'!LY$34+'DevSpend'!LY$35+'DevSpend'!LY$38+IF(334=MS_Initial_Closing_Start,ConOtherCosts+ConPoints+RecourseFee+OpReserve,0)</f>
        <v/>
      </c>
      <c r="LZ26" s="18">
        <f>'DevSpend'!LZ$34+'DevSpend'!LZ$35+'DevSpend'!LZ$38+IF(335=MS_Initial_Closing_Start,ConOtherCosts+ConPoints+RecourseFee+OpReserve,0)</f>
        <v/>
      </c>
      <c r="MA26" s="18">
        <f>'DevSpend'!MA$34+'DevSpend'!MA$35+'DevSpend'!MA$38+IF(336=MS_Initial_Closing_Start,ConOtherCosts+ConPoints+RecourseFee+OpReserve,0)</f>
        <v/>
      </c>
      <c r="MB26" s="18">
        <f>'DevSpend'!MB$34+'DevSpend'!MB$35+'DevSpend'!MB$38+IF(337=MS_Initial_Closing_Start,ConOtherCosts+ConPoints+RecourseFee+OpReserve,0)</f>
        <v/>
      </c>
      <c r="MC26" s="18">
        <f>'DevSpend'!MC$34+'DevSpend'!MC$35+'DevSpend'!MC$38+IF(338=MS_Initial_Closing_Start,ConOtherCosts+ConPoints+RecourseFee+OpReserve,0)</f>
        <v/>
      </c>
      <c r="MD26" s="18">
        <f>'DevSpend'!MD$34+'DevSpend'!MD$35+'DevSpend'!MD$38+IF(339=MS_Initial_Closing_Start,ConOtherCosts+ConPoints+RecourseFee+OpReserve,0)</f>
        <v/>
      </c>
      <c r="ME26" s="18">
        <f>'DevSpend'!ME$34+'DevSpend'!ME$35+'DevSpend'!ME$38+IF(340=MS_Initial_Closing_Start,ConOtherCosts+ConPoints+RecourseFee+OpReserve,0)</f>
        <v/>
      </c>
      <c r="MF26" s="18">
        <f>'DevSpend'!MF$34+'DevSpend'!MF$35+'DevSpend'!MF$38+IF(341=MS_Initial_Closing_Start,ConOtherCosts+ConPoints+RecourseFee+OpReserve,0)</f>
        <v/>
      </c>
      <c r="MG26" s="18">
        <f>'DevSpend'!MG$34+'DevSpend'!MG$35+'DevSpend'!MG$38+IF(342=MS_Initial_Closing_Start,ConOtherCosts+ConPoints+RecourseFee+OpReserve,0)</f>
        <v/>
      </c>
      <c r="MH26" s="18">
        <f>'DevSpend'!MH$34+'DevSpend'!MH$35+'DevSpend'!MH$38+IF(343=MS_Initial_Closing_Start,ConOtherCosts+ConPoints+RecourseFee+OpReserve,0)</f>
        <v/>
      </c>
      <c r="MI26" s="18">
        <f>'DevSpend'!MI$34+'DevSpend'!MI$35+'DevSpend'!MI$38+IF(344=MS_Initial_Closing_Start,ConOtherCosts+ConPoints+RecourseFee+OpReserve,0)</f>
        <v/>
      </c>
      <c r="MJ26" s="18">
        <f>'DevSpend'!MJ$34+'DevSpend'!MJ$35+'DevSpend'!MJ$38+IF(345=MS_Initial_Closing_Start,ConOtherCosts+ConPoints+RecourseFee+OpReserve,0)</f>
        <v/>
      </c>
      <c r="MK26" s="18">
        <f>'DevSpend'!MK$34+'DevSpend'!MK$35+'DevSpend'!MK$38+IF(346=MS_Initial_Closing_Start,ConOtherCosts+ConPoints+RecourseFee+OpReserve,0)</f>
        <v/>
      </c>
      <c r="ML26" s="18">
        <f>'DevSpend'!ML$34+'DevSpend'!ML$35+'DevSpend'!ML$38+IF(347=MS_Initial_Closing_Start,ConOtherCosts+ConPoints+RecourseFee+OpReserve,0)</f>
        <v/>
      </c>
      <c r="MM26" s="18">
        <f>'DevSpend'!MM$34+'DevSpend'!MM$35+'DevSpend'!MM$38+IF(348=MS_Initial_Closing_Start,ConOtherCosts+ConPoints+RecourseFee+OpReserve,0)</f>
        <v/>
      </c>
      <c r="MN26" s="18">
        <f>'DevSpend'!MN$34+'DevSpend'!MN$35+'DevSpend'!MN$38+IF(349=MS_Initial_Closing_Start,ConOtherCosts+ConPoints+RecourseFee+OpReserve,0)</f>
        <v/>
      </c>
      <c r="MO26" s="18">
        <f>'DevSpend'!MO$34+'DevSpend'!MO$35+'DevSpend'!MO$38+IF(350=MS_Initial_Closing_Start,ConOtherCosts+ConPoints+RecourseFee+OpReserve,0)</f>
        <v/>
      </c>
      <c r="MP26" s="18">
        <f>'DevSpend'!MP$34+'DevSpend'!MP$35+'DevSpend'!MP$38+IF(351=MS_Initial_Closing_Start,ConOtherCosts+ConPoints+RecourseFee+OpReserve,0)</f>
        <v/>
      </c>
      <c r="MQ26" s="18">
        <f>'DevSpend'!MQ$34+'DevSpend'!MQ$35+'DevSpend'!MQ$38+IF(352=MS_Initial_Closing_Start,ConOtherCosts+ConPoints+RecourseFee+OpReserve,0)</f>
        <v/>
      </c>
      <c r="MR26" s="18">
        <f>'DevSpend'!MR$34+'DevSpend'!MR$35+'DevSpend'!MR$38+IF(353=MS_Initial_Closing_Start,ConOtherCosts+ConPoints+RecourseFee+OpReserve,0)</f>
        <v/>
      </c>
      <c r="MS26" s="18">
        <f>'DevSpend'!MS$34+'DevSpend'!MS$35+'DevSpend'!MS$38+IF(354=MS_Initial_Closing_Start,ConOtherCosts+ConPoints+RecourseFee+OpReserve,0)</f>
        <v/>
      </c>
      <c r="MT26" s="18">
        <f>'DevSpend'!MT$34+'DevSpend'!MT$35+'DevSpend'!MT$38+IF(355=MS_Initial_Closing_Start,ConOtherCosts+ConPoints+RecourseFee+OpReserve,0)</f>
        <v/>
      </c>
      <c r="MU26" s="18">
        <f>'DevSpend'!MU$34+'DevSpend'!MU$35+'DevSpend'!MU$38+IF(356=MS_Initial_Closing_Start,ConOtherCosts+ConPoints+RecourseFee+OpReserve,0)</f>
        <v/>
      </c>
      <c r="MV26" s="18">
        <f>'DevSpend'!MV$34+'DevSpend'!MV$35+'DevSpend'!MV$38+IF(357=MS_Initial_Closing_Start,ConOtherCosts+ConPoints+RecourseFee+OpReserve,0)</f>
        <v/>
      </c>
      <c r="MW26" s="18">
        <f>'DevSpend'!MW$34+'DevSpend'!MW$35+'DevSpend'!MW$38+IF(358=MS_Initial_Closing_Start,ConOtherCosts+ConPoints+RecourseFee+OpReserve,0)</f>
        <v/>
      </c>
      <c r="MX26" s="18">
        <f>'DevSpend'!MX$34+'DevSpend'!MX$35+'DevSpend'!MX$38+IF(359=MS_Initial_Closing_Start,ConOtherCosts+ConPoints+RecourseFee+OpReserve,0)</f>
        <v/>
      </c>
      <c r="MY26" s="18">
        <f>'DevSpend'!MY$34+'DevSpend'!MY$35+'DevSpend'!MY$38+IF(360=MS_Initial_Closing_Start,ConOtherCosts+ConPoints+RecourseFee+OpReserve,0)</f>
        <v/>
      </c>
      <c r="MZ26" s="18">
        <f>'DevSpend'!MZ$34+'DevSpend'!MZ$35+'DevSpend'!MZ$38+IF(361=MS_Initial_Closing_Start,ConOtherCosts+ConPoints+RecourseFee+OpReserve,0)</f>
        <v/>
      </c>
      <c r="NA26" s="18">
        <f>'DevSpend'!NA$34+'DevSpend'!NA$35+'DevSpend'!NA$38+IF(362=MS_Initial_Closing_Start,ConOtherCosts+ConPoints+RecourseFee+OpReserve,0)</f>
        <v/>
      </c>
      <c r="NB26" s="18">
        <f>'DevSpend'!NB$34+'DevSpend'!NB$35+'DevSpend'!NB$38+IF(363=MS_Initial_Closing_Start,ConOtherCosts+ConPoints+RecourseFee+OpReserve,0)</f>
        <v/>
      </c>
      <c r="NC26" s="18">
        <f>'DevSpend'!NC$34+'DevSpend'!NC$35+'DevSpend'!NC$38+IF(364=MS_Initial_Closing_Start,ConOtherCosts+ConPoints+RecourseFee+OpReserve,0)</f>
        <v/>
      </c>
      <c r="ND26" s="18">
        <f>'DevSpend'!ND$34+'DevSpend'!ND$35+'DevSpend'!ND$38+IF(365=MS_Initial_Closing_Start,ConOtherCosts+ConPoints+RecourseFee+OpReserve,0)</f>
        <v/>
      </c>
      <c r="NE26" s="18">
        <f>'DevSpend'!NE$34+'DevSpend'!NE$35+'DevSpend'!NE$38+IF(366=MS_Initial_Closing_Start,ConOtherCosts+ConPoints+RecourseFee+OpReserve,0)</f>
        <v/>
      </c>
      <c r="NF26" s="18">
        <f>'DevSpend'!NF$34+'DevSpend'!NF$35+'DevSpend'!NF$38+IF(367=MS_Initial_Closing_Start,ConOtherCosts+ConPoints+RecourseFee+OpReserve,0)</f>
        <v/>
      </c>
      <c r="NG26" s="18">
        <f>'DevSpend'!NG$34+'DevSpend'!NG$35+'DevSpend'!NG$38+IF(368=MS_Initial_Closing_Start,ConOtherCosts+ConPoints+RecourseFee+OpReserve,0)</f>
        <v/>
      </c>
      <c r="NH26" s="18">
        <f>'DevSpend'!NH$34+'DevSpend'!NH$35+'DevSpend'!NH$38+IF(369=MS_Initial_Closing_Start,ConOtherCosts+ConPoints+RecourseFee+OpReserve,0)</f>
        <v/>
      </c>
      <c r="NI26" s="18">
        <f>'DevSpend'!NI$34+'DevSpend'!NI$35+'DevSpend'!NI$38+IF(370=MS_Initial_Closing_Start,ConOtherCosts+ConPoints+RecourseFee+OpReserve,0)</f>
        <v/>
      </c>
      <c r="NJ26" s="18">
        <f>'DevSpend'!NJ$34+'DevSpend'!NJ$35+'DevSpend'!NJ$38+IF(371=MS_Initial_Closing_Start,ConOtherCosts+ConPoints+RecourseFee+OpReserve,0)</f>
        <v/>
      </c>
      <c r="NK26" s="18">
        <f>'DevSpend'!NK$34+'DevSpend'!NK$35+'DevSpend'!NK$38+IF(372=MS_Initial_Closing_Start,ConOtherCosts+ConPoints+RecourseFee+OpReserve,0)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IF('Timeline'!D$42=1,IF(ConActual360=1,ConRate*D$25/360,ConRate/12),0)</f>
        <v/>
      </c>
      <c r="E30" s="49">
        <f>IF('Timeline'!E$42=1,IF(ConActual360=1,ConRate*E$25/360,ConRate/12),0)</f>
        <v/>
      </c>
      <c r="F30" s="49">
        <f>IF('Timeline'!F$42=1,IF(ConActual360=1,ConRate*F$25/360,ConRate/12),0)</f>
        <v/>
      </c>
      <c r="G30" s="49">
        <f>IF('Timeline'!G$42=1,IF(ConActual360=1,ConRate*G$25/360,ConRate/12),0)</f>
        <v/>
      </c>
      <c r="H30" s="49">
        <f>IF('Timeline'!H$42=1,IF(ConActual360=1,ConRate*H$25/360,ConRate/12),0)</f>
        <v/>
      </c>
      <c r="I30" s="49">
        <f>IF('Timeline'!I$42=1,IF(ConActual360=1,ConRate*I$25/360,ConRate/12),0)</f>
        <v/>
      </c>
      <c r="J30" s="49">
        <f>IF('Timeline'!J$42=1,IF(ConActual360=1,ConRate*J$25/360,ConRate/12),0)</f>
        <v/>
      </c>
      <c r="K30" s="49">
        <f>IF('Timeline'!K$42=1,IF(ConActual360=1,ConRate*K$25/360,ConRate/12),0)</f>
        <v/>
      </c>
      <c r="L30" s="49">
        <f>IF('Timeline'!L$42=1,IF(ConActual360=1,ConRate*L$25/360,ConRate/12),0)</f>
        <v/>
      </c>
      <c r="M30" s="49">
        <f>IF('Timeline'!M$42=1,IF(ConActual360=1,ConRate*M$25/360,ConRate/12),0)</f>
        <v/>
      </c>
      <c r="N30" s="49">
        <f>IF('Timeline'!N$42=1,IF(ConActual360=1,ConRate*N$25/360,ConRate/12),0)</f>
        <v/>
      </c>
      <c r="O30" s="49">
        <f>IF('Timeline'!O$42=1,IF(ConActual360=1,ConRate*O$25/360,ConRate/12),0)</f>
        <v/>
      </c>
      <c r="P30" s="49">
        <f>IF('Timeline'!P$42=1,IF(ConActual360=1,ConRate*P$25/360,ConRate/12),0)</f>
        <v/>
      </c>
      <c r="Q30" s="49">
        <f>IF('Timeline'!Q$42=1,IF(ConActual360=1,ConRate*Q$25/360,ConRate/12),0)</f>
        <v/>
      </c>
      <c r="R30" s="49">
        <f>IF('Timeline'!R$42=1,IF(ConActual360=1,ConRate*R$25/360,ConRate/12),0)</f>
        <v/>
      </c>
      <c r="S30" s="49">
        <f>IF('Timeline'!S$42=1,IF(ConActual360=1,ConRate*S$25/360,ConRate/12),0)</f>
        <v/>
      </c>
      <c r="T30" s="49">
        <f>IF('Timeline'!T$42=1,IF(ConActual360=1,ConRate*T$25/360,ConRate/12),0)</f>
        <v/>
      </c>
      <c r="U30" s="49">
        <f>IF('Timeline'!U$42=1,IF(ConActual360=1,ConRate*U$25/360,ConRate/12),0)</f>
        <v/>
      </c>
      <c r="V30" s="49">
        <f>IF('Timeline'!V$42=1,IF(ConActual360=1,ConRate*V$25/360,ConRate/12),0)</f>
        <v/>
      </c>
      <c r="W30" s="49">
        <f>IF('Timeline'!W$42=1,IF(ConActual360=1,ConRate*W$25/360,ConRate/12),0)</f>
        <v/>
      </c>
      <c r="X30" s="49">
        <f>IF('Timeline'!X$42=1,IF(ConActual360=1,ConRate*X$25/360,ConRate/12),0)</f>
        <v/>
      </c>
      <c r="Y30" s="49">
        <f>IF('Timeline'!Y$42=1,IF(ConActual360=1,ConRate*Y$25/360,ConRate/12),0)</f>
        <v/>
      </c>
      <c r="Z30" s="49">
        <f>IF('Timeline'!Z$42=1,IF(ConActual360=1,ConRate*Z$25/360,ConRate/12),0)</f>
        <v/>
      </c>
      <c r="AA30" s="49">
        <f>IF('Timeline'!AA$42=1,IF(ConActual360=1,ConRate*AA$25/360,ConRate/12),0)</f>
        <v/>
      </c>
      <c r="AB30" s="49">
        <f>IF('Timeline'!AB$42=1,IF(ConActual360=1,ConRate*AB$25/360,ConRate/12),0)</f>
        <v/>
      </c>
      <c r="AC30" s="49">
        <f>IF('Timeline'!AC$42=1,IF(ConActual360=1,ConRate*AC$25/360,ConRate/12),0)</f>
        <v/>
      </c>
      <c r="AD30" s="49">
        <f>IF('Timeline'!AD$42=1,IF(ConActual360=1,ConRate*AD$25/360,ConRate/12),0)</f>
        <v/>
      </c>
      <c r="AE30" s="49">
        <f>IF('Timeline'!AE$42=1,IF(ConActual360=1,ConRate*AE$25/360,ConRate/12),0)</f>
        <v/>
      </c>
      <c r="AF30" s="49">
        <f>IF('Timeline'!AF$42=1,IF(ConActual360=1,ConRate*AF$25/360,ConRate/12),0)</f>
        <v/>
      </c>
      <c r="AG30" s="49">
        <f>IF('Timeline'!AG$42=1,IF(ConActual360=1,ConRate*AG$25/360,ConRate/12),0)</f>
        <v/>
      </c>
      <c r="AH30" s="49">
        <f>IF('Timeline'!AH$42=1,IF(ConActual360=1,ConRate*AH$25/360,ConRate/12),0)</f>
        <v/>
      </c>
      <c r="AI30" s="49">
        <f>IF('Timeline'!AI$42=1,IF(ConActual360=1,ConRate*AI$25/360,ConRate/12),0)</f>
        <v/>
      </c>
      <c r="AJ30" s="49">
        <f>IF('Timeline'!AJ$42=1,IF(ConActual360=1,ConRate*AJ$25/360,ConRate/12),0)</f>
        <v/>
      </c>
      <c r="AK30" s="49">
        <f>IF('Timeline'!AK$42=1,IF(ConActual360=1,ConRate*AK$25/360,ConRate/12),0)</f>
        <v/>
      </c>
      <c r="AL30" s="49">
        <f>IF('Timeline'!AL$42=1,IF(ConActual360=1,ConRate*AL$25/360,ConRate/12),0)</f>
        <v/>
      </c>
      <c r="AM30" s="49">
        <f>IF('Timeline'!AM$42=1,IF(ConActual360=1,ConRate*AM$25/360,ConRate/12),0)</f>
        <v/>
      </c>
      <c r="AN30" s="49">
        <f>IF('Timeline'!AN$42=1,IF(ConActual360=1,ConRate*AN$25/360,ConRate/12),0)</f>
        <v/>
      </c>
      <c r="AO30" s="49">
        <f>IF('Timeline'!AO$42=1,IF(ConActual360=1,ConRate*AO$25/360,ConRate/12),0)</f>
        <v/>
      </c>
      <c r="AP30" s="49">
        <f>IF('Timeline'!AP$42=1,IF(ConActual360=1,ConRate*AP$25/360,ConRate/12),0)</f>
        <v/>
      </c>
      <c r="AQ30" s="49">
        <f>IF('Timeline'!AQ$42=1,IF(ConActual360=1,ConRate*AQ$25/360,ConRate/12),0)</f>
        <v/>
      </c>
      <c r="AR30" s="49">
        <f>IF('Timeline'!AR$42=1,IF(ConActual360=1,ConRate*AR$25/360,ConRate/12),0)</f>
        <v/>
      </c>
      <c r="AS30" s="49">
        <f>IF('Timeline'!AS$42=1,IF(ConActual360=1,ConRate*AS$25/360,ConRate/12),0)</f>
        <v/>
      </c>
      <c r="AT30" s="49">
        <f>IF('Timeline'!AT$42=1,IF(ConActual360=1,ConRate*AT$25/360,ConRate/12),0)</f>
        <v/>
      </c>
      <c r="AU30" s="49">
        <f>IF('Timeline'!AU$42=1,IF(ConActual360=1,ConRate*AU$25/360,ConRate/12),0)</f>
        <v/>
      </c>
      <c r="AV30" s="49">
        <f>IF('Timeline'!AV$42=1,IF(ConActual360=1,ConRate*AV$25/360,ConRate/12),0)</f>
        <v/>
      </c>
      <c r="AW30" s="49">
        <f>IF('Timeline'!AW$42=1,IF(ConActual360=1,ConRate*AW$25/360,ConRate/12),0)</f>
        <v/>
      </c>
      <c r="AX30" s="49">
        <f>IF('Timeline'!AX$42=1,IF(ConActual360=1,ConRate*AX$25/360,ConRate/12),0)</f>
        <v/>
      </c>
      <c r="AY30" s="49">
        <f>IF('Timeline'!AY$42=1,IF(ConActual360=1,ConRate*AY$25/360,ConRate/12),0)</f>
        <v/>
      </c>
      <c r="AZ30" s="49">
        <f>IF('Timeline'!AZ$42=1,IF(ConActual360=1,ConRate*AZ$25/360,ConRate/12),0)</f>
        <v/>
      </c>
      <c r="BA30" s="49">
        <f>IF('Timeline'!BA$42=1,IF(ConActual360=1,ConRate*BA$25/360,ConRate/12),0)</f>
        <v/>
      </c>
      <c r="BB30" s="49">
        <f>IF('Timeline'!BB$42=1,IF(ConActual360=1,ConRate*BB$25/360,ConRate/12),0)</f>
        <v/>
      </c>
      <c r="BC30" s="49">
        <f>IF('Timeline'!BC$42=1,IF(ConActual360=1,ConRate*BC$25/360,ConRate/12),0)</f>
        <v/>
      </c>
      <c r="BD30" s="49">
        <f>IF('Timeline'!BD$42=1,IF(ConActual360=1,ConRate*BD$25/360,ConRate/12),0)</f>
        <v/>
      </c>
      <c r="BE30" s="49">
        <f>IF('Timeline'!BE$42=1,IF(ConActual360=1,ConRate*BE$25/360,ConRate/12),0)</f>
        <v/>
      </c>
      <c r="BF30" s="49">
        <f>IF('Timeline'!BF$42=1,IF(ConActual360=1,ConRate*BF$25/360,ConRate/12),0)</f>
        <v/>
      </c>
      <c r="BG30" s="49">
        <f>IF('Timeline'!BG$42=1,IF(ConActual360=1,ConRate*BG$25/360,ConRate/12),0)</f>
        <v/>
      </c>
      <c r="BH30" s="49">
        <f>IF('Timeline'!BH$42=1,IF(ConActual360=1,ConRate*BH$25/360,ConRate/12),0)</f>
        <v/>
      </c>
      <c r="BI30" s="49">
        <f>IF('Timeline'!BI$42=1,IF(ConActual360=1,ConRate*BI$25/360,ConRate/12),0)</f>
        <v/>
      </c>
      <c r="BJ30" s="49">
        <f>IF('Timeline'!BJ$42=1,IF(ConActual360=1,ConRate*BJ$25/360,ConRate/12),0)</f>
        <v/>
      </c>
      <c r="BK30" s="49">
        <f>IF('Timeline'!BK$42=1,IF(ConActual360=1,ConRate*BK$25/360,ConRate/12),0)</f>
        <v/>
      </c>
      <c r="BL30" s="49">
        <f>IF('Timeline'!BL$42=1,IF(ConActual360=1,ConRate*BL$25/360,ConRate/12),0)</f>
        <v/>
      </c>
      <c r="BM30" s="49">
        <f>IF('Timeline'!BM$42=1,IF(ConActual360=1,ConRate*BM$25/360,ConRate/12),0)</f>
        <v/>
      </c>
      <c r="BN30" s="49">
        <f>IF('Timeline'!BN$42=1,IF(ConActual360=1,ConRate*BN$25/360,ConRate/12),0)</f>
        <v/>
      </c>
      <c r="BO30" s="49">
        <f>IF('Timeline'!BO$42=1,IF(ConActual360=1,ConRate*BO$25/360,ConRate/12),0)</f>
        <v/>
      </c>
      <c r="BP30" s="49">
        <f>IF('Timeline'!BP$42=1,IF(ConActual360=1,ConRate*BP$25/360,ConRate/12),0)</f>
        <v/>
      </c>
      <c r="BQ30" s="49">
        <f>IF('Timeline'!BQ$42=1,IF(ConActual360=1,ConRate*BQ$25/360,ConRate/12),0)</f>
        <v/>
      </c>
      <c r="BR30" s="49">
        <f>IF('Timeline'!BR$42=1,IF(ConActual360=1,ConRate*BR$25/360,ConRate/12),0)</f>
        <v/>
      </c>
      <c r="BS30" s="49">
        <f>IF('Timeline'!BS$42=1,IF(ConActual360=1,ConRate*BS$25/360,ConRate/12),0)</f>
        <v/>
      </c>
      <c r="BT30" s="49">
        <f>IF('Timeline'!BT$42=1,IF(ConActual360=1,ConRate*BT$25/360,ConRate/12),0)</f>
        <v/>
      </c>
      <c r="BU30" s="49">
        <f>IF('Timeline'!BU$42=1,IF(ConActual360=1,ConRate*BU$25/360,ConRate/12),0)</f>
        <v/>
      </c>
      <c r="BV30" s="49">
        <f>IF('Timeline'!BV$42=1,IF(ConActual360=1,ConRate*BV$25/360,ConRate/12),0)</f>
        <v/>
      </c>
      <c r="BW30" s="49">
        <f>IF('Timeline'!BW$42=1,IF(ConActual360=1,ConRate*BW$25/360,ConRate/12),0)</f>
        <v/>
      </c>
      <c r="BX30" s="49">
        <f>IF('Timeline'!BX$42=1,IF(ConActual360=1,ConRate*BX$25/360,ConRate/12),0)</f>
        <v/>
      </c>
      <c r="BY30" s="49">
        <f>IF('Timeline'!BY$42=1,IF(ConActual360=1,ConRate*BY$25/360,ConRate/12),0)</f>
        <v/>
      </c>
      <c r="BZ30" s="49">
        <f>IF('Timeline'!BZ$42=1,IF(ConActual360=1,ConRate*BZ$25/360,ConRate/12),0)</f>
        <v/>
      </c>
      <c r="CA30" s="49">
        <f>IF('Timeline'!CA$42=1,IF(ConActual360=1,ConRate*CA$25/360,ConRate/12),0)</f>
        <v/>
      </c>
      <c r="CB30" s="49">
        <f>IF('Timeline'!CB$42=1,IF(ConActual360=1,ConRate*CB$25/360,ConRate/12),0)</f>
        <v/>
      </c>
      <c r="CC30" s="49">
        <f>IF('Timeline'!CC$42=1,IF(ConActual360=1,ConRate*CC$25/360,ConRate/12),0)</f>
        <v/>
      </c>
      <c r="CD30" s="49">
        <f>IF('Timeline'!CD$42=1,IF(ConActual360=1,ConRate*CD$25/360,ConRate/12),0)</f>
        <v/>
      </c>
      <c r="CE30" s="49">
        <f>IF('Timeline'!CE$42=1,IF(ConActual360=1,ConRate*CE$25/360,ConRate/12),0)</f>
        <v/>
      </c>
      <c r="CF30" s="49">
        <f>IF('Timeline'!CF$42=1,IF(ConActual360=1,ConRate*CF$25/360,ConRate/12),0)</f>
        <v/>
      </c>
      <c r="CG30" s="49">
        <f>IF('Timeline'!CG$42=1,IF(ConActual360=1,ConRate*CG$25/360,ConRate/12),0)</f>
        <v/>
      </c>
      <c r="CH30" s="49">
        <f>IF('Timeline'!CH$42=1,IF(ConActual360=1,ConRate*CH$25/360,ConRate/12),0)</f>
        <v/>
      </c>
      <c r="CI30" s="49">
        <f>IF('Timeline'!CI$42=1,IF(ConActual360=1,ConRate*CI$25/360,ConRate/12),0)</f>
        <v/>
      </c>
      <c r="CJ30" s="49">
        <f>IF('Timeline'!CJ$42=1,IF(ConActual360=1,ConRate*CJ$25/360,ConRate/12),0)</f>
        <v/>
      </c>
      <c r="CK30" s="49">
        <f>IF('Timeline'!CK$42=1,IF(ConActual360=1,ConRate*CK$25/360,ConRate/12),0)</f>
        <v/>
      </c>
      <c r="CL30" s="49">
        <f>IF('Timeline'!CL$42=1,IF(ConActual360=1,ConRate*CL$25/360,ConRate/12),0)</f>
        <v/>
      </c>
      <c r="CM30" s="49">
        <f>IF('Timeline'!CM$42=1,IF(ConActual360=1,ConRate*CM$25/360,ConRate/12),0)</f>
        <v/>
      </c>
      <c r="CN30" s="49">
        <f>IF('Timeline'!CN$42=1,IF(ConActual360=1,ConRate*CN$25/360,ConRate/12),0)</f>
        <v/>
      </c>
      <c r="CO30" s="49">
        <f>IF('Timeline'!CO$42=1,IF(ConActual360=1,ConRate*CO$25/360,ConRate/12),0)</f>
        <v/>
      </c>
      <c r="CP30" s="49">
        <f>IF('Timeline'!CP$42=1,IF(ConActual360=1,ConRate*CP$25/360,ConRate/12),0)</f>
        <v/>
      </c>
      <c r="CQ30" s="49">
        <f>IF('Timeline'!CQ$42=1,IF(ConActual360=1,ConRate*CQ$25/360,ConRate/12),0)</f>
        <v/>
      </c>
      <c r="CR30" s="49">
        <f>IF('Timeline'!CR$42=1,IF(ConActual360=1,ConRate*CR$25/360,ConRate/12),0)</f>
        <v/>
      </c>
      <c r="CS30" s="49">
        <f>IF('Timeline'!CS$42=1,IF(ConActual360=1,ConRate*CS$25/360,ConRate/12),0)</f>
        <v/>
      </c>
      <c r="CT30" s="49">
        <f>IF('Timeline'!CT$42=1,IF(ConActual360=1,ConRate*CT$25/360,ConRate/12),0)</f>
        <v/>
      </c>
      <c r="CU30" s="49">
        <f>IF('Timeline'!CU$42=1,IF(ConActual360=1,ConRate*CU$25/360,ConRate/12),0)</f>
        <v/>
      </c>
      <c r="CV30" s="49">
        <f>IF('Timeline'!CV$42=1,IF(ConActual360=1,ConRate*CV$25/360,ConRate/12),0)</f>
        <v/>
      </c>
      <c r="CW30" s="49">
        <f>IF('Timeline'!CW$42=1,IF(ConActual360=1,ConRate*CW$25/360,ConRate/12),0)</f>
        <v/>
      </c>
      <c r="CX30" s="49">
        <f>IF('Timeline'!CX$42=1,IF(ConActual360=1,ConRate*CX$25/360,ConRate/12),0)</f>
        <v/>
      </c>
      <c r="CY30" s="49">
        <f>IF('Timeline'!CY$42=1,IF(ConActual360=1,ConRate*CY$25/360,ConRate/12),0)</f>
        <v/>
      </c>
      <c r="CZ30" s="49">
        <f>IF('Timeline'!CZ$42=1,IF(ConActual360=1,ConRate*CZ$25/360,ConRate/12),0)</f>
        <v/>
      </c>
      <c r="DA30" s="49">
        <f>IF('Timeline'!DA$42=1,IF(ConActual360=1,ConRate*DA$25/360,ConRate/12),0)</f>
        <v/>
      </c>
      <c r="DB30" s="49">
        <f>IF('Timeline'!DB$42=1,IF(ConActual360=1,ConRate*DB$25/360,ConRate/12),0)</f>
        <v/>
      </c>
      <c r="DC30" s="49">
        <f>IF('Timeline'!DC$42=1,IF(ConActual360=1,ConRate*DC$25/360,ConRate/12),0)</f>
        <v/>
      </c>
      <c r="DD30" s="49">
        <f>IF('Timeline'!DD$42=1,IF(ConActual360=1,ConRate*DD$25/360,ConRate/12),0)</f>
        <v/>
      </c>
      <c r="DE30" s="49">
        <f>IF('Timeline'!DE$42=1,IF(ConActual360=1,ConRate*DE$25/360,ConRate/12),0)</f>
        <v/>
      </c>
      <c r="DF30" s="49">
        <f>IF('Timeline'!DF$42=1,IF(ConActual360=1,ConRate*DF$25/360,ConRate/12),0)</f>
        <v/>
      </c>
      <c r="DG30" s="49">
        <f>IF('Timeline'!DG$42=1,IF(ConActual360=1,ConRate*DG$25/360,ConRate/12),0)</f>
        <v/>
      </c>
      <c r="DH30" s="49">
        <f>IF('Timeline'!DH$42=1,IF(ConActual360=1,ConRate*DH$25/360,ConRate/12),0)</f>
        <v/>
      </c>
      <c r="DI30" s="49">
        <f>IF('Timeline'!DI$42=1,IF(ConActual360=1,ConRate*DI$25/360,ConRate/12),0)</f>
        <v/>
      </c>
      <c r="DJ30" s="49">
        <f>IF('Timeline'!DJ$42=1,IF(ConActual360=1,ConRate*DJ$25/360,ConRate/12),0)</f>
        <v/>
      </c>
      <c r="DK30" s="49">
        <f>IF('Timeline'!DK$42=1,IF(ConActual360=1,ConRate*DK$25/360,ConRate/12),0)</f>
        <v/>
      </c>
      <c r="DL30" s="49">
        <f>IF('Timeline'!DL$42=1,IF(ConActual360=1,ConRate*DL$25/360,ConRate/12),0)</f>
        <v/>
      </c>
      <c r="DM30" s="49">
        <f>IF('Timeline'!DM$42=1,IF(ConActual360=1,ConRate*DM$25/360,ConRate/12),0)</f>
        <v/>
      </c>
      <c r="DN30" s="49">
        <f>IF('Timeline'!DN$42=1,IF(ConActual360=1,ConRate*DN$25/360,ConRate/12),0)</f>
        <v/>
      </c>
      <c r="DO30" s="49">
        <f>IF('Timeline'!DO$42=1,IF(ConActual360=1,ConRate*DO$25/360,ConRate/12),0)</f>
        <v/>
      </c>
      <c r="DP30" s="49">
        <f>IF('Timeline'!DP$42=1,IF(ConActual360=1,ConRate*DP$25/360,ConRate/12),0)</f>
        <v/>
      </c>
      <c r="DQ30" s="49">
        <f>IF('Timeline'!DQ$42=1,IF(ConActual360=1,ConRate*DQ$25/360,ConRate/12),0)</f>
        <v/>
      </c>
      <c r="DR30" s="49">
        <f>IF('Timeline'!DR$42=1,IF(ConActual360=1,ConRate*DR$25/360,ConRate/12),0)</f>
        <v/>
      </c>
      <c r="DS30" s="49">
        <f>IF('Timeline'!DS$42=1,IF(ConActual360=1,ConRate*DS$25/360,ConRate/12),0)</f>
        <v/>
      </c>
      <c r="DT30" s="49">
        <f>IF('Timeline'!DT$42=1,IF(ConActual360=1,ConRate*DT$25/360,ConRate/12),0)</f>
        <v/>
      </c>
      <c r="DU30" s="49">
        <f>IF('Timeline'!DU$42=1,IF(ConActual360=1,ConRate*DU$25/360,ConRate/12),0)</f>
        <v/>
      </c>
      <c r="DV30" s="49">
        <f>IF('Timeline'!DV$42=1,IF(ConActual360=1,ConRate*DV$25/360,ConRate/12),0)</f>
        <v/>
      </c>
      <c r="DW30" s="49">
        <f>IF('Timeline'!DW$42=1,IF(ConActual360=1,ConRate*DW$25/360,ConRate/12),0)</f>
        <v/>
      </c>
      <c r="DX30" s="49">
        <f>IF('Timeline'!DX$42=1,IF(ConActual360=1,ConRate*DX$25/360,ConRate/12),0)</f>
        <v/>
      </c>
      <c r="DY30" s="49">
        <f>IF('Timeline'!DY$42=1,IF(ConActual360=1,ConRate*DY$25/360,ConRate/12),0)</f>
        <v/>
      </c>
      <c r="DZ30" s="49">
        <f>IF('Timeline'!DZ$42=1,IF(ConActual360=1,ConRate*DZ$25/360,ConRate/12),0)</f>
        <v/>
      </c>
      <c r="EA30" s="49">
        <f>IF('Timeline'!EA$42=1,IF(ConActual360=1,ConRate*EA$25/360,ConRate/12),0)</f>
        <v/>
      </c>
      <c r="EB30" s="49">
        <f>IF('Timeline'!EB$42=1,IF(ConActual360=1,ConRate*EB$25/360,ConRate/12),0)</f>
        <v/>
      </c>
      <c r="EC30" s="49">
        <f>IF('Timeline'!EC$42=1,IF(ConActual360=1,ConRate*EC$25/360,ConRate/12),0)</f>
        <v/>
      </c>
      <c r="ED30" s="49">
        <f>IF('Timeline'!ED$42=1,IF(ConActual360=1,ConRate*ED$25/360,ConRate/12),0)</f>
        <v/>
      </c>
      <c r="EE30" s="49">
        <f>IF('Timeline'!EE$42=1,IF(ConActual360=1,ConRate*EE$25/360,ConRate/12),0)</f>
        <v/>
      </c>
      <c r="EF30" s="49">
        <f>IF('Timeline'!EF$42=1,IF(ConActual360=1,ConRate*EF$25/360,ConRate/12),0)</f>
        <v/>
      </c>
      <c r="EG30" s="49">
        <f>IF('Timeline'!EG$42=1,IF(ConActual360=1,ConRate*EG$25/360,ConRate/12),0)</f>
        <v/>
      </c>
      <c r="EH30" s="49">
        <f>IF('Timeline'!EH$42=1,IF(ConActual360=1,ConRate*EH$25/360,ConRate/12),0)</f>
        <v/>
      </c>
      <c r="EI30" s="49">
        <f>IF('Timeline'!EI$42=1,IF(ConActual360=1,ConRate*EI$25/360,ConRate/12),0)</f>
        <v/>
      </c>
      <c r="EJ30" s="49">
        <f>IF('Timeline'!EJ$42=1,IF(ConActual360=1,ConRate*EJ$25/360,ConRate/12),0)</f>
        <v/>
      </c>
      <c r="EK30" s="49">
        <f>IF('Timeline'!EK$42=1,IF(ConActual360=1,ConRate*EK$25/360,ConRate/12),0)</f>
        <v/>
      </c>
      <c r="EL30" s="49">
        <f>IF('Timeline'!EL$42=1,IF(ConActual360=1,ConRate*EL$25/360,ConRate/12),0)</f>
        <v/>
      </c>
      <c r="EM30" s="49">
        <f>IF('Timeline'!EM$42=1,IF(ConActual360=1,ConRate*EM$25/360,ConRate/12),0)</f>
        <v/>
      </c>
      <c r="EN30" s="49">
        <f>IF('Timeline'!EN$42=1,IF(ConActual360=1,ConRate*EN$25/360,ConRate/12),0)</f>
        <v/>
      </c>
      <c r="EO30" s="49">
        <f>IF('Timeline'!EO$42=1,IF(ConActual360=1,ConRate*EO$25/360,ConRate/12),0)</f>
        <v/>
      </c>
      <c r="EP30" s="49">
        <f>IF('Timeline'!EP$42=1,IF(ConActual360=1,ConRate*EP$25/360,ConRate/12),0)</f>
        <v/>
      </c>
      <c r="EQ30" s="49">
        <f>IF('Timeline'!EQ$42=1,IF(ConActual360=1,ConRate*EQ$25/360,ConRate/12),0)</f>
        <v/>
      </c>
      <c r="ER30" s="49">
        <f>IF('Timeline'!ER$42=1,IF(ConActual360=1,ConRate*ER$25/360,ConRate/12),0)</f>
        <v/>
      </c>
      <c r="ES30" s="49">
        <f>IF('Timeline'!ES$42=1,IF(ConActual360=1,ConRate*ES$25/360,ConRate/12),0)</f>
        <v/>
      </c>
      <c r="ET30" s="49">
        <f>IF('Timeline'!ET$42=1,IF(ConActual360=1,ConRate*ET$25/360,ConRate/12),0)</f>
        <v/>
      </c>
      <c r="EU30" s="49">
        <f>IF('Timeline'!EU$42=1,IF(ConActual360=1,ConRate*EU$25/360,ConRate/12),0)</f>
        <v/>
      </c>
      <c r="EV30" s="49">
        <f>IF('Timeline'!EV$42=1,IF(ConActual360=1,ConRate*EV$25/360,ConRate/12),0)</f>
        <v/>
      </c>
      <c r="EW30" s="49">
        <f>IF('Timeline'!EW$42=1,IF(ConActual360=1,ConRate*EW$25/360,ConRate/12),0)</f>
        <v/>
      </c>
      <c r="EX30" s="49">
        <f>IF('Timeline'!EX$42=1,IF(ConActual360=1,ConRate*EX$25/360,ConRate/12),0)</f>
        <v/>
      </c>
      <c r="EY30" s="49">
        <f>IF('Timeline'!EY$42=1,IF(ConActual360=1,ConRate*EY$25/360,ConRate/12),0)</f>
        <v/>
      </c>
      <c r="EZ30" s="49">
        <f>IF('Timeline'!EZ$42=1,IF(ConActual360=1,ConRate*EZ$25/360,ConRate/12),0)</f>
        <v/>
      </c>
      <c r="FA30" s="49">
        <f>IF('Timeline'!FA$42=1,IF(ConActual360=1,ConRate*FA$25/360,ConRate/12),0)</f>
        <v/>
      </c>
      <c r="FB30" s="49">
        <f>IF('Timeline'!FB$42=1,IF(ConActual360=1,ConRate*FB$25/360,ConRate/12),0)</f>
        <v/>
      </c>
      <c r="FC30" s="49">
        <f>IF('Timeline'!FC$42=1,IF(ConActual360=1,ConRate*FC$25/360,ConRate/12),0)</f>
        <v/>
      </c>
      <c r="FD30" s="49">
        <f>IF('Timeline'!FD$42=1,IF(ConActual360=1,ConRate*FD$25/360,ConRate/12),0)</f>
        <v/>
      </c>
      <c r="FE30" s="49">
        <f>IF('Timeline'!FE$42=1,IF(ConActual360=1,ConRate*FE$25/360,ConRate/12),0)</f>
        <v/>
      </c>
      <c r="FF30" s="49">
        <f>IF('Timeline'!FF$42=1,IF(ConActual360=1,ConRate*FF$25/360,ConRate/12),0)</f>
        <v/>
      </c>
      <c r="FG30" s="49">
        <f>IF('Timeline'!FG$42=1,IF(ConActual360=1,ConRate*FG$25/360,ConRate/12),0)</f>
        <v/>
      </c>
      <c r="FH30" s="49">
        <f>IF('Timeline'!FH$42=1,IF(ConActual360=1,ConRate*FH$25/360,ConRate/12),0)</f>
        <v/>
      </c>
      <c r="FI30" s="49">
        <f>IF('Timeline'!FI$42=1,IF(ConActual360=1,ConRate*FI$25/360,ConRate/12),0)</f>
        <v/>
      </c>
      <c r="FJ30" s="49">
        <f>IF('Timeline'!FJ$42=1,IF(ConActual360=1,ConRate*FJ$25/360,ConRate/12),0)</f>
        <v/>
      </c>
      <c r="FK30" s="49">
        <f>IF('Timeline'!FK$42=1,IF(ConActual360=1,ConRate*FK$25/360,ConRate/12),0)</f>
        <v/>
      </c>
      <c r="FL30" s="49">
        <f>IF('Timeline'!FL$42=1,IF(ConActual360=1,ConRate*FL$25/360,ConRate/12),0)</f>
        <v/>
      </c>
      <c r="FM30" s="49">
        <f>IF('Timeline'!FM$42=1,IF(ConActual360=1,ConRate*FM$25/360,ConRate/12),0)</f>
        <v/>
      </c>
      <c r="FN30" s="49">
        <f>IF('Timeline'!FN$42=1,IF(ConActual360=1,ConRate*FN$25/360,ConRate/12),0)</f>
        <v/>
      </c>
      <c r="FO30" s="49">
        <f>IF('Timeline'!FO$42=1,IF(ConActual360=1,ConRate*FO$25/360,ConRate/12),0)</f>
        <v/>
      </c>
      <c r="FP30" s="49">
        <f>IF('Timeline'!FP$42=1,IF(ConActual360=1,ConRate*FP$25/360,ConRate/12),0)</f>
        <v/>
      </c>
      <c r="FQ30" s="49">
        <f>IF('Timeline'!FQ$42=1,IF(ConActual360=1,ConRate*FQ$25/360,ConRate/12),0)</f>
        <v/>
      </c>
      <c r="FR30" s="49">
        <f>IF('Timeline'!FR$42=1,IF(ConActual360=1,ConRate*FR$25/360,ConRate/12),0)</f>
        <v/>
      </c>
      <c r="FS30" s="49">
        <f>IF('Timeline'!FS$42=1,IF(ConActual360=1,ConRate*FS$25/360,ConRate/12),0)</f>
        <v/>
      </c>
      <c r="FT30" s="49">
        <f>IF('Timeline'!FT$42=1,IF(ConActual360=1,ConRate*FT$25/360,ConRate/12),0)</f>
        <v/>
      </c>
      <c r="FU30" s="49">
        <f>IF('Timeline'!FU$42=1,IF(ConActual360=1,ConRate*FU$25/360,ConRate/12),0)</f>
        <v/>
      </c>
      <c r="FV30" s="49">
        <f>IF('Timeline'!FV$42=1,IF(ConActual360=1,ConRate*FV$25/360,ConRate/12),0)</f>
        <v/>
      </c>
      <c r="FW30" s="49">
        <f>IF('Timeline'!FW$42=1,IF(ConActual360=1,ConRate*FW$25/360,ConRate/12),0)</f>
        <v/>
      </c>
      <c r="FX30" s="49">
        <f>IF('Timeline'!FX$42=1,IF(ConActual360=1,ConRate*FX$25/360,ConRate/12),0)</f>
        <v/>
      </c>
      <c r="FY30" s="49">
        <f>IF('Timeline'!FY$42=1,IF(ConActual360=1,ConRate*FY$25/360,ConRate/12),0)</f>
        <v/>
      </c>
      <c r="FZ30" s="49">
        <f>IF('Timeline'!FZ$42=1,IF(ConActual360=1,ConRate*FZ$25/360,ConRate/12),0)</f>
        <v/>
      </c>
      <c r="GA30" s="49">
        <f>IF('Timeline'!GA$42=1,IF(ConActual360=1,ConRate*GA$25/360,ConRate/12),0)</f>
        <v/>
      </c>
      <c r="GB30" s="49">
        <f>IF('Timeline'!GB$42=1,IF(ConActual360=1,ConRate*GB$25/360,ConRate/12),0)</f>
        <v/>
      </c>
      <c r="GC30" s="49">
        <f>IF('Timeline'!GC$42=1,IF(ConActual360=1,ConRate*GC$25/360,ConRate/12),0)</f>
        <v/>
      </c>
      <c r="GD30" s="49">
        <f>IF('Timeline'!GD$42=1,IF(ConActual360=1,ConRate*GD$25/360,ConRate/12),0)</f>
        <v/>
      </c>
      <c r="GE30" s="49">
        <f>IF('Timeline'!GE$42=1,IF(ConActual360=1,ConRate*GE$25/360,ConRate/12),0)</f>
        <v/>
      </c>
      <c r="GF30" s="49">
        <f>IF('Timeline'!GF$42=1,IF(ConActual360=1,ConRate*GF$25/360,ConRate/12),0)</f>
        <v/>
      </c>
      <c r="GG30" s="49">
        <f>IF('Timeline'!GG$42=1,IF(ConActual360=1,ConRate*GG$25/360,ConRate/12),0)</f>
        <v/>
      </c>
      <c r="GH30" s="49">
        <f>IF('Timeline'!GH$42=1,IF(ConActual360=1,ConRate*GH$25/360,ConRate/12),0)</f>
        <v/>
      </c>
      <c r="GI30" s="49">
        <f>IF('Timeline'!GI$42=1,IF(ConActual360=1,ConRate*GI$25/360,ConRate/12),0)</f>
        <v/>
      </c>
      <c r="GJ30" s="49">
        <f>IF('Timeline'!GJ$42=1,IF(ConActual360=1,ConRate*GJ$25/360,ConRate/12),0)</f>
        <v/>
      </c>
      <c r="GK30" s="49">
        <f>IF('Timeline'!GK$42=1,IF(ConActual360=1,ConRate*GK$25/360,ConRate/12),0)</f>
        <v/>
      </c>
      <c r="GL30" s="49">
        <f>IF('Timeline'!GL$42=1,IF(ConActual360=1,ConRate*GL$25/360,ConRate/12),0)</f>
        <v/>
      </c>
      <c r="GM30" s="49">
        <f>IF('Timeline'!GM$42=1,IF(ConActual360=1,ConRate*GM$25/360,ConRate/12),0)</f>
        <v/>
      </c>
      <c r="GN30" s="49">
        <f>IF('Timeline'!GN$42=1,IF(ConActual360=1,ConRate*GN$25/360,ConRate/12),0)</f>
        <v/>
      </c>
      <c r="GO30" s="49">
        <f>IF('Timeline'!GO$42=1,IF(ConActual360=1,ConRate*GO$25/360,ConRate/12),0)</f>
        <v/>
      </c>
      <c r="GP30" s="49">
        <f>IF('Timeline'!GP$42=1,IF(ConActual360=1,ConRate*GP$25/360,ConRate/12),0)</f>
        <v/>
      </c>
      <c r="GQ30" s="49">
        <f>IF('Timeline'!GQ$42=1,IF(ConActual360=1,ConRate*GQ$25/360,ConRate/12),0)</f>
        <v/>
      </c>
      <c r="GR30" s="49">
        <f>IF('Timeline'!GR$42=1,IF(ConActual360=1,ConRate*GR$25/360,ConRate/12),0)</f>
        <v/>
      </c>
      <c r="GS30" s="49">
        <f>IF('Timeline'!GS$42=1,IF(ConActual360=1,ConRate*GS$25/360,ConRate/12),0)</f>
        <v/>
      </c>
      <c r="GT30" s="49">
        <f>IF('Timeline'!GT$42=1,IF(ConActual360=1,ConRate*GT$25/360,ConRate/12),0)</f>
        <v/>
      </c>
      <c r="GU30" s="49">
        <f>IF('Timeline'!GU$42=1,IF(ConActual360=1,ConRate*GU$25/360,ConRate/12),0)</f>
        <v/>
      </c>
      <c r="GV30" s="49">
        <f>IF('Timeline'!GV$42=1,IF(ConActual360=1,ConRate*GV$25/360,ConRate/12),0)</f>
        <v/>
      </c>
      <c r="GW30" s="49">
        <f>IF('Timeline'!GW$42=1,IF(ConActual360=1,ConRate*GW$25/360,ConRate/12),0)</f>
        <v/>
      </c>
      <c r="GX30" s="49">
        <f>IF('Timeline'!GX$42=1,IF(ConActual360=1,ConRate*GX$25/360,ConRate/12),0)</f>
        <v/>
      </c>
      <c r="GY30" s="49">
        <f>IF('Timeline'!GY$42=1,IF(ConActual360=1,ConRate*GY$25/360,ConRate/12),0)</f>
        <v/>
      </c>
      <c r="GZ30" s="49">
        <f>IF('Timeline'!GZ$42=1,IF(ConActual360=1,ConRate*GZ$25/360,ConRate/12),0)</f>
        <v/>
      </c>
      <c r="HA30" s="49">
        <f>IF('Timeline'!HA$42=1,IF(ConActual360=1,ConRate*HA$25/360,ConRate/12),0)</f>
        <v/>
      </c>
      <c r="HB30" s="49">
        <f>IF('Timeline'!HB$42=1,IF(ConActual360=1,ConRate*HB$25/360,ConRate/12),0)</f>
        <v/>
      </c>
      <c r="HC30" s="49">
        <f>IF('Timeline'!HC$42=1,IF(ConActual360=1,ConRate*HC$25/360,ConRate/12),0)</f>
        <v/>
      </c>
      <c r="HD30" s="49">
        <f>IF('Timeline'!HD$42=1,IF(ConActual360=1,ConRate*HD$25/360,ConRate/12),0)</f>
        <v/>
      </c>
      <c r="HE30" s="49">
        <f>IF('Timeline'!HE$42=1,IF(ConActual360=1,ConRate*HE$25/360,ConRate/12),0)</f>
        <v/>
      </c>
      <c r="HF30" s="49">
        <f>IF('Timeline'!HF$42=1,IF(ConActual360=1,ConRate*HF$25/360,ConRate/12),0)</f>
        <v/>
      </c>
      <c r="HG30" s="49">
        <f>IF('Timeline'!HG$42=1,IF(ConActual360=1,ConRate*HG$25/360,ConRate/12),0)</f>
        <v/>
      </c>
      <c r="HH30" s="49">
        <f>IF('Timeline'!HH$42=1,IF(ConActual360=1,ConRate*HH$25/360,ConRate/12),0)</f>
        <v/>
      </c>
      <c r="HI30" s="49">
        <f>IF('Timeline'!HI$42=1,IF(ConActual360=1,ConRate*HI$25/360,ConRate/12),0)</f>
        <v/>
      </c>
      <c r="HJ30" s="49">
        <f>IF('Timeline'!HJ$42=1,IF(ConActual360=1,ConRate*HJ$25/360,ConRate/12),0)</f>
        <v/>
      </c>
      <c r="HK30" s="49">
        <f>IF('Timeline'!HK$42=1,IF(ConActual360=1,ConRate*HK$25/360,ConRate/12),0)</f>
        <v/>
      </c>
      <c r="HL30" s="49">
        <f>IF('Timeline'!HL$42=1,IF(ConActual360=1,ConRate*HL$25/360,ConRate/12),0)</f>
        <v/>
      </c>
      <c r="HM30" s="49">
        <f>IF('Timeline'!HM$42=1,IF(ConActual360=1,ConRate*HM$25/360,ConRate/12),0)</f>
        <v/>
      </c>
      <c r="HN30" s="49">
        <f>IF('Timeline'!HN$42=1,IF(ConActual360=1,ConRate*HN$25/360,ConRate/12),0)</f>
        <v/>
      </c>
      <c r="HO30" s="49">
        <f>IF('Timeline'!HO$42=1,IF(ConActual360=1,ConRate*HO$25/360,ConRate/12),0)</f>
        <v/>
      </c>
      <c r="HP30" s="49">
        <f>IF('Timeline'!HP$42=1,IF(ConActual360=1,ConRate*HP$25/360,ConRate/12),0)</f>
        <v/>
      </c>
      <c r="HQ30" s="49">
        <f>IF('Timeline'!HQ$42=1,IF(ConActual360=1,ConRate*HQ$25/360,ConRate/12),0)</f>
        <v/>
      </c>
      <c r="HR30" s="49">
        <f>IF('Timeline'!HR$42=1,IF(ConActual360=1,ConRate*HR$25/360,ConRate/12),0)</f>
        <v/>
      </c>
      <c r="HS30" s="49">
        <f>IF('Timeline'!HS$42=1,IF(ConActual360=1,ConRate*HS$25/360,ConRate/12),0)</f>
        <v/>
      </c>
      <c r="HT30" s="49">
        <f>IF('Timeline'!HT$42=1,IF(ConActual360=1,ConRate*HT$25/360,ConRate/12),0)</f>
        <v/>
      </c>
      <c r="HU30" s="49">
        <f>IF('Timeline'!HU$42=1,IF(ConActual360=1,ConRate*HU$25/360,ConRate/12),0)</f>
        <v/>
      </c>
      <c r="HV30" s="49">
        <f>IF('Timeline'!HV$42=1,IF(ConActual360=1,ConRate*HV$25/360,ConRate/12),0)</f>
        <v/>
      </c>
      <c r="HW30" s="49">
        <f>IF('Timeline'!HW$42=1,IF(ConActual360=1,ConRate*HW$25/360,ConRate/12),0)</f>
        <v/>
      </c>
      <c r="HX30" s="49">
        <f>IF('Timeline'!HX$42=1,IF(ConActual360=1,ConRate*HX$25/360,ConRate/12),0)</f>
        <v/>
      </c>
      <c r="HY30" s="49">
        <f>IF('Timeline'!HY$42=1,IF(ConActual360=1,ConRate*HY$25/360,ConRate/12),0)</f>
        <v/>
      </c>
      <c r="HZ30" s="49">
        <f>IF('Timeline'!HZ$42=1,IF(ConActual360=1,ConRate*HZ$25/360,ConRate/12),0)</f>
        <v/>
      </c>
      <c r="IA30" s="49">
        <f>IF('Timeline'!IA$42=1,IF(ConActual360=1,ConRate*IA$25/360,ConRate/12),0)</f>
        <v/>
      </c>
      <c r="IB30" s="49">
        <f>IF('Timeline'!IB$42=1,IF(ConActual360=1,ConRate*IB$25/360,ConRate/12),0)</f>
        <v/>
      </c>
      <c r="IC30" s="49">
        <f>IF('Timeline'!IC$42=1,IF(ConActual360=1,ConRate*IC$25/360,ConRate/12),0)</f>
        <v/>
      </c>
      <c r="ID30" s="49">
        <f>IF('Timeline'!ID$42=1,IF(ConActual360=1,ConRate*ID$25/360,ConRate/12),0)</f>
        <v/>
      </c>
      <c r="IE30" s="49">
        <f>IF('Timeline'!IE$42=1,IF(ConActual360=1,ConRate*IE$25/360,ConRate/12),0)</f>
        <v/>
      </c>
      <c r="IF30" s="49">
        <f>IF('Timeline'!IF$42=1,IF(ConActual360=1,ConRate*IF$25/360,ConRate/12),0)</f>
        <v/>
      </c>
      <c r="IG30" s="49">
        <f>IF('Timeline'!IG$42=1,IF(ConActual360=1,ConRate*IG$25/360,ConRate/12),0)</f>
        <v/>
      </c>
      <c r="IH30" s="49">
        <f>IF('Timeline'!IH$42=1,IF(ConActual360=1,ConRate*IH$25/360,ConRate/12),0)</f>
        <v/>
      </c>
      <c r="II30" s="49">
        <f>IF('Timeline'!II$42=1,IF(ConActual360=1,ConRate*II$25/360,ConRate/12),0)</f>
        <v/>
      </c>
      <c r="IJ30" s="49">
        <f>IF('Timeline'!IJ$42=1,IF(ConActual360=1,ConRate*IJ$25/360,ConRate/12),0)</f>
        <v/>
      </c>
      <c r="IK30" s="49">
        <f>IF('Timeline'!IK$42=1,IF(ConActual360=1,ConRate*IK$25/360,ConRate/12),0)</f>
        <v/>
      </c>
      <c r="IL30" s="49">
        <f>IF('Timeline'!IL$42=1,IF(ConActual360=1,ConRate*IL$25/360,ConRate/12),0)</f>
        <v/>
      </c>
      <c r="IM30" s="49">
        <f>IF('Timeline'!IM$42=1,IF(ConActual360=1,ConRate*IM$25/360,ConRate/12),0)</f>
        <v/>
      </c>
      <c r="IN30" s="49">
        <f>IF('Timeline'!IN$42=1,IF(ConActual360=1,ConRate*IN$25/360,ConRate/12),0)</f>
        <v/>
      </c>
      <c r="IO30" s="49">
        <f>IF('Timeline'!IO$42=1,IF(ConActual360=1,ConRate*IO$25/360,ConRate/12),0)</f>
        <v/>
      </c>
      <c r="IP30" s="49">
        <f>IF('Timeline'!IP$42=1,IF(ConActual360=1,ConRate*IP$25/360,ConRate/12),0)</f>
        <v/>
      </c>
      <c r="IQ30" s="49">
        <f>IF('Timeline'!IQ$42=1,IF(ConActual360=1,ConRate*IQ$25/360,ConRate/12),0)</f>
        <v/>
      </c>
      <c r="IR30" s="49">
        <f>IF('Timeline'!IR$42=1,IF(ConActual360=1,ConRate*IR$25/360,ConRate/12),0)</f>
        <v/>
      </c>
      <c r="IS30" s="49">
        <f>IF('Timeline'!IS$42=1,IF(ConActual360=1,ConRate*IS$25/360,ConRate/12),0)</f>
        <v/>
      </c>
      <c r="IT30" s="49">
        <f>IF('Timeline'!IT$42=1,IF(ConActual360=1,ConRate*IT$25/360,ConRate/12),0)</f>
        <v/>
      </c>
      <c r="IU30" s="49">
        <f>IF('Timeline'!IU$42=1,IF(ConActual360=1,ConRate*IU$25/360,ConRate/12),0)</f>
        <v/>
      </c>
      <c r="IV30" s="49">
        <f>IF('Timeline'!IV$42=1,IF(ConActual360=1,ConRate*IV$25/360,ConRate/12),0)</f>
        <v/>
      </c>
      <c r="IW30" s="49">
        <f>IF('Timeline'!IW$42=1,IF(ConActual360=1,ConRate*IW$25/360,ConRate/12),0)</f>
        <v/>
      </c>
      <c r="IX30" s="49">
        <f>IF('Timeline'!IX$42=1,IF(ConActual360=1,ConRate*IX$25/360,ConRate/12),0)</f>
        <v/>
      </c>
      <c r="IY30" s="49">
        <f>IF('Timeline'!IY$42=1,IF(ConActual360=1,ConRate*IY$25/360,ConRate/12),0)</f>
        <v/>
      </c>
      <c r="IZ30" s="49">
        <f>IF('Timeline'!IZ$42=1,IF(ConActual360=1,ConRate*IZ$25/360,ConRate/12),0)</f>
        <v/>
      </c>
      <c r="JA30" s="49">
        <f>IF('Timeline'!JA$42=1,IF(ConActual360=1,ConRate*JA$25/360,ConRate/12),0)</f>
        <v/>
      </c>
      <c r="JB30" s="49">
        <f>IF('Timeline'!JB$42=1,IF(ConActual360=1,ConRate*JB$25/360,ConRate/12),0)</f>
        <v/>
      </c>
      <c r="JC30" s="49">
        <f>IF('Timeline'!JC$42=1,IF(ConActual360=1,ConRate*JC$25/360,ConRate/12),0)</f>
        <v/>
      </c>
      <c r="JD30" s="49">
        <f>IF('Timeline'!JD$42=1,IF(ConActual360=1,ConRate*JD$25/360,ConRate/12),0)</f>
        <v/>
      </c>
      <c r="JE30" s="49">
        <f>IF('Timeline'!JE$42=1,IF(ConActual360=1,ConRate*JE$25/360,ConRate/12),0)</f>
        <v/>
      </c>
      <c r="JF30" s="49">
        <f>IF('Timeline'!JF$42=1,IF(ConActual360=1,ConRate*JF$25/360,ConRate/12),0)</f>
        <v/>
      </c>
      <c r="JG30" s="49">
        <f>IF('Timeline'!JG$42=1,IF(ConActual360=1,ConRate*JG$25/360,ConRate/12),0)</f>
        <v/>
      </c>
      <c r="JH30" s="49">
        <f>IF('Timeline'!JH$42=1,IF(ConActual360=1,ConRate*JH$25/360,ConRate/12),0)</f>
        <v/>
      </c>
      <c r="JI30" s="49">
        <f>IF('Timeline'!JI$42=1,IF(ConActual360=1,ConRate*JI$25/360,ConRate/12),0)</f>
        <v/>
      </c>
      <c r="JJ30" s="49">
        <f>IF('Timeline'!JJ$42=1,IF(ConActual360=1,ConRate*JJ$25/360,ConRate/12),0)</f>
        <v/>
      </c>
      <c r="JK30" s="49">
        <f>IF('Timeline'!JK$42=1,IF(ConActual360=1,ConRate*JK$25/360,ConRate/12),0)</f>
        <v/>
      </c>
      <c r="JL30" s="49">
        <f>IF('Timeline'!JL$42=1,IF(ConActual360=1,ConRate*JL$25/360,ConRate/12),0)</f>
        <v/>
      </c>
      <c r="JM30" s="49">
        <f>IF('Timeline'!JM$42=1,IF(ConActual360=1,ConRate*JM$25/360,ConRate/12),0)</f>
        <v/>
      </c>
      <c r="JN30" s="49">
        <f>IF('Timeline'!JN$42=1,IF(ConActual360=1,ConRate*JN$25/360,ConRate/12),0)</f>
        <v/>
      </c>
      <c r="JO30" s="49">
        <f>IF('Timeline'!JO$42=1,IF(ConActual360=1,ConRate*JO$25/360,ConRate/12),0)</f>
        <v/>
      </c>
      <c r="JP30" s="49">
        <f>IF('Timeline'!JP$42=1,IF(ConActual360=1,ConRate*JP$25/360,ConRate/12),0)</f>
        <v/>
      </c>
      <c r="JQ30" s="49">
        <f>IF('Timeline'!JQ$42=1,IF(ConActual360=1,ConRate*JQ$25/360,ConRate/12),0)</f>
        <v/>
      </c>
      <c r="JR30" s="49">
        <f>IF('Timeline'!JR$42=1,IF(ConActual360=1,ConRate*JR$25/360,ConRate/12),0)</f>
        <v/>
      </c>
      <c r="JS30" s="49">
        <f>IF('Timeline'!JS$42=1,IF(ConActual360=1,ConRate*JS$25/360,ConRate/12),0)</f>
        <v/>
      </c>
      <c r="JT30" s="49">
        <f>IF('Timeline'!JT$42=1,IF(ConActual360=1,ConRate*JT$25/360,ConRate/12),0)</f>
        <v/>
      </c>
      <c r="JU30" s="49">
        <f>IF('Timeline'!JU$42=1,IF(ConActual360=1,ConRate*JU$25/360,ConRate/12),0)</f>
        <v/>
      </c>
      <c r="JV30" s="49">
        <f>IF('Timeline'!JV$42=1,IF(ConActual360=1,ConRate*JV$25/360,ConRate/12),0)</f>
        <v/>
      </c>
      <c r="JW30" s="49">
        <f>IF('Timeline'!JW$42=1,IF(ConActual360=1,ConRate*JW$25/360,ConRate/12),0)</f>
        <v/>
      </c>
      <c r="JX30" s="49">
        <f>IF('Timeline'!JX$42=1,IF(ConActual360=1,ConRate*JX$25/360,ConRate/12),0)</f>
        <v/>
      </c>
      <c r="JY30" s="49">
        <f>IF('Timeline'!JY$42=1,IF(ConActual360=1,ConRate*JY$25/360,ConRate/12),0)</f>
        <v/>
      </c>
      <c r="JZ30" s="49">
        <f>IF('Timeline'!JZ$42=1,IF(ConActual360=1,ConRate*JZ$25/360,ConRate/12),0)</f>
        <v/>
      </c>
      <c r="KA30" s="49">
        <f>IF('Timeline'!KA$42=1,IF(ConActual360=1,ConRate*KA$25/360,ConRate/12),0)</f>
        <v/>
      </c>
      <c r="KB30" s="49">
        <f>IF('Timeline'!KB$42=1,IF(ConActual360=1,ConRate*KB$25/360,ConRate/12),0)</f>
        <v/>
      </c>
      <c r="KC30" s="49">
        <f>IF('Timeline'!KC$42=1,IF(ConActual360=1,ConRate*KC$25/360,ConRate/12),0)</f>
        <v/>
      </c>
      <c r="KD30" s="49">
        <f>IF('Timeline'!KD$42=1,IF(ConActual360=1,ConRate*KD$25/360,ConRate/12),0)</f>
        <v/>
      </c>
      <c r="KE30" s="49">
        <f>IF('Timeline'!KE$42=1,IF(ConActual360=1,ConRate*KE$25/360,ConRate/12),0)</f>
        <v/>
      </c>
      <c r="KF30" s="49">
        <f>IF('Timeline'!KF$42=1,IF(ConActual360=1,ConRate*KF$25/360,ConRate/12),0)</f>
        <v/>
      </c>
      <c r="KG30" s="49">
        <f>IF('Timeline'!KG$42=1,IF(ConActual360=1,ConRate*KG$25/360,ConRate/12),0)</f>
        <v/>
      </c>
      <c r="KH30" s="49">
        <f>IF('Timeline'!KH$42=1,IF(ConActual360=1,ConRate*KH$25/360,ConRate/12),0)</f>
        <v/>
      </c>
      <c r="KI30" s="49">
        <f>IF('Timeline'!KI$42=1,IF(ConActual360=1,ConRate*KI$25/360,ConRate/12),0)</f>
        <v/>
      </c>
      <c r="KJ30" s="49">
        <f>IF('Timeline'!KJ$42=1,IF(ConActual360=1,ConRate*KJ$25/360,ConRate/12),0)</f>
        <v/>
      </c>
      <c r="KK30" s="49">
        <f>IF('Timeline'!KK$42=1,IF(ConActual360=1,ConRate*KK$25/360,ConRate/12),0)</f>
        <v/>
      </c>
      <c r="KL30" s="49">
        <f>IF('Timeline'!KL$42=1,IF(ConActual360=1,ConRate*KL$25/360,ConRate/12),0)</f>
        <v/>
      </c>
      <c r="KM30" s="49">
        <f>IF('Timeline'!KM$42=1,IF(ConActual360=1,ConRate*KM$25/360,ConRate/12),0)</f>
        <v/>
      </c>
      <c r="KN30" s="49">
        <f>IF('Timeline'!KN$42=1,IF(ConActual360=1,ConRate*KN$25/360,ConRate/12),0)</f>
        <v/>
      </c>
      <c r="KO30" s="49">
        <f>IF('Timeline'!KO$42=1,IF(ConActual360=1,ConRate*KO$25/360,ConRate/12),0)</f>
        <v/>
      </c>
      <c r="KP30" s="49">
        <f>IF('Timeline'!KP$42=1,IF(ConActual360=1,ConRate*KP$25/360,ConRate/12),0)</f>
        <v/>
      </c>
      <c r="KQ30" s="49">
        <f>IF('Timeline'!KQ$42=1,IF(ConActual360=1,ConRate*KQ$25/360,ConRate/12),0)</f>
        <v/>
      </c>
      <c r="KR30" s="49">
        <f>IF('Timeline'!KR$42=1,IF(ConActual360=1,ConRate*KR$25/360,ConRate/12),0)</f>
        <v/>
      </c>
      <c r="KS30" s="49">
        <f>IF('Timeline'!KS$42=1,IF(ConActual360=1,ConRate*KS$25/360,ConRate/12),0)</f>
        <v/>
      </c>
      <c r="KT30" s="49">
        <f>IF('Timeline'!KT$42=1,IF(ConActual360=1,ConRate*KT$25/360,ConRate/12),0)</f>
        <v/>
      </c>
      <c r="KU30" s="49">
        <f>IF('Timeline'!KU$42=1,IF(ConActual360=1,ConRate*KU$25/360,ConRate/12),0)</f>
        <v/>
      </c>
      <c r="KV30" s="49">
        <f>IF('Timeline'!KV$42=1,IF(ConActual360=1,ConRate*KV$25/360,ConRate/12),0)</f>
        <v/>
      </c>
      <c r="KW30" s="49">
        <f>IF('Timeline'!KW$42=1,IF(ConActual360=1,ConRate*KW$25/360,ConRate/12),0)</f>
        <v/>
      </c>
      <c r="KX30" s="49">
        <f>IF('Timeline'!KX$42=1,IF(ConActual360=1,ConRate*KX$25/360,ConRate/12),0)</f>
        <v/>
      </c>
      <c r="KY30" s="49">
        <f>IF('Timeline'!KY$42=1,IF(ConActual360=1,ConRate*KY$25/360,ConRate/12),0)</f>
        <v/>
      </c>
      <c r="KZ30" s="49">
        <f>IF('Timeline'!KZ$42=1,IF(ConActual360=1,ConRate*KZ$25/360,ConRate/12),0)</f>
        <v/>
      </c>
      <c r="LA30" s="49">
        <f>IF('Timeline'!LA$42=1,IF(ConActual360=1,ConRate*LA$25/360,ConRate/12),0)</f>
        <v/>
      </c>
      <c r="LB30" s="49">
        <f>IF('Timeline'!LB$42=1,IF(ConActual360=1,ConRate*LB$25/360,ConRate/12),0)</f>
        <v/>
      </c>
      <c r="LC30" s="49">
        <f>IF('Timeline'!LC$42=1,IF(ConActual360=1,ConRate*LC$25/360,ConRate/12),0)</f>
        <v/>
      </c>
      <c r="LD30" s="49">
        <f>IF('Timeline'!LD$42=1,IF(ConActual360=1,ConRate*LD$25/360,ConRate/12),0)</f>
        <v/>
      </c>
      <c r="LE30" s="49">
        <f>IF('Timeline'!LE$42=1,IF(ConActual360=1,ConRate*LE$25/360,ConRate/12),0)</f>
        <v/>
      </c>
      <c r="LF30" s="49">
        <f>IF('Timeline'!LF$42=1,IF(ConActual360=1,ConRate*LF$25/360,ConRate/12),0)</f>
        <v/>
      </c>
      <c r="LG30" s="49">
        <f>IF('Timeline'!LG$42=1,IF(ConActual360=1,ConRate*LG$25/360,ConRate/12),0)</f>
        <v/>
      </c>
      <c r="LH30" s="49">
        <f>IF('Timeline'!LH$42=1,IF(ConActual360=1,ConRate*LH$25/360,ConRate/12),0)</f>
        <v/>
      </c>
      <c r="LI30" s="49">
        <f>IF('Timeline'!LI$42=1,IF(ConActual360=1,ConRate*LI$25/360,ConRate/12),0)</f>
        <v/>
      </c>
      <c r="LJ30" s="49">
        <f>IF('Timeline'!LJ$42=1,IF(ConActual360=1,ConRate*LJ$25/360,ConRate/12),0)</f>
        <v/>
      </c>
      <c r="LK30" s="49">
        <f>IF('Timeline'!LK$42=1,IF(ConActual360=1,ConRate*LK$25/360,ConRate/12),0)</f>
        <v/>
      </c>
      <c r="LL30" s="49">
        <f>IF('Timeline'!LL$42=1,IF(ConActual360=1,ConRate*LL$25/360,ConRate/12),0)</f>
        <v/>
      </c>
      <c r="LM30" s="49">
        <f>IF('Timeline'!LM$42=1,IF(ConActual360=1,ConRate*LM$25/360,ConRate/12),0)</f>
        <v/>
      </c>
      <c r="LN30" s="49">
        <f>IF('Timeline'!LN$42=1,IF(ConActual360=1,ConRate*LN$25/360,ConRate/12),0)</f>
        <v/>
      </c>
      <c r="LO30" s="49">
        <f>IF('Timeline'!LO$42=1,IF(ConActual360=1,ConRate*LO$25/360,ConRate/12),0)</f>
        <v/>
      </c>
      <c r="LP30" s="49">
        <f>IF('Timeline'!LP$42=1,IF(ConActual360=1,ConRate*LP$25/360,ConRate/12),0)</f>
        <v/>
      </c>
      <c r="LQ30" s="49">
        <f>IF('Timeline'!LQ$42=1,IF(ConActual360=1,ConRate*LQ$25/360,ConRate/12),0)</f>
        <v/>
      </c>
      <c r="LR30" s="49">
        <f>IF('Timeline'!LR$42=1,IF(ConActual360=1,ConRate*LR$25/360,ConRate/12),0)</f>
        <v/>
      </c>
      <c r="LS30" s="49">
        <f>IF('Timeline'!LS$42=1,IF(ConActual360=1,ConRate*LS$25/360,ConRate/12),0)</f>
        <v/>
      </c>
      <c r="LT30" s="49">
        <f>IF('Timeline'!LT$42=1,IF(ConActual360=1,ConRate*LT$25/360,ConRate/12),0)</f>
        <v/>
      </c>
      <c r="LU30" s="49">
        <f>IF('Timeline'!LU$42=1,IF(ConActual360=1,ConRate*LU$25/360,ConRate/12),0)</f>
        <v/>
      </c>
      <c r="LV30" s="49">
        <f>IF('Timeline'!LV$42=1,IF(ConActual360=1,ConRate*LV$25/360,ConRate/12),0)</f>
        <v/>
      </c>
      <c r="LW30" s="49">
        <f>IF('Timeline'!LW$42=1,IF(ConActual360=1,ConRate*LW$25/360,ConRate/12),0)</f>
        <v/>
      </c>
      <c r="LX30" s="49">
        <f>IF('Timeline'!LX$42=1,IF(ConActual360=1,ConRate*LX$25/360,ConRate/12),0)</f>
        <v/>
      </c>
      <c r="LY30" s="49">
        <f>IF('Timeline'!LY$42=1,IF(ConActual360=1,ConRate*LY$25/360,ConRate/12),0)</f>
        <v/>
      </c>
      <c r="LZ30" s="49">
        <f>IF('Timeline'!LZ$42=1,IF(ConActual360=1,ConRate*LZ$25/360,ConRate/12),0)</f>
        <v/>
      </c>
      <c r="MA30" s="49">
        <f>IF('Timeline'!MA$42=1,IF(ConActual360=1,ConRate*MA$25/360,ConRate/12),0)</f>
        <v/>
      </c>
      <c r="MB30" s="49">
        <f>IF('Timeline'!MB$42=1,IF(ConActual360=1,ConRate*MB$25/360,ConRate/12),0)</f>
        <v/>
      </c>
      <c r="MC30" s="49">
        <f>IF('Timeline'!MC$42=1,IF(ConActual360=1,ConRate*MC$25/360,ConRate/12),0)</f>
        <v/>
      </c>
      <c r="MD30" s="49">
        <f>IF('Timeline'!MD$42=1,IF(ConActual360=1,ConRate*MD$25/360,ConRate/12),0)</f>
        <v/>
      </c>
      <c r="ME30" s="49">
        <f>IF('Timeline'!ME$42=1,IF(ConActual360=1,ConRate*ME$25/360,ConRate/12),0)</f>
        <v/>
      </c>
      <c r="MF30" s="49">
        <f>IF('Timeline'!MF$42=1,IF(ConActual360=1,ConRate*MF$25/360,ConRate/12),0)</f>
        <v/>
      </c>
      <c r="MG30" s="49">
        <f>IF('Timeline'!MG$42=1,IF(ConActual360=1,ConRate*MG$25/360,ConRate/12),0)</f>
        <v/>
      </c>
      <c r="MH30" s="49">
        <f>IF('Timeline'!MH$42=1,IF(ConActual360=1,ConRate*MH$25/360,ConRate/12),0)</f>
        <v/>
      </c>
      <c r="MI30" s="49">
        <f>IF('Timeline'!MI$42=1,IF(ConActual360=1,ConRate*MI$25/360,ConRate/12),0)</f>
        <v/>
      </c>
      <c r="MJ30" s="49">
        <f>IF('Timeline'!MJ$42=1,IF(ConActual360=1,ConRate*MJ$25/360,ConRate/12),0)</f>
        <v/>
      </c>
      <c r="MK30" s="49">
        <f>IF('Timeline'!MK$42=1,IF(ConActual360=1,ConRate*MK$25/360,ConRate/12),0)</f>
        <v/>
      </c>
      <c r="ML30" s="49">
        <f>IF('Timeline'!ML$42=1,IF(ConActual360=1,ConRate*ML$25/360,ConRate/12),0)</f>
        <v/>
      </c>
      <c r="MM30" s="49">
        <f>IF('Timeline'!MM$42=1,IF(ConActual360=1,ConRate*MM$25/360,ConRate/12),0)</f>
        <v/>
      </c>
      <c r="MN30" s="49">
        <f>IF('Timeline'!MN$42=1,IF(ConActual360=1,ConRate*MN$25/360,ConRate/12),0)</f>
        <v/>
      </c>
      <c r="MO30" s="49">
        <f>IF('Timeline'!MO$42=1,IF(ConActual360=1,ConRate*MO$25/360,ConRate/12),0)</f>
        <v/>
      </c>
      <c r="MP30" s="49">
        <f>IF('Timeline'!MP$42=1,IF(ConActual360=1,ConRate*MP$25/360,ConRate/12),0)</f>
        <v/>
      </c>
      <c r="MQ30" s="49">
        <f>IF('Timeline'!MQ$42=1,IF(ConActual360=1,ConRate*MQ$25/360,ConRate/12),0)</f>
        <v/>
      </c>
      <c r="MR30" s="49">
        <f>IF('Timeline'!MR$42=1,IF(ConActual360=1,ConRate*MR$25/360,ConRate/12),0)</f>
        <v/>
      </c>
      <c r="MS30" s="49">
        <f>IF('Timeline'!MS$42=1,IF(ConActual360=1,ConRate*MS$25/360,ConRate/12),0)</f>
        <v/>
      </c>
      <c r="MT30" s="49">
        <f>IF('Timeline'!MT$42=1,IF(ConActual360=1,ConRate*MT$25/360,ConRate/12),0)</f>
        <v/>
      </c>
      <c r="MU30" s="49">
        <f>IF('Timeline'!MU$42=1,IF(ConActual360=1,ConRate*MU$25/360,ConRate/12),0)</f>
        <v/>
      </c>
      <c r="MV30" s="49">
        <f>IF('Timeline'!MV$42=1,IF(ConActual360=1,ConRate*MV$25/360,ConRate/12),0)</f>
        <v/>
      </c>
      <c r="MW30" s="49">
        <f>IF('Timeline'!MW$42=1,IF(ConActual360=1,ConRate*MW$25/360,ConRate/12),0)</f>
        <v/>
      </c>
      <c r="MX30" s="49">
        <f>IF('Timeline'!MX$42=1,IF(ConActual360=1,ConRate*MX$25/360,ConRate/12),0)</f>
        <v/>
      </c>
      <c r="MY30" s="49">
        <f>IF('Timeline'!MY$42=1,IF(ConActual360=1,ConRate*MY$25/360,ConRate/12),0)</f>
        <v/>
      </c>
      <c r="MZ30" s="49">
        <f>IF('Timeline'!MZ$42=1,IF(ConActual360=1,ConRate*MZ$25/360,ConRate/12),0)</f>
        <v/>
      </c>
      <c r="NA30" s="49">
        <f>IF('Timeline'!NA$42=1,IF(ConActual360=1,ConRate*NA$25/360,ConRate/12),0)</f>
        <v/>
      </c>
      <c r="NB30" s="49">
        <f>IF('Timeline'!NB$42=1,IF(ConActual360=1,ConRate*NB$25/360,ConRate/12),0)</f>
        <v/>
      </c>
      <c r="NC30" s="49">
        <f>IF('Timeline'!NC$42=1,IF(ConActual360=1,ConRate*NC$25/360,ConRate/12),0)</f>
        <v/>
      </c>
      <c r="ND30" s="49">
        <f>IF('Timeline'!ND$42=1,IF(ConActual360=1,ConRate*ND$25/360,ConRate/12),0)</f>
        <v/>
      </c>
      <c r="NE30" s="49">
        <f>IF('Timeline'!NE$42=1,IF(ConActual360=1,ConRate*NE$25/360,ConRate/12),0)</f>
        <v/>
      </c>
      <c r="NF30" s="49">
        <f>IF('Timeline'!NF$42=1,IF(ConActual360=1,ConRate*NF$25/360,ConRate/12),0)</f>
        <v/>
      </c>
      <c r="NG30" s="49">
        <f>IF('Timeline'!NG$42=1,IF(ConActual360=1,ConRate*NG$25/360,ConRate/12),0)</f>
        <v/>
      </c>
      <c r="NH30" s="49">
        <f>IF('Timeline'!NH$42=1,IF(ConActual360=1,ConRate*NH$25/360,ConRate/12),0)</f>
        <v/>
      </c>
      <c r="NI30" s="49">
        <f>IF('Timeline'!NI$42=1,IF(ConActual360=1,ConRate*NI$25/360,ConRate/12),0)</f>
        <v/>
      </c>
      <c r="NJ30" s="49">
        <f>IF('Timeline'!NJ$42=1,IF(ConActual360=1,ConRate*NJ$25/360,ConRate/12),0)</f>
        <v/>
      </c>
      <c r="NK30" s="49">
        <f>IF('Timeline'!NK$42=1,IF(ConActual360=1,ConRate*NK$25/360,ConRate/12),0)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2026-07-02T18:20:05Z</dcterms:modified>
</cp:coreProperties>
</file>