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GrowthStartDate">'Inputs'!$B$28</definedName>
    <definedName name="LeaseUpIncomeOffset">'Inputs'!$B$31</definedName>
    <definedName name="UnitsDeliveredPerMo">'Inputs'!$B$32</definedName>
    <definedName name="UnitsLeasedPerMo">'Inputs'!$B$33</definedName>
    <definedName name="LeaseUpRampPct">'Inputs'!$B$34</definedName>
    <definedName name="LeaseUpElevationPct">'Inputs'!$B$35</definedName>
    <definedName name="StabilizedOccupancy">'Inputs'!$B$36</definedName>
    <definedName name="LandCost">'Inputs'!$B$39</definedName>
    <definedName name="GrossAcres">'Inputs'!$B$40</definedName>
    <definedName name="NetAcres">'Inputs'!$B$41</definedName>
    <definedName name="FARRatio">'Inputs'!$B$42</definedName>
    <definedName name="EfficiencyRatio">'Inputs'!$B$43</definedName>
    <definedName name="ExistingStructureCost">'Inputs'!$B$44</definedName>
    <definedName name="TaxLevyPct">'Inputs'!$B$47</definedName>
    <definedName name="TaxAssessmentPct">'Inputs'!$B$48</definedName>
    <definedName name="TaxValueAdjFactor">'Inputs'!$B$49</definedName>
    <definedName name="TaxMethodValue">'Inputs'!$B$50</definedName>
    <definedName name="TaxYear1Override">'Inputs'!$B$51</definedName>
    <definedName name="ReassessOnSale">'Inputs'!$B$52</definedName>
    <definedName name="DispoTaxRatePct">'Inputs'!$B$53</definedName>
    <definedName name="FundingOrderPari">'Inputs'!$B$56</definedName>
    <definedName name="TargetLTC">'Inputs'!$B$57</definedName>
    <definedName name="OpReserveCoverage">'Inputs'!$B$58</definedName>
    <definedName name="OpReserveMinMonths">'Inputs'!$B$59</definedName>
    <definedName name="ConLoanTermMonths">'Inputs'!$B$62</definedName>
    <definedName name="ConRate">'Inputs'!$B$63</definedName>
    <definedName name="ConActual360">'Inputs'!$B$64</definedName>
    <definedName name="ConPointsPct">'Inputs'!$B$65</definedName>
    <definedName name="ConOtherCosts">'Inputs'!$B$66</definedName>
    <definedName name="ConMinDebtYield">'Inputs'!$B$67</definedName>
    <definedName name="ConMinDSCR">'Inputs'!$B$68</definedName>
    <definedName name="LenderReqReserveOverride">'Inputs'!$B$69</definedName>
    <definedName name="PermMaxLTV">'Inputs'!$B$72</definedName>
    <definedName name="PermRate">'Inputs'!$B$73</definedName>
    <definedName name="PermTermMonths">'Inputs'!$B$74</definedName>
    <definedName name="PermIOMonths">'Inputs'!$B$75</definedName>
    <definedName name="PermAmortMonths">'Inputs'!$B$76</definedName>
    <definedName name="PermActual360">'Inputs'!$B$77</definedName>
    <definedName name="PermPointsPct">'Inputs'!$B$78</definedName>
    <definedName name="PermMinDebtYield">'Inputs'!$B$79</definedName>
    <definedName name="PermMinDSCR">'Inputs'!$B$80</definedName>
    <definedName name="NoCashOut">'Inputs'!$B$81</definedName>
    <definedName name="RefiMonthOverride">'Inputs'!$B$82</definedName>
    <definedName name="DevFeePctDirect">'Inputs'!$B$85</definedName>
    <definedName name="DevFeeThirdPartySplit">'Inputs'!$B$86</definedName>
    <definedName name="SponsorDispoFeePct">'Inputs'!$B$87</definedName>
    <definedName name="RecourseFeePct">'Inputs'!$B$88</definedName>
    <definedName name="BrokerCostPct">'Inputs'!$B$91</definedName>
    <definedName name="SalesTaxPct">'Inputs'!$B$92</definedName>
    <definedName name="TaxProrationMonths">'Inputs'!$B$93</definedName>
    <definedName name="BadDebtPct">'Inputs'!$B$96</definedName>
    <definedName name="ConcessionsPct">'Inputs'!$B$97</definedName>
    <definedName name="LossToLeasePct">'Inputs'!$B$98</definedName>
    <definedName name="ModelUnits">'Inputs'!$B$99</definedName>
    <definedName name="ParkingPerUnitMo">'Inputs'!$B$100</definedName>
    <definedName name="RetailIncomeMo">'Inputs'!$B$101</definedName>
    <definedName name="UtilReimbPerUnitMo">'Inputs'!$B$102</definedName>
    <definedName name="OtherIncPerUnitMo">'Inputs'!$B$103</definedName>
    <definedName name="ExpInsurancePerUnit">'Inputs'!$B$106</definedName>
    <definedName name="ExpUtilitiesPerUnit">'Inputs'!$B$107</definedName>
    <definedName name="ExpPayrollPerUnit">'Inputs'!$B$108</definedName>
    <definedName name="ExpRMPerUnit">'Inputs'!$B$109</definedName>
    <definedName name="ExpTurnoverPerUnit">'Inputs'!$B$110</definedName>
    <definedName name="ExpContractPerUnit">'Inputs'!$B$111</definedName>
    <definedName name="ExpAdminPerUnit">'Inputs'!$B$112</definedName>
    <definedName name="ExpAdvertisingPerUnit">'Inputs'!$B$113</definedName>
    <definedName name="MgmtFeePct">'Inputs'!$B$114</definedName>
    <definedName name="CapReservePerUnit">'Inputs'!$B$115</definedName>
    <definedName name="TaxPrepPerUnit">'Inputs'!$B$116</definedName>
    <definedName name="AssetMgmtFeePct">'Inputs'!$B$117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'Budget'!$I$34</definedName>
    <definedName name="BudgetSoft">'Budget'!$I$35</definedName>
    <definedName name="BudgetHard">'Budget'!$I$36</definedName>
    <definedName name="DirectCosts">'Budget'!$I$37</definedName>
    <definedName name="DevFee">'Budget'!$I$38</definedName>
    <definedName name="BudgetTDCref">'Budget'!$I$39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GrowthStartMonth">'Timeline'!$B$22</definedName>
    <definedName name="RefiFlag">'Timeline'!$B$23</definedName>
    <definedName name="RefiMonth">'Timeline'!$B$24</definedName>
    <definedName name="ConPayoffMonth">'Timeline'!$B$25</definedName>
    <definedName name="ConTaxTotal">'DevSpend'!$C$39</definedName>
    <definedName name="Chk_CostCurve">'DevSpend'!$C$42</definedName>
    <definedName name="Chk_DevFeeCurve">'DevSpend'!$C$43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mmm-yyyy"/>
    <numFmt numFmtId="166" formatCode="#,##0&quot; mo&quot;"/>
    <numFmt numFmtId="167" formatCode="0.0%"/>
    <numFmt numFmtId="168" formatCode="$#,##0;($#,##0)"/>
    <numFmt numFmtId="169" formatCode="0.00&quot;x&quot;"/>
    <numFmt numFmtId="170" formatCode="#,##0;(#,##0)"/>
    <numFmt numFmtId="171" formatCode="$#,##0.00;($#,##0.00)"/>
    <numFmt numFmtId="172" formatCode="0.0000%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1" fontId="5" fillId="3" borderId="1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70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70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2" fontId="7" fillId="0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n">
        <v>46023</v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8">
      <c r="A28" s="5" t="inlineStr">
        <is>
          <t>Growth Start Date</t>
        </is>
      </c>
      <c r="B28" s="7" t="n">
        <v>46054</v>
      </c>
      <c r="C28" s="2" t="inlineStr">
        <is>
          <t>Date all growth trending begins (override)</t>
        </is>
      </c>
    </row>
    <row r="30">
      <c r="A30" s="3" t="inlineStr">
        <is>
          <t>Unit Delivery &amp; Lease-Up</t>
        </is>
      </c>
      <c r="B30" s="4" t="n"/>
      <c r="C30" s="4" t="n"/>
    </row>
    <row r="31">
      <c r="A31" s="5" t="inlineStr">
        <is>
          <t>Lease Up Income Offset</t>
        </is>
      </c>
      <c r="B31" s="10" t="n">
        <v>1</v>
      </c>
      <c r="C31" s="2" t="inlineStr">
        <is>
          <t>1=offset lease-up income vs equity, 0=no</t>
        </is>
      </c>
    </row>
    <row r="32">
      <c r="A32" s="5" t="inlineStr">
        <is>
          <t>Units Delivered Per Mo</t>
        </is>
      </c>
      <c r="B32" s="10" t="n">
        <v>30</v>
      </c>
      <c r="C32" s="2" t="inlineStr">
        <is>
          <t>Units delivered per month</t>
        </is>
      </c>
    </row>
    <row r="33">
      <c r="A33" s="5" t="inlineStr">
        <is>
          <t>Units Leased Per Mo</t>
        </is>
      </c>
      <c r="B33" s="10" t="n">
        <v>18</v>
      </c>
      <c r="C33" s="2" t="inlineStr">
        <is>
          <t>Units absorbed (leased) per month</t>
        </is>
      </c>
    </row>
    <row r="34">
      <c r="A34" s="5" t="inlineStr">
        <is>
          <t>Lease Up Ramp Pct</t>
        </is>
      </c>
      <c r="B34" s="11" t="n">
        <v>0.6</v>
      </c>
      <c r="C34" s="2" t="inlineStr">
        <is>
          <t>Variable-opex ramp: % of stabilized during lease-up</t>
        </is>
      </c>
    </row>
    <row r="35">
      <c r="A35" s="5" t="inlineStr">
        <is>
          <t>Lease Up Elevation Pct</t>
        </is>
      </c>
      <c r="B35" s="11" t="n">
        <v>0.25</v>
      </c>
      <c r="C35" s="2" t="inlineStr">
        <is>
          <t>Elevated-opex uplift over stabilized during lease-up</t>
        </is>
      </c>
    </row>
    <row r="36">
      <c r="A36" s="5" t="inlineStr">
        <is>
          <t>Stabilized Occupancy</t>
        </is>
      </c>
      <c r="B36" s="11" t="n">
        <v>0.93</v>
      </c>
      <c r="C36" s="2" t="inlineStr">
        <is>
          <t>Physical occupancy at stabilization</t>
        </is>
      </c>
    </row>
    <row r="38">
      <c r="A38" s="3" t="inlineStr">
        <is>
          <t>Site Details</t>
        </is>
      </c>
      <c r="B38" s="4" t="n"/>
      <c r="C38" s="4" t="n"/>
    </row>
    <row r="39">
      <c r="A39" s="5" t="inlineStr">
        <is>
          <t>Land Cost</t>
        </is>
      </c>
      <c r="B39" s="12" t="n">
        <v>14000000</v>
      </c>
      <c r="C39" s="2" t="inlineStr">
        <is>
          <t>Total land cost</t>
        </is>
      </c>
    </row>
    <row r="40">
      <c r="A40" s="5" t="inlineStr">
        <is>
          <t>Gross Acres</t>
        </is>
      </c>
      <c r="B40" s="13" t="n">
        <v>9.5</v>
      </c>
      <c r="C40" s="2" t="inlineStr">
        <is>
          <t>Gross site acres</t>
        </is>
      </c>
    </row>
    <row r="41">
      <c r="A41" s="5" t="inlineStr">
        <is>
          <t>Net Acres</t>
        </is>
      </c>
      <c r="B41" s="13" t="n">
        <v>8</v>
      </c>
      <c r="C41" s="2" t="inlineStr">
        <is>
          <t>Net developable acres</t>
        </is>
      </c>
    </row>
    <row r="42">
      <c r="A42" s="5" t="inlineStr">
        <is>
          <t>FARRatio</t>
        </is>
      </c>
      <c r="B42" s="13" t="n">
        <v>1.75</v>
      </c>
      <c r="C42" s="2" t="inlineStr">
        <is>
          <t>Floor-area ratio</t>
        </is>
      </c>
    </row>
    <row r="43">
      <c r="A43" s="5" t="inlineStr">
        <is>
          <t>Efficiency Ratio</t>
        </is>
      </c>
      <c r="B43" s="11" t="n">
        <v>0.85</v>
      </c>
      <c r="C43" s="2" t="inlineStr">
        <is>
          <t>Net rentable / gross buildable</t>
        </is>
      </c>
    </row>
    <row r="44">
      <c r="A44" s="5" t="inlineStr">
        <is>
          <t>Existing Structure Cost</t>
        </is>
      </c>
      <c r="B44" s="12" t="n">
        <v>0</v>
      </c>
      <c r="C44" s="2" t="inlineStr">
        <is>
          <t>Demo / existing structure</t>
        </is>
      </c>
    </row>
    <row r="46">
      <c r="A46" s="3" t="inlineStr">
        <is>
          <t>Property Taxes</t>
        </is>
      </c>
      <c r="B46" s="4" t="n"/>
      <c r="C46" s="4" t="n"/>
    </row>
    <row r="47">
      <c r="A47" s="5" t="inlineStr">
        <is>
          <t>Tax Levy Pct</t>
        </is>
      </c>
      <c r="B47" s="9" t="n">
        <v>0.0185</v>
      </c>
      <c r="C47" s="2" t="inlineStr">
        <is>
          <t>Levy / mill rate (% of assessed)</t>
        </is>
      </c>
    </row>
    <row r="48">
      <c r="A48" s="5" t="inlineStr">
        <is>
          <t>Tax Assessment Pct</t>
        </is>
      </c>
      <c r="B48" s="11" t="n">
        <v>1</v>
      </c>
      <c r="C48" s="2" t="inlineStr">
        <is>
          <t>Assessment ratio (% of value)</t>
        </is>
      </c>
    </row>
    <row r="49">
      <c r="A49" s="5" t="inlineStr">
        <is>
          <t>Tax Value Adj Factor</t>
        </is>
      </c>
      <c r="B49" s="13" t="n">
        <v>0.5</v>
      </c>
      <c r="C49" s="2" t="inlineStr">
        <is>
          <t>Value-adjustment / abatement factor (1.0 = full unabated tax)</t>
        </is>
      </c>
    </row>
    <row r="50">
      <c r="A50" s="5" t="inlineStr">
        <is>
          <t>Tax Method Value</t>
        </is>
      </c>
      <c r="B50" s="10" t="n">
        <v>1</v>
      </c>
      <c r="C50" s="2" t="inlineStr">
        <is>
          <t>Post-stab method: 1=value approach, 0=income approach</t>
        </is>
      </c>
    </row>
    <row r="51">
      <c r="A51" s="5" t="inlineStr">
        <is>
          <t>Tax Year1 Override</t>
        </is>
      </c>
      <c r="B51" s="12" t="n">
        <v>0</v>
      </c>
      <c r="C51" s="2" t="inlineStr">
        <is>
          <t>Year-1 stabilized tax: 0=dynamic (stab value x rate), &gt;0=manual</t>
        </is>
      </c>
    </row>
    <row r="52">
      <c r="A52" s="5" t="inlineStr">
        <is>
          <t>Reassess On Sale</t>
        </is>
      </c>
      <c r="B52" s="10" t="n">
        <v>1</v>
      </c>
      <c r="C52" s="2" t="inlineStr">
        <is>
          <t>1=reassess buyer taxes on sale value, 0=in-place</t>
        </is>
      </c>
    </row>
    <row r="53">
      <c r="A53" s="5" t="inlineStr">
        <is>
          <t>Dispo Tax Rate Pct</t>
        </is>
      </c>
      <c r="B53" s="9" t="n">
        <v>0</v>
      </c>
      <c r="C53" s="2" t="inlineStr">
        <is>
          <t>Buyer tax rate at sale: 0=use operating effective rate (consistent)</t>
        </is>
      </c>
    </row>
    <row r="55">
      <c r="A55" s="3" t="inlineStr">
        <is>
          <t>Capitalization &amp; Funding</t>
        </is>
      </c>
      <c r="B55" s="4" t="n"/>
      <c r="C55" s="4" t="n"/>
    </row>
    <row r="56">
      <c r="A56" s="5" t="inlineStr">
        <is>
          <t>Funding Order Pari</t>
        </is>
      </c>
      <c r="B56" s="10" t="n">
        <v>0</v>
      </c>
      <c r="C56" s="2" t="inlineStr">
        <is>
          <t>1=pari-passu, 0=equity-first</t>
        </is>
      </c>
    </row>
    <row r="57">
      <c r="A57" s="5" t="inlineStr">
        <is>
          <t>Target LTC</t>
        </is>
      </c>
      <c r="B57" s="9" t="n">
        <v>0.65</v>
      </c>
      <c r="C57" s="2" t="inlineStr">
        <is>
          <t>Target construction loan-to-cost</t>
        </is>
      </c>
    </row>
    <row r="58">
      <c r="A58" s="5" t="inlineStr">
        <is>
          <t>Op Reserve Coverage</t>
        </is>
      </c>
      <c r="B58" s="14" t="n">
        <v>1.1</v>
      </c>
      <c r="C58" s="2" t="inlineStr">
        <is>
          <t>Operating reserve coverage multiple on peak shortfall</t>
        </is>
      </c>
    </row>
    <row r="59">
      <c r="A59" s="5" t="inlineStr">
        <is>
          <t>Op Reserve Min Months</t>
        </is>
      </c>
      <c r="B59" s="10" t="n">
        <v>3</v>
      </c>
      <c r="C59" s="2" t="inlineStr">
        <is>
          <t>Minimum months of stabilized opex floor for reserve</t>
        </is>
      </c>
    </row>
    <row r="61">
      <c r="A61" s="3" t="inlineStr">
        <is>
          <t>Construction Loan</t>
        </is>
      </c>
      <c r="B61" s="4" t="n"/>
      <c r="C61" s="4" t="n"/>
    </row>
    <row r="62">
      <c r="A62" s="5" t="inlineStr">
        <is>
          <t>Con Loan Term Months</t>
        </is>
      </c>
      <c r="B62" s="8" t="n">
        <v>36</v>
      </c>
      <c r="C62" s="2" t="inlineStr">
        <is>
          <t>Construction loan term</t>
        </is>
      </c>
    </row>
    <row r="63">
      <c r="A63" s="5" t="inlineStr">
        <is>
          <t>Con Rate</t>
        </is>
      </c>
      <c r="B63" s="9" t="n">
        <v>0.08500000000000001</v>
      </c>
      <c r="C63" s="2" t="inlineStr">
        <is>
          <t>Construction interest rate (annual)</t>
        </is>
      </c>
    </row>
    <row r="64">
      <c r="A64" s="5" t="inlineStr">
        <is>
          <t>Con Actual360</t>
        </is>
      </c>
      <c r="B64" s="10" t="n">
        <v>1</v>
      </c>
      <c r="C64" s="2" t="inlineStr">
        <is>
          <t>1=Actual/360, 0=30/360</t>
        </is>
      </c>
    </row>
    <row r="65">
      <c r="A65" s="5" t="inlineStr">
        <is>
          <t>Con Points Pct</t>
        </is>
      </c>
      <c r="B65" s="9" t="n">
        <v>0.01</v>
      </c>
      <c r="C65" s="2" t="inlineStr">
        <is>
          <t>Origination points</t>
        </is>
      </c>
    </row>
    <row r="66">
      <c r="A66" s="5" t="inlineStr">
        <is>
          <t>Con Other Costs</t>
        </is>
      </c>
      <c r="B66" s="12" t="n">
        <v>250000</v>
      </c>
      <c r="C66" s="2" t="inlineStr">
        <is>
          <t>Other construction loan costs</t>
        </is>
      </c>
    </row>
    <row r="67">
      <c r="A67" s="5" t="inlineStr">
        <is>
          <t>Con Min Debt Yield</t>
        </is>
      </c>
      <c r="B67" s="9" t="n">
        <v>0.07000000000000001</v>
      </c>
      <c r="C67" s="2" t="inlineStr">
        <is>
          <t>Min stabilized debt yield (sizing)</t>
        </is>
      </c>
    </row>
    <row r="68">
      <c r="A68" s="5" t="inlineStr">
        <is>
          <t>Con Min DSCR</t>
        </is>
      </c>
      <c r="B68" s="14" t="n">
        <v>1.2</v>
      </c>
      <c r="C68" s="2" t="inlineStr">
        <is>
          <t>Min DSCR at target (sizing)</t>
        </is>
      </c>
    </row>
    <row r="69">
      <c r="A69" s="5" t="inlineStr">
        <is>
          <t>Lender Req Reserve Override</t>
        </is>
      </c>
      <c r="B69" s="12" t="n">
        <v>0</v>
      </c>
      <c r="C69" s="2" t="inlineStr">
        <is>
          <t>If &gt;0, overrides computed interest reserve</t>
        </is>
      </c>
    </row>
    <row r="71">
      <c r="A71" s="3" t="inlineStr">
        <is>
          <t>Permanent Loan (Refinance)</t>
        </is>
      </c>
      <c r="B71" s="4" t="n"/>
      <c r="C71" s="4" t="n"/>
    </row>
    <row r="72">
      <c r="A72" s="5" t="inlineStr">
        <is>
          <t>Perm Max LTV</t>
        </is>
      </c>
      <c r="B72" s="9" t="n">
        <v>0.65</v>
      </c>
      <c r="C72" s="2" t="inlineStr">
        <is>
          <t>Max permanent loan-to-value</t>
        </is>
      </c>
    </row>
    <row r="73">
      <c r="A73" s="5" t="inlineStr">
        <is>
          <t>Perm Rate</t>
        </is>
      </c>
      <c r="B73" s="9" t="n">
        <v>0.0625</v>
      </c>
      <c r="C73" s="2" t="inlineStr">
        <is>
          <t>Permanent interest rate (annual)</t>
        </is>
      </c>
    </row>
    <row r="74">
      <c r="A74" s="5" t="inlineStr">
        <is>
          <t>Perm Term Months</t>
        </is>
      </c>
      <c r="B74" s="8" t="n">
        <v>360</v>
      </c>
      <c r="C74" s="2" t="inlineStr">
        <is>
          <t>Permanent loan term</t>
        </is>
      </c>
    </row>
    <row r="75">
      <c r="A75" s="5" t="inlineStr">
        <is>
          <t>Perm IOMonths</t>
        </is>
      </c>
      <c r="B75" s="8" t="n">
        <v>24</v>
      </c>
      <c r="C75" s="2" t="inlineStr">
        <is>
          <t>Permanent interest-only period</t>
        </is>
      </c>
    </row>
    <row r="76">
      <c r="A76" s="5" t="inlineStr">
        <is>
          <t>Perm Amort Months</t>
        </is>
      </c>
      <c r="B76" s="8" t="n">
        <v>360</v>
      </c>
      <c r="C76" s="2" t="inlineStr">
        <is>
          <t>Permanent amortization period</t>
        </is>
      </c>
    </row>
    <row r="77">
      <c r="A77" s="5" t="inlineStr">
        <is>
          <t>Perm Actual360</t>
        </is>
      </c>
      <c r="B77" s="10" t="n">
        <v>0</v>
      </c>
      <c r="C77" s="2" t="inlineStr">
        <is>
          <t>1=Actual/360, 0=30/360</t>
        </is>
      </c>
    </row>
    <row r="78">
      <c r="A78" s="5" t="inlineStr">
        <is>
          <t>Perm Points Pct</t>
        </is>
      </c>
      <c r="B78" s="9" t="n">
        <v>0.0075</v>
      </c>
      <c r="C78" s="2" t="inlineStr">
        <is>
          <t>Permanent loan points</t>
        </is>
      </c>
    </row>
    <row r="79">
      <c r="A79" s="5" t="inlineStr">
        <is>
          <t>Perm Min Debt Yield</t>
        </is>
      </c>
      <c r="B79" s="9" t="n">
        <v>0.08</v>
      </c>
      <c r="C79" s="2" t="inlineStr">
        <is>
          <t>Min debt yield at refi (sizing)</t>
        </is>
      </c>
    </row>
    <row r="80">
      <c r="A80" s="5" t="inlineStr">
        <is>
          <t>Perm Min DSCR</t>
        </is>
      </c>
      <c r="B80" s="14" t="n">
        <v>1.15</v>
      </c>
      <c r="C80" s="2" t="inlineStr">
        <is>
          <t>Min DSCR at refi (sizing)</t>
        </is>
      </c>
    </row>
    <row r="81">
      <c r="A81" s="5" t="inlineStr">
        <is>
          <t>No Cash Out</t>
        </is>
      </c>
      <c r="B81" s="10" t="n">
        <v>0</v>
      </c>
      <c r="C81" s="2" t="inlineStr">
        <is>
          <t>1=size perm so net cash at refi = 0</t>
        </is>
      </c>
    </row>
    <row r="82">
      <c r="A82" s="5" t="inlineStr">
        <is>
          <t>Refi Month Override</t>
        </is>
      </c>
      <c r="B82" s="10" t="n">
        <v>0</v>
      </c>
      <c r="C82" s="2" t="inlineStr">
        <is>
          <t>If &gt;0, override refi month (else = con maturity)</t>
        </is>
      </c>
    </row>
    <row r="84">
      <c r="A84" s="3" t="inlineStr">
        <is>
          <t>Sponsor Fees</t>
        </is>
      </c>
      <c r="B84" s="4" t="n"/>
      <c r="C84" s="4" t="n"/>
    </row>
    <row r="85">
      <c r="A85" s="5" t="inlineStr">
        <is>
          <t>Dev Fee Pct Direct</t>
        </is>
      </c>
      <c r="B85" s="9" t="n">
        <v>0.04</v>
      </c>
      <c r="C85" s="2" t="inlineStr">
        <is>
          <t>Development fee % of direct costs</t>
        </is>
      </c>
    </row>
    <row r="86">
      <c r="A86" s="5" t="inlineStr">
        <is>
          <t>Dev Fee Third Party Split</t>
        </is>
      </c>
      <c r="B86" s="9" t="n">
        <v>0</v>
      </c>
      <c r="C86" s="2" t="inlineStr">
        <is>
          <t>Portion of dev fee paid to 3rd party</t>
        </is>
      </c>
    </row>
    <row r="87">
      <c r="A87" s="5" t="inlineStr">
        <is>
          <t>Sponsor Dispo Fee Pct</t>
        </is>
      </c>
      <c r="B87" s="9" t="n">
        <v>0.01</v>
      </c>
      <c r="C87" s="2" t="inlineStr">
        <is>
          <t>Sponsor disposition fee % of sale</t>
        </is>
      </c>
    </row>
    <row r="88">
      <c r="A88" s="5" t="inlineStr">
        <is>
          <t>Recourse Fee Pct</t>
        </is>
      </c>
      <c r="B88" s="9" t="n">
        <v>0.0025</v>
      </c>
      <c r="C88" s="2" t="inlineStr">
        <is>
          <t>Loan recourse / indemnity fee % of loan</t>
        </is>
      </c>
    </row>
    <row r="90">
      <c r="A90" s="3" t="inlineStr">
        <is>
          <t>Disposition &amp; Sale</t>
        </is>
      </c>
      <c r="B90" s="4" t="n"/>
      <c r="C90" s="4" t="n"/>
    </row>
    <row r="91">
      <c r="A91" s="5" t="inlineStr">
        <is>
          <t>Broker Cost Pct</t>
        </is>
      </c>
      <c r="B91" s="9" t="n">
        <v>0.015</v>
      </c>
      <c r="C91" s="2" t="inlineStr">
        <is>
          <t>Broker / sale cost % of gross sale</t>
        </is>
      </c>
    </row>
    <row r="92">
      <c r="A92" s="5" t="inlineStr">
        <is>
          <t>Sales Tax Pct</t>
        </is>
      </c>
      <c r="B92" s="9" t="n">
        <v>0</v>
      </c>
      <c r="C92" s="2" t="inlineStr">
        <is>
          <t>Transfer / sales tax % of gross sale</t>
        </is>
      </c>
    </row>
    <row r="93">
      <c r="A93" s="5" t="inlineStr">
        <is>
          <t>Tax Proration Months</t>
        </is>
      </c>
      <c r="B93" s="8" t="n">
        <v>2</v>
      </c>
      <c r="C93" s="2" t="inlineStr">
        <is>
          <t>Property-tax proration at sale (months)</t>
        </is>
      </c>
    </row>
    <row r="95">
      <c r="A95" s="3" t="inlineStr">
        <is>
          <t>Stabilized Revenue (other income)</t>
        </is>
      </c>
      <c r="B95" s="4" t="n"/>
      <c r="C95" s="4" t="n"/>
    </row>
    <row r="96">
      <c r="A96" s="5" t="inlineStr">
        <is>
          <t>Bad Debt Pct</t>
        </is>
      </c>
      <c r="B96" s="9" t="n">
        <v>0.005</v>
      </c>
      <c r="C96" s="2" t="inlineStr">
        <is>
          <t>Bad debt % of GPR</t>
        </is>
      </c>
    </row>
    <row r="97">
      <c r="A97" s="5" t="inlineStr">
        <is>
          <t>Concessions Pct</t>
        </is>
      </c>
      <c r="B97" s="9" t="n">
        <v>0.01</v>
      </c>
      <c r="C97" s="2" t="inlineStr">
        <is>
          <t>Concessions % of GPR</t>
        </is>
      </c>
    </row>
    <row r="98">
      <c r="A98" s="5" t="inlineStr">
        <is>
          <t>Loss To Lease Pct</t>
        </is>
      </c>
      <c r="B98" s="9" t="n">
        <v>0.01</v>
      </c>
      <c r="C98" s="2" t="inlineStr">
        <is>
          <t>Gain/loss-to-lease % of GPR</t>
        </is>
      </c>
    </row>
    <row r="99">
      <c r="A99" s="5" t="inlineStr">
        <is>
          <t>Model Units</t>
        </is>
      </c>
      <c r="B99" s="10" t="n">
        <v>1</v>
      </c>
      <c r="C99" s="2" t="inlineStr">
        <is>
          <t>Down / model units (non-revenue)</t>
        </is>
      </c>
    </row>
    <row r="100">
      <c r="A100" s="5" t="inlineStr">
        <is>
          <t>Parking Per Unit Mo</t>
        </is>
      </c>
      <c r="B100" s="12" t="n">
        <v>35</v>
      </c>
      <c r="C100" s="2" t="inlineStr">
        <is>
          <t>Parking &amp; storage income $/unit/mo</t>
        </is>
      </c>
    </row>
    <row r="101">
      <c r="A101" s="5" t="inlineStr">
        <is>
          <t>Retail Income Mo</t>
        </is>
      </c>
      <c r="B101" s="12" t="n">
        <v>18000</v>
      </c>
      <c r="C101" s="2" t="inlineStr">
        <is>
          <t>Retail income $/mo (stabilized)</t>
        </is>
      </c>
    </row>
    <row r="102">
      <c r="A102" s="5" t="inlineStr">
        <is>
          <t>Util Reimb Per Unit Mo</t>
        </is>
      </c>
      <c r="B102" s="12" t="n">
        <v>45</v>
      </c>
      <c r="C102" s="2" t="inlineStr">
        <is>
          <t>Utility reimbursement $/unit/mo</t>
        </is>
      </c>
    </row>
    <row r="103">
      <c r="A103" s="5" t="inlineStr">
        <is>
          <t>Other Inc Per Unit Mo</t>
        </is>
      </c>
      <c r="B103" s="12" t="n">
        <v>25</v>
      </c>
      <c r="C103" s="2" t="inlineStr">
        <is>
          <t>Other income $/unit/mo</t>
        </is>
      </c>
    </row>
    <row r="105">
      <c r="A105" s="3" t="inlineStr">
        <is>
          <t>Stabilized Operating Expenses (annual)</t>
        </is>
      </c>
      <c r="B105" s="4" t="n"/>
      <c r="C105" s="4" t="n"/>
    </row>
    <row r="106">
      <c r="A106" s="5" t="inlineStr">
        <is>
          <t>Exp Insurance Per Unit</t>
        </is>
      </c>
      <c r="B106" s="12" t="n">
        <v>425</v>
      </c>
      <c r="C106" s="2" t="inlineStr">
        <is>
          <t>Insurance $/unit/yr</t>
        </is>
      </c>
    </row>
    <row r="107">
      <c r="A107" s="5" t="inlineStr">
        <is>
          <t>Exp Utilities Per Unit</t>
        </is>
      </c>
      <c r="B107" s="12" t="n">
        <v>900</v>
      </c>
      <c r="C107" s="2" t="inlineStr">
        <is>
          <t>Utilities $/unit/yr (variable)</t>
        </is>
      </c>
    </row>
    <row r="108">
      <c r="A108" s="5" t="inlineStr">
        <is>
          <t>Exp Payroll Per Unit</t>
        </is>
      </c>
      <c r="B108" s="12" t="n">
        <v>1300</v>
      </c>
      <c r="C108" s="2" t="inlineStr">
        <is>
          <t>Payroll $/unit/yr (elevated in lease-up)</t>
        </is>
      </c>
    </row>
    <row r="109">
      <c r="A109" s="5" t="inlineStr">
        <is>
          <t>Exp RMPer Unit</t>
        </is>
      </c>
      <c r="B109" s="12" t="n">
        <v>650</v>
      </c>
      <c r="C109" s="2" t="inlineStr">
        <is>
          <t>Repairs &amp; maintenance $/unit/yr (variable)</t>
        </is>
      </c>
    </row>
    <row r="110">
      <c r="A110" s="5" t="inlineStr">
        <is>
          <t>Exp Turnover Per Unit</t>
        </is>
      </c>
      <c r="B110" s="12" t="n">
        <v>250</v>
      </c>
      <c r="C110" s="2" t="inlineStr">
        <is>
          <t>Turnover $/unit/yr (variable)</t>
        </is>
      </c>
    </row>
    <row r="111">
      <c r="A111" s="5" t="inlineStr">
        <is>
          <t>Exp Contract Per Unit</t>
        </is>
      </c>
      <c r="B111" s="12" t="n">
        <v>500</v>
      </c>
      <c r="C111" s="2" t="inlineStr">
        <is>
          <t>Contract services $/unit/yr (variable)</t>
        </is>
      </c>
    </row>
    <row r="112">
      <c r="A112" s="5" t="inlineStr">
        <is>
          <t>Exp Admin Per Unit</t>
        </is>
      </c>
      <c r="B112" s="12" t="n">
        <v>300</v>
      </c>
      <c r="C112" s="2" t="inlineStr">
        <is>
          <t>Admin &amp; legal $/unit/yr</t>
        </is>
      </c>
    </row>
    <row r="113">
      <c r="A113" s="5" t="inlineStr">
        <is>
          <t>Exp Advertising Per Unit</t>
        </is>
      </c>
      <c r="B113" s="12" t="n">
        <v>200</v>
      </c>
      <c r="C113" s="2" t="inlineStr">
        <is>
          <t>Advertising $/unit/yr (elevated in lease-up)</t>
        </is>
      </c>
    </row>
    <row r="114">
      <c r="A114" s="5" t="inlineStr">
        <is>
          <t>Mgmt Fee Pct</t>
        </is>
      </c>
      <c r="B114" s="9" t="n">
        <v>0.03</v>
      </c>
      <c r="C114" s="2" t="inlineStr">
        <is>
          <t>Management fee % of EGI</t>
        </is>
      </c>
    </row>
    <row r="115">
      <c r="A115" s="5" t="inlineStr">
        <is>
          <t>Cap Reserve Per Unit</t>
        </is>
      </c>
      <c r="B115" s="12" t="n">
        <v>250</v>
      </c>
      <c r="C115" s="2" t="inlineStr">
        <is>
          <t>Capital reserves $/unit/yr (below NOI)</t>
        </is>
      </c>
    </row>
    <row r="116">
      <c r="A116" s="5" t="inlineStr">
        <is>
          <t>Tax Prep Per Unit</t>
        </is>
      </c>
      <c r="B116" s="12" t="n">
        <v>15</v>
      </c>
      <c r="C116" s="2" t="inlineStr">
        <is>
          <t>Tax prep $/unit/yr (below NOI)</t>
        </is>
      </c>
    </row>
    <row r="117">
      <c r="A117" s="5" t="inlineStr">
        <is>
          <t>Asset Mgmt Fee Pct</t>
        </is>
      </c>
      <c r="B117" s="9" t="n">
        <v>0.01</v>
      </c>
      <c r="C117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Insurance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500000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GC Contract (Hard)</t>
        </is>
      </c>
      <c r="B14" s="5" t="inlineStr">
        <is>
          <t>Hard</t>
        </is>
      </c>
      <c r="C14" s="5" t="inlineStr">
        <is>
          <t>Hard</t>
        </is>
      </c>
      <c r="D14" s="6" t="inlineStr">
        <is>
          <t>sf</t>
        </is>
      </c>
      <c r="E14" s="13" t="n">
        <v>200</v>
      </c>
      <c r="F14" s="6" t="inlineStr">
        <is>
          <t>Construction</t>
        </is>
      </c>
      <c r="G14" s="6" t="inlineStr">
        <is>
          <t>Bell_Curve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Off-Site Improvements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abs</t>
        </is>
      </c>
      <c r="E15" s="29" t="n">
        <v>1200000</v>
      </c>
      <c r="F15" s="6" t="inlineStr">
        <is>
          <t>Construction</t>
        </is>
      </c>
      <c r="G15" s="6" t="inlineStr">
        <is>
          <t>Straight_Line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Utilities &amp; Hookups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900000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Builder's Risk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350000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Hard Cost Contingency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sf</t>
        </is>
      </c>
      <c r="E18" s="13" t="n">
        <v>10</v>
      </c>
      <c r="F18" s="6" t="inlineStr">
        <is>
          <t>Construction</t>
        </is>
      </c>
      <c r="G18" s="6" t="inlineStr">
        <is>
          <t>Bell_Curve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GC Fee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12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Other Soft Cost 1 - FF&amp;E</t>
        </is>
      </c>
      <c r="B20" s="5" t="inlineStr">
        <is>
          <t>Soft</t>
        </is>
      </c>
      <c r="C20" s="5" t="inlineStr">
        <is>
          <t>Soft</t>
        </is>
      </c>
      <c r="D20" s="6" t="inlineStr">
        <is>
          <t>unit</t>
        </is>
      </c>
      <c r="E20" s="13" t="n">
        <v>800</v>
      </c>
      <c r="F20" s="6" t="inlineStr">
        <is>
          <t>Pre-Construction</t>
        </is>
      </c>
      <c r="G20" s="6" t="inlineStr">
        <is>
          <t>Straight_Line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2 - Permits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abs</t>
        </is>
      </c>
      <c r="E21" s="29" t="n">
        <v>250000</v>
      </c>
      <c r="F21" s="6" t="inlineStr">
        <is>
          <t>Entitlement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3 - Testing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120000</v>
      </c>
      <c r="F22" s="6" t="inlineStr">
        <is>
          <t>Construction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4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5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6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Hard Cost 1 - Landscape</t>
        </is>
      </c>
      <c r="B26" s="5" t="inlineStr">
        <is>
          <t>Hard</t>
        </is>
      </c>
      <c r="C26" s="5" t="inlineStr">
        <is>
          <t>Hard</t>
        </is>
      </c>
      <c r="D26" s="6" t="inlineStr">
        <is>
          <t>abs</t>
        </is>
      </c>
      <c r="E26" s="29" t="n">
        <v>650000</v>
      </c>
      <c r="F26" s="6" t="inlineStr">
        <is>
          <t>Construction</t>
        </is>
      </c>
      <c r="G26" s="6" t="inlineStr">
        <is>
          <t>Bell_Curve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2 - Amenity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900000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3 - Signage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150000</v>
      </c>
      <c r="F28" s="6" t="inlineStr">
        <is>
          <t>Construction</t>
        </is>
      </c>
      <c r="G28" s="6" t="inlineStr">
        <is>
          <t>Straight_Line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4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0</v>
      </c>
      <c r="F29" s="6" t="inlineStr">
        <is>
          <t>Construction</t>
        </is>
      </c>
      <c r="G29" s="6" t="inlineStr">
        <is>
          <t>Bell_Curve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5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6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3">
      <c r="A33" s="15" t="inlineStr">
        <is>
          <t>Budget Summary</t>
        </is>
      </c>
      <c r="B33" s="23" t="n"/>
      <c r="C33" s="23" t="n"/>
      <c r="D33" s="23" t="n"/>
    </row>
    <row r="34">
      <c r="A34" s="21" t="inlineStr">
        <is>
          <t>Land</t>
        </is>
      </c>
      <c r="I34" s="30">
        <f>SUMIF(B5:B31,"Land",I5:I31)</f>
        <v/>
      </c>
    </row>
    <row r="35">
      <c r="A35" s="21" t="inlineStr">
        <is>
          <t>Soft Costs</t>
        </is>
      </c>
      <c r="I35" s="30">
        <f>SUMIF(B5:B31,"Soft",I5:I31)</f>
        <v/>
      </c>
    </row>
    <row r="36">
      <c r="A36" s="21" t="inlineStr">
        <is>
          <t>Hard Costs</t>
        </is>
      </c>
      <c r="I36" s="30">
        <f>SUMIF(B5:B31,"Hard",I5:I31)</f>
        <v/>
      </c>
    </row>
    <row r="37">
      <c r="A37" s="21" t="inlineStr">
        <is>
          <t>Direct Costs (subtotal)</t>
        </is>
      </c>
      <c r="I37" s="30">
        <f>SUM(I5:I31)</f>
        <v/>
      </c>
    </row>
    <row r="38">
      <c r="A38" s="21" t="inlineStr">
        <is>
          <t>Sponsor Development Fee</t>
        </is>
      </c>
      <c r="I38" s="30">
        <f>DevFeePctDirect*DirectCosts</f>
        <v/>
      </c>
    </row>
    <row r="39">
      <c r="A39" s="21" t="inlineStr">
        <is>
          <t>Total Development Cost (per Diagnostics)</t>
        </is>
      </c>
      <c r="I39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Growth Start Month</t>
        </is>
      </c>
      <c r="B22" s="34">
        <f>(YEAR(GrowthStartDate)-YEAR(InceptionDate))*12+MONTH(GrowthStartDate)-MONTH(InceptionDate)+1</f>
        <v/>
      </c>
    </row>
    <row r="23">
      <c r="A23" s="5" t="inlineStr">
        <is>
          <t>Refi Flag (1=refi,0=sell)</t>
        </is>
      </c>
      <c r="B23" s="35">
        <f>IF(DispoMonth&gt;ConMaturity,1,0)</f>
        <v/>
      </c>
    </row>
    <row r="24">
      <c r="A24" s="5" t="inlineStr">
        <is>
          <t>Refi Month</t>
        </is>
      </c>
      <c r="B24" s="34">
        <f>IF(RefiFlag=1,MIN(ConMaturity,IF(RefiMonthOverride&gt;0,RefiMonthOverride,ConMaturity)),0)</f>
        <v/>
      </c>
    </row>
    <row r="25">
      <c r="A25" s="5" t="inlineStr">
        <is>
          <t>Con Payoff Month</t>
        </is>
      </c>
      <c r="B25" s="34">
        <f>IF(RefiFlag=1,RefiMonth,DispoMonth)</f>
        <v/>
      </c>
    </row>
    <row r="27">
      <c r="A27" s="3" t="inlineStr">
        <is>
          <t>Monthly Period Grid</t>
        </is>
      </c>
      <c r="B27" s="4" t="n"/>
      <c r="C27" s="4" t="n"/>
    </row>
    <row r="28">
      <c r="A28" s="36" t="inlineStr">
        <is>
          <t>Period →</t>
        </is>
      </c>
      <c r="C28" s="27" t="inlineStr">
        <is>
          <t>Total</t>
        </is>
      </c>
      <c r="D28" s="37" t="n">
        <v>1</v>
      </c>
      <c r="E28" s="37" t="n">
        <v>2</v>
      </c>
      <c r="F28" s="37" t="n">
        <v>3</v>
      </c>
      <c r="G28" s="37" t="n">
        <v>4</v>
      </c>
      <c r="H28" s="37" t="n">
        <v>5</v>
      </c>
      <c r="I28" s="37" t="n">
        <v>6</v>
      </c>
      <c r="J28" s="37" t="n">
        <v>7</v>
      </c>
      <c r="K28" s="37" t="n">
        <v>8</v>
      </c>
      <c r="L28" s="37" t="n">
        <v>9</v>
      </c>
      <c r="M28" s="37" t="n">
        <v>10</v>
      </c>
      <c r="N28" s="37" t="n">
        <v>11</v>
      </c>
      <c r="O28" s="37" t="n">
        <v>12</v>
      </c>
      <c r="P28" s="37" t="n">
        <v>13</v>
      </c>
      <c r="Q28" s="37" t="n">
        <v>14</v>
      </c>
      <c r="R28" s="37" t="n">
        <v>15</v>
      </c>
      <c r="S28" s="37" t="n">
        <v>16</v>
      </c>
      <c r="T28" s="37" t="n">
        <v>17</v>
      </c>
      <c r="U28" s="37" t="n">
        <v>18</v>
      </c>
      <c r="V28" s="37" t="n">
        <v>19</v>
      </c>
      <c r="W28" s="37" t="n">
        <v>20</v>
      </c>
      <c r="X28" s="37" t="n">
        <v>21</v>
      </c>
      <c r="Y28" s="37" t="n">
        <v>22</v>
      </c>
      <c r="Z28" s="37" t="n">
        <v>23</v>
      </c>
      <c r="AA28" s="37" t="n">
        <v>24</v>
      </c>
      <c r="AB28" s="37" t="n">
        <v>25</v>
      </c>
      <c r="AC28" s="37" t="n">
        <v>26</v>
      </c>
      <c r="AD28" s="37" t="n">
        <v>27</v>
      </c>
      <c r="AE28" s="37" t="n">
        <v>28</v>
      </c>
      <c r="AF28" s="37" t="n">
        <v>29</v>
      </c>
      <c r="AG28" s="37" t="n">
        <v>30</v>
      </c>
      <c r="AH28" s="37" t="n">
        <v>31</v>
      </c>
      <c r="AI28" s="37" t="n">
        <v>32</v>
      </c>
      <c r="AJ28" s="37" t="n">
        <v>33</v>
      </c>
      <c r="AK28" s="37" t="n">
        <v>34</v>
      </c>
      <c r="AL28" s="37" t="n">
        <v>35</v>
      </c>
      <c r="AM28" s="37" t="n">
        <v>36</v>
      </c>
      <c r="AN28" s="37" t="n">
        <v>37</v>
      </c>
      <c r="AO28" s="37" t="n">
        <v>38</v>
      </c>
      <c r="AP28" s="37" t="n">
        <v>39</v>
      </c>
      <c r="AQ28" s="37" t="n">
        <v>40</v>
      </c>
      <c r="AR28" s="37" t="n">
        <v>41</v>
      </c>
      <c r="AS28" s="37" t="n">
        <v>42</v>
      </c>
      <c r="AT28" s="37" t="n">
        <v>43</v>
      </c>
      <c r="AU28" s="37" t="n">
        <v>44</v>
      </c>
      <c r="AV28" s="37" t="n">
        <v>45</v>
      </c>
      <c r="AW28" s="37" t="n">
        <v>46</v>
      </c>
      <c r="AX28" s="37" t="n">
        <v>47</v>
      </c>
      <c r="AY28" s="37" t="n">
        <v>48</v>
      </c>
      <c r="AZ28" s="37" t="n">
        <v>49</v>
      </c>
      <c r="BA28" s="37" t="n">
        <v>50</v>
      </c>
      <c r="BB28" s="37" t="n">
        <v>51</v>
      </c>
      <c r="BC28" s="37" t="n">
        <v>52</v>
      </c>
      <c r="BD28" s="37" t="n">
        <v>53</v>
      </c>
      <c r="BE28" s="37" t="n">
        <v>54</v>
      </c>
      <c r="BF28" s="37" t="n">
        <v>55</v>
      </c>
      <c r="BG28" s="37" t="n">
        <v>56</v>
      </c>
      <c r="BH28" s="37" t="n">
        <v>57</v>
      </c>
      <c r="BI28" s="37" t="n">
        <v>58</v>
      </c>
      <c r="BJ28" s="37" t="n">
        <v>59</v>
      </c>
      <c r="BK28" s="37" t="n">
        <v>60</v>
      </c>
      <c r="BL28" s="37" t="n">
        <v>61</v>
      </c>
      <c r="BM28" s="37" t="n">
        <v>62</v>
      </c>
      <c r="BN28" s="37" t="n">
        <v>63</v>
      </c>
      <c r="BO28" s="37" t="n">
        <v>64</v>
      </c>
      <c r="BP28" s="37" t="n">
        <v>65</v>
      </c>
      <c r="BQ28" s="37" t="n">
        <v>66</v>
      </c>
      <c r="BR28" s="37" t="n">
        <v>67</v>
      </c>
      <c r="BS28" s="37" t="n">
        <v>68</v>
      </c>
      <c r="BT28" s="37" t="n">
        <v>69</v>
      </c>
      <c r="BU28" s="37" t="n">
        <v>70</v>
      </c>
      <c r="BV28" s="37" t="n">
        <v>71</v>
      </c>
      <c r="BW28" s="37" t="n">
        <v>72</v>
      </c>
      <c r="BX28" s="37" t="n">
        <v>73</v>
      </c>
      <c r="BY28" s="37" t="n">
        <v>74</v>
      </c>
      <c r="BZ28" s="37" t="n">
        <v>75</v>
      </c>
      <c r="CA28" s="37" t="n">
        <v>76</v>
      </c>
      <c r="CB28" s="37" t="n">
        <v>77</v>
      </c>
      <c r="CC28" s="37" t="n">
        <v>78</v>
      </c>
      <c r="CD28" s="37" t="n">
        <v>79</v>
      </c>
      <c r="CE28" s="37" t="n">
        <v>80</v>
      </c>
      <c r="CF28" s="37" t="n">
        <v>81</v>
      </c>
      <c r="CG28" s="37" t="n">
        <v>82</v>
      </c>
      <c r="CH28" s="37" t="n">
        <v>83</v>
      </c>
      <c r="CI28" s="37" t="n">
        <v>84</v>
      </c>
      <c r="CJ28" s="37" t="n">
        <v>85</v>
      </c>
      <c r="CK28" s="37" t="n">
        <v>86</v>
      </c>
      <c r="CL28" s="37" t="n">
        <v>87</v>
      </c>
      <c r="CM28" s="37" t="n">
        <v>88</v>
      </c>
      <c r="CN28" s="37" t="n">
        <v>89</v>
      </c>
      <c r="CO28" s="37" t="n">
        <v>90</v>
      </c>
      <c r="CP28" s="37" t="n">
        <v>91</v>
      </c>
      <c r="CQ28" s="37" t="n">
        <v>92</v>
      </c>
      <c r="CR28" s="37" t="n">
        <v>93</v>
      </c>
      <c r="CS28" s="37" t="n">
        <v>94</v>
      </c>
      <c r="CT28" s="37" t="n">
        <v>95</v>
      </c>
      <c r="CU28" s="37" t="n">
        <v>96</v>
      </c>
      <c r="CV28" s="37" t="n">
        <v>97</v>
      </c>
      <c r="CW28" s="37" t="n">
        <v>98</v>
      </c>
      <c r="CX28" s="37" t="n">
        <v>99</v>
      </c>
      <c r="CY28" s="37" t="n">
        <v>100</v>
      </c>
      <c r="CZ28" s="37" t="n">
        <v>101</v>
      </c>
      <c r="DA28" s="37" t="n">
        <v>102</v>
      </c>
      <c r="DB28" s="37" t="n">
        <v>103</v>
      </c>
      <c r="DC28" s="37" t="n">
        <v>104</v>
      </c>
      <c r="DD28" s="37" t="n">
        <v>105</v>
      </c>
      <c r="DE28" s="37" t="n">
        <v>106</v>
      </c>
      <c r="DF28" s="37" t="n">
        <v>107</v>
      </c>
      <c r="DG28" s="37" t="n">
        <v>108</v>
      </c>
      <c r="DH28" s="37" t="n">
        <v>109</v>
      </c>
      <c r="DI28" s="37" t="n">
        <v>110</v>
      </c>
      <c r="DJ28" s="37" t="n">
        <v>111</v>
      </c>
      <c r="DK28" s="37" t="n">
        <v>112</v>
      </c>
      <c r="DL28" s="37" t="n">
        <v>113</v>
      </c>
      <c r="DM28" s="37" t="n">
        <v>114</v>
      </c>
      <c r="DN28" s="37" t="n">
        <v>115</v>
      </c>
      <c r="DO28" s="37" t="n">
        <v>116</v>
      </c>
      <c r="DP28" s="37" t="n">
        <v>117</v>
      </c>
      <c r="DQ28" s="37" t="n">
        <v>118</v>
      </c>
      <c r="DR28" s="37" t="n">
        <v>119</v>
      </c>
      <c r="DS28" s="37" t="n">
        <v>120</v>
      </c>
      <c r="DT28" s="37" t="n">
        <v>121</v>
      </c>
      <c r="DU28" s="37" t="n">
        <v>122</v>
      </c>
      <c r="DV28" s="37" t="n">
        <v>123</v>
      </c>
      <c r="DW28" s="37" t="n">
        <v>124</v>
      </c>
      <c r="DX28" s="37" t="n">
        <v>125</v>
      </c>
      <c r="DY28" s="37" t="n">
        <v>126</v>
      </c>
      <c r="DZ28" s="37" t="n">
        <v>127</v>
      </c>
      <c r="EA28" s="37" t="n">
        <v>128</v>
      </c>
      <c r="EB28" s="37" t="n">
        <v>129</v>
      </c>
      <c r="EC28" s="37" t="n">
        <v>130</v>
      </c>
      <c r="ED28" s="37" t="n">
        <v>131</v>
      </c>
      <c r="EE28" s="37" t="n">
        <v>132</v>
      </c>
      <c r="EF28" s="37" t="n">
        <v>133</v>
      </c>
      <c r="EG28" s="37" t="n">
        <v>134</v>
      </c>
      <c r="EH28" s="37" t="n">
        <v>135</v>
      </c>
      <c r="EI28" s="37" t="n">
        <v>136</v>
      </c>
      <c r="EJ28" s="37" t="n">
        <v>137</v>
      </c>
      <c r="EK28" s="37" t="n">
        <v>138</v>
      </c>
      <c r="EL28" s="37" t="n">
        <v>139</v>
      </c>
      <c r="EM28" s="37" t="n">
        <v>140</v>
      </c>
      <c r="EN28" s="37" t="n">
        <v>141</v>
      </c>
      <c r="EO28" s="37" t="n">
        <v>142</v>
      </c>
      <c r="EP28" s="37" t="n">
        <v>143</v>
      </c>
      <c r="EQ28" s="37" t="n">
        <v>144</v>
      </c>
      <c r="ER28" s="37" t="n">
        <v>145</v>
      </c>
      <c r="ES28" s="37" t="n">
        <v>146</v>
      </c>
      <c r="ET28" s="37" t="n">
        <v>147</v>
      </c>
      <c r="EU28" s="37" t="n">
        <v>148</v>
      </c>
      <c r="EV28" s="37" t="n">
        <v>149</v>
      </c>
      <c r="EW28" s="37" t="n">
        <v>150</v>
      </c>
      <c r="EX28" s="37" t="n">
        <v>151</v>
      </c>
      <c r="EY28" s="37" t="n">
        <v>152</v>
      </c>
      <c r="EZ28" s="37" t="n">
        <v>153</v>
      </c>
      <c r="FA28" s="37" t="n">
        <v>154</v>
      </c>
      <c r="FB28" s="37" t="n">
        <v>155</v>
      </c>
      <c r="FC28" s="37" t="n">
        <v>156</v>
      </c>
      <c r="FD28" s="37" t="n">
        <v>157</v>
      </c>
      <c r="FE28" s="37" t="n">
        <v>158</v>
      </c>
      <c r="FF28" s="37" t="n">
        <v>159</v>
      </c>
      <c r="FG28" s="37" t="n">
        <v>160</v>
      </c>
      <c r="FH28" s="37" t="n">
        <v>161</v>
      </c>
      <c r="FI28" s="37" t="n">
        <v>162</v>
      </c>
      <c r="FJ28" s="37" t="n">
        <v>163</v>
      </c>
      <c r="FK28" s="37" t="n">
        <v>164</v>
      </c>
      <c r="FL28" s="37" t="n">
        <v>165</v>
      </c>
      <c r="FM28" s="37" t="n">
        <v>166</v>
      </c>
      <c r="FN28" s="37" t="n">
        <v>167</v>
      </c>
      <c r="FO28" s="37" t="n">
        <v>168</v>
      </c>
      <c r="FP28" s="37" t="n">
        <v>169</v>
      </c>
      <c r="FQ28" s="37" t="n">
        <v>170</v>
      </c>
      <c r="FR28" s="37" t="n">
        <v>171</v>
      </c>
      <c r="FS28" s="37" t="n">
        <v>172</v>
      </c>
      <c r="FT28" s="37" t="n">
        <v>173</v>
      </c>
      <c r="FU28" s="37" t="n">
        <v>174</v>
      </c>
      <c r="FV28" s="37" t="n">
        <v>175</v>
      </c>
      <c r="FW28" s="37" t="n">
        <v>176</v>
      </c>
      <c r="FX28" s="37" t="n">
        <v>177</v>
      </c>
      <c r="FY28" s="37" t="n">
        <v>178</v>
      </c>
      <c r="FZ28" s="37" t="n">
        <v>179</v>
      </c>
      <c r="GA28" s="37" t="n">
        <v>180</v>
      </c>
      <c r="GB28" s="37" t="n">
        <v>181</v>
      </c>
      <c r="GC28" s="37" t="n">
        <v>182</v>
      </c>
      <c r="GD28" s="37" t="n">
        <v>183</v>
      </c>
      <c r="GE28" s="37" t="n">
        <v>184</v>
      </c>
      <c r="GF28" s="37" t="n">
        <v>185</v>
      </c>
      <c r="GG28" s="37" t="n">
        <v>186</v>
      </c>
      <c r="GH28" s="37" t="n">
        <v>187</v>
      </c>
      <c r="GI28" s="37" t="n">
        <v>188</v>
      </c>
      <c r="GJ28" s="37" t="n">
        <v>189</v>
      </c>
      <c r="GK28" s="37" t="n">
        <v>190</v>
      </c>
      <c r="GL28" s="37" t="n">
        <v>191</v>
      </c>
      <c r="GM28" s="37" t="n">
        <v>192</v>
      </c>
      <c r="GN28" s="37" t="n">
        <v>193</v>
      </c>
      <c r="GO28" s="37" t="n">
        <v>194</v>
      </c>
      <c r="GP28" s="37" t="n">
        <v>195</v>
      </c>
      <c r="GQ28" s="37" t="n">
        <v>196</v>
      </c>
      <c r="GR28" s="37" t="n">
        <v>197</v>
      </c>
      <c r="GS28" s="37" t="n">
        <v>198</v>
      </c>
      <c r="GT28" s="37" t="n">
        <v>199</v>
      </c>
      <c r="GU28" s="37" t="n">
        <v>200</v>
      </c>
      <c r="GV28" s="37" t="n">
        <v>201</v>
      </c>
      <c r="GW28" s="37" t="n">
        <v>202</v>
      </c>
      <c r="GX28" s="37" t="n">
        <v>203</v>
      </c>
      <c r="GY28" s="37" t="n">
        <v>204</v>
      </c>
      <c r="GZ28" s="37" t="n">
        <v>205</v>
      </c>
      <c r="HA28" s="37" t="n">
        <v>206</v>
      </c>
      <c r="HB28" s="37" t="n">
        <v>207</v>
      </c>
      <c r="HC28" s="37" t="n">
        <v>208</v>
      </c>
      <c r="HD28" s="37" t="n">
        <v>209</v>
      </c>
      <c r="HE28" s="37" t="n">
        <v>210</v>
      </c>
      <c r="HF28" s="37" t="n">
        <v>211</v>
      </c>
      <c r="HG28" s="37" t="n">
        <v>212</v>
      </c>
      <c r="HH28" s="37" t="n">
        <v>213</v>
      </c>
      <c r="HI28" s="37" t="n">
        <v>214</v>
      </c>
      <c r="HJ28" s="37" t="n">
        <v>215</v>
      </c>
      <c r="HK28" s="37" t="n">
        <v>216</v>
      </c>
      <c r="HL28" s="37" t="n">
        <v>217</v>
      </c>
      <c r="HM28" s="37" t="n">
        <v>218</v>
      </c>
      <c r="HN28" s="37" t="n">
        <v>219</v>
      </c>
      <c r="HO28" s="37" t="n">
        <v>220</v>
      </c>
      <c r="HP28" s="37" t="n">
        <v>221</v>
      </c>
      <c r="HQ28" s="37" t="n">
        <v>222</v>
      </c>
      <c r="HR28" s="37" t="n">
        <v>223</v>
      </c>
      <c r="HS28" s="37" t="n">
        <v>224</v>
      </c>
      <c r="HT28" s="37" t="n">
        <v>225</v>
      </c>
      <c r="HU28" s="37" t="n">
        <v>226</v>
      </c>
      <c r="HV28" s="37" t="n">
        <v>227</v>
      </c>
      <c r="HW28" s="37" t="n">
        <v>228</v>
      </c>
      <c r="HX28" s="37" t="n">
        <v>229</v>
      </c>
      <c r="HY28" s="37" t="n">
        <v>230</v>
      </c>
      <c r="HZ28" s="37" t="n">
        <v>231</v>
      </c>
      <c r="IA28" s="37" t="n">
        <v>232</v>
      </c>
      <c r="IB28" s="37" t="n">
        <v>233</v>
      </c>
      <c r="IC28" s="37" t="n">
        <v>234</v>
      </c>
      <c r="ID28" s="37" t="n">
        <v>235</v>
      </c>
      <c r="IE28" s="37" t="n">
        <v>236</v>
      </c>
      <c r="IF28" s="37" t="n">
        <v>237</v>
      </c>
      <c r="IG28" s="37" t="n">
        <v>238</v>
      </c>
      <c r="IH28" s="37" t="n">
        <v>239</v>
      </c>
      <c r="II28" s="37" t="n">
        <v>240</v>
      </c>
      <c r="IJ28" s="37" t="n">
        <v>241</v>
      </c>
      <c r="IK28" s="37" t="n">
        <v>242</v>
      </c>
      <c r="IL28" s="37" t="n">
        <v>243</v>
      </c>
      <c r="IM28" s="37" t="n">
        <v>244</v>
      </c>
      <c r="IN28" s="37" t="n">
        <v>245</v>
      </c>
      <c r="IO28" s="37" t="n">
        <v>246</v>
      </c>
      <c r="IP28" s="37" t="n">
        <v>247</v>
      </c>
      <c r="IQ28" s="37" t="n">
        <v>248</v>
      </c>
      <c r="IR28" s="37" t="n">
        <v>249</v>
      </c>
      <c r="IS28" s="37" t="n">
        <v>250</v>
      </c>
      <c r="IT28" s="37" t="n">
        <v>251</v>
      </c>
      <c r="IU28" s="37" t="n">
        <v>252</v>
      </c>
      <c r="IV28" s="37" t="n">
        <v>253</v>
      </c>
      <c r="IW28" s="37" t="n">
        <v>254</v>
      </c>
      <c r="IX28" s="37" t="n">
        <v>255</v>
      </c>
      <c r="IY28" s="37" t="n">
        <v>256</v>
      </c>
      <c r="IZ28" s="37" t="n">
        <v>257</v>
      </c>
      <c r="JA28" s="37" t="n">
        <v>258</v>
      </c>
      <c r="JB28" s="37" t="n">
        <v>259</v>
      </c>
      <c r="JC28" s="37" t="n">
        <v>260</v>
      </c>
      <c r="JD28" s="37" t="n">
        <v>261</v>
      </c>
      <c r="JE28" s="37" t="n">
        <v>262</v>
      </c>
      <c r="JF28" s="37" t="n">
        <v>263</v>
      </c>
      <c r="JG28" s="37" t="n">
        <v>264</v>
      </c>
      <c r="JH28" s="37" t="n">
        <v>265</v>
      </c>
      <c r="JI28" s="37" t="n">
        <v>266</v>
      </c>
      <c r="JJ28" s="37" t="n">
        <v>267</v>
      </c>
      <c r="JK28" s="37" t="n">
        <v>268</v>
      </c>
      <c r="JL28" s="37" t="n">
        <v>269</v>
      </c>
      <c r="JM28" s="37" t="n">
        <v>270</v>
      </c>
      <c r="JN28" s="37" t="n">
        <v>271</v>
      </c>
      <c r="JO28" s="37" t="n">
        <v>272</v>
      </c>
      <c r="JP28" s="37" t="n">
        <v>273</v>
      </c>
      <c r="JQ28" s="37" t="n">
        <v>274</v>
      </c>
      <c r="JR28" s="37" t="n">
        <v>275</v>
      </c>
      <c r="JS28" s="37" t="n">
        <v>276</v>
      </c>
      <c r="JT28" s="37" t="n">
        <v>277</v>
      </c>
      <c r="JU28" s="37" t="n">
        <v>278</v>
      </c>
      <c r="JV28" s="37" t="n">
        <v>279</v>
      </c>
      <c r="JW28" s="37" t="n">
        <v>280</v>
      </c>
      <c r="JX28" s="37" t="n">
        <v>281</v>
      </c>
      <c r="JY28" s="37" t="n">
        <v>282</v>
      </c>
      <c r="JZ28" s="37" t="n">
        <v>283</v>
      </c>
      <c r="KA28" s="37" t="n">
        <v>284</v>
      </c>
      <c r="KB28" s="37" t="n">
        <v>285</v>
      </c>
      <c r="KC28" s="37" t="n">
        <v>286</v>
      </c>
      <c r="KD28" s="37" t="n">
        <v>287</v>
      </c>
      <c r="KE28" s="37" t="n">
        <v>288</v>
      </c>
      <c r="KF28" s="37" t="n">
        <v>289</v>
      </c>
      <c r="KG28" s="37" t="n">
        <v>290</v>
      </c>
      <c r="KH28" s="37" t="n">
        <v>291</v>
      </c>
      <c r="KI28" s="37" t="n">
        <v>292</v>
      </c>
      <c r="KJ28" s="37" t="n">
        <v>293</v>
      </c>
      <c r="KK28" s="37" t="n">
        <v>294</v>
      </c>
      <c r="KL28" s="37" t="n">
        <v>295</v>
      </c>
      <c r="KM28" s="37" t="n">
        <v>296</v>
      </c>
      <c r="KN28" s="37" t="n">
        <v>297</v>
      </c>
      <c r="KO28" s="37" t="n">
        <v>298</v>
      </c>
      <c r="KP28" s="37" t="n">
        <v>299</v>
      </c>
      <c r="KQ28" s="37" t="n">
        <v>300</v>
      </c>
      <c r="KR28" s="37" t="n">
        <v>301</v>
      </c>
      <c r="KS28" s="37" t="n">
        <v>302</v>
      </c>
      <c r="KT28" s="37" t="n">
        <v>303</v>
      </c>
      <c r="KU28" s="37" t="n">
        <v>304</v>
      </c>
      <c r="KV28" s="37" t="n">
        <v>305</v>
      </c>
      <c r="KW28" s="37" t="n">
        <v>306</v>
      </c>
      <c r="KX28" s="37" t="n">
        <v>307</v>
      </c>
      <c r="KY28" s="37" t="n">
        <v>308</v>
      </c>
      <c r="KZ28" s="37" t="n">
        <v>309</v>
      </c>
      <c r="LA28" s="37" t="n">
        <v>310</v>
      </c>
      <c r="LB28" s="37" t="n">
        <v>311</v>
      </c>
      <c r="LC28" s="37" t="n">
        <v>312</v>
      </c>
      <c r="LD28" s="37" t="n">
        <v>313</v>
      </c>
      <c r="LE28" s="37" t="n">
        <v>314</v>
      </c>
      <c r="LF28" s="37" t="n">
        <v>315</v>
      </c>
      <c r="LG28" s="37" t="n">
        <v>316</v>
      </c>
      <c r="LH28" s="37" t="n">
        <v>317</v>
      </c>
      <c r="LI28" s="37" t="n">
        <v>318</v>
      </c>
      <c r="LJ28" s="37" t="n">
        <v>319</v>
      </c>
      <c r="LK28" s="37" t="n">
        <v>320</v>
      </c>
      <c r="LL28" s="37" t="n">
        <v>321</v>
      </c>
      <c r="LM28" s="37" t="n">
        <v>322</v>
      </c>
      <c r="LN28" s="37" t="n">
        <v>323</v>
      </c>
      <c r="LO28" s="37" t="n">
        <v>324</v>
      </c>
      <c r="LP28" s="37" t="n">
        <v>325</v>
      </c>
      <c r="LQ28" s="37" t="n">
        <v>326</v>
      </c>
      <c r="LR28" s="37" t="n">
        <v>327</v>
      </c>
      <c r="LS28" s="37" t="n">
        <v>328</v>
      </c>
      <c r="LT28" s="37" t="n">
        <v>329</v>
      </c>
      <c r="LU28" s="37" t="n">
        <v>330</v>
      </c>
      <c r="LV28" s="37" t="n">
        <v>331</v>
      </c>
      <c r="LW28" s="37" t="n">
        <v>332</v>
      </c>
      <c r="LX28" s="37" t="n">
        <v>333</v>
      </c>
      <c r="LY28" s="37" t="n">
        <v>334</v>
      </c>
      <c r="LZ28" s="37" t="n">
        <v>335</v>
      </c>
      <c r="MA28" s="37" t="n">
        <v>336</v>
      </c>
      <c r="MB28" s="37" t="n">
        <v>337</v>
      </c>
      <c r="MC28" s="37" t="n">
        <v>338</v>
      </c>
      <c r="MD28" s="37" t="n">
        <v>339</v>
      </c>
      <c r="ME28" s="37" t="n">
        <v>340</v>
      </c>
      <c r="MF28" s="37" t="n">
        <v>341</v>
      </c>
      <c r="MG28" s="37" t="n">
        <v>342</v>
      </c>
      <c r="MH28" s="37" t="n">
        <v>343</v>
      </c>
      <c r="MI28" s="37" t="n">
        <v>344</v>
      </c>
      <c r="MJ28" s="37" t="n">
        <v>345</v>
      </c>
      <c r="MK28" s="37" t="n">
        <v>346</v>
      </c>
      <c r="ML28" s="37" t="n">
        <v>347</v>
      </c>
      <c r="MM28" s="37" t="n">
        <v>348</v>
      </c>
      <c r="MN28" s="37" t="n">
        <v>349</v>
      </c>
      <c r="MO28" s="37" t="n">
        <v>350</v>
      </c>
      <c r="MP28" s="37" t="n">
        <v>351</v>
      </c>
      <c r="MQ28" s="37" t="n">
        <v>352</v>
      </c>
      <c r="MR28" s="37" t="n">
        <v>353</v>
      </c>
      <c r="MS28" s="37" t="n">
        <v>354</v>
      </c>
      <c r="MT28" s="37" t="n">
        <v>355</v>
      </c>
      <c r="MU28" s="37" t="n">
        <v>356</v>
      </c>
      <c r="MV28" s="37" t="n">
        <v>357</v>
      </c>
      <c r="MW28" s="37" t="n">
        <v>358</v>
      </c>
      <c r="MX28" s="37" t="n">
        <v>359</v>
      </c>
      <c r="MY28" s="37" t="n">
        <v>360</v>
      </c>
      <c r="MZ28" s="37" t="n">
        <v>361</v>
      </c>
      <c r="NA28" s="37" t="n">
        <v>362</v>
      </c>
      <c r="NB28" s="37" t="n">
        <v>363</v>
      </c>
      <c r="NC28" s="37" t="n">
        <v>364</v>
      </c>
      <c r="ND28" s="37" t="n">
        <v>365</v>
      </c>
      <c r="NE28" s="37" t="n">
        <v>366</v>
      </c>
      <c r="NF28" s="37" t="n">
        <v>367</v>
      </c>
      <c r="NG28" s="37" t="n">
        <v>368</v>
      </c>
      <c r="NH28" s="37" t="n">
        <v>369</v>
      </c>
      <c r="NI28" s="37" t="n">
        <v>370</v>
      </c>
      <c r="NJ28" s="37" t="n">
        <v>371</v>
      </c>
      <c r="NK28" s="37" t="n">
        <v>372</v>
      </c>
    </row>
    <row r="29">
      <c r="A29" s="38" t="inlineStr">
        <is>
          <t>Month Start</t>
        </is>
      </c>
      <c r="D29" s="39">
        <f>EDATE(InceptionDate,0)</f>
        <v/>
      </c>
      <c r="E29" s="39">
        <f>EDATE(InceptionDate,1)</f>
        <v/>
      </c>
      <c r="F29" s="39">
        <f>EDATE(InceptionDate,2)</f>
        <v/>
      </c>
      <c r="G29" s="39">
        <f>EDATE(InceptionDate,3)</f>
        <v/>
      </c>
      <c r="H29" s="39">
        <f>EDATE(InceptionDate,4)</f>
        <v/>
      </c>
      <c r="I29" s="39">
        <f>EDATE(InceptionDate,5)</f>
        <v/>
      </c>
      <c r="J29" s="39">
        <f>EDATE(InceptionDate,6)</f>
        <v/>
      </c>
      <c r="K29" s="39">
        <f>EDATE(InceptionDate,7)</f>
        <v/>
      </c>
      <c r="L29" s="39">
        <f>EDATE(InceptionDate,8)</f>
        <v/>
      </c>
      <c r="M29" s="39">
        <f>EDATE(InceptionDate,9)</f>
        <v/>
      </c>
      <c r="N29" s="39">
        <f>EDATE(InceptionDate,10)</f>
        <v/>
      </c>
      <c r="O29" s="39">
        <f>EDATE(InceptionDate,11)</f>
        <v/>
      </c>
      <c r="P29" s="39">
        <f>EDATE(InceptionDate,12)</f>
        <v/>
      </c>
      <c r="Q29" s="39">
        <f>EDATE(InceptionDate,13)</f>
        <v/>
      </c>
      <c r="R29" s="39">
        <f>EDATE(InceptionDate,14)</f>
        <v/>
      </c>
      <c r="S29" s="39">
        <f>EDATE(InceptionDate,15)</f>
        <v/>
      </c>
      <c r="T29" s="39">
        <f>EDATE(InceptionDate,16)</f>
        <v/>
      </c>
      <c r="U29" s="39">
        <f>EDATE(InceptionDate,17)</f>
        <v/>
      </c>
      <c r="V29" s="39">
        <f>EDATE(InceptionDate,18)</f>
        <v/>
      </c>
      <c r="W29" s="39">
        <f>EDATE(InceptionDate,19)</f>
        <v/>
      </c>
      <c r="X29" s="39">
        <f>EDATE(InceptionDate,20)</f>
        <v/>
      </c>
      <c r="Y29" s="39">
        <f>EDATE(InceptionDate,21)</f>
        <v/>
      </c>
      <c r="Z29" s="39">
        <f>EDATE(InceptionDate,22)</f>
        <v/>
      </c>
      <c r="AA29" s="39">
        <f>EDATE(InceptionDate,23)</f>
        <v/>
      </c>
      <c r="AB29" s="39">
        <f>EDATE(InceptionDate,24)</f>
        <v/>
      </c>
      <c r="AC29" s="39">
        <f>EDATE(InceptionDate,25)</f>
        <v/>
      </c>
      <c r="AD29" s="39">
        <f>EDATE(InceptionDate,26)</f>
        <v/>
      </c>
      <c r="AE29" s="39">
        <f>EDATE(InceptionDate,27)</f>
        <v/>
      </c>
      <c r="AF29" s="39">
        <f>EDATE(InceptionDate,28)</f>
        <v/>
      </c>
      <c r="AG29" s="39">
        <f>EDATE(InceptionDate,29)</f>
        <v/>
      </c>
      <c r="AH29" s="39">
        <f>EDATE(InceptionDate,30)</f>
        <v/>
      </c>
      <c r="AI29" s="39">
        <f>EDATE(InceptionDate,31)</f>
        <v/>
      </c>
      <c r="AJ29" s="39">
        <f>EDATE(InceptionDate,32)</f>
        <v/>
      </c>
      <c r="AK29" s="39">
        <f>EDATE(InceptionDate,33)</f>
        <v/>
      </c>
      <c r="AL29" s="39">
        <f>EDATE(InceptionDate,34)</f>
        <v/>
      </c>
      <c r="AM29" s="39">
        <f>EDATE(InceptionDate,35)</f>
        <v/>
      </c>
      <c r="AN29" s="39">
        <f>EDATE(InceptionDate,36)</f>
        <v/>
      </c>
      <c r="AO29" s="39">
        <f>EDATE(InceptionDate,37)</f>
        <v/>
      </c>
      <c r="AP29" s="39">
        <f>EDATE(InceptionDate,38)</f>
        <v/>
      </c>
      <c r="AQ29" s="39">
        <f>EDATE(InceptionDate,39)</f>
        <v/>
      </c>
      <c r="AR29" s="39">
        <f>EDATE(InceptionDate,40)</f>
        <v/>
      </c>
      <c r="AS29" s="39">
        <f>EDATE(InceptionDate,41)</f>
        <v/>
      </c>
      <c r="AT29" s="39">
        <f>EDATE(InceptionDate,42)</f>
        <v/>
      </c>
      <c r="AU29" s="39">
        <f>EDATE(InceptionDate,43)</f>
        <v/>
      </c>
      <c r="AV29" s="39">
        <f>EDATE(InceptionDate,44)</f>
        <v/>
      </c>
      <c r="AW29" s="39">
        <f>EDATE(InceptionDate,45)</f>
        <v/>
      </c>
      <c r="AX29" s="39">
        <f>EDATE(InceptionDate,46)</f>
        <v/>
      </c>
      <c r="AY29" s="39">
        <f>EDATE(InceptionDate,47)</f>
        <v/>
      </c>
      <c r="AZ29" s="39">
        <f>EDATE(InceptionDate,48)</f>
        <v/>
      </c>
      <c r="BA29" s="39">
        <f>EDATE(InceptionDate,49)</f>
        <v/>
      </c>
      <c r="BB29" s="39">
        <f>EDATE(InceptionDate,50)</f>
        <v/>
      </c>
      <c r="BC29" s="39">
        <f>EDATE(InceptionDate,51)</f>
        <v/>
      </c>
      <c r="BD29" s="39">
        <f>EDATE(InceptionDate,52)</f>
        <v/>
      </c>
      <c r="BE29" s="39">
        <f>EDATE(InceptionDate,53)</f>
        <v/>
      </c>
      <c r="BF29" s="39">
        <f>EDATE(InceptionDate,54)</f>
        <v/>
      </c>
      <c r="BG29" s="39">
        <f>EDATE(InceptionDate,55)</f>
        <v/>
      </c>
      <c r="BH29" s="39">
        <f>EDATE(InceptionDate,56)</f>
        <v/>
      </c>
      <c r="BI29" s="39">
        <f>EDATE(InceptionDate,57)</f>
        <v/>
      </c>
      <c r="BJ29" s="39">
        <f>EDATE(InceptionDate,58)</f>
        <v/>
      </c>
      <c r="BK29" s="39">
        <f>EDATE(InceptionDate,59)</f>
        <v/>
      </c>
      <c r="BL29" s="39">
        <f>EDATE(InceptionDate,60)</f>
        <v/>
      </c>
      <c r="BM29" s="39">
        <f>EDATE(InceptionDate,61)</f>
        <v/>
      </c>
      <c r="BN29" s="39">
        <f>EDATE(InceptionDate,62)</f>
        <v/>
      </c>
      <c r="BO29" s="39">
        <f>EDATE(InceptionDate,63)</f>
        <v/>
      </c>
      <c r="BP29" s="39">
        <f>EDATE(InceptionDate,64)</f>
        <v/>
      </c>
      <c r="BQ29" s="39">
        <f>EDATE(InceptionDate,65)</f>
        <v/>
      </c>
      <c r="BR29" s="39">
        <f>EDATE(InceptionDate,66)</f>
        <v/>
      </c>
      <c r="BS29" s="39">
        <f>EDATE(InceptionDate,67)</f>
        <v/>
      </c>
      <c r="BT29" s="39">
        <f>EDATE(InceptionDate,68)</f>
        <v/>
      </c>
      <c r="BU29" s="39">
        <f>EDATE(InceptionDate,69)</f>
        <v/>
      </c>
      <c r="BV29" s="39">
        <f>EDATE(InceptionDate,70)</f>
        <v/>
      </c>
      <c r="BW29" s="39">
        <f>EDATE(InceptionDate,71)</f>
        <v/>
      </c>
      <c r="BX29" s="39">
        <f>EDATE(InceptionDate,72)</f>
        <v/>
      </c>
      <c r="BY29" s="39">
        <f>EDATE(InceptionDate,73)</f>
        <v/>
      </c>
      <c r="BZ29" s="39">
        <f>EDATE(InceptionDate,74)</f>
        <v/>
      </c>
      <c r="CA29" s="39">
        <f>EDATE(InceptionDate,75)</f>
        <v/>
      </c>
      <c r="CB29" s="39">
        <f>EDATE(InceptionDate,76)</f>
        <v/>
      </c>
      <c r="CC29" s="39">
        <f>EDATE(InceptionDate,77)</f>
        <v/>
      </c>
      <c r="CD29" s="39">
        <f>EDATE(InceptionDate,78)</f>
        <v/>
      </c>
      <c r="CE29" s="39">
        <f>EDATE(InceptionDate,79)</f>
        <v/>
      </c>
      <c r="CF29" s="39">
        <f>EDATE(InceptionDate,80)</f>
        <v/>
      </c>
      <c r="CG29" s="39">
        <f>EDATE(InceptionDate,81)</f>
        <v/>
      </c>
      <c r="CH29" s="39">
        <f>EDATE(InceptionDate,82)</f>
        <v/>
      </c>
      <c r="CI29" s="39">
        <f>EDATE(InceptionDate,83)</f>
        <v/>
      </c>
      <c r="CJ29" s="39">
        <f>EDATE(InceptionDate,84)</f>
        <v/>
      </c>
      <c r="CK29" s="39">
        <f>EDATE(InceptionDate,85)</f>
        <v/>
      </c>
      <c r="CL29" s="39">
        <f>EDATE(InceptionDate,86)</f>
        <v/>
      </c>
      <c r="CM29" s="39">
        <f>EDATE(InceptionDate,87)</f>
        <v/>
      </c>
      <c r="CN29" s="39">
        <f>EDATE(InceptionDate,88)</f>
        <v/>
      </c>
      <c r="CO29" s="39">
        <f>EDATE(InceptionDate,89)</f>
        <v/>
      </c>
      <c r="CP29" s="39">
        <f>EDATE(InceptionDate,90)</f>
        <v/>
      </c>
      <c r="CQ29" s="39">
        <f>EDATE(InceptionDate,91)</f>
        <v/>
      </c>
      <c r="CR29" s="39">
        <f>EDATE(InceptionDate,92)</f>
        <v/>
      </c>
      <c r="CS29" s="39">
        <f>EDATE(InceptionDate,93)</f>
        <v/>
      </c>
      <c r="CT29" s="39">
        <f>EDATE(InceptionDate,94)</f>
        <v/>
      </c>
      <c r="CU29" s="39">
        <f>EDATE(InceptionDate,95)</f>
        <v/>
      </c>
      <c r="CV29" s="39">
        <f>EDATE(InceptionDate,96)</f>
        <v/>
      </c>
      <c r="CW29" s="39">
        <f>EDATE(InceptionDate,97)</f>
        <v/>
      </c>
      <c r="CX29" s="39">
        <f>EDATE(InceptionDate,98)</f>
        <v/>
      </c>
      <c r="CY29" s="39">
        <f>EDATE(InceptionDate,99)</f>
        <v/>
      </c>
      <c r="CZ29" s="39">
        <f>EDATE(InceptionDate,100)</f>
        <v/>
      </c>
      <c r="DA29" s="39">
        <f>EDATE(InceptionDate,101)</f>
        <v/>
      </c>
      <c r="DB29" s="39">
        <f>EDATE(InceptionDate,102)</f>
        <v/>
      </c>
      <c r="DC29" s="39">
        <f>EDATE(InceptionDate,103)</f>
        <v/>
      </c>
      <c r="DD29" s="39">
        <f>EDATE(InceptionDate,104)</f>
        <v/>
      </c>
      <c r="DE29" s="39">
        <f>EDATE(InceptionDate,105)</f>
        <v/>
      </c>
      <c r="DF29" s="39">
        <f>EDATE(InceptionDate,106)</f>
        <v/>
      </c>
      <c r="DG29" s="39">
        <f>EDATE(InceptionDate,107)</f>
        <v/>
      </c>
      <c r="DH29" s="39">
        <f>EDATE(InceptionDate,108)</f>
        <v/>
      </c>
      <c r="DI29" s="39">
        <f>EDATE(InceptionDate,109)</f>
        <v/>
      </c>
      <c r="DJ29" s="39">
        <f>EDATE(InceptionDate,110)</f>
        <v/>
      </c>
      <c r="DK29" s="39">
        <f>EDATE(InceptionDate,111)</f>
        <v/>
      </c>
      <c r="DL29" s="39">
        <f>EDATE(InceptionDate,112)</f>
        <v/>
      </c>
      <c r="DM29" s="39">
        <f>EDATE(InceptionDate,113)</f>
        <v/>
      </c>
      <c r="DN29" s="39">
        <f>EDATE(InceptionDate,114)</f>
        <v/>
      </c>
      <c r="DO29" s="39">
        <f>EDATE(InceptionDate,115)</f>
        <v/>
      </c>
      <c r="DP29" s="39">
        <f>EDATE(InceptionDate,116)</f>
        <v/>
      </c>
      <c r="DQ29" s="39">
        <f>EDATE(InceptionDate,117)</f>
        <v/>
      </c>
      <c r="DR29" s="39">
        <f>EDATE(InceptionDate,118)</f>
        <v/>
      </c>
      <c r="DS29" s="39">
        <f>EDATE(InceptionDate,119)</f>
        <v/>
      </c>
      <c r="DT29" s="39">
        <f>EDATE(InceptionDate,120)</f>
        <v/>
      </c>
      <c r="DU29" s="39">
        <f>EDATE(InceptionDate,121)</f>
        <v/>
      </c>
      <c r="DV29" s="39">
        <f>EDATE(InceptionDate,122)</f>
        <v/>
      </c>
      <c r="DW29" s="39">
        <f>EDATE(InceptionDate,123)</f>
        <v/>
      </c>
      <c r="DX29" s="39">
        <f>EDATE(InceptionDate,124)</f>
        <v/>
      </c>
      <c r="DY29" s="39">
        <f>EDATE(InceptionDate,125)</f>
        <v/>
      </c>
      <c r="DZ29" s="39">
        <f>EDATE(InceptionDate,126)</f>
        <v/>
      </c>
      <c r="EA29" s="39">
        <f>EDATE(InceptionDate,127)</f>
        <v/>
      </c>
      <c r="EB29" s="39">
        <f>EDATE(InceptionDate,128)</f>
        <v/>
      </c>
      <c r="EC29" s="39">
        <f>EDATE(InceptionDate,129)</f>
        <v/>
      </c>
      <c r="ED29" s="39">
        <f>EDATE(InceptionDate,130)</f>
        <v/>
      </c>
      <c r="EE29" s="39">
        <f>EDATE(InceptionDate,131)</f>
        <v/>
      </c>
      <c r="EF29" s="39">
        <f>EDATE(InceptionDate,132)</f>
        <v/>
      </c>
      <c r="EG29" s="39">
        <f>EDATE(InceptionDate,133)</f>
        <v/>
      </c>
      <c r="EH29" s="39">
        <f>EDATE(InceptionDate,134)</f>
        <v/>
      </c>
      <c r="EI29" s="39">
        <f>EDATE(InceptionDate,135)</f>
        <v/>
      </c>
      <c r="EJ29" s="39">
        <f>EDATE(InceptionDate,136)</f>
        <v/>
      </c>
      <c r="EK29" s="39">
        <f>EDATE(InceptionDate,137)</f>
        <v/>
      </c>
      <c r="EL29" s="39">
        <f>EDATE(InceptionDate,138)</f>
        <v/>
      </c>
      <c r="EM29" s="39">
        <f>EDATE(InceptionDate,139)</f>
        <v/>
      </c>
      <c r="EN29" s="39">
        <f>EDATE(InceptionDate,140)</f>
        <v/>
      </c>
      <c r="EO29" s="39">
        <f>EDATE(InceptionDate,141)</f>
        <v/>
      </c>
      <c r="EP29" s="39">
        <f>EDATE(InceptionDate,142)</f>
        <v/>
      </c>
      <c r="EQ29" s="39">
        <f>EDATE(InceptionDate,143)</f>
        <v/>
      </c>
      <c r="ER29" s="39">
        <f>EDATE(InceptionDate,144)</f>
        <v/>
      </c>
      <c r="ES29" s="39">
        <f>EDATE(InceptionDate,145)</f>
        <v/>
      </c>
      <c r="ET29" s="39">
        <f>EDATE(InceptionDate,146)</f>
        <v/>
      </c>
      <c r="EU29" s="39">
        <f>EDATE(InceptionDate,147)</f>
        <v/>
      </c>
      <c r="EV29" s="39">
        <f>EDATE(InceptionDate,148)</f>
        <v/>
      </c>
      <c r="EW29" s="39">
        <f>EDATE(InceptionDate,149)</f>
        <v/>
      </c>
      <c r="EX29" s="39">
        <f>EDATE(InceptionDate,150)</f>
        <v/>
      </c>
      <c r="EY29" s="39">
        <f>EDATE(InceptionDate,151)</f>
        <v/>
      </c>
      <c r="EZ29" s="39">
        <f>EDATE(InceptionDate,152)</f>
        <v/>
      </c>
      <c r="FA29" s="39">
        <f>EDATE(InceptionDate,153)</f>
        <v/>
      </c>
      <c r="FB29" s="39">
        <f>EDATE(InceptionDate,154)</f>
        <v/>
      </c>
      <c r="FC29" s="39">
        <f>EDATE(InceptionDate,155)</f>
        <v/>
      </c>
      <c r="FD29" s="39">
        <f>EDATE(InceptionDate,156)</f>
        <v/>
      </c>
      <c r="FE29" s="39">
        <f>EDATE(InceptionDate,157)</f>
        <v/>
      </c>
      <c r="FF29" s="39">
        <f>EDATE(InceptionDate,158)</f>
        <v/>
      </c>
      <c r="FG29" s="39">
        <f>EDATE(InceptionDate,159)</f>
        <v/>
      </c>
      <c r="FH29" s="39">
        <f>EDATE(InceptionDate,160)</f>
        <v/>
      </c>
      <c r="FI29" s="39">
        <f>EDATE(InceptionDate,161)</f>
        <v/>
      </c>
      <c r="FJ29" s="39">
        <f>EDATE(InceptionDate,162)</f>
        <v/>
      </c>
      <c r="FK29" s="39">
        <f>EDATE(InceptionDate,163)</f>
        <v/>
      </c>
      <c r="FL29" s="39">
        <f>EDATE(InceptionDate,164)</f>
        <v/>
      </c>
      <c r="FM29" s="39">
        <f>EDATE(InceptionDate,165)</f>
        <v/>
      </c>
      <c r="FN29" s="39">
        <f>EDATE(InceptionDate,166)</f>
        <v/>
      </c>
      <c r="FO29" s="39">
        <f>EDATE(InceptionDate,167)</f>
        <v/>
      </c>
      <c r="FP29" s="39">
        <f>EDATE(InceptionDate,168)</f>
        <v/>
      </c>
      <c r="FQ29" s="39">
        <f>EDATE(InceptionDate,169)</f>
        <v/>
      </c>
      <c r="FR29" s="39">
        <f>EDATE(InceptionDate,170)</f>
        <v/>
      </c>
      <c r="FS29" s="39">
        <f>EDATE(InceptionDate,171)</f>
        <v/>
      </c>
      <c r="FT29" s="39">
        <f>EDATE(InceptionDate,172)</f>
        <v/>
      </c>
      <c r="FU29" s="39">
        <f>EDATE(InceptionDate,173)</f>
        <v/>
      </c>
      <c r="FV29" s="39">
        <f>EDATE(InceptionDate,174)</f>
        <v/>
      </c>
      <c r="FW29" s="39">
        <f>EDATE(InceptionDate,175)</f>
        <v/>
      </c>
      <c r="FX29" s="39">
        <f>EDATE(InceptionDate,176)</f>
        <v/>
      </c>
      <c r="FY29" s="39">
        <f>EDATE(InceptionDate,177)</f>
        <v/>
      </c>
      <c r="FZ29" s="39">
        <f>EDATE(InceptionDate,178)</f>
        <v/>
      </c>
      <c r="GA29" s="39">
        <f>EDATE(InceptionDate,179)</f>
        <v/>
      </c>
      <c r="GB29" s="39">
        <f>EDATE(InceptionDate,180)</f>
        <v/>
      </c>
      <c r="GC29" s="39">
        <f>EDATE(InceptionDate,181)</f>
        <v/>
      </c>
      <c r="GD29" s="39">
        <f>EDATE(InceptionDate,182)</f>
        <v/>
      </c>
      <c r="GE29" s="39">
        <f>EDATE(InceptionDate,183)</f>
        <v/>
      </c>
      <c r="GF29" s="39">
        <f>EDATE(InceptionDate,184)</f>
        <v/>
      </c>
      <c r="GG29" s="39">
        <f>EDATE(InceptionDate,185)</f>
        <v/>
      </c>
      <c r="GH29" s="39">
        <f>EDATE(InceptionDate,186)</f>
        <v/>
      </c>
      <c r="GI29" s="39">
        <f>EDATE(InceptionDate,187)</f>
        <v/>
      </c>
      <c r="GJ29" s="39">
        <f>EDATE(InceptionDate,188)</f>
        <v/>
      </c>
      <c r="GK29" s="39">
        <f>EDATE(InceptionDate,189)</f>
        <v/>
      </c>
      <c r="GL29" s="39">
        <f>EDATE(InceptionDate,190)</f>
        <v/>
      </c>
      <c r="GM29" s="39">
        <f>EDATE(InceptionDate,191)</f>
        <v/>
      </c>
      <c r="GN29" s="39">
        <f>EDATE(InceptionDate,192)</f>
        <v/>
      </c>
      <c r="GO29" s="39">
        <f>EDATE(InceptionDate,193)</f>
        <v/>
      </c>
      <c r="GP29" s="39">
        <f>EDATE(InceptionDate,194)</f>
        <v/>
      </c>
      <c r="GQ29" s="39">
        <f>EDATE(InceptionDate,195)</f>
        <v/>
      </c>
      <c r="GR29" s="39">
        <f>EDATE(InceptionDate,196)</f>
        <v/>
      </c>
      <c r="GS29" s="39">
        <f>EDATE(InceptionDate,197)</f>
        <v/>
      </c>
      <c r="GT29" s="39">
        <f>EDATE(InceptionDate,198)</f>
        <v/>
      </c>
      <c r="GU29" s="39">
        <f>EDATE(InceptionDate,199)</f>
        <v/>
      </c>
      <c r="GV29" s="39">
        <f>EDATE(InceptionDate,200)</f>
        <v/>
      </c>
      <c r="GW29" s="39">
        <f>EDATE(InceptionDate,201)</f>
        <v/>
      </c>
      <c r="GX29" s="39">
        <f>EDATE(InceptionDate,202)</f>
        <v/>
      </c>
      <c r="GY29" s="39">
        <f>EDATE(InceptionDate,203)</f>
        <v/>
      </c>
      <c r="GZ29" s="39">
        <f>EDATE(InceptionDate,204)</f>
        <v/>
      </c>
      <c r="HA29" s="39">
        <f>EDATE(InceptionDate,205)</f>
        <v/>
      </c>
      <c r="HB29" s="39">
        <f>EDATE(InceptionDate,206)</f>
        <v/>
      </c>
      <c r="HC29" s="39">
        <f>EDATE(InceptionDate,207)</f>
        <v/>
      </c>
      <c r="HD29" s="39">
        <f>EDATE(InceptionDate,208)</f>
        <v/>
      </c>
      <c r="HE29" s="39">
        <f>EDATE(InceptionDate,209)</f>
        <v/>
      </c>
      <c r="HF29" s="39">
        <f>EDATE(InceptionDate,210)</f>
        <v/>
      </c>
      <c r="HG29" s="39">
        <f>EDATE(InceptionDate,211)</f>
        <v/>
      </c>
      <c r="HH29" s="39">
        <f>EDATE(InceptionDate,212)</f>
        <v/>
      </c>
      <c r="HI29" s="39">
        <f>EDATE(InceptionDate,213)</f>
        <v/>
      </c>
      <c r="HJ29" s="39">
        <f>EDATE(InceptionDate,214)</f>
        <v/>
      </c>
      <c r="HK29" s="39">
        <f>EDATE(InceptionDate,215)</f>
        <v/>
      </c>
      <c r="HL29" s="39">
        <f>EDATE(InceptionDate,216)</f>
        <v/>
      </c>
      <c r="HM29" s="39">
        <f>EDATE(InceptionDate,217)</f>
        <v/>
      </c>
      <c r="HN29" s="39">
        <f>EDATE(InceptionDate,218)</f>
        <v/>
      </c>
      <c r="HO29" s="39">
        <f>EDATE(InceptionDate,219)</f>
        <v/>
      </c>
      <c r="HP29" s="39">
        <f>EDATE(InceptionDate,220)</f>
        <v/>
      </c>
      <c r="HQ29" s="39">
        <f>EDATE(InceptionDate,221)</f>
        <v/>
      </c>
      <c r="HR29" s="39">
        <f>EDATE(InceptionDate,222)</f>
        <v/>
      </c>
      <c r="HS29" s="39">
        <f>EDATE(InceptionDate,223)</f>
        <v/>
      </c>
      <c r="HT29" s="39">
        <f>EDATE(InceptionDate,224)</f>
        <v/>
      </c>
      <c r="HU29" s="39">
        <f>EDATE(InceptionDate,225)</f>
        <v/>
      </c>
      <c r="HV29" s="39">
        <f>EDATE(InceptionDate,226)</f>
        <v/>
      </c>
      <c r="HW29" s="39">
        <f>EDATE(InceptionDate,227)</f>
        <v/>
      </c>
      <c r="HX29" s="39">
        <f>EDATE(InceptionDate,228)</f>
        <v/>
      </c>
      <c r="HY29" s="39">
        <f>EDATE(InceptionDate,229)</f>
        <v/>
      </c>
      <c r="HZ29" s="39">
        <f>EDATE(InceptionDate,230)</f>
        <v/>
      </c>
      <c r="IA29" s="39">
        <f>EDATE(InceptionDate,231)</f>
        <v/>
      </c>
      <c r="IB29" s="39">
        <f>EDATE(InceptionDate,232)</f>
        <v/>
      </c>
      <c r="IC29" s="39">
        <f>EDATE(InceptionDate,233)</f>
        <v/>
      </c>
      <c r="ID29" s="39">
        <f>EDATE(InceptionDate,234)</f>
        <v/>
      </c>
      <c r="IE29" s="39">
        <f>EDATE(InceptionDate,235)</f>
        <v/>
      </c>
      <c r="IF29" s="39">
        <f>EDATE(InceptionDate,236)</f>
        <v/>
      </c>
      <c r="IG29" s="39">
        <f>EDATE(InceptionDate,237)</f>
        <v/>
      </c>
      <c r="IH29" s="39">
        <f>EDATE(InceptionDate,238)</f>
        <v/>
      </c>
      <c r="II29" s="39">
        <f>EDATE(InceptionDate,239)</f>
        <v/>
      </c>
      <c r="IJ29" s="39">
        <f>EDATE(InceptionDate,240)</f>
        <v/>
      </c>
      <c r="IK29" s="39">
        <f>EDATE(InceptionDate,241)</f>
        <v/>
      </c>
      <c r="IL29" s="39">
        <f>EDATE(InceptionDate,242)</f>
        <v/>
      </c>
      <c r="IM29" s="39">
        <f>EDATE(InceptionDate,243)</f>
        <v/>
      </c>
      <c r="IN29" s="39">
        <f>EDATE(InceptionDate,244)</f>
        <v/>
      </c>
      <c r="IO29" s="39">
        <f>EDATE(InceptionDate,245)</f>
        <v/>
      </c>
      <c r="IP29" s="39">
        <f>EDATE(InceptionDate,246)</f>
        <v/>
      </c>
      <c r="IQ29" s="39">
        <f>EDATE(InceptionDate,247)</f>
        <v/>
      </c>
      <c r="IR29" s="39">
        <f>EDATE(InceptionDate,248)</f>
        <v/>
      </c>
      <c r="IS29" s="39">
        <f>EDATE(InceptionDate,249)</f>
        <v/>
      </c>
      <c r="IT29" s="39">
        <f>EDATE(InceptionDate,250)</f>
        <v/>
      </c>
      <c r="IU29" s="39">
        <f>EDATE(InceptionDate,251)</f>
        <v/>
      </c>
      <c r="IV29" s="39">
        <f>EDATE(InceptionDate,252)</f>
        <v/>
      </c>
      <c r="IW29" s="39">
        <f>EDATE(InceptionDate,253)</f>
        <v/>
      </c>
      <c r="IX29" s="39">
        <f>EDATE(InceptionDate,254)</f>
        <v/>
      </c>
      <c r="IY29" s="39">
        <f>EDATE(InceptionDate,255)</f>
        <v/>
      </c>
      <c r="IZ29" s="39">
        <f>EDATE(InceptionDate,256)</f>
        <v/>
      </c>
      <c r="JA29" s="39">
        <f>EDATE(InceptionDate,257)</f>
        <v/>
      </c>
      <c r="JB29" s="39">
        <f>EDATE(InceptionDate,258)</f>
        <v/>
      </c>
      <c r="JC29" s="39">
        <f>EDATE(InceptionDate,259)</f>
        <v/>
      </c>
      <c r="JD29" s="39">
        <f>EDATE(InceptionDate,260)</f>
        <v/>
      </c>
      <c r="JE29" s="39">
        <f>EDATE(InceptionDate,261)</f>
        <v/>
      </c>
      <c r="JF29" s="39">
        <f>EDATE(InceptionDate,262)</f>
        <v/>
      </c>
      <c r="JG29" s="39">
        <f>EDATE(InceptionDate,263)</f>
        <v/>
      </c>
      <c r="JH29" s="39">
        <f>EDATE(InceptionDate,264)</f>
        <v/>
      </c>
      <c r="JI29" s="39">
        <f>EDATE(InceptionDate,265)</f>
        <v/>
      </c>
      <c r="JJ29" s="39">
        <f>EDATE(InceptionDate,266)</f>
        <v/>
      </c>
      <c r="JK29" s="39">
        <f>EDATE(InceptionDate,267)</f>
        <v/>
      </c>
      <c r="JL29" s="39">
        <f>EDATE(InceptionDate,268)</f>
        <v/>
      </c>
      <c r="JM29" s="39">
        <f>EDATE(InceptionDate,269)</f>
        <v/>
      </c>
      <c r="JN29" s="39">
        <f>EDATE(InceptionDate,270)</f>
        <v/>
      </c>
      <c r="JO29" s="39">
        <f>EDATE(InceptionDate,271)</f>
        <v/>
      </c>
      <c r="JP29" s="39">
        <f>EDATE(InceptionDate,272)</f>
        <v/>
      </c>
      <c r="JQ29" s="39">
        <f>EDATE(InceptionDate,273)</f>
        <v/>
      </c>
      <c r="JR29" s="39">
        <f>EDATE(InceptionDate,274)</f>
        <v/>
      </c>
      <c r="JS29" s="39">
        <f>EDATE(InceptionDate,275)</f>
        <v/>
      </c>
      <c r="JT29" s="39">
        <f>EDATE(InceptionDate,276)</f>
        <v/>
      </c>
      <c r="JU29" s="39">
        <f>EDATE(InceptionDate,277)</f>
        <v/>
      </c>
      <c r="JV29" s="39">
        <f>EDATE(InceptionDate,278)</f>
        <v/>
      </c>
      <c r="JW29" s="39">
        <f>EDATE(InceptionDate,279)</f>
        <v/>
      </c>
      <c r="JX29" s="39">
        <f>EDATE(InceptionDate,280)</f>
        <v/>
      </c>
      <c r="JY29" s="39">
        <f>EDATE(InceptionDate,281)</f>
        <v/>
      </c>
      <c r="JZ29" s="39">
        <f>EDATE(InceptionDate,282)</f>
        <v/>
      </c>
      <c r="KA29" s="39">
        <f>EDATE(InceptionDate,283)</f>
        <v/>
      </c>
      <c r="KB29" s="39">
        <f>EDATE(InceptionDate,284)</f>
        <v/>
      </c>
      <c r="KC29" s="39">
        <f>EDATE(InceptionDate,285)</f>
        <v/>
      </c>
      <c r="KD29" s="39">
        <f>EDATE(InceptionDate,286)</f>
        <v/>
      </c>
      <c r="KE29" s="39">
        <f>EDATE(InceptionDate,287)</f>
        <v/>
      </c>
      <c r="KF29" s="39">
        <f>EDATE(InceptionDate,288)</f>
        <v/>
      </c>
      <c r="KG29" s="39">
        <f>EDATE(InceptionDate,289)</f>
        <v/>
      </c>
      <c r="KH29" s="39">
        <f>EDATE(InceptionDate,290)</f>
        <v/>
      </c>
      <c r="KI29" s="39">
        <f>EDATE(InceptionDate,291)</f>
        <v/>
      </c>
      <c r="KJ29" s="39">
        <f>EDATE(InceptionDate,292)</f>
        <v/>
      </c>
      <c r="KK29" s="39">
        <f>EDATE(InceptionDate,293)</f>
        <v/>
      </c>
      <c r="KL29" s="39">
        <f>EDATE(InceptionDate,294)</f>
        <v/>
      </c>
      <c r="KM29" s="39">
        <f>EDATE(InceptionDate,295)</f>
        <v/>
      </c>
      <c r="KN29" s="39">
        <f>EDATE(InceptionDate,296)</f>
        <v/>
      </c>
      <c r="KO29" s="39">
        <f>EDATE(InceptionDate,297)</f>
        <v/>
      </c>
      <c r="KP29" s="39">
        <f>EDATE(InceptionDate,298)</f>
        <v/>
      </c>
      <c r="KQ29" s="39">
        <f>EDATE(InceptionDate,299)</f>
        <v/>
      </c>
      <c r="KR29" s="39">
        <f>EDATE(InceptionDate,300)</f>
        <v/>
      </c>
      <c r="KS29" s="39">
        <f>EDATE(InceptionDate,301)</f>
        <v/>
      </c>
      <c r="KT29" s="39">
        <f>EDATE(InceptionDate,302)</f>
        <v/>
      </c>
      <c r="KU29" s="39">
        <f>EDATE(InceptionDate,303)</f>
        <v/>
      </c>
      <c r="KV29" s="39">
        <f>EDATE(InceptionDate,304)</f>
        <v/>
      </c>
      <c r="KW29" s="39">
        <f>EDATE(InceptionDate,305)</f>
        <v/>
      </c>
      <c r="KX29" s="39">
        <f>EDATE(InceptionDate,306)</f>
        <v/>
      </c>
      <c r="KY29" s="39">
        <f>EDATE(InceptionDate,307)</f>
        <v/>
      </c>
      <c r="KZ29" s="39">
        <f>EDATE(InceptionDate,308)</f>
        <v/>
      </c>
      <c r="LA29" s="39">
        <f>EDATE(InceptionDate,309)</f>
        <v/>
      </c>
      <c r="LB29" s="39">
        <f>EDATE(InceptionDate,310)</f>
        <v/>
      </c>
      <c r="LC29" s="39">
        <f>EDATE(InceptionDate,311)</f>
        <v/>
      </c>
      <c r="LD29" s="39">
        <f>EDATE(InceptionDate,312)</f>
        <v/>
      </c>
      <c r="LE29" s="39">
        <f>EDATE(InceptionDate,313)</f>
        <v/>
      </c>
      <c r="LF29" s="39">
        <f>EDATE(InceptionDate,314)</f>
        <v/>
      </c>
      <c r="LG29" s="39">
        <f>EDATE(InceptionDate,315)</f>
        <v/>
      </c>
      <c r="LH29" s="39">
        <f>EDATE(InceptionDate,316)</f>
        <v/>
      </c>
      <c r="LI29" s="39">
        <f>EDATE(InceptionDate,317)</f>
        <v/>
      </c>
      <c r="LJ29" s="39">
        <f>EDATE(InceptionDate,318)</f>
        <v/>
      </c>
      <c r="LK29" s="39">
        <f>EDATE(InceptionDate,319)</f>
        <v/>
      </c>
      <c r="LL29" s="39">
        <f>EDATE(InceptionDate,320)</f>
        <v/>
      </c>
      <c r="LM29" s="39">
        <f>EDATE(InceptionDate,321)</f>
        <v/>
      </c>
      <c r="LN29" s="39">
        <f>EDATE(InceptionDate,322)</f>
        <v/>
      </c>
      <c r="LO29" s="39">
        <f>EDATE(InceptionDate,323)</f>
        <v/>
      </c>
      <c r="LP29" s="39">
        <f>EDATE(InceptionDate,324)</f>
        <v/>
      </c>
      <c r="LQ29" s="39">
        <f>EDATE(InceptionDate,325)</f>
        <v/>
      </c>
      <c r="LR29" s="39">
        <f>EDATE(InceptionDate,326)</f>
        <v/>
      </c>
      <c r="LS29" s="39">
        <f>EDATE(InceptionDate,327)</f>
        <v/>
      </c>
      <c r="LT29" s="39">
        <f>EDATE(InceptionDate,328)</f>
        <v/>
      </c>
      <c r="LU29" s="39">
        <f>EDATE(InceptionDate,329)</f>
        <v/>
      </c>
      <c r="LV29" s="39">
        <f>EDATE(InceptionDate,330)</f>
        <v/>
      </c>
      <c r="LW29" s="39">
        <f>EDATE(InceptionDate,331)</f>
        <v/>
      </c>
      <c r="LX29" s="39">
        <f>EDATE(InceptionDate,332)</f>
        <v/>
      </c>
      <c r="LY29" s="39">
        <f>EDATE(InceptionDate,333)</f>
        <v/>
      </c>
      <c r="LZ29" s="39">
        <f>EDATE(InceptionDate,334)</f>
        <v/>
      </c>
      <c r="MA29" s="39">
        <f>EDATE(InceptionDate,335)</f>
        <v/>
      </c>
      <c r="MB29" s="39">
        <f>EDATE(InceptionDate,336)</f>
        <v/>
      </c>
      <c r="MC29" s="39">
        <f>EDATE(InceptionDate,337)</f>
        <v/>
      </c>
      <c r="MD29" s="39">
        <f>EDATE(InceptionDate,338)</f>
        <v/>
      </c>
      <c r="ME29" s="39">
        <f>EDATE(InceptionDate,339)</f>
        <v/>
      </c>
      <c r="MF29" s="39">
        <f>EDATE(InceptionDate,340)</f>
        <v/>
      </c>
      <c r="MG29" s="39">
        <f>EDATE(InceptionDate,341)</f>
        <v/>
      </c>
      <c r="MH29" s="39">
        <f>EDATE(InceptionDate,342)</f>
        <v/>
      </c>
      <c r="MI29" s="39">
        <f>EDATE(InceptionDate,343)</f>
        <v/>
      </c>
      <c r="MJ29" s="39">
        <f>EDATE(InceptionDate,344)</f>
        <v/>
      </c>
      <c r="MK29" s="39">
        <f>EDATE(InceptionDate,345)</f>
        <v/>
      </c>
      <c r="ML29" s="39">
        <f>EDATE(InceptionDate,346)</f>
        <v/>
      </c>
      <c r="MM29" s="39">
        <f>EDATE(InceptionDate,347)</f>
        <v/>
      </c>
      <c r="MN29" s="39">
        <f>EDATE(InceptionDate,348)</f>
        <v/>
      </c>
      <c r="MO29" s="39">
        <f>EDATE(InceptionDate,349)</f>
        <v/>
      </c>
      <c r="MP29" s="39">
        <f>EDATE(InceptionDate,350)</f>
        <v/>
      </c>
      <c r="MQ29" s="39">
        <f>EDATE(InceptionDate,351)</f>
        <v/>
      </c>
      <c r="MR29" s="39">
        <f>EDATE(InceptionDate,352)</f>
        <v/>
      </c>
      <c r="MS29" s="39">
        <f>EDATE(InceptionDate,353)</f>
        <v/>
      </c>
      <c r="MT29" s="39">
        <f>EDATE(InceptionDate,354)</f>
        <v/>
      </c>
      <c r="MU29" s="39">
        <f>EDATE(InceptionDate,355)</f>
        <v/>
      </c>
      <c r="MV29" s="39">
        <f>EDATE(InceptionDate,356)</f>
        <v/>
      </c>
      <c r="MW29" s="39">
        <f>EDATE(InceptionDate,357)</f>
        <v/>
      </c>
      <c r="MX29" s="39">
        <f>EDATE(InceptionDate,358)</f>
        <v/>
      </c>
      <c r="MY29" s="39">
        <f>EDATE(InceptionDate,359)</f>
        <v/>
      </c>
      <c r="MZ29" s="39">
        <f>EDATE(InceptionDate,360)</f>
        <v/>
      </c>
      <c r="NA29" s="39">
        <f>EDATE(InceptionDate,361)</f>
        <v/>
      </c>
      <c r="NB29" s="39">
        <f>EDATE(InceptionDate,362)</f>
        <v/>
      </c>
      <c r="NC29" s="39">
        <f>EDATE(InceptionDate,363)</f>
        <v/>
      </c>
      <c r="ND29" s="39">
        <f>EDATE(InceptionDate,364)</f>
        <v/>
      </c>
      <c r="NE29" s="39">
        <f>EDATE(InceptionDate,365)</f>
        <v/>
      </c>
      <c r="NF29" s="39">
        <f>EDATE(InceptionDate,366)</f>
        <v/>
      </c>
      <c r="NG29" s="39">
        <f>EDATE(InceptionDate,367)</f>
        <v/>
      </c>
      <c r="NH29" s="39">
        <f>EDATE(InceptionDate,368)</f>
        <v/>
      </c>
      <c r="NI29" s="39">
        <f>EDATE(InceptionDate,369)</f>
        <v/>
      </c>
      <c r="NJ29" s="39">
        <f>EDATE(InceptionDate,370)</f>
        <v/>
      </c>
      <c r="NK29" s="39">
        <f>EDATE(InceptionDate,371)</f>
        <v/>
      </c>
    </row>
    <row r="30">
      <c r="A30" s="5" t="inlineStr">
        <is>
          <t>Flag: Open Escrow</t>
        </is>
      </c>
      <c r="C30" s="40" t="n"/>
      <c r="D30" s="17">
        <f>IF(AND(1&gt;=$B$4,1&lt;=$D$4),1,0)</f>
        <v/>
      </c>
      <c r="E30" s="17">
        <f>IF(AND(2&gt;=$B$4,2&lt;=$D$4),1,0)</f>
        <v/>
      </c>
      <c r="F30" s="17">
        <f>IF(AND(3&gt;=$B$4,3&lt;=$D$4),1,0)</f>
        <v/>
      </c>
      <c r="G30" s="17">
        <f>IF(AND(4&gt;=$B$4,4&lt;=$D$4),1,0)</f>
        <v/>
      </c>
      <c r="H30" s="17">
        <f>IF(AND(5&gt;=$B$4,5&lt;=$D$4),1,0)</f>
        <v/>
      </c>
      <c r="I30" s="17">
        <f>IF(AND(6&gt;=$B$4,6&lt;=$D$4),1,0)</f>
        <v/>
      </c>
      <c r="J30" s="17">
        <f>IF(AND(7&gt;=$B$4,7&lt;=$D$4),1,0)</f>
        <v/>
      </c>
      <c r="K30" s="17">
        <f>IF(AND(8&gt;=$B$4,8&lt;=$D$4),1,0)</f>
        <v/>
      </c>
      <c r="L30" s="17">
        <f>IF(AND(9&gt;=$B$4,9&lt;=$D$4),1,0)</f>
        <v/>
      </c>
      <c r="M30" s="17">
        <f>IF(AND(10&gt;=$B$4,10&lt;=$D$4),1,0)</f>
        <v/>
      </c>
      <c r="N30" s="17">
        <f>IF(AND(11&gt;=$B$4,11&lt;=$D$4),1,0)</f>
        <v/>
      </c>
      <c r="O30" s="17">
        <f>IF(AND(12&gt;=$B$4,12&lt;=$D$4),1,0)</f>
        <v/>
      </c>
      <c r="P30" s="17">
        <f>IF(AND(13&gt;=$B$4,13&lt;=$D$4),1,0)</f>
        <v/>
      </c>
      <c r="Q30" s="17">
        <f>IF(AND(14&gt;=$B$4,14&lt;=$D$4),1,0)</f>
        <v/>
      </c>
      <c r="R30" s="17">
        <f>IF(AND(15&gt;=$B$4,15&lt;=$D$4),1,0)</f>
        <v/>
      </c>
      <c r="S30" s="17">
        <f>IF(AND(16&gt;=$B$4,16&lt;=$D$4),1,0)</f>
        <v/>
      </c>
      <c r="T30" s="17">
        <f>IF(AND(17&gt;=$B$4,17&lt;=$D$4),1,0)</f>
        <v/>
      </c>
      <c r="U30" s="17">
        <f>IF(AND(18&gt;=$B$4,18&lt;=$D$4),1,0)</f>
        <v/>
      </c>
      <c r="V30" s="17">
        <f>IF(AND(19&gt;=$B$4,19&lt;=$D$4),1,0)</f>
        <v/>
      </c>
      <c r="W30" s="17">
        <f>IF(AND(20&gt;=$B$4,20&lt;=$D$4),1,0)</f>
        <v/>
      </c>
      <c r="X30" s="17">
        <f>IF(AND(21&gt;=$B$4,21&lt;=$D$4),1,0)</f>
        <v/>
      </c>
      <c r="Y30" s="17">
        <f>IF(AND(22&gt;=$B$4,22&lt;=$D$4),1,0)</f>
        <v/>
      </c>
      <c r="Z30" s="17">
        <f>IF(AND(23&gt;=$B$4,23&lt;=$D$4),1,0)</f>
        <v/>
      </c>
      <c r="AA30" s="17">
        <f>IF(AND(24&gt;=$B$4,24&lt;=$D$4),1,0)</f>
        <v/>
      </c>
      <c r="AB30" s="17">
        <f>IF(AND(25&gt;=$B$4,25&lt;=$D$4),1,0)</f>
        <v/>
      </c>
      <c r="AC30" s="17">
        <f>IF(AND(26&gt;=$B$4,26&lt;=$D$4),1,0)</f>
        <v/>
      </c>
      <c r="AD30" s="17">
        <f>IF(AND(27&gt;=$B$4,27&lt;=$D$4),1,0)</f>
        <v/>
      </c>
      <c r="AE30" s="17">
        <f>IF(AND(28&gt;=$B$4,28&lt;=$D$4),1,0)</f>
        <v/>
      </c>
      <c r="AF30" s="17">
        <f>IF(AND(29&gt;=$B$4,29&lt;=$D$4),1,0)</f>
        <v/>
      </c>
      <c r="AG30" s="17">
        <f>IF(AND(30&gt;=$B$4,30&lt;=$D$4),1,0)</f>
        <v/>
      </c>
      <c r="AH30" s="17">
        <f>IF(AND(31&gt;=$B$4,31&lt;=$D$4),1,0)</f>
        <v/>
      </c>
      <c r="AI30" s="17">
        <f>IF(AND(32&gt;=$B$4,32&lt;=$D$4),1,0)</f>
        <v/>
      </c>
      <c r="AJ30" s="17">
        <f>IF(AND(33&gt;=$B$4,33&lt;=$D$4),1,0)</f>
        <v/>
      </c>
      <c r="AK30" s="17">
        <f>IF(AND(34&gt;=$B$4,34&lt;=$D$4),1,0)</f>
        <v/>
      </c>
      <c r="AL30" s="17">
        <f>IF(AND(35&gt;=$B$4,35&lt;=$D$4),1,0)</f>
        <v/>
      </c>
      <c r="AM30" s="17">
        <f>IF(AND(36&gt;=$B$4,36&lt;=$D$4),1,0)</f>
        <v/>
      </c>
      <c r="AN30" s="17">
        <f>IF(AND(37&gt;=$B$4,37&lt;=$D$4),1,0)</f>
        <v/>
      </c>
      <c r="AO30" s="17">
        <f>IF(AND(38&gt;=$B$4,38&lt;=$D$4),1,0)</f>
        <v/>
      </c>
      <c r="AP30" s="17">
        <f>IF(AND(39&gt;=$B$4,39&lt;=$D$4),1,0)</f>
        <v/>
      </c>
      <c r="AQ30" s="17">
        <f>IF(AND(40&gt;=$B$4,40&lt;=$D$4),1,0)</f>
        <v/>
      </c>
      <c r="AR30" s="17">
        <f>IF(AND(41&gt;=$B$4,41&lt;=$D$4),1,0)</f>
        <v/>
      </c>
      <c r="AS30" s="17">
        <f>IF(AND(42&gt;=$B$4,42&lt;=$D$4),1,0)</f>
        <v/>
      </c>
      <c r="AT30" s="17">
        <f>IF(AND(43&gt;=$B$4,43&lt;=$D$4),1,0)</f>
        <v/>
      </c>
      <c r="AU30" s="17">
        <f>IF(AND(44&gt;=$B$4,44&lt;=$D$4),1,0)</f>
        <v/>
      </c>
      <c r="AV30" s="17">
        <f>IF(AND(45&gt;=$B$4,45&lt;=$D$4),1,0)</f>
        <v/>
      </c>
      <c r="AW30" s="17">
        <f>IF(AND(46&gt;=$B$4,46&lt;=$D$4),1,0)</f>
        <v/>
      </c>
      <c r="AX30" s="17">
        <f>IF(AND(47&gt;=$B$4,47&lt;=$D$4),1,0)</f>
        <v/>
      </c>
      <c r="AY30" s="17">
        <f>IF(AND(48&gt;=$B$4,48&lt;=$D$4),1,0)</f>
        <v/>
      </c>
      <c r="AZ30" s="17">
        <f>IF(AND(49&gt;=$B$4,49&lt;=$D$4),1,0)</f>
        <v/>
      </c>
      <c r="BA30" s="17">
        <f>IF(AND(50&gt;=$B$4,50&lt;=$D$4),1,0)</f>
        <v/>
      </c>
      <c r="BB30" s="17">
        <f>IF(AND(51&gt;=$B$4,51&lt;=$D$4),1,0)</f>
        <v/>
      </c>
      <c r="BC30" s="17">
        <f>IF(AND(52&gt;=$B$4,52&lt;=$D$4),1,0)</f>
        <v/>
      </c>
      <c r="BD30" s="17">
        <f>IF(AND(53&gt;=$B$4,53&lt;=$D$4),1,0)</f>
        <v/>
      </c>
      <c r="BE30" s="17">
        <f>IF(AND(54&gt;=$B$4,54&lt;=$D$4),1,0)</f>
        <v/>
      </c>
      <c r="BF30" s="17">
        <f>IF(AND(55&gt;=$B$4,55&lt;=$D$4),1,0)</f>
        <v/>
      </c>
      <c r="BG30" s="17">
        <f>IF(AND(56&gt;=$B$4,56&lt;=$D$4),1,0)</f>
        <v/>
      </c>
      <c r="BH30" s="17">
        <f>IF(AND(57&gt;=$B$4,57&lt;=$D$4),1,0)</f>
        <v/>
      </c>
      <c r="BI30" s="17">
        <f>IF(AND(58&gt;=$B$4,58&lt;=$D$4),1,0)</f>
        <v/>
      </c>
      <c r="BJ30" s="17">
        <f>IF(AND(59&gt;=$B$4,59&lt;=$D$4),1,0)</f>
        <v/>
      </c>
      <c r="BK30" s="17">
        <f>IF(AND(60&gt;=$B$4,60&lt;=$D$4),1,0)</f>
        <v/>
      </c>
      <c r="BL30" s="17">
        <f>IF(AND(61&gt;=$B$4,61&lt;=$D$4),1,0)</f>
        <v/>
      </c>
      <c r="BM30" s="17">
        <f>IF(AND(62&gt;=$B$4,62&lt;=$D$4),1,0)</f>
        <v/>
      </c>
      <c r="BN30" s="17">
        <f>IF(AND(63&gt;=$B$4,63&lt;=$D$4),1,0)</f>
        <v/>
      </c>
      <c r="BO30" s="17">
        <f>IF(AND(64&gt;=$B$4,64&lt;=$D$4),1,0)</f>
        <v/>
      </c>
      <c r="BP30" s="17">
        <f>IF(AND(65&gt;=$B$4,65&lt;=$D$4),1,0)</f>
        <v/>
      </c>
      <c r="BQ30" s="17">
        <f>IF(AND(66&gt;=$B$4,66&lt;=$D$4),1,0)</f>
        <v/>
      </c>
      <c r="BR30" s="17">
        <f>IF(AND(67&gt;=$B$4,67&lt;=$D$4),1,0)</f>
        <v/>
      </c>
      <c r="BS30" s="17">
        <f>IF(AND(68&gt;=$B$4,68&lt;=$D$4),1,0)</f>
        <v/>
      </c>
      <c r="BT30" s="17">
        <f>IF(AND(69&gt;=$B$4,69&lt;=$D$4),1,0)</f>
        <v/>
      </c>
      <c r="BU30" s="17">
        <f>IF(AND(70&gt;=$B$4,70&lt;=$D$4),1,0)</f>
        <v/>
      </c>
      <c r="BV30" s="17">
        <f>IF(AND(71&gt;=$B$4,71&lt;=$D$4),1,0)</f>
        <v/>
      </c>
      <c r="BW30" s="17">
        <f>IF(AND(72&gt;=$B$4,72&lt;=$D$4),1,0)</f>
        <v/>
      </c>
      <c r="BX30" s="17">
        <f>IF(AND(73&gt;=$B$4,73&lt;=$D$4),1,0)</f>
        <v/>
      </c>
      <c r="BY30" s="17">
        <f>IF(AND(74&gt;=$B$4,74&lt;=$D$4),1,0)</f>
        <v/>
      </c>
      <c r="BZ30" s="17">
        <f>IF(AND(75&gt;=$B$4,75&lt;=$D$4),1,0)</f>
        <v/>
      </c>
      <c r="CA30" s="17">
        <f>IF(AND(76&gt;=$B$4,76&lt;=$D$4),1,0)</f>
        <v/>
      </c>
      <c r="CB30" s="17">
        <f>IF(AND(77&gt;=$B$4,77&lt;=$D$4),1,0)</f>
        <v/>
      </c>
      <c r="CC30" s="17">
        <f>IF(AND(78&gt;=$B$4,78&lt;=$D$4),1,0)</f>
        <v/>
      </c>
      <c r="CD30" s="17">
        <f>IF(AND(79&gt;=$B$4,79&lt;=$D$4),1,0)</f>
        <v/>
      </c>
      <c r="CE30" s="17">
        <f>IF(AND(80&gt;=$B$4,80&lt;=$D$4),1,0)</f>
        <v/>
      </c>
      <c r="CF30" s="17">
        <f>IF(AND(81&gt;=$B$4,81&lt;=$D$4),1,0)</f>
        <v/>
      </c>
      <c r="CG30" s="17">
        <f>IF(AND(82&gt;=$B$4,82&lt;=$D$4),1,0)</f>
        <v/>
      </c>
      <c r="CH30" s="17">
        <f>IF(AND(83&gt;=$B$4,83&lt;=$D$4),1,0)</f>
        <v/>
      </c>
      <c r="CI30" s="17">
        <f>IF(AND(84&gt;=$B$4,84&lt;=$D$4),1,0)</f>
        <v/>
      </c>
      <c r="CJ30" s="17">
        <f>IF(AND(85&gt;=$B$4,85&lt;=$D$4),1,0)</f>
        <v/>
      </c>
      <c r="CK30" s="17">
        <f>IF(AND(86&gt;=$B$4,86&lt;=$D$4),1,0)</f>
        <v/>
      </c>
      <c r="CL30" s="17">
        <f>IF(AND(87&gt;=$B$4,87&lt;=$D$4),1,0)</f>
        <v/>
      </c>
      <c r="CM30" s="17">
        <f>IF(AND(88&gt;=$B$4,88&lt;=$D$4),1,0)</f>
        <v/>
      </c>
      <c r="CN30" s="17">
        <f>IF(AND(89&gt;=$B$4,89&lt;=$D$4),1,0)</f>
        <v/>
      </c>
      <c r="CO30" s="17">
        <f>IF(AND(90&gt;=$B$4,90&lt;=$D$4),1,0)</f>
        <v/>
      </c>
      <c r="CP30" s="17">
        <f>IF(AND(91&gt;=$B$4,91&lt;=$D$4),1,0)</f>
        <v/>
      </c>
      <c r="CQ30" s="17">
        <f>IF(AND(92&gt;=$B$4,92&lt;=$D$4),1,0)</f>
        <v/>
      </c>
      <c r="CR30" s="17">
        <f>IF(AND(93&gt;=$B$4,93&lt;=$D$4),1,0)</f>
        <v/>
      </c>
      <c r="CS30" s="17">
        <f>IF(AND(94&gt;=$B$4,94&lt;=$D$4),1,0)</f>
        <v/>
      </c>
      <c r="CT30" s="17">
        <f>IF(AND(95&gt;=$B$4,95&lt;=$D$4),1,0)</f>
        <v/>
      </c>
      <c r="CU30" s="17">
        <f>IF(AND(96&gt;=$B$4,96&lt;=$D$4),1,0)</f>
        <v/>
      </c>
      <c r="CV30" s="17">
        <f>IF(AND(97&gt;=$B$4,97&lt;=$D$4),1,0)</f>
        <v/>
      </c>
      <c r="CW30" s="17">
        <f>IF(AND(98&gt;=$B$4,98&lt;=$D$4),1,0)</f>
        <v/>
      </c>
      <c r="CX30" s="17">
        <f>IF(AND(99&gt;=$B$4,99&lt;=$D$4),1,0)</f>
        <v/>
      </c>
      <c r="CY30" s="17">
        <f>IF(AND(100&gt;=$B$4,100&lt;=$D$4),1,0)</f>
        <v/>
      </c>
      <c r="CZ30" s="17">
        <f>IF(AND(101&gt;=$B$4,101&lt;=$D$4),1,0)</f>
        <v/>
      </c>
      <c r="DA30" s="17">
        <f>IF(AND(102&gt;=$B$4,102&lt;=$D$4),1,0)</f>
        <v/>
      </c>
      <c r="DB30" s="17">
        <f>IF(AND(103&gt;=$B$4,103&lt;=$D$4),1,0)</f>
        <v/>
      </c>
      <c r="DC30" s="17">
        <f>IF(AND(104&gt;=$B$4,104&lt;=$D$4),1,0)</f>
        <v/>
      </c>
      <c r="DD30" s="17">
        <f>IF(AND(105&gt;=$B$4,105&lt;=$D$4),1,0)</f>
        <v/>
      </c>
      <c r="DE30" s="17">
        <f>IF(AND(106&gt;=$B$4,106&lt;=$D$4),1,0)</f>
        <v/>
      </c>
      <c r="DF30" s="17">
        <f>IF(AND(107&gt;=$B$4,107&lt;=$D$4),1,0)</f>
        <v/>
      </c>
      <c r="DG30" s="17">
        <f>IF(AND(108&gt;=$B$4,108&lt;=$D$4),1,0)</f>
        <v/>
      </c>
      <c r="DH30" s="17">
        <f>IF(AND(109&gt;=$B$4,109&lt;=$D$4),1,0)</f>
        <v/>
      </c>
      <c r="DI30" s="17">
        <f>IF(AND(110&gt;=$B$4,110&lt;=$D$4),1,0)</f>
        <v/>
      </c>
      <c r="DJ30" s="17">
        <f>IF(AND(111&gt;=$B$4,111&lt;=$D$4),1,0)</f>
        <v/>
      </c>
      <c r="DK30" s="17">
        <f>IF(AND(112&gt;=$B$4,112&lt;=$D$4),1,0)</f>
        <v/>
      </c>
      <c r="DL30" s="17">
        <f>IF(AND(113&gt;=$B$4,113&lt;=$D$4),1,0)</f>
        <v/>
      </c>
      <c r="DM30" s="17">
        <f>IF(AND(114&gt;=$B$4,114&lt;=$D$4),1,0)</f>
        <v/>
      </c>
      <c r="DN30" s="17">
        <f>IF(AND(115&gt;=$B$4,115&lt;=$D$4),1,0)</f>
        <v/>
      </c>
      <c r="DO30" s="17">
        <f>IF(AND(116&gt;=$B$4,116&lt;=$D$4),1,0)</f>
        <v/>
      </c>
      <c r="DP30" s="17">
        <f>IF(AND(117&gt;=$B$4,117&lt;=$D$4),1,0)</f>
        <v/>
      </c>
      <c r="DQ30" s="17">
        <f>IF(AND(118&gt;=$B$4,118&lt;=$D$4),1,0)</f>
        <v/>
      </c>
      <c r="DR30" s="17">
        <f>IF(AND(119&gt;=$B$4,119&lt;=$D$4),1,0)</f>
        <v/>
      </c>
      <c r="DS30" s="17">
        <f>IF(AND(120&gt;=$B$4,120&lt;=$D$4),1,0)</f>
        <v/>
      </c>
      <c r="DT30" s="17">
        <f>IF(AND(121&gt;=$B$4,121&lt;=$D$4),1,0)</f>
        <v/>
      </c>
      <c r="DU30" s="17">
        <f>IF(AND(122&gt;=$B$4,122&lt;=$D$4),1,0)</f>
        <v/>
      </c>
      <c r="DV30" s="17">
        <f>IF(AND(123&gt;=$B$4,123&lt;=$D$4),1,0)</f>
        <v/>
      </c>
      <c r="DW30" s="17">
        <f>IF(AND(124&gt;=$B$4,124&lt;=$D$4),1,0)</f>
        <v/>
      </c>
      <c r="DX30" s="17">
        <f>IF(AND(125&gt;=$B$4,125&lt;=$D$4),1,0)</f>
        <v/>
      </c>
      <c r="DY30" s="17">
        <f>IF(AND(126&gt;=$B$4,126&lt;=$D$4),1,0)</f>
        <v/>
      </c>
      <c r="DZ30" s="17">
        <f>IF(AND(127&gt;=$B$4,127&lt;=$D$4),1,0)</f>
        <v/>
      </c>
      <c r="EA30" s="17">
        <f>IF(AND(128&gt;=$B$4,128&lt;=$D$4),1,0)</f>
        <v/>
      </c>
      <c r="EB30" s="17">
        <f>IF(AND(129&gt;=$B$4,129&lt;=$D$4),1,0)</f>
        <v/>
      </c>
      <c r="EC30" s="17">
        <f>IF(AND(130&gt;=$B$4,130&lt;=$D$4),1,0)</f>
        <v/>
      </c>
      <c r="ED30" s="17">
        <f>IF(AND(131&gt;=$B$4,131&lt;=$D$4),1,0)</f>
        <v/>
      </c>
      <c r="EE30" s="17">
        <f>IF(AND(132&gt;=$B$4,132&lt;=$D$4),1,0)</f>
        <v/>
      </c>
      <c r="EF30" s="17">
        <f>IF(AND(133&gt;=$B$4,133&lt;=$D$4),1,0)</f>
        <v/>
      </c>
      <c r="EG30" s="17">
        <f>IF(AND(134&gt;=$B$4,134&lt;=$D$4),1,0)</f>
        <v/>
      </c>
      <c r="EH30" s="17">
        <f>IF(AND(135&gt;=$B$4,135&lt;=$D$4),1,0)</f>
        <v/>
      </c>
      <c r="EI30" s="17">
        <f>IF(AND(136&gt;=$B$4,136&lt;=$D$4),1,0)</f>
        <v/>
      </c>
      <c r="EJ30" s="17">
        <f>IF(AND(137&gt;=$B$4,137&lt;=$D$4),1,0)</f>
        <v/>
      </c>
      <c r="EK30" s="17">
        <f>IF(AND(138&gt;=$B$4,138&lt;=$D$4),1,0)</f>
        <v/>
      </c>
      <c r="EL30" s="17">
        <f>IF(AND(139&gt;=$B$4,139&lt;=$D$4),1,0)</f>
        <v/>
      </c>
      <c r="EM30" s="17">
        <f>IF(AND(140&gt;=$B$4,140&lt;=$D$4),1,0)</f>
        <v/>
      </c>
      <c r="EN30" s="17">
        <f>IF(AND(141&gt;=$B$4,141&lt;=$D$4),1,0)</f>
        <v/>
      </c>
      <c r="EO30" s="17">
        <f>IF(AND(142&gt;=$B$4,142&lt;=$D$4),1,0)</f>
        <v/>
      </c>
      <c r="EP30" s="17">
        <f>IF(AND(143&gt;=$B$4,143&lt;=$D$4),1,0)</f>
        <v/>
      </c>
      <c r="EQ30" s="17">
        <f>IF(AND(144&gt;=$B$4,144&lt;=$D$4),1,0)</f>
        <v/>
      </c>
      <c r="ER30" s="17">
        <f>IF(AND(145&gt;=$B$4,145&lt;=$D$4),1,0)</f>
        <v/>
      </c>
      <c r="ES30" s="17">
        <f>IF(AND(146&gt;=$B$4,146&lt;=$D$4),1,0)</f>
        <v/>
      </c>
      <c r="ET30" s="17">
        <f>IF(AND(147&gt;=$B$4,147&lt;=$D$4),1,0)</f>
        <v/>
      </c>
      <c r="EU30" s="17">
        <f>IF(AND(148&gt;=$B$4,148&lt;=$D$4),1,0)</f>
        <v/>
      </c>
      <c r="EV30" s="17">
        <f>IF(AND(149&gt;=$B$4,149&lt;=$D$4),1,0)</f>
        <v/>
      </c>
      <c r="EW30" s="17">
        <f>IF(AND(150&gt;=$B$4,150&lt;=$D$4),1,0)</f>
        <v/>
      </c>
      <c r="EX30" s="17">
        <f>IF(AND(151&gt;=$B$4,151&lt;=$D$4),1,0)</f>
        <v/>
      </c>
      <c r="EY30" s="17">
        <f>IF(AND(152&gt;=$B$4,152&lt;=$D$4),1,0)</f>
        <v/>
      </c>
      <c r="EZ30" s="17">
        <f>IF(AND(153&gt;=$B$4,153&lt;=$D$4),1,0)</f>
        <v/>
      </c>
      <c r="FA30" s="17">
        <f>IF(AND(154&gt;=$B$4,154&lt;=$D$4),1,0)</f>
        <v/>
      </c>
      <c r="FB30" s="17">
        <f>IF(AND(155&gt;=$B$4,155&lt;=$D$4),1,0)</f>
        <v/>
      </c>
      <c r="FC30" s="17">
        <f>IF(AND(156&gt;=$B$4,156&lt;=$D$4),1,0)</f>
        <v/>
      </c>
      <c r="FD30" s="17">
        <f>IF(AND(157&gt;=$B$4,157&lt;=$D$4),1,0)</f>
        <v/>
      </c>
      <c r="FE30" s="17">
        <f>IF(AND(158&gt;=$B$4,158&lt;=$D$4),1,0)</f>
        <v/>
      </c>
      <c r="FF30" s="17">
        <f>IF(AND(159&gt;=$B$4,159&lt;=$D$4),1,0)</f>
        <v/>
      </c>
      <c r="FG30" s="17">
        <f>IF(AND(160&gt;=$B$4,160&lt;=$D$4),1,0)</f>
        <v/>
      </c>
      <c r="FH30" s="17">
        <f>IF(AND(161&gt;=$B$4,161&lt;=$D$4),1,0)</f>
        <v/>
      </c>
      <c r="FI30" s="17">
        <f>IF(AND(162&gt;=$B$4,162&lt;=$D$4),1,0)</f>
        <v/>
      </c>
      <c r="FJ30" s="17">
        <f>IF(AND(163&gt;=$B$4,163&lt;=$D$4),1,0)</f>
        <v/>
      </c>
      <c r="FK30" s="17">
        <f>IF(AND(164&gt;=$B$4,164&lt;=$D$4),1,0)</f>
        <v/>
      </c>
      <c r="FL30" s="17">
        <f>IF(AND(165&gt;=$B$4,165&lt;=$D$4),1,0)</f>
        <v/>
      </c>
      <c r="FM30" s="17">
        <f>IF(AND(166&gt;=$B$4,166&lt;=$D$4),1,0)</f>
        <v/>
      </c>
      <c r="FN30" s="17">
        <f>IF(AND(167&gt;=$B$4,167&lt;=$D$4),1,0)</f>
        <v/>
      </c>
      <c r="FO30" s="17">
        <f>IF(AND(168&gt;=$B$4,168&lt;=$D$4),1,0)</f>
        <v/>
      </c>
      <c r="FP30" s="17">
        <f>IF(AND(169&gt;=$B$4,169&lt;=$D$4),1,0)</f>
        <v/>
      </c>
      <c r="FQ30" s="17">
        <f>IF(AND(170&gt;=$B$4,170&lt;=$D$4),1,0)</f>
        <v/>
      </c>
      <c r="FR30" s="17">
        <f>IF(AND(171&gt;=$B$4,171&lt;=$D$4),1,0)</f>
        <v/>
      </c>
      <c r="FS30" s="17">
        <f>IF(AND(172&gt;=$B$4,172&lt;=$D$4),1,0)</f>
        <v/>
      </c>
      <c r="FT30" s="17">
        <f>IF(AND(173&gt;=$B$4,173&lt;=$D$4),1,0)</f>
        <v/>
      </c>
      <c r="FU30" s="17">
        <f>IF(AND(174&gt;=$B$4,174&lt;=$D$4),1,0)</f>
        <v/>
      </c>
      <c r="FV30" s="17">
        <f>IF(AND(175&gt;=$B$4,175&lt;=$D$4),1,0)</f>
        <v/>
      </c>
      <c r="FW30" s="17">
        <f>IF(AND(176&gt;=$B$4,176&lt;=$D$4),1,0)</f>
        <v/>
      </c>
      <c r="FX30" s="17">
        <f>IF(AND(177&gt;=$B$4,177&lt;=$D$4),1,0)</f>
        <v/>
      </c>
      <c r="FY30" s="17">
        <f>IF(AND(178&gt;=$B$4,178&lt;=$D$4),1,0)</f>
        <v/>
      </c>
      <c r="FZ30" s="17">
        <f>IF(AND(179&gt;=$B$4,179&lt;=$D$4),1,0)</f>
        <v/>
      </c>
      <c r="GA30" s="17">
        <f>IF(AND(180&gt;=$B$4,180&lt;=$D$4),1,0)</f>
        <v/>
      </c>
      <c r="GB30" s="17">
        <f>IF(AND(181&gt;=$B$4,181&lt;=$D$4),1,0)</f>
        <v/>
      </c>
      <c r="GC30" s="17">
        <f>IF(AND(182&gt;=$B$4,182&lt;=$D$4),1,0)</f>
        <v/>
      </c>
      <c r="GD30" s="17">
        <f>IF(AND(183&gt;=$B$4,183&lt;=$D$4),1,0)</f>
        <v/>
      </c>
      <c r="GE30" s="17">
        <f>IF(AND(184&gt;=$B$4,184&lt;=$D$4),1,0)</f>
        <v/>
      </c>
      <c r="GF30" s="17">
        <f>IF(AND(185&gt;=$B$4,185&lt;=$D$4),1,0)</f>
        <v/>
      </c>
      <c r="GG30" s="17">
        <f>IF(AND(186&gt;=$B$4,186&lt;=$D$4),1,0)</f>
        <v/>
      </c>
      <c r="GH30" s="17">
        <f>IF(AND(187&gt;=$B$4,187&lt;=$D$4),1,0)</f>
        <v/>
      </c>
      <c r="GI30" s="17">
        <f>IF(AND(188&gt;=$B$4,188&lt;=$D$4),1,0)</f>
        <v/>
      </c>
      <c r="GJ30" s="17">
        <f>IF(AND(189&gt;=$B$4,189&lt;=$D$4),1,0)</f>
        <v/>
      </c>
      <c r="GK30" s="17">
        <f>IF(AND(190&gt;=$B$4,190&lt;=$D$4),1,0)</f>
        <v/>
      </c>
      <c r="GL30" s="17">
        <f>IF(AND(191&gt;=$B$4,191&lt;=$D$4),1,0)</f>
        <v/>
      </c>
      <c r="GM30" s="17">
        <f>IF(AND(192&gt;=$B$4,192&lt;=$D$4),1,0)</f>
        <v/>
      </c>
      <c r="GN30" s="17">
        <f>IF(AND(193&gt;=$B$4,193&lt;=$D$4),1,0)</f>
        <v/>
      </c>
      <c r="GO30" s="17">
        <f>IF(AND(194&gt;=$B$4,194&lt;=$D$4),1,0)</f>
        <v/>
      </c>
      <c r="GP30" s="17">
        <f>IF(AND(195&gt;=$B$4,195&lt;=$D$4),1,0)</f>
        <v/>
      </c>
      <c r="GQ30" s="17">
        <f>IF(AND(196&gt;=$B$4,196&lt;=$D$4),1,0)</f>
        <v/>
      </c>
      <c r="GR30" s="17">
        <f>IF(AND(197&gt;=$B$4,197&lt;=$D$4),1,0)</f>
        <v/>
      </c>
      <c r="GS30" s="17">
        <f>IF(AND(198&gt;=$B$4,198&lt;=$D$4),1,0)</f>
        <v/>
      </c>
      <c r="GT30" s="17">
        <f>IF(AND(199&gt;=$B$4,199&lt;=$D$4),1,0)</f>
        <v/>
      </c>
      <c r="GU30" s="17">
        <f>IF(AND(200&gt;=$B$4,200&lt;=$D$4),1,0)</f>
        <v/>
      </c>
      <c r="GV30" s="17">
        <f>IF(AND(201&gt;=$B$4,201&lt;=$D$4),1,0)</f>
        <v/>
      </c>
      <c r="GW30" s="17">
        <f>IF(AND(202&gt;=$B$4,202&lt;=$D$4),1,0)</f>
        <v/>
      </c>
      <c r="GX30" s="17">
        <f>IF(AND(203&gt;=$B$4,203&lt;=$D$4),1,0)</f>
        <v/>
      </c>
      <c r="GY30" s="17">
        <f>IF(AND(204&gt;=$B$4,204&lt;=$D$4),1,0)</f>
        <v/>
      </c>
      <c r="GZ30" s="17">
        <f>IF(AND(205&gt;=$B$4,205&lt;=$D$4),1,0)</f>
        <v/>
      </c>
      <c r="HA30" s="17">
        <f>IF(AND(206&gt;=$B$4,206&lt;=$D$4),1,0)</f>
        <v/>
      </c>
      <c r="HB30" s="17">
        <f>IF(AND(207&gt;=$B$4,207&lt;=$D$4),1,0)</f>
        <v/>
      </c>
      <c r="HC30" s="17">
        <f>IF(AND(208&gt;=$B$4,208&lt;=$D$4),1,0)</f>
        <v/>
      </c>
      <c r="HD30" s="17">
        <f>IF(AND(209&gt;=$B$4,209&lt;=$D$4),1,0)</f>
        <v/>
      </c>
      <c r="HE30" s="17">
        <f>IF(AND(210&gt;=$B$4,210&lt;=$D$4),1,0)</f>
        <v/>
      </c>
      <c r="HF30" s="17">
        <f>IF(AND(211&gt;=$B$4,211&lt;=$D$4),1,0)</f>
        <v/>
      </c>
      <c r="HG30" s="17">
        <f>IF(AND(212&gt;=$B$4,212&lt;=$D$4),1,0)</f>
        <v/>
      </c>
      <c r="HH30" s="17">
        <f>IF(AND(213&gt;=$B$4,213&lt;=$D$4),1,0)</f>
        <v/>
      </c>
      <c r="HI30" s="17">
        <f>IF(AND(214&gt;=$B$4,214&lt;=$D$4),1,0)</f>
        <v/>
      </c>
      <c r="HJ30" s="17">
        <f>IF(AND(215&gt;=$B$4,215&lt;=$D$4),1,0)</f>
        <v/>
      </c>
      <c r="HK30" s="17">
        <f>IF(AND(216&gt;=$B$4,216&lt;=$D$4),1,0)</f>
        <v/>
      </c>
      <c r="HL30" s="17">
        <f>IF(AND(217&gt;=$B$4,217&lt;=$D$4),1,0)</f>
        <v/>
      </c>
      <c r="HM30" s="17">
        <f>IF(AND(218&gt;=$B$4,218&lt;=$D$4),1,0)</f>
        <v/>
      </c>
      <c r="HN30" s="17">
        <f>IF(AND(219&gt;=$B$4,219&lt;=$D$4),1,0)</f>
        <v/>
      </c>
      <c r="HO30" s="17">
        <f>IF(AND(220&gt;=$B$4,220&lt;=$D$4),1,0)</f>
        <v/>
      </c>
      <c r="HP30" s="17">
        <f>IF(AND(221&gt;=$B$4,221&lt;=$D$4),1,0)</f>
        <v/>
      </c>
      <c r="HQ30" s="17">
        <f>IF(AND(222&gt;=$B$4,222&lt;=$D$4),1,0)</f>
        <v/>
      </c>
      <c r="HR30" s="17">
        <f>IF(AND(223&gt;=$B$4,223&lt;=$D$4),1,0)</f>
        <v/>
      </c>
      <c r="HS30" s="17">
        <f>IF(AND(224&gt;=$B$4,224&lt;=$D$4),1,0)</f>
        <v/>
      </c>
      <c r="HT30" s="17">
        <f>IF(AND(225&gt;=$B$4,225&lt;=$D$4),1,0)</f>
        <v/>
      </c>
      <c r="HU30" s="17">
        <f>IF(AND(226&gt;=$B$4,226&lt;=$D$4),1,0)</f>
        <v/>
      </c>
      <c r="HV30" s="17">
        <f>IF(AND(227&gt;=$B$4,227&lt;=$D$4),1,0)</f>
        <v/>
      </c>
      <c r="HW30" s="17">
        <f>IF(AND(228&gt;=$B$4,228&lt;=$D$4),1,0)</f>
        <v/>
      </c>
      <c r="HX30" s="17">
        <f>IF(AND(229&gt;=$B$4,229&lt;=$D$4),1,0)</f>
        <v/>
      </c>
      <c r="HY30" s="17">
        <f>IF(AND(230&gt;=$B$4,230&lt;=$D$4),1,0)</f>
        <v/>
      </c>
      <c r="HZ30" s="17">
        <f>IF(AND(231&gt;=$B$4,231&lt;=$D$4),1,0)</f>
        <v/>
      </c>
      <c r="IA30" s="17">
        <f>IF(AND(232&gt;=$B$4,232&lt;=$D$4),1,0)</f>
        <v/>
      </c>
      <c r="IB30" s="17">
        <f>IF(AND(233&gt;=$B$4,233&lt;=$D$4),1,0)</f>
        <v/>
      </c>
      <c r="IC30" s="17">
        <f>IF(AND(234&gt;=$B$4,234&lt;=$D$4),1,0)</f>
        <v/>
      </c>
      <c r="ID30" s="17">
        <f>IF(AND(235&gt;=$B$4,235&lt;=$D$4),1,0)</f>
        <v/>
      </c>
      <c r="IE30" s="17">
        <f>IF(AND(236&gt;=$B$4,236&lt;=$D$4),1,0)</f>
        <v/>
      </c>
      <c r="IF30" s="17">
        <f>IF(AND(237&gt;=$B$4,237&lt;=$D$4),1,0)</f>
        <v/>
      </c>
      <c r="IG30" s="17">
        <f>IF(AND(238&gt;=$B$4,238&lt;=$D$4),1,0)</f>
        <v/>
      </c>
      <c r="IH30" s="17">
        <f>IF(AND(239&gt;=$B$4,239&lt;=$D$4),1,0)</f>
        <v/>
      </c>
      <c r="II30" s="17">
        <f>IF(AND(240&gt;=$B$4,240&lt;=$D$4),1,0)</f>
        <v/>
      </c>
      <c r="IJ30" s="17">
        <f>IF(AND(241&gt;=$B$4,241&lt;=$D$4),1,0)</f>
        <v/>
      </c>
      <c r="IK30" s="17">
        <f>IF(AND(242&gt;=$B$4,242&lt;=$D$4),1,0)</f>
        <v/>
      </c>
      <c r="IL30" s="17">
        <f>IF(AND(243&gt;=$B$4,243&lt;=$D$4),1,0)</f>
        <v/>
      </c>
      <c r="IM30" s="17">
        <f>IF(AND(244&gt;=$B$4,244&lt;=$D$4),1,0)</f>
        <v/>
      </c>
      <c r="IN30" s="17">
        <f>IF(AND(245&gt;=$B$4,245&lt;=$D$4),1,0)</f>
        <v/>
      </c>
      <c r="IO30" s="17">
        <f>IF(AND(246&gt;=$B$4,246&lt;=$D$4),1,0)</f>
        <v/>
      </c>
      <c r="IP30" s="17">
        <f>IF(AND(247&gt;=$B$4,247&lt;=$D$4),1,0)</f>
        <v/>
      </c>
      <c r="IQ30" s="17">
        <f>IF(AND(248&gt;=$B$4,248&lt;=$D$4),1,0)</f>
        <v/>
      </c>
      <c r="IR30" s="17">
        <f>IF(AND(249&gt;=$B$4,249&lt;=$D$4),1,0)</f>
        <v/>
      </c>
      <c r="IS30" s="17">
        <f>IF(AND(250&gt;=$B$4,250&lt;=$D$4),1,0)</f>
        <v/>
      </c>
      <c r="IT30" s="17">
        <f>IF(AND(251&gt;=$B$4,251&lt;=$D$4),1,0)</f>
        <v/>
      </c>
      <c r="IU30" s="17">
        <f>IF(AND(252&gt;=$B$4,252&lt;=$D$4),1,0)</f>
        <v/>
      </c>
      <c r="IV30" s="17">
        <f>IF(AND(253&gt;=$B$4,253&lt;=$D$4),1,0)</f>
        <v/>
      </c>
      <c r="IW30" s="17">
        <f>IF(AND(254&gt;=$B$4,254&lt;=$D$4),1,0)</f>
        <v/>
      </c>
      <c r="IX30" s="17">
        <f>IF(AND(255&gt;=$B$4,255&lt;=$D$4),1,0)</f>
        <v/>
      </c>
      <c r="IY30" s="17">
        <f>IF(AND(256&gt;=$B$4,256&lt;=$D$4),1,0)</f>
        <v/>
      </c>
      <c r="IZ30" s="17">
        <f>IF(AND(257&gt;=$B$4,257&lt;=$D$4),1,0)</f>
        <v/>
      </c>
      <c r="JA30" s="17">
        <f>IF(AND(258&gt;=$B$4,258&lt;=$D$4),1,0)</f>
        <v/>
      </c>
      <c r="JB30" s="17">
        <f>IF(AND(259&gt;=$B$4,259&lt;=$D$4),1,0)</f>
        <v/>
      </c>
      <c r="JC30" s="17">
        <f>IF(AND(260&gt;=$B$4,260&lt;=$D$4),1,0)</f>
        <v/>
      </c>
      <c r="JD30" s="17">
        <f>IF(AND(261&gt;=$B$4,261&lt;=$D$4),1,0)</f>
        <v/>
      </c>
      <c r="JE30" s="17">
        <f>IF(AND(262&gt;=$B$4,262&lt;=$D$4),1,0)</f>
        <v/>
      </c>
      <c r="JF30" s="17">
        <f>IF(AND(263&gt;=$B$4,263&lt;=$D$4),1,0)</f>
        <v/>
      </c>
      <c r="JG30" s="17">
        <f>IF(AND(264&gt;=$B$4,264&lt;=$D$4),1,0)</f>
        <v/>
      </c>
      <c r="JH30" s="17">
        <f>IF(AND(265&gt;=$B$4,265&lt;=$D$4),1,0)</f>
        <v/>
      </c>
      <c r="JI30" s="17">
        <f>IF(AND(266&gt;=$B$4,266&lt;=$D$4),1,0)</f>
        <v/>
      </c>
      <c r="JJ30" s="17">
        <f>IF(AND(267&gt;=$B$4,267&lt;=$D$4),1,0)</f>
        <v/>
      </c>
      <c r="JK30" s="17">
        <f>IF(AND(268&gt;=$B$4,268&lt;=$D$4),1,0)</f>
        <v/>
      </c>
      <c r="JL30" s="17">
        <f>IF(AND(269&gt;=$B$4,269&lt;=$D$4),1,0)</f>
        <v/>
      </c>
      <c r="JM30" s="17">
        <f>IF(AND(270&gt;=$B$4,270&lt;=$D$4),1,0)</f>
        <v/>
      </c>
      <c r="JN30" s="17">
        <f>IF(AND(271&gt;=$B$4,271&lt;=$D$4),1,0)</f>
        <v/>
      </c>
      <c r="JO30" s="17">
        <f>IF(AND(272&gt;=$B$4,272&lt;=$D$4),1,0)</f>
        <v/>
      </c>
      <c r="JP30" s="17">
        <f>IF(AND(273&gt;=$B$4,273&lt;=$D$4),1,0)</f>
        <v/>
      </c>
      <c r="JQ30" s="17">
        <f>IF(AND(274&gt;=$B$4,274&lt;=$D$4),1,0)</f>
        <v/>
      </c>
      <c r="JR30" s="17">
        <f>IF(AND(275&gt;=$B$4,275&lt;=$D$4),1,0)</f>
        <v/>
      </c>
      <c r="JS30" s="17">
        <f>IF(AND(276&gt;=$B$4,276&lt;=$D$4),1,0)</f>
        <v/>
      </c>
      <c r="JT30" s="17">
        <f>IF(AND(277&gt;=$B$4,277&lt;=$D$4),1,0)</f>
        <v/>
      </c>
      <c r="JU30" s="17">
        <f>IF(AND(278&gt;=$B$4,278&lt;=$D$4),1,0)</f>
        <v/>
      </c>
      <c r="JV30" s="17">
        <f>IF(AND(279&gt;=$B$4,279&lt;=$D$4),1,0)</f>
        <v/>
      </c>
      <c r="JW30" s="17">
        <f>IF(AND(280&gt;=$B$4,280&lt;=$D$4),1,0)</f>
        <v/>
      </c>
      <c r="JX30" s="17">
        <f>IF(AND(281&gt;=$B$4,281&lt;=$D$4),1,0)</f>
        <v/>
      </c>
      <c r="JY30" s="17">
        <f>IF(AND(282&gt;=$B$4,282&lt;=$D$4),1,0)</f>
        <v/>
      </c>
      <c r="JZ30" s="17">
        <f>IF(AND(283&gt;=$B$4,283&lt;=$D$4),1,0)</f>
        <v/>
      </c>
      <c r="KA30" s="17">
        <f>IF(AND(284&gt;=$B$4,284&lt;=$D$4),1,0)</f>
        <v/>
      </c>
      <c r="KB30" s="17">
        <f>IF(AND(285&gt;=$B$4,285&lt;=$D$4),1,0)</f>
        <v/>
      </c>
      <c r="KC30" s="17">
        <f>IF(AND(286&gt;=$B$4,286&lt;=$D$4),1,0)</f>
        <v/>
      </c>
      <c r="KD30" s="17">
        <f>IF(AND(287&gt;=$B$4,287&lt;=$D$4),1,0)</f>
        <v/>
      </c>
      <c r="KE30" s="17">
        <f>IF(AND(288&gt;=$B$4,288&lt;=$D$4),1,0)</f>
        <v/>
      </c>
      <c r="KF30" s="17">
        <f>IF(AND(289&gt;=$B$4,289&lt;=$D$4),1,0)</f>
        <v/>
      </c>
      <c r="KG30" s="17">
        <f>IF(AND(290&gt;=$B$4,290&lt;=$D$4),1,0)</f>
        <v/>
      </c>
      <c r="KH30" s="17">
        <f>IF(AND(291&gt;=$B$4,291&lt;=$D$4),1,0)</f>
        <v/>
      </c>
      <c r="KI30" s="17">
        <f>IF(AND(292&gt;=$B$4,292&lt;=$D$4),1,0)</f>
        <v/>
      </c>
      <c r="KJ30" s="17">
        <f>IF(AND(293&gt;=$B$4,293&lt;=$D$4),1,0)</f>
        <v/>
      </c>
      <c r="KK30" s="17">
        <f>IF(AND(294&gt;=$B$4,294&lt;=$D$4),1,0)</f>
        <v/>
      </c>
      <c r="KL30" s="17">
        <f>IF(AND(295&gt;=$B$4,295&lt;=$D$4),1,0)</f>
        <v/>
      </c>
      <c r="KM30" s="17">
        <f>IF(AND(296&gt;=$B$4,296&lt;=$D$4),1,0)</f>
        <v/>
      </c>
      <c r="KN30" s="17">
        <f>IF(AND(297&gt;=$B$4,297&lt;=$D$4),1,0)</f>
        <v/>
      </c>
      <c r="KO30" s="17">
        <f>IF(AND(298&gt;=$B$4,298&lt;=$D$4),1,0)</f>
        <v/>
      </c>
      <c r="KP30" s="17">
        <f>IF(AND(299&gt;=$B$4,299&lt;=$D$4),1,0)</f>
        <v/>
      </c>
      <c r="KQ30" s="17">
        <f>IF(AND(300&gt;=$B$4,300&lt;=$D$4),1,0)</f>
        <v/>
      </c>
      <c r="KR30" s="17">
        <f>IF(AND(301&gt;=$B$4,301&lt;=$D$4),1,0)</f>
        <v/>
      </c>
      <c r="KS30" s="17">
        <f>IF(AND(302&gt;=$B$4,302&lt;=$D$4),1,0)</f>
        <v/>
      </c>
      <c r="KT30" s="17">
        <f>IF(AND(303&gt;=$B$4,303&lt;=$D$4),1,0)</f>
        <v/>
      </c>
      <c r="KU30" s="17">
        <f>IF(AND(304&gt;=$B$4,304&lt;=$D$4),1,0)</f>
        <v/>
      </c>
      <c r="KV30" s="17">
        <f>IF(AND(305&gt;=$B$4,305&lt;=$D$4),1,0)</f>
        <v/>
      </c>
      <c r="KW30" s="17">
        <f>IF(AND(306&gt;=$B$4,306&lt;=$D$4),1,0)</f>
        <v/>
      </c>
      <c r="KX30" s="17">
        <f>IF(AND(307&gt;=$B$4,307&lt;=$D$4),1,0)</f>
        <v/>
      </c>
      <c r="KY30" s="17">
        <f>IF(AND(308&gt;=$B$4,308&lt;=$D$4),1,0)</f>
        <v/>
      </c>
      <c r="KZ30" s="17">
        <f>IF(AND(309&gt;=$B$4,309&lt;=$D$4),1,0)</f>
        <v/>
      </c>
      <c r="LA30" s="17">
        <f>IF(AND(310&gt;=$B$4,310&lt;=$D$4),1,0)</f>
        <v/>
      </c>
      <c r="LB30" s="17">
        <f>IF(AND(311&gt;=$B$4,311&lt;=$D$4),1,0)</f>
        <v/>
      </c>
      <c r="LC30" s="17">
        <f>IF(AND(312&gt;=$B$4,312&lt;=$D$4),1,0)</f>
        <v/>
      </c>
      <c r="LD30" s="17">
        <f>IF(AND(313&gt;=$B$4,313&lt;=$D$4),1,0)</f>
        <v/>
      </c>
      <c r="LE30" s="17">
        <f>IF(AND(314&gt;=$B$4,314&lt;=$D$4),1,0)</f>
        <v/>
      </c>
      <c r="LF30" s="17">
        <f>IF(AND(315&gt;=$B$4,315&lt;=$D$4),1,0)</f>
        <v/>
      </c>
      <c r="LG30" s="17">
        <f>IF(AND(316&gt;=$B$4,316&lt;=$D$4),1,0)</f>
        <v/>
      </c>
      <c r="LH30" s="17">
        <f>IF(AND(317&gt;=$B$4,317&lt;=$D$4),1,0)</f>
        <v/>
      </c>
      <c r="LI30" s="17">
        <f>IF(AND(318&gt;=$B$4,318&lt;=$D$4),1,0)</f>
        <v/>
      </c>
      <c r="LJ30" s="17">
        <f>IF(AND(319&gt;=$B$4,319&lt;=$D$4),1,0)</f>
        <v/>
      </c>
      <c r="LK30" s="17">
        <f>IF(AND(320&gt;=$B$4,320&lt;=$D$4),1,0)</f>
        <v/>
      </c>
      <c r="LL30" s="17">
        <f>IF(AND(321&gt;=$B$4,321&lt;=$D$4),1,0)</f>
        <v/>
      </c>
      <c r="LM30" s="17">
        <f>IF(AND(322&gt;=$B$4,322&lt;=$D$4),1,0)</f>
        <v/>
      </c>
      <c r="LN30" s="17">
        <f>IF(AND(323&gt;=$B$4,323&lt;=$D$4),1,0)</f>
        <v/>
      </c>
      <c r="LO30" s="17">
        <f>IF(AND(324&gt;=$B$4,324&lt;=$D$4),1,0)</f>
        <v/>
      </c>
      <c r="LP30" s="17">
        <f>IF(AND(325&gt;=$B$4,325&lt;=$D$4),1,0)</f>
        <v/>
      </c>
      <c r="LQ30" s="17">
        <f>IF(AND(326&gt;=$B$4,326&lt;=$D$4),1,0)</f>
        <v/>
      </c>
      <c r="LR30" s="17">
        <f>IF(AND(327&gt;=$B$4,327&lt;=$D$4),1,0)</f>
        <v/>
      </c>
      <c r="LS30" s="17">
        <f>IF(AND(328&gt;=$B$4,328&lt;=$D$4),1,0)</f>
        <v/>
      </c>
      <c r="LT30" s="17">
        <f>IF(AND(329&gt;=$B$4,329&lt;=$D$4),1,0)</f>
        <v/>
      </c>
      <c r="LU30" s="17">
        <f>IF(AND(330&gt;=$B$4,330&lt;=$D$4),1,0)</f>
        <v/>
      </c>
      <c r="LV30" s="17">
        <f>IF(AND(331&gt;=$B$4,331&lt;=$D$4),1,0)</f>
        <v/>
      </c>
      <c r="LW30" s="17">
        <f>IF(AND(332&gt;=$B$4,332&lt;=$D$4),1,0)</f>
        <v/>
      </c>
      <c r="LX30" s="17">
        <f>IF(AND(333&gt;=$B$4,333&lt;=$D$4),1,0)</f>
        <v/>
      </c>
      <c r="LY30" s="17">
        <f>IF(AND(334&gt;=$B$4,334&lt;=$D$4),1,0)</f>
        <v/>
      </c>
      <c r="LZ30" s="17">
        <f>IF(AND(335&gt;=$B$4,335&lt;=$D$4),1,0)</f>
        <v/>
      </c>
      <c r="MA30" s="17">
        <f>IF(AND(336&gt;=$B$4,336&lt;=$D$4),1,0)</f>
        <v/>
      </c>
      <c r="MB30" s="17">
        <f>IF(AND(337&gt;=$B$4,337&lt;=$D$4),1,0)</f>
        <v/>
      </c>
      <c r="MC30" s="17">
        <f>IF(AND(338&gt;=$B$4,338&lt;=$D$4),1,0)</f>
        <v/>
      </c>
      <c r="MD30" s="17">
        <f>IF(AND(339&gt;=$B$4,339&lt;=$D$4),1,0)</f>
        <v/>
      </c>
      <c r="ME30" s="17">
        <f>IF(AND(340&gt;=$B$4,340&lt;=$D$4),1,0)</f>
        <v/>
      </c>
      <c r="MF30" s="17">
        <f>IF(AND(341&gt;=$B$4,341&lt;=$D$4),1,0)</f>
        <v/>
      </c>
      <c r="MG30" s="17">
        <f>IF(AND(342&gt;=$B$4,342&lt;=$D$4),1,0)</f>
        <v/>
      </c>
      <c r="MH30" s="17">
        <f>IF(AND(343&gt;=$B$4,343&lt;=$D$4),1,0)</f>
        <v/>
      </c>
      <c r="MI30" s="17">
        <f>IF(AND(344&gt;=$B$4,344&lt;=$D$4),1,0)</f>
        <v/>
      </c>
      <c r="MJ30" s="17">
        <f>IF(AND(345&gt;=$B$4,345&lt;=$D$4),1,0)</f>
        <v/>
      </c>
      <c r="MK30" s="17">
        <f>IF(AND(346&gt;=$B$4,346&lt;=$D$4),1,0)</f>
        <v/>
      </c>
      <c r="ML30" s="17">
        <f>IF(AND(347&gt;=$B$4,347&lt;=$D$4),1,0)</f>
        <v/>
      </c>
      <c r="MM30" s="17">
        <f>IF(AND(348&gt;=$B$4,348&lt;=$D$4),1,0)</f>
        <v/>
      </c>
      <c r="MN30" s="17">
        <f>IF(AND(349&gt;=$B$4,349&lt;=$D$4),1,0)</f>
        <v/>
      </c>
      <c r="MO30" s="17">
        <f>IF(AND(350&gt;=$B$4,350&lt;=$D$4),1,0)</f>
        <v/>
      </c>
      <c r="MP30" s="17">
        <f>IF(AND(351&gt;=$B$4,351&lt;=$D$4),1,0)</f>
        <v/>
      </c>
      <c r="MQ30" s="17">
        <f>IF(AND(352&gt;=$B$4,352&lt;=$D$4),1,0)</f>
        <v/>
      </c>
      <c r="MR30" s="17">
        <f>IF(AND(353&gt;=$B$4,353&lt;=$D$4),1,0)</f>
        <v/>
      </c>
      <c r="MS30" s="17">
        <f>IF(AND(354&gt;=$B$4,354&lt;=$D$4),1,0)</f>
        <v/>
      </c>
      <c r="MT30" s="17">
        <f>IF(AND(355&gt;=$B$4,355&lt;=$D$4),1,0)</f>
        <v/>
      </c>
      <c r="MU30" s="17">
        <f>IF(AND(356&gt;=$B$4,356&lt;=$D$4),1,0)</f>
        <v/>
      </c>
      <c r="MV30" s="17">
        <f>IF(AND(357&gt;=$B$4,357&lt;=$D$4),1,0)</f>
        <v/>
      </c>
      <c r="MW30" s="17">
        <f>IF(AND(358&gt;=$B$4,358&lt;=$D$4),1,0)</f>
        <v/>
      </c>
      <c r="MX30" s="17">
        <f>IF(AND(359&gt;=$B$4,359&lt;=$D$4),1,0)</f>
        <v/>
      </c>
      <c r="MY30" s="17">
        <f>IF(AND(360&gt;=$B$4,360&lt;=$D$4),1,0)</f>
        <v/>
      </c>
      <c r="MZ30" s="17">
        <f>IF(AND(361&gt;=$B$4,361&lt;=$D$4),1,0)</f>
        <v/>
      </c>
      <c r="NA30" s="17">
        <f>IF(AND(362&gt;=$B$4,362&lt;=$D$4),1,0)</f>
        <v/>
      </c>
      <c r="NB30" s="17">
        <f>IF(AND(363&gt;=$B$4,363&lt;=$D$4),1,0)</f>
        <v/>
      </c>
      <c r="NC30" s="17">
        <f>IF(AND(364&gt;=$B$4,364&lt;=$D$4),1,0)</f>
        <v/>
      </c>
      <c r="ND30" s="17">
        <f>IF(AND(365&gt;=$B$4,365&lt;=$D$4),1,0)</f>
        <v/>
      </c>
      <c r="NE30" s="17">
        <f>IF(AND(366&gt;=$B$4,366&lt;=$D$4),1,0)</f>
        <v/>
      </c>
      <c r="NF30" s="17">
        <f>IF(AND(367&gt;=$B$4,367&lt;=$D$4),1,0)</f>
        <v/>
      </c>
      <c r="NG30" s="17">
        <f>IF(AND(368&gt;=$B$4,368&lt;=$D$4),1,0)</f>
        <v/>
      </c>
      <c r="NH30" s="17">
        <f>IF(AND(369&gt;=$B$4,369&lt;=$D$4),1,0)</f>
        <v/>
      </c>
      <c r="NI30" s="17">
        <f>IF(AND(370&gt;=$B$4,370&lt;=$D$4),1,0)</f>
        <v/>
      </c>
      <c r="NJ30" s="17">
        <f>IF(AND(371&gt;=$B$4,371&lt;=$D$4),1,0)</f>
        <v/>
      </c>
      <c r="NK30" s="17">
        <f>IF(AND(372&gt;=$B$4,372&lt;=$D$4),1,0)</f>
        <v/>
      </c>
    </row>
    <row r="31">
      <c r="A31" s="5" t="inlineStr">
        <is>
          <t>Flag: Due Diligence</t>
        </is>
      </c>
      <c r="C31" s="40" t="n"/>
      <c r="D31" s="17">
        <f>IF(AND(1&gt;=$B$5,1&lt;=$D$5),1,0)</f>
        <v/>
      </c>
      <c r="E31" s="17">
        <f>IF(AND(2&gt;=$B$5,2&lt;=$D$5),1,0)</f>
        <v/>
      </c>
      <c r="F31" s="17">
        <f>IF(AND(3&gt;=$B$5,3&lt;=$D$5),1,0)</f>
        <v/>
      </c>
      <c r="G31" s="17">
        <f>IF(AND(4&gt;=$B$5,4&lt;=$D$5),1,0)</f>
        <v/>
      </c>
      <c r="H31" s="17">
        <f>IF(AND(5&gt;=$B$5,5&lt;=$D$5),1,0)</f>
        <v/>
      </c>
      <c r="I31" s="17">
        <f>IF(AND(6&gt;=$B$5,6&lt;=$D$5),1,0)</f>
        <v/>
      </c>
      <c r="J31" s="17">
        <f>IF(AND(7&gt;=$B$5,7&lt;=$D$5),1,0)</f>
        <v/>
      </c>
      <c r="K31" s="17">
        <f>IF(AND(8&gt;=$B$5,8&lt;=$D$5),1,0)</f>
        <v/>
      </c>
      <c r="L31" s="17">
        <f>IF(AND(9&gt;=$B$5,9&lt;=$D$5),1,0)</f>
        <v/>
      </c>
      <c r="M31" s="17">
        <f>IF(AND(10&gt;=$B$5,10&lt;=$D$5),1,0)</f>
        <v/>
      </c>
      <c r="N31" s="17">
        <f>IF(AND(11&gt;=$B$5,11&lt;=$D$5),1,0)</f>
        <v/>
      </c>
      <c r="O31" s="17">
        <f>IF(AND(12&gt;=$B$5,12&lt;=$D$5),1,0)</f>
        <v/>
      </c>
      <c r="P31" s="17">
        <f>IF(AND(13&gt;=$B$5,13&lt;=$D$5),1,0)</f>
        <v/>
      </c>
      <c r="Q31" s="17">
        <f>IF(AND(14&gt;=$B$5,14&lt;=$D$5),1,0)</f>
        <v/>
      </c>
      <c r="R31" s="17">
        <f>IF(AND(15&gt;=$B$5,15&lt;=$D$5),1,0)</f>
        <v/>
      </c>
      <c r="S31" s="17">
        <f>IF(AND(16&gt;=$B$5,16&lt;=$D$5),1,0)</f>
        <v/>
      </c>
      <c r="T31" s="17">
        <f>IF(AND(17&gt;=$B$5,17&lt;=$D$5),1,0)</f>
        <v/>
      </c>
      <c r="U31" s="17">
        <f>IF(AND(18&gt;=$B$5,18&lt;=$D$5),1,0)</f>
        <v/>
      </c>
      <c r="V31" s="17">
        <f>IF(AND(19&gt;=$B$5,19&lt;=$D$5),1,0)</f>
        <v/>
      </c>
      <c r="W31" s="17">
        <f>IF(AND(20&gt;=$B$5,20&lt;=$D$5),1,0)</f>
        <v/>
      </c>
      <c r="X31" s="17">
        <f>IF(AND(21&gt;=$B$5,21&lt;=$D$5),1,0)</f>
        <v/>
      </c>
      <c r="Y31" s="17">
        <f>IF(AND(22&gt;=$B$5,22&lt;=$D$5),1,0)</f>
        <v/>
      </c>
      <c r="Z31" s="17">
        <f>IF(AND(23&gt;=$B$5,23&lt;=$D$5),1,0)</f>
        <v/>
      </c>
      <c r="AA31" s="17">
        <f>IF(AND(24&gt;=$B$5,24&lt;=$D$5),1,0)</f>
        <v/>
      </c>
      <c r="AB31" s="17">
        <f>IF(AND(25&gt;=$B$5,25&lt;=$D$5),1,0)</f>
        <v/>
      </c>
      <c r="AC31" s="17">
        <f>IF(AND(26&gt;=$B$5,26&lt;=$D$5),1,0)</f>
        <v/>
      </c>
      <c r="AD31" s="17">
        <f>IF(AND(27&gt;=$B$5,27&lt;=$D$5),1,0)</f>
        <v/>
      </c>
      <c r="AE31" s="17">
        <f>IF(AND(28&gt;=$B$5,28&lt;=$D$5),1,0)</f>
        <v/>
      </c>
      <c r="AF31" s="17">
        <f>IF(AND(29&gt;=$B$5,29&lt;=$D$5),1,0)</f>
        <v/>
      </c>
      <c r="AG31" s="17">
        <f>IF(AND(30&gt;=$B$5,30&lt;=$D$5),1,0)</f>
        <v/>
      </c>
      <c r="AH31" s="17">
        <f>IF(AND(31&gt;=$B$5,31&lt;=$D$5),1,0)</f>
        <v/>
      </c>
      <c r="AI31" s="17">
        <f>IF(AND(32&gt;=$B$5,32&lt;=$D$5),1,0)</f>
        <v/>
      </c>
      <c r="AJ31" s="17">
        <f>IF(AND(33&gt;=$B$5,33&lt;=$D$5),1,0)</f>
        <v/>
      </c>
      <c r="AK31" s="17">
        <f>IF(AND(34&gt;=$B$5,34&lt;=$D$5),1,0)</f>
        <v/>
      </c>
      <c r="AL31" s="17">
        <f>IF(AND(35&gt;=$B$5,35&lt;=$D$5),1,0)</f>
        <v/>
      </c>
      <c r="AM31" s="17">
        <f>IF(AND(36&gt;=$B$5,36&lt;=$D$5),1,0)</f>
        <v/>
      </c>
      <c r="AN31" s="17">
        <f>IF(AND(37&gt;=$B$5,37&lt;=$D$5),1,0)</f>
        <v/>
      </c>
      <c r="AO31" s="17">
        <f>IF(AND(38&gt;=$B$5,38&lt;=$D$5),1,0)</f>
        <v/>
      </c>
      <c r="AP31" s="17">
        <f>IF(AND(39&gt;=$B$5,39&lt;=$D$5),1,0)</f>
        <v/>
      </c>
      <c r="AQ31" s="17">
        <f>IF(AND(40&gt;=$B$5,40&lt;=$D$5),1,0)</f>
        <v/>
      </c>
      <c r="AR31" s="17">
        <f>IF(AND(41&gt;=$B$5,41&lt;=$D$5),1,0)</f>
        <v/>
      </c>
      <c r="AS31" s="17">
        <f>IF(AND(42&gt;=$B$5,42&lt;=$D$5),1,0)</f>
        <v/>
      </c>
      <c r="AT31" s="17">
        <f>IF(AND(43&gt;=$B$5,43&lt;=$D$5),1,0)</f>
        <v/>
      </c>
      <c r="AU31" s="17">
        <f>IF(AND(44&gt;=$B$5,44&lt;=$D$5),1,0)</f>
        <v/>
      </c>
      <c r="AV31" s="17">
        <f>IF(AND(45&gt;=$B$5,45&lt;=$D$5),1,0)</f>
        <v/>
      </c>
      <c r="AW31" s="17">
        <f>IF(AND(46&gt;=$B$5,46&lt;=$D$5),1,0)</f>
        <v/>
      </c>
      <c r="AX31" s="17">
        <f>IF(AND(47&gt;=$B$5,47&lt;=$D$5),1,0)</f>
        <v/>
      </c>
      <c r="AY31" s="17">
        <f>IF(AND(48&gt;=$B$5,48&lt;=$D$5),1,0)</f>
        <v/>
      </c>
      <c r="AZ31" s="17">
        <f>IF(AND(49&gt;=$B$5,49&lt;=$D$5),1,0)</f>
        <v/>
      </c>
      <c r="BA31" s="17">
        <f>IF(AND(50&gt;=$B$5,50&lt;=$D$5),1,0)</f>
        <v/>
      </c>
      <c r="BB31" s="17">
        <f>IF(AND(51&gt;=$B$5,51&lt;=$D$5),1,0)</f>
        <v/>
      </c>
      <c r="BC31" s="17">
        <f>IF(AND(52&gt;=$B$5,52&lt;=$D$5),1,0)</f>
        <v/>
      </c>
      <c r="BD31" s="17">
        <f>IF(AND(53&gt;=$B$5,53&lt;=$D$5),1,0)</f>
        <v/>
      </c>
      <c r="BE31" s="17">
        <f>IF(AND(54&gt;=$B$5,54&lt;=$D$5),1,0)</f>
        <v/>
      </c>
      <c r="BF31" s="17">
        <f>IF(AND(55&gt;=$B$5,55&lt;=$D$5),1,0)</f>
        <v/>
      </c>
      <c r="BG31" s="17">
        <f>IF(AND(56&gt;=$B$5,56&lt;=$D$5),1,0)</f>
        <v/>
      </c>
      <c r="BH31" s="17">
        <f>IF(AND(57&gt;=$B$5,57&lt;=$D$5),1,0)</f>
        <v/>
      </c>
      <c r="BI31" s="17">
        <f>IF(AND(58&gt;=$B$5,58&lt;=$D$5),1,0)</f>
        <v/>
      </c>
      <c r="BJ31" s="17">
        <f>IF(AND(59&gt;=$B$5,59&lt;=$D$5),1,0)</f>
        <v/>
      </c>
      <c r="BK31" s="17">
        <f>IF(AND(60&gt;=$B$5,60&lt;=$D$5),1,0)</f>
        <v/>
      </c>
      <c r="BL31" s="17">
        <f>IF(AND(61&gt;=$B$5,61&lt;=$D$5),1,0)</f>
        <v/>
      </c>
      <c r="BM31" s="17">
        <f>IF(AND(62&gt;=$B$5,62&lt;=$D$5),1,0)</f>
        <v/>
      </c>
      <c r="BN31" s="17">
        <f>IF(AND(63&gt;=$B$5,63&lt;=$D$5),1,0)</f>
        <v/>
      </c>
      <c r="BO31" s="17">
        <f>IF(AND(64&gt;=$B$5,64&lt;=$D$5),1,0)</f>
        <v/>
      </c>
      <c r="BP31" s="17">
        <f>IF(AND(65&gt;=$B$5,65&lt;=$D$5),1,0)</f>
        <v/>
      </c>
      <c r="BQ31" s="17">
        <f>IF(AND(66&gt;=$B$5,66&lt;=$D$5),1,0)</f>
        <v/>
      </c>
      <c r="BR31" s="17">
        <f>IF(AND(67&gt;=$B$5,67&lt;=$D$5),1,0)</f>
        <v/>
      </c>
      <c r="BS31" s="17">
        <f>IF(AND(68&gt;=$B$5,68&lt;=$D$5),1,0)</f>
        <v/>
      </c>
      <c r="BT31" s="17">
        <f>IF(AND(69&gt;=$B$5,69&lt;=$D$5),1,0)</f>
        <v/>
      </c>
      <c r="BU31" s="17">
        <f>IF(AND(70&gt;=$B$5,70&lt;=$D$5),1,0)</f>
        <v/>
      </c>
      <c r="BV31" s="17">
        <f>IF(AND(71&gt;=$B$5,71&lt;=$D$5),1,0)</f>
        <v/>
      </c>
      <c r="BW31" s="17">
        <f>IF(AND(72&gt;=$B$5,72&lt;=$D$5),1,0)</f>
        <v/>
      </c>
      <c r="BX31" s="17">
        <f>IF(AND(73&gt;=$B$5,73&lt;=$D$5),1,0)</f>
        <v/>
      </c>
      <c r="BY31" s="17">
        <f>IF(AND(74&gt;=$B$5,74&lt;=$D$5),1,0)</f>
        <v/>
      </c>
      <c r="BZ31" s="17">
        <f>IF(AND(75&gt;=$B$5,75&lt;=$D$5),1,0)</f>
        <v/>
      </c>
      <c r="CA31" s="17">
        <f>IF(AND(76&gt;=$B$5,76&lt;=$D$5),1,0)</f>
        <v/>
      </c>
      <c r="CB31" s="17">
        <f>IF(AND(77&gt;=$B$5,77&lt;=$D$5),1,0)</f>
        <v/>
      </c>
      <c r="CC31" s="17">
        <f>IF(AND(78&gt;=$B$5,78&lt;=$D$5),1,0)</f>
        <v/>
      </c>
      <c r="CD31" s="17">
        <f>IF(AND(79&gt;=$B$5,79&lt;=$D$5),1,0)</f>
        <v/>
      </c>
      <c r="CE31" s="17">
        <f>IF(AND(80&gt;=$B$5,80&lt;=$D$5),1,0)</f>
        <v/>
      </c>
      <c r="CF31" s="17">
        <f>IF(AND(81&gt;=$B$5,81&lt;=$D$5),1,0)</f>
        <v/>
      </c>
      <c r="CG31" s="17">
        <f>IF(AND(82&gt;=$B$5,82&lt;=$D$5),1,0)</f>
        <v/>
      </c>
      <c r="CH31" s="17">
        <f>IF(AND(83&gt;=$B$5,83&lt;=$D$5),1,0)</f>
        <v/>
      </c>
      <c r="CI31" s="17">
        <f>IF(AND(84&gt;=$B$5,84&lt;=$D$5),1,0)</f>
        <v/>
      </c>
      <c r="CJ31" s="17">
        <f>IF(AND(85&gt;=$B$5,85&lt;=$D$5),1,0)</f>
        <v/>
      </c>
      <c r="CK31" s="17">
        <f>IF(AND(86&gt;=$B$5,86&lt;=$D$5),1,0)</f>
        <v/>
      </c>
      <c r="CL31" s="17">
        <f>IF(AND(87&gt;=$B$5,87&lt;=$D$5),1,0)</f>
        <v/>
      </c>
      <c r="CM31" s="17">
        <f>IF(AND(88&gt;=$B$5,88&lt;=$D$5),1,0)</f>
        <v/>
      </c>
      <c r="CN31" s="17">
        <f>IF(AND(89&gt;=$B$5,89&lt;=$D$5),1,0)</f>
        <v/>
      </c>
      <c r="CO31" s="17">
        <f>IF(AND(90&gt;=$B$5,90&lt;=$D$5),1,0)</f>
        <v/>
      </c>
      <c r="CP31" s="17">
        <f>IF(AND(91&gt;=$B$5,91&lt;=$D$5),1,0)</f>
        <v/>
      </c>
      <c r="CQ31" s="17">
        <f>IF(AND(92&gt;=$B$5,92&lt;=$D$5),1,0)</f>
        <v/>
      </c>
      <c r="CR31" s="17">
        <f>IF(AND(93&gt;=$B$5,93&lt;=$D$5),1,0)</f>
        <v/>
      </c>
      <c r="CS31" s="17">
        <f>IF(AND(94&gt;=$B$5,94&lt;=$D$5),1,0)</f>
        <v/>
      </c>
      <c r="CT31" s="17">
        <f>IF(AND(95&gt;=$B$5,95&lt;=$D$5),1,0)</f>
        <v/>
      </c>
      <c r="CU31" s="17">
        <f>IF(AND(96&gt;=$B$5,96&lt;=$D$5),1,0)</f>
        <v/>
      </c>
      <c r="CV31" s="17">
        <f>IF(AND(97&gt;=$B$5,97&lt;=$D$5),1,0)</f>
        <v/>
      </c>
      <c r="CW31" s="17">
        <f>IF(AND(98&gt;=$B$5,98&lt;=$D$5),1,0)</f>
        <v/>
      </c>
      <c r="CX31" s="17">
        <f>IF(AND(99&gt;=$B$5,99&lt;=$D$5),1,0)</f>
        <v/>
      </c>
      <c r="CY31" s="17">
        <f>IF(AND(100&gt;=$B$5,100&lt;=$D$5),1,0)</f>
        <v/>
      </c>
      <c r="CZ31" s="17">
        <f>IF(AND(101&gt;=$B$5,101&lt;=$D$5),1,0)</f>
        <v/>
      </c>
      <c r="DA31" s="17">
        <f>IF(AND(102&gt;=$B$5,102&lt;=$D$5),1,0)</f>
        <v/>
      </c>
      <c r="DB31" s="17">
        <f>IF(AND(103&gt;=$B$5,103&lt;=$D$5),1,0)</f>
        <v/>
      </c>
      <c r="DC31" s="17">
        <f>IF(AND(104&gt;=$B$5,104&lt;=$D$5),1,0)</f>
        <v/>
      </c>
      <c r="DD31" s="17">
        <f>IF(AND(105&gt;=$B$5,105&lt;=$D$5),1,0)</f>
        <v/>
      </c>
      <c r="DE31" s="17">
        <f>IF(AND(106&gt;=$B$5,106&lt;=$D$5),1,0)</f>
        <v/>
      </c>
      <c r="DF31" s="17">
        <f>IF(AND(107&gt;=$B$5,107&lt;=$D$5),1,0)</f>
        <v/>
      </c>
      <c r="DG31" s="17">
        <f>IF(AND(108&gt;=$B$5,108&lt;=$D$5),1,0)</f>
        <v/>
      </c>
      <c r="DH31" s="17">
        <f>IF(AND(109&gt;=$B$5,109&lt;=$D$5),1,0)</f>
        <v/>
      </c>
      <c r="DI31" s="17">
        <f>IF(AND(110&gt;=$B$5,110&lt;=$D$5),1,0)</f>
        <v/>
      </c>
      <c r="DJ31" s="17">
        <f>IF(AND(111&gt;=$B$5,111&lt;=$D$5),1,0)</f>
        <v/>
      </c>
      <c r="DK31" s="17">
        <f>IF(AND(112&gt;=$B$5,112&lt;=$D$5),1,0)</f>
        <v/>
      </c>
      <c r="DL31" s="17">
        <f>IF(AND(113&gt;=$B$5,113&lt;=$D$5),1,0)</f>
        <v/>
      </c>
      <c r="DM31" s="17">
        <f>IF(AND(114&gt;=$B$5,114&lt;=$D$5),1,0)</f>
        <v/>
      </c>
      <c r="DN31" s="17">
        <f>IF(AND(115&gt;=$B$5,115&lt;=$D$5),1,0)</f>
        <v/>
      </c>
      <c r="DO31" s="17">
        <f>IF(AND(116&gt;=$B$5,116&lt;=$D$5),1,0)</f>
        <v/>
      </c>
      <c r="DP31" s="17">
        <f>IF(AND(117&gt;=$B$5,117&lt;=$D$5),1,0)</f>
        <v/>
      </c>
      <c r="DQ31" s="17">
        <f>IF(AND(118&gt;=$B$5,118&lt;=$D$5),1,0)</f>
        <v/>
      </c>
      <c r="DR31" s="17">
        <f>IF(AND(119&gt;=$B$5,119&lt;=$D$5),1,0)</f>
        <v/>
      </c>
      <c r="DS31" s="17">
        <f>IF(AND(120&gt;=$B$5,120&lt;=$D$5),1,0)</f>
        <v/>
      </c>
      <c r="DT31" s="17">
        <f>IF(AND(121&gt;=$B$5,121&lt;=$D$5),1,0)</f>
        <v/>
      </c>
      <c r="DU31" s="17">
        <f>IF(AND(122&gt;=$B$5,122&lt;=$D$5),1,0)</f>
        <v/>
      </c>
      <c r="DV31" s="17">
        <f>IF(AND(123&gt;=$B$5,123&lt;=$D$5),1,0)</f>
        <v/>
      </c>
      <c r="DW31" s="17">
        <f>IF(AND(124&gt;=$B$5,124&lt;=$D$5),1,0)</f>
        <v/>
      </c>
      <c r="DX31" s="17">
        <f>IF(AND(125&gt;=$B$5,125&lt;=$D$5),1,0)</f>
        <v/>
      </c>
      <c r="DY31" s="17">
        <f>IF(AND(126&gt;=$B$5,126&lt;=$D$5),1,0)</f>
        <v/>
      </c>
      <c r="DZ31" s="17">
        <f>IF(AND(127&gt;=$B$5,127&lt;=$D$5),1,0)</f>
        <v/>
      </c>
      <c r="EA31" s="17">
        <f>IF(AND(128&gt;=$B$5,128&lt;=$D$5),1,0)</f>
        <v/>
      </c>
      <c r="EB31" s="17">
        <f>IF(AND(129&gt;=$B$5,129&lt;=$D$5),1,0)</f>
        <v/>
      </c>
      <c r="EC31" s="17">
        <f>IF(AND(130&gt;=$B$5,130&lt;=$D$5),1,0)</f>
        <v/>
      </c>
      <c r="ED31" s="17">
        <f>IF(AND(131&gt;=$B$5,131&lt;=$D$5),1,0)</f>
        <v/>
      </c>
      <c r="EE31" s="17">
        <f>IF(AND(132&gt;=$B$5,132&lt;=$D$5),1,0)</f>
        <v/>
      </c>
      <c r="EF31" s="17">
        <f>IF(AND(133&gt;=$B$5,133&lt;=$D$5),1,0)</f>
        <v/>
      </c>
      <c r="EG31" s="17">
        <f>IF(AND(134&gt;=$B$5,134&lt;=$D$5),1,0)</f>
        <v/>
      </c>
      <c r="EH31" s="17">
        <f>IF(AND(135&gt;=$B$5,135&lt;=$D$5),1,0)</f>
        <v/>
      </c>
      <c r="EI31" s="17">
        <f>IF(AND(136&gt;=$B$5,136&lt;=$D$5),1,0)</f>
        <v/>
      </c>
      <c r="EJ31" s="17">
        <f>IF(AND(137&gt;=$B$5,137&lt;=$D$5),1,0)</f>
        <v/>
      </c>
      <c r="EK31" s="17">
        <f>IF(AND(138&gt;=$B$5,138&lt;=$D$5),1,0)</f>
        <v/>
      </c>
      <c r="EL31" s="17">
        <f>IF(AND(139&gt;=$B$5,139&lt;=$D$5),1,0)</f>
        <v/>
      </c>
      <c r="EM31" s="17">
        <f>IF(AND(140&gt;=$B$5,140&lt;=$D$5),1,0)</f>
        <v/>
      </c>
      <c r="EN31" s="17">
        <f>IF(AND(141&gt;=$B$5,141&lt;=$D$5),1,0)</f>
        <v/>
      </c>
      <c r="EO31" s="17">
        <f>IF(AND(142&gt;=$B$5,142&lt;=$D$5),1,0)</f>
        <v/>
      </c>
      <c r="EP31" s="17">
        <f>IF(AND(143&gt;=$B$5,143&lt;=$D$5),1,0)</f>
        <v/>
      </c>
      <c r="EQ31" s="17">
        <f>IF(AND(144&gt;=$B$5,144&lt;=$D$5),1,0)</f>
        <v/>
      </c>
      <c r="ER31" s="17">
        <f>IF(AND(145&gt;=$B$5,145&lt;=$D$5),1,0)</f>
        <v/>
      </c>
      <c r="ES31" s="17">
        <f>IF(AND(146&gt;=$B$5,146&lt;=$D$5),1,0)</f>
        <v/>
      </c>
      <c r="ET31" s="17">
        <f>IF(AND(147&gt;=$B$5,147&lt;=$D$5),1,0)</f>
        <v/>
      </c>
      <c r="EU31" s="17">
        <f>IF(AND(148&gt;=$B$5,148&lt;=$D$5),1,0)</f>
        <v/>
      </c>
      <c r="EV31" s="17">
        <f>IF(AND(149&gt;=$B$5,149&lt;=$D$5),1,0)</f>
        <v/>
      </c>
      <c r="EW31" s="17">
        <f>IF(AND(150&gt;=$B$5,150&lt;=$D$5),1,0)</f>
        <v/>
      </c>
      <c r="EX31" s="17">
        <f>IF(AND(151&gt;=$B$5,151&lt;=$D$5),1,0)</f>
        <v/>
      </c>
      <c r="EY31" s="17">
        <f>IF(AND(152&gt;=$B$5,152&lt;=$D$5),1,0)</f>
        <v/>
      </c>
      <c r="EZ31" s="17">
        <f>IF(AND(153&gt;=$B$5,153&lt;=$D$5),1,0)</f>
        <v/>
      </c>
      <c r="FA31" s="17">
        <f>IF(AND(154&gt;=$B$5,154&lt;=$D$5),1,0)</f>
        <v/>
      </c>
      <c r="FB31" s="17">
        <f>IF(AND(155&gt;=$B$5,155&lt;=$D$5),1,0)</f>
        <v/>
      </c>
      <c r="FC31" s="17">
        <f>IF(AND(156&gt;=$B$5,156&lt;=$D$5),1,0)</f>
        <v/>
      </c>
      <c r="FD31" s="17">
        <f>IF(AND(157&gt;=$B$5,157&lt;=$D$5),1,0)</f>
        <v/>
      </c>
      <c r="FE31" s="17">
        <f>IF(AND(158&gt;=$B$5,158&lt;=$D$5),1,0)</f>
        <v/>
      </c>
      <c r="FF31" s="17">
        <f>IF(AND(159&gt;=$B$5,159&lt;=$D$5),1,0)</f>
        <v/>
      </c>
      <c r="FG31" s="17">
        <f>IF(AND(160&gt;=$B$5,160&lt;=$D$5),1,0)</f>
        <v/>
      </c>
      <c r="FH31" s="17">
        <f>IF(AND(161&gt;=$B$5,161&lt;=$D$5),1,0)</f>
        <v/>
      </c>
      <c r="FI31" s="17">
        <f>IF(AND(162&gt;=$B$5,162&lt;=$D$5),1,0)</f>
        <v/>
      </c>
      <c r="FJ31" s="17">
        <f>IF(AND(163&gt;=$B$5,163&lt;=$D$5),1,0)</f>
        <v/>
      </c>
      <c r="FK31" s="17">
        <f>IF(AND(164&gt;=$B$5,164&lt;=$D$5),1,0)</f>
        <v/>
      </c>
      <c r="FL31" s="17">
        <f>IF(AND(165&gt;=$B$5,165&lt;=$D$5),1,0)</f>
        <v/>
      </c>
      <c r="FM31" s="17">
        <f>IF(AND(166&gt;=$B$5,166&lt;=$D$5),1,0)</f>
        <v/>
      </c>
      <c r="FN31" s="17">
        <f>IF(AND(167&gt;=$B$5,167&lt;=$D$5),1,0)</f>
        <v/>
      </c>
      <c r="FO31" s="17">
        <f>IF(AND(168&gt;=$B$5,168&lt;=$D$5),1,0)</f>
        <v/>
      </c>
      <c r="FP31" s="17">
        <f>IF(AND(169&gt;=$B$5,169&lt;=$D$5),1,0)</f>
        <v/>
      </c>
      <c r="FQ31" s="17">
        <f>IF(AND(170&gt;=$B$5,170&lt;=$D$5),1,0)</f>
        <v/>
      </c>
      <c r="FR31" s="17">
        <f>IF(AND(171&gt;=$B$5,171&lt;=$D$5),1,0)</f>
        <v/>
      </c>
      <c r="FS31" s="17">
        <f>IF(AND(172&gt;=$B$5,172&lt;=$D$5),1,0)</f>
        <v/>
      </c>
      <c r="FT31" s="17">
        <f>IF(AND(173&gt;=$B$5,173&lt;=$D$5),1,0)</f>
        <v/>
      </c>
      <c r="FU31" s="17">
        <f>IF(AND(174&gt;=$B$5,174&lt;=$D$5),1,0)</f>
        <v/>
      </c>
      <c r="FV31" s="17">
        <f>IF(AND(175&gt;=$B$5,175&lt;=$D$5),1,0)</f>
        <v/>
      </c>
      <c r="FW31" s="17">
        <f>IF(AND(176&gt;=$B$5,176&lt;=$D$5),1,0)</f>
        <v/>
      </c>
      <c r="FX31" s="17">
        <f>IF(AND(177&gt;=$B$5,177&lt;=$D$5),1,0)</f>
        <v/>
      </c>
      <c r="FY31" s="17">
        <f>IF(AND(178&gt;=$B$5,178&lt;=$D$5),1,0)</f>
        <v/>
      </c>
      <c r="FZ31" s="17">
        <f>IF(AND(179&gt;=$B$5,179&lt;=$D$5),1,0)</f>
        <v/>
      </c>
      <c r="GA31" s="17">
        <f>IF(AND(180&gt;=$B$5,180&lt;=$D$5),1,0)</f>
        <v/>
      </c>
      <c r="GB31" s="17">
        <f>IF(AND(181&gt;=$B$5,181&lt;=$D$5),1,0)</f>
        <v/>
      </c>
      <c r="GC31" s="17">
        <f>IF(AND(182&gt;=$B$5,182&lt;=$D$5),1,0)</f>
        <v/>
      </c>
      <c r="GD31" s="17">
        <f>IF(AND(183&gt;=$B$5,183&lt;=$D$5),1,0)</f>
        <v/>
      </c>
      <c r="GE31" s="17">
        <f>IF(AND(184&gt;=$B$5,184&lt;=$D$5),1,0)</f>
        <v/>
      </c>
      <c r="GF31" s="17">
        <f>IF(AND(185&gt;=$B$5,185&lt;=$D$5),1,0)</f>
        <v/>
      </c>
      <c r="GG31" s="17">
        <f>IF(AND(186&gt;=$B$5,186&lt;=$D$5),1,0)</f>
        <v/>
      </c>
      <c r="GH31" s="17">
        <f>IF(AND(187&gt;=$B$5,187&lt;=$D$5),1,0)</f>
        <v/>
      </c>
      <c r="GI31" s="17">
        <f>IF(AND(188&gt;=$B$5,188&lt;=$D$5),1,0)</f>
        <v/>
      </c>
      <c r="GJ31" s="17">
        <f>IF(AND(189&gt;=$B$5,189&lt;=$D$5),1,0)</f>
        <v/>
      </c>
      <c r="GK31" s="17">
        <f>IF(AND(190&gt;=$B$5,190&lt;=$D$5),1,0)</f>
        <v/>
      </c>
      <c r="GL31" s="17">
        <f>IF(AND(191&gt;=$B$5,191&lt;=$D$5),1,0)</f>
        <v/>
      </c>
      <c r="GM31" s="17">
        <f>IF(AND(192&gt;=$B$5,192&lt;=$D$5),1,0)</f>
        <v/>
      </c>
      <c r="GN31" s="17">
        <f>IF(AND(193&gt;=$B$5,193&lt;=$D$5),1,0)</f>
        <v/>
      </c>
      <c r="GO31" s="17">
        <f>IF(AND(194&gt;=$B$5,194&lt;=$D$5),1,0)</f>
        <v/>
      </c>
      <c r="GP31" s="17">
        <f>IF(AND(195&gt;=$B$5,195&lt;=$D$5),1,0)</f>
        <v/>
      </c>
      <c r="GQ31" s="17">
        <f>IF(AND(196&gt;=$B$5,196&lt;=$D$5),1,0)</f>
        <v/>
      </c>
      <c r="GR31" s="17">
        <f>IF(AND(197&gt;=$B$5,197&lt;=$D$5),1,0)</f>
        <v/>
      </c>
      <c r="GS31" s="17">
        <f>IF(AND(198&gt;=$B$5,198&lt;=$D$5),1,0)</f>
        <v/>
      </c>
      <c r="GT31" s="17">
        <f>IF(AND(199&gt;=$B$5,199&lt;=$D$5),1,0)</f>
        <v/>
      </c>
      <c r="GU31" s="17">
        <f>IF(AND(200&gt;=$B$5,200&lt;=$D$5),1,0)</f>
        <v/>
      </c>
      <c r="GV31" s="17">
        <f>IF(AND(201&gt;=$B$5,201&lt;=$D$5),1,0)</f>
        <v/>
      </c>
      <c r="GW31" s="17">
        <f>IF(AND(202&gt;=$B$5,202&lt;=$D$5),1,0)</f>
        <v/>
      </c>
      <c r="GX31" s="17">
        <f>IF(AND(203&gt;=$B$5,203&lt;=$D$5),1,0)</f>
        <v/>
      </c>
      <c r="GY31" s="17">
        <f>IF(AND(204&gt;=$B$5,204&lt;=$D$5),1,0)</f>
        <v/>
      </c>
      <c r="GZ31" s="17">
        <f>IF(AND(205&gt;=$B$5,205&lt;=$D$5),1,0)</f>
        <v/>
      </c>
      <c r="HA31" s="17">
        <f>IF(AND(206&gt;=$B$5,206&lt;=$D$5),1,0)</f>
        <v/>
      </c>
      <c r="HB31" s="17">
        <f>IF(AND(207&gt;=$B$5,207&lt;=$D$5),1,0)</f>
        <v/>
      </c>
      <c r="HC31" s="17">
        <f>IF(AND(208&gt;=$B$5,208&lt;=$D$5),1,0)</f>
        <v/>
      </c>
      <c r="HD31" s="17">
        <f>IF(AND(209&gt;=$B$5,209&lt;=$D$5),1,0)</f>
        <v/>
      </c>
      <c r="HE31" s="17">
        <f>IF(AND(210&gt;=$B$5,210&lt;=$D$5),1,0)</f>
        <v/>
      </c>
      <c r="HF31" s="17">
        <f>IF(AND(211&gt;=$B$5,211&lt;=$D$5),1,0)</f>
        <v/>
      </c>
      <c r="HG31" s="17">
        <f>IF(AND(212&gt;=$B$5,212&lt;=$D$5),1,0)</f>
        <v/>
      </c>
      <c r="HH31" s="17">
        <f>IF(AND(213&gt;=$B$5,213&lt;=$D$5),1,0)</f>
        <v/>
      </c>
      <c r="HI31" s="17">
        <f>IF(AND(214&gt;=$B$5,214&lt;=$D$5),1,0)</f>
        <v/>
      </c>
      <c r="HJ31" s="17">
        <f>IF(AND(215&gt;=$B$5,215&lt;=$D$5),1,0)</f>
        <v/>
      </c>
      <c r="HK31" s="17">
        <f>IF(AND(216&gt;=$B$5,216&lt;=$D$5),1,0)</f>
        <v/>
      </c>
      <c r="HL31" s="17">
        <f>IF(AND(217&gt;=$B$5,217&lt;=$D$5),1,0)</f>
        <v/>
      </c>
      <c r="HM31" s="17">
        <f>IF(AND(218&gt;=$B$5,218&lt;=$D$5),1,0)</f>
        <v/>
      </c>
      <c r="HN31" s="17">
        <f>IF(AND(219&gt;=$B$5,219&lt;=$D$5),1,0)</f>
        <v/>
      </c>
      <c r="HO31" s="17">
        <f>IF(AND(220&gt;=$B$5,220&lt;=$D$5),1,0)</f>
        <v/>
      </c>
      <c r="HP31" s="17">
        <f>IF(AND(221&gt;=$B$5,221&lt;=$D$5),1,0)</f>
        <v/>
      </c>
      <c r="HQ31" s="17">
        <f>IF(AND(222&gt;=$B$5,222&lt;=$D$5),1,0)</f>
        <v/>
      </c>
      <c r="HR31" s="17">
        <f>IF(AND(223&gt;=$B$5,223&lt;=$D$5),1,0)</f>
        <v/>
      </c>
      <c r="HS31" s="17">
        <f>IF(AND(224&gt;=$B$5,224&lt;=$D$5),1,0)</f>
        <v/>
      </c>
      <c r="HT31" s="17">
        <f>IF(AND(225&gt;=$B$5,225&lt;=$D$5),1,0)</f>
        <v/>
      </c>
      <c r="HU31" s="17">
        <f>IF(AND(226&gt;=$B$5,226&lt;=$D$5),1,0)</f>
        <v/>
      </c>
      <c r="HV31" s="17">
        <f>IF(AND(227&gt;=$B$5,227&lt;=$D$5),1,0)</f>
        <v/>
      </c>
      <c r="HW31" s="17">
        <f>IF(AND(228&gt;=$B$5,228&lt;=$D$5),1,0)</f>
        <v/>
      </c>
      <c r="HX31" s="17">
        <f>IF(AND(229&gt;=$B$5,229&lt;=$D$5),1,0)</f>
        <v/>
      </c>
      <c r="HY31" s="17">
        <f>IF(AND(230&gt;=$B$5,230&lt;=$D$5),1,0)</f>
        <v/>
      </c>
      <c r="HZ31" s="17">
        <f>IF(AND(231&gt;=$B$5,231&lt;=$D$5),1,0)</f>
        <v/>
      </c>
      <c r="IA31" s="17">
        <f>IF(AND(232&gt;=$B$5,232&lt;=$D$5),1,0)</f>
        <v/>
      </c>
      <c r="IB31" s="17">
        <f>IF(AND(233&gt;=$B$5,233&lt;=$D$5),1,0)</f>
        <v/>
      </c>
      <c r="IC31" s="17">
        <f>IF(AND(234&gt;=$B$5,234&lt;=$D$5),1,0)</f>
        <v/>
      </c>
      <c r="ID31" s="17">
        <f>IF(AND(235&gt;=$B$5,235&lt;=$D$5),1,0)</f>
        <v/>
      </c>
      <c r="IE31" s="17">
        <f>IF(AND(236&gt;=$B$5,236&lt;=$D$5),1,0)</f>
        <v/>
      </c>
      <c r="IF31" s="17">
        <f>IF(AND(237&gt;=$B$5,237&lt;=$D$5),1,0)</f>
        <v/>
      </c>
      <c r="IG31" s="17">
        <f>IF(AND(238&gt;=$B$5,238&lt;=$D$5),1,0)</f>
        <v/>
      </c>
      <c r="IH31" s="17">
        <f>IF(AND(239&gt;=$B$5,239&lt;=$D$5),1,0)</f>
        <v/>
      </c>
      <c r="II31" s="17">
        <f>IF(AND(240&gt;=$B$5,240&lt;=$D$5),1,0)</f>
        <v/>
      </c>
      <c r="IJ31" s="17">
        <f>IF(AND(241&gt;=$B$5,241&lt;=$D$5),1,0)</f>
        <v/>
      </c>
      <c r="IK31" s="17">
        <f>IF(AND(242&gt;=$B$5,242&lt;=$D$5),1,0)</f>
        <v/>
      </c>
      <c r="IL31" s="17">
        <f>IF(AND(243&gt;=$B$5,243&lt;=$D$5),1,0)</f>
        <v/>
      </c>
      <c r="IM31" s="17">
        <f>IF(AND(244&gt;=$B$5,244&lt;=$D$5),1,0)</f>
        <v/>
      </c>
      <c r="IN31" s="17">
        <f>IF(AND(245&gt;=$B$5,245&lt;=$D$5),1,0)</f>
        <v/>
      </c>
      <c r="IO31" s="17">
        <f>IF(AND(246&gt;=$B$5,246&lt;=$D$5),1,0)</f>
        <v/>
      </c>
      <c r="IP31" s="17">
        <f>IF(AND(247&gt;=$B$5,247&lt;=$D$5),1,0)</f>
        <v/>
      </c>
      <c r="IQ31" s="17">
        <f>IF(AND(248&gt;=$B$5,248&lt;=$D$5),1,0)</f>
        <v/>
      </c>
      <c r="IR31" s="17">
        <f>IF(AND(249&gt;=$B$5,249&lt;=$D$5),1,0)</f>
        <v/>
      </c>
      <c r="IS31" s="17">
        <f>IF(AND(250&gt;=$B$5,250&lt;=$D$5),1,0)</f>
        <v/>
      </c>
      <c r="IT31" s="17">
        <f>IF(AND(251&gt;=$B$5,251&lt;=$D$5),1,0)</f>
        <v/>
      </c>
      <c r="IU31" s="17">
        <f>IF(AND(252&gt;=$B$5,252&lt;=$D$5),1,0)</f>
        <v/>
      </c>
      <c r="IV31" s="17">
        <f>IF(AND(253&gt;=$B$5,253&lt;=$D$5),1,0)</f>
        <v/>
      </c>
      <c r="IW31" s="17">
        <f>IF(AND(254&gt;=$B$5,254&lt;=$D$5),1,0)</f>
        <v/>
      </c>
      <c r="IX31" s="17">
        <f>IF(AND(255&gt;=$B$5,255&lt;=$D$5),1,0)</f>
        <v/>
      </c>
      <c r="IY31" s="17">
        <f>IF(AND(256&gt;=$B$5,256&lt;=$D$5),1,0)</f>
        <v/>
      </c>
      <c r="IZ31" s="17">
        <f>IF(AND(257&gt;=$B$5,257&lt;=$D$5),1,0)</f>
        <v/>
      </c>
      <c r="JA31" s="17">
        <f>IF(AND(258&gt;=$B$5,258&lt;=$D$5),1,0)</f>
        <v/>
      </c>
      <c r="JB31" s="17">
        <f>IF(AND(259&gt;=$B$5,259&lt;=$D$5),1,0)</f>
        <v/>
      </c>
      <c r="JC31" s="17">
        <f>IF(AND(260&gt;=$B$5,260&lt;=$D$5),1,0)</f>
        <v/>
      </c>
      <c r="JD31" s="17">
        <f>IF(AND(261&gt;=$B$5,261&lt;=$D$5),1,0)</f>
        <v/>
      </c>
      <c r="JE31" s="17">
        <f>IF(AND(262&gt;=$B$5,262&lt;=$D$5),1,0)</f>
        <v/>
      </c>
      <c r="JF31" s="17">
        <f>IF(AND(263&gt;=$B$5,263&lt;=$D$5),1,0)</f>
        <v/>
      </c>
      <c r="JG31" s="17">
        <f>IF(AND(264&gt;=$B$5,264&lt;=$D$5),1,0)</f>
        <v/>
      </c>
      <c r="JH31" s="17">
        <f>IF(AND(265&gt;=$B$5,265&lt;=$D$5),1,0)</f>
        <v/>
      </c>
      <c r="JI31" s="17">
        <f>IF(AND(266&gt;=$B$5,266&lt;=$D$5),1,0)</f>
        <v/>
      </c>
      <c r="JJ31" s="17">
        <f>IF(AND(267&gt;=$B$5,267&lt;=$D$5),1,0)</f>
        <v/>
      </c>
      <c r="JK31" s="17">
        <f>IF(AND(268&gt;=$B$5,268&lt;=$D$5),1,0)</f>
        <v/>
      </c>
      <c r="JL31" s="17">
        <f>IF(AND(269&gt;=$B$5,269&lt;=$D$5),1,0)</f>
        <v/>
      </c>
      <c r="JM31" s="17">
        <f>IF(AND(270&gt;=$B$5,270&lt;=$D$5),1,0)</f>
        <v/>
      </c>
      <c r="JN31" s="17">
        <f>IF(AND(271&gt;=$B$5,271&lt;=$D$5),1,0)</f>
        <v/>
      </c>
      <c r="JO31" s="17">
        <f>IF(AND(272&gt;=$B$5,272&lt;=$D$5),1,0)</f>
        <v/>
      </c>
      <c r="JP31" s="17">
        <f>IF(AND(273&gt;=$B$5,273&lt;=$D$5),1,0)</f>
        <v/>
      </c>
      <c r="JQ31" s="17">
        <f>IF(AND(274&gt;=$B$5,274&lt;=$D$5),1,0)</f>
        <v/>
      </c>
      <c r="JR31" s="17">
        <f>IF(AND(275&gt;=$B$5,275&lt;=$D$5),1,0)</f>
        <v/>
      </c>
      <c r="JS31" s="17">
        <f>IF(AND(276&gt;=$B$5,276&lt;=$D$5),1,0)</f>
        <v/>
      </c>
      <c r="JT31" s="17">
        <f>IF(AND(277&gt;=$B$5,277&lt;=$D$5),1,0)</f>
        <v/>
      </c>
      <c r="JU31" s="17">
        <f>IF(AND(278&gt;=$B$5,278&lt;=$D$5),1,0)</f>
        <v/>
      </c>
      <c r="JV31" s="17">
        <f>IF(AND(279&gt;=$B$5,279&lt;=$D$5),1,0)</f>
        <v/>
      </c>
      <c r="JW31" s="17">
        <f>IF(AND(280&gt;=$B$5,280&lt;=$D$5),1,0)</f>
        <v/>
      </c>
      <c r="JX31" s="17">
        <f>IF(AND(281&gt;=$B$5,281&lt;=$D$5),1,0)</f>
        <v/>
      </c>
      <c r="JY31" s="17">
        <f>IF(AND(282&gt;=$B$5,282&lt;=$D$5),1,0)</f>
        <v/>
      </c>
      <c r="JZ31" s="17">
        <f>IF(AND(283&gt;=$B$5,283&lt;=$D$5),1,0)</f>
        <v/>
      </c>
      <c r="KA31" s="17">
        <f>IF(AND(284&gt;=$B$5,284&lt;=$D$5),1,0)</f>
        <v/>
      </c>
      <c r="KB31" s="17">
        <f>IF(AND(285&gt;=$B$5,285&lt;=$D$5),1,0)</f>
        <v/>
      </c>
      <c r="KC31" s="17">
        <f>IF(AND(286&gt;=$B$5,286&lt;=$D$5),1,0)</f>
        <v/>
      </c>
      <c r="KD31" s="17">
        <f>IF(AND(287&gt;=$B$5,287&lt;=$D$5),1,0)</f>
        <v/>
      </c>
      <c r="KE31" s="17">
        <f>IF(AND(288&gt;=$B$5,288&lt;=$D$5),1,0)</f>
        <v/>
      </c>
      <c r="KF31" s="17">
        <f>IF(AND(289&gt;=$B$5,289&lt;=$D$5),1,0)</f>
        <v/>
      </c>
      <c r="KG31" s="17">
        <f>IF(AND(290&gt;=$B$5,290&lt;=$D$5),1,0)</f>
        <v/>
      </c>
      <c r="KH31" s="17">
        <f>IF(AND(291&gt;=$B$5,291&lt;=$D$5),1,0)</f>
        <v/>
      </c>
      <c r="KI31" s="17">
        <f>IF(AND(292&gt;=$B$5,292&lt;=$D$5),1,0)</f>
        <v/>
      </c>
      <c r="KJ31" s="17">
        <f>IF(AND(293&gt;=$B$5,293&lt;=$D$5),1,0)</f>
        <v/>
      </c>
      <c r="KK31" s="17">
        <f>IF(AND(294&gt;=$B$5,294&lt;=$D$5),1,0)</f>
        <v/>
      </c>
      <c r="KL31" s="17">
        <f>IF(AND(295&gt;=$B$5,295&lt;=$D$5),1,0)</f>
        <v/>
      </c>
      <c r="KM31" s="17">
        <f>IF(AND(296&gt;=$B$5,296&lt;=$D$5),1,0)</f>
        <v/>
      </c>
      <c r="KN31" s="17">
        <f>IF(AND(297&gt;=$B$5,297&lt;=$D$5),1,0)</f>
        <v/>
      </c>
      <c r="KO31" s="17">
        <f>IF(AND(298&gt;=$B$5,298&lt;=$D$5),1,0)</f>
        <v/>
      </c>
      <c r="KP31" s="17">
        <f>IF(AND(299&gt;=$B$5,299&lt;=$D$5),1,0)</f>
        <v/>
      </c>
      <c r="KQ31" s="17">
        <f>IF(AND(300&gt;=$B$5,300&lt;=$D$5),1,0)</f>
        <v/>
      </c>
      <c r="KR31" s="17">
        <f>IF(AND(301&gt;=$B$5,301&lt;=$D$5),1,0)</f>
        <v/>
      </c>
      <c r="KS31" s="17">
        <f>IF(AND(302&gt;=$B$5,302&lt;=$D$5),1,0)</f>
        <v/>
      </c>
      <c r="KT31" s="17">
        <f>IF(AND(303&gt;=$B$5,303&lt;=$D$5),1,0)</f>
        <v/>
      </c>
      <c r="KU31" s="17">
        <f>IF(AND(304&gt;=$B$5,304&lt;=$D$5),1,0)</f>
        <v/>
      </c>
      <c r="KV31" s="17">
        <f>IF(AND(305&gt;=$B$5,305&lt;=$D$5),1,0)</f>
        <v/>
      </c>
      <c r="KW31" s="17">
        <f>IF(AND(306&gt;=$B$5,306&lt;=$D$5),1,0)</f>
        <v/>
      </c>
      <c r="KX31" s="17">
        <f>IF(AND(307&gt;=$B$5,307&lt;=$D$5),1,0)</f>
        <v/>
      </c>
      <c r="KY31" s="17">
        <f>IF(AND(308&gt;=$B$5,308&lt;=$D$5),1,0)</f>
        <v/>
      </c>
      <c r="KZ31" s="17">
        <f>IF(AND(309&gt;=$B$5,309&lt;=$D$5),1,0)</f>
        <v/>
      </c>
      <c r="LA31" s="17">
        <f>IF(AND(310&gt;=$B$5,310&lt;=$D$5),1,0)</f>
        <v/>
      </c>
      <c r="LB31" s="17">
        <f>IF(AND(311&gt;=$B$5,311&lt;=$D$5),1,0)</f>
        <v/>
      </c>
      <c r="LC31" s="17">
        <f>IF(AND(312&gt;=$B$5,312&lt;=$D$5),1,0)</f>
        <v/>
      </c>
      <c r="LD31" s="17">
        <f>IF(AND(313&gt;=$B$5,313&lt;=$D$5),1,0)</f>
        <v/>
      </c>
      <c r="LE31" s="17">
        <f>IF(AND(314&gt;=$B$5,314&lt;=$D$5),1,0)</f>
        <v/>
      </c>
      <c r="LF31" s="17">
        <f>IF(AND(315&gt;=$B$5,315&lt;=$D$5),1,0)</f>
        <v/>
      </c>
      <c r="LG31" s="17">
        <f>IF(AND(316&gt;=$B$5,316&lt;=$D$5),1,0)</f>
        <v/>
      </c>
      <c r="LH31" s="17">
        <f>IF(AND(317&gt;=$B$5,317&lt;=$D$5),1,0)</f>
        <v/>
      </c>
      <c r="LI31" s="17">
        <f>IF(AND(318&gt;=$B$5,318&lt;=$D$5),1,0)</f>
        <v/>
      </c>
      <c r="LJ31" s="17">
        <f>IF(AND(319&gt;=$B$5,319&lt;=$D$5),1,0)</f>
        <v/>
      </c>
      <c r="LK31" s="17">
        <f>IF(AND(320&gt;=$B$5,320&lt;=$D$5),1,0)</f>
        <v/>
      </c>
      <c r="LL31" s="17">
        <f>IF(AND(321&gt;=$B$5,321&lt;=$D$5),1,0)</f>
        <v/>
      </c>
      <c r="LM31" s="17">
        <f>IF(AND(322&gt;=$B$5,322&lt;=$D$5),1,0)</f>
        <v/>
      </c>
      <c r="LN31" s="17">
        <f>IF(AND(323&gt;=$B$5,323&lt;=$D$5),1,0)</f>
        <v/>
      </c>
      <c r="LO31" s="17">
        <f>IF(AND(324&gt;=$B$5,324&lt;=$D$5),1,0)</f>
        <v/>
      </c>
      <c r="LP31" s="17">
        <f>IF(AND(325&gt;=$B$5,325&lt;=$D$5),1,0)</f>
        <v/>
      </c>
      <c r="LQ31" s="17">
        <f>IF(AND(326&gt;=$B$5,326&lt;=$D$5),1,0)</f>
        <v/>
      </c>
      <c r="LR31" s="17">
        <f>IF(AND(327&gt;=$B$5,327&lt;=$D$5),1,0)</f>
        <v/>
      </c>
      <c r="LS31" s="17">
        <f>IF(AND(328&gt;=$B$5,328&lt;=$D$5),1,0)</f>
        <v/>
      </c>
      <c r="LT31" s="17">
        <f>IF(AND(329&gt;=$B$5,329&lt;=$D$5),1,0)</f>
        <v/>
      </c>
      <c r="LU31" s="17">
        <f>IF(AND(330&gt;=$B$5,330&lt;=$D$5),1,0)</f>
        <v/>
      </c>
      <c r="LV31" s="17">
        <f>IF(AND(331&gt;=$B$5,331&lt;=$D$5),1,0)</f>
        <v/>
      </c>
      <c r="LW31" s="17">
        <f>IF(AND(332&gt;=$B$5,332&lt;=$D$5),1,0)</f>
        <v/>
      </c>
      <c r="LX31" s="17">
        <f>IF(AND(333&gt;=$B$5,333&lt;=$D$5),1,0)</f>
        <v/>
      </c>
      <c r="LY31" s="17">
        <f>IF(AND(334&gt;=$B$5,334&lt;=$D$5),1,0)</f>
        <v/>
      </c>
      <c r="LZ31" s="17">
        <f>IF(AND(335&gt;=$B$5,335&lt;=$D$5),1,0)</f>
        <v/>
      </c>
      <c r="MA31" s="17">
        <f>IF(AND(336&gt;=$B$5,336&lt;=$D$5),1,0)</f>
        <v/>
      </c>
      <c r="MB31" s="17">
        <f>IF(AND(337&gt;=$B$5,337&lt;=$D$5),1,0)</f>
        <v/>
      </c>
      <c r="MC31" s="17">
        <f>IF(AND(338&gt;=$B$5,338&lt;=$D$5),1,0)</f>
        <v/>
      </c>
      <c r="MD31" s="17">
        <f>IF(AND(339&gt;=$B$5,339&lt;=$D$5),1,0)</f>
        <v/>
      </c>
      <c r="ME31" s="17">
        <f>IF(AND(340&gt;=$B$5,340&lt;=$D$5),1,0)</f>
        <v/>
      </c>
      <c r="MF31" s="17">
        <f>IF(AND(341&gt;=$B$5,341&lt;=$D$5),1,0)</f>
        <v/>
      </c>
      <c r="MG31" s="17">
        <f>IF(AND(342&gt;=$B$5,342&lt;=$D$5),1,0)</f>
        <v/>
      </c>
      <c r="MH31" s="17">
        <f>IF(AND(343&gt;=$B$5,343&lt;=$D$5),1,0)</f>
        <v/>
      </c>
      <c r="MI31" s="17">
        <f>IF(AND(344&gt;=$B$5,344&lt;=$D$5),1,0)</f>
        <v/>
      </c>
      <c r="MJ31" s="17">
        <f>IF(AND(345&gt;=$B$5,345&lt;=$D$5),1,0)</f>
        <v/>
      </c>
      <c r="MK31" s="17">
        <f>IF(AND(346&gt;=$B$5,346&lt;=$D$5),1,0)</f>
        <v/>
      </c>
      <c r="ML31" s="17">
        <f>IF(AND(347&gt;=$B$5,347&lt;=$D$5),1,0)</f>
        <v/>
      </c>
      <c r="MM31" s="17">
        <f>IF(AND(348&gt;=$B$5,348&lt;=$D$5),1,0)</f>
        <v/>
      </c>
      <c r="MN31" s="17">
        <f>IF(AND(349&gt;=$B$5,349&lt;=$D$5),1,0)</f>
        <v/>
      </c>
      <c r="MO31" s="17">
        <f>IF(AND(350&gt;=$B$5,350&lt;=$D$5),1,0)</f>
        <v/>
      </c>
      <c r="MP31" s="17">
        <f>IF(AND(351&gt;=$B$5,351&lt;=$D$5),1,0)</f>
        <v/>
      </c>
      <c r="MQ31" s="17">
        <f>IF(AND(352&gt;=$B$5,352&lt;=$D$5),1,0)</f>
        <v/>
      </c>
      <c r="MR31" s="17">
        <f>IF(AND(353&gt;=$B$5,353&lt;=$D$5),1,0)</f>
        <v/>
      </c>
      <c r="MS31" s="17">
        <f>IF(AND(354&gt;=$B$5,354&lt;=$D$5),1,0)</f>
        <v/>
      </c>
      <c r="MT31" s="17">
        <f>IF(AND(355&gt;=$B$5,355&lt;=$D$5),1,0)</f>
        <v/>
      </c>
      <c r="MU31" s="17">
        <f>IF(AND(356&gt;=$B$5,356&lt;=$D$5),1,0)</f>
        <v/>
      </c>
      <c r="MV31" s="17">
        <f>IF(AND(357&gt;=$B$5,357&lt;=$D$5),1,0)</f>
        <v/>
      </c>
      <c r="MW31" s="17">
        <f>IF(AND(358&gt;=$B$5,358&lt;=$D$5),1,0)</f>
        <v/>
      </c>
      <c r="MX31" s="17">
        <f>IF(AND(359&gt;=$B$5,359&lt;=$D$5),1,0)</f>
        <v/>
      </c>
      <c r="MY31" s="17">
        <f>IF(AND(360&gt;=$B$5,360&lt;=$D$5),1,0)</f>
        <v/>
      </c>
      <c r="MZ31" s="17">
        <f>IF(AND(361&gt;=$B$5,361&lt;=$D$5),1,0)</f>
        <v/>
      </c>
      <c r="NA31" s="17">
        <f>IF(AND(362&gt;=$B$5,362&lt;=$D$5),1,0)</f>
        <v/>
      </c>
      <c r="NB31" s="17">
        <f>IF(AND(363&gt;=$B$5,363&lt;=$D$5),1,0)</f>
        <v/>
      </c>
      <c r="NC31" s="17">
        <f>IF(AND(364&gt;=$B$5,364&lt;=$D$5),1,0)</f>
        <v/>
      </c>
      <c r="ND31" s="17">
        <f>IF(AND(365&gt;=$B$5,365&lt;=$D$5),1,0)</f>
        <v/>
      </c>
      <c r="NE31" s="17">
        <f>IF(AND(366&gt;=$B$5,366&lt;=$D$5),1,0)</f>
        <v/>
      </c>
      <c r="NF31" s="17">
        <f>IF(AND(367&gt;=$B$5,367&lt;=$D$5),1,0)</f>
        <v/>
      </c>
      <c r="NG31" s="17">
        <f>IF(AND(368&gt;=$B$5,368&lt;=$D$5),1,0)</f>
        <v/>
      </c>
      <c r="NH31" s="17">
        <f>IF(AND(369&gt;=$B$5,369&lt;=$D$5),1,0)</f>
        <v/>
      </c>
      <c r="NI31" s="17">
        <f>IF(AND(370&gt;=$B$5,370&lt;=$D$5),1,0)</f>
        <v/>
      </c>
      <c r="NJ31" s="17">
        <f>IF(AND(371&gt;=$B$5,371&lt;=$D$5),1,0)</f>
        <v/>
      </c>
      <c r="NK31" s="17">
        <f>IF(AND(372&gt;=$B$5,372&lt;=$D$5),1,0)</f>
        <v/>
      </c>
    </row>
    <row r="32">
      <c r="A32" s="5" t="inlineStr">
        <is>
          <t>Flag: Entitlement</t>
        </is>
      </c>
      <c r="C32" s="40" t="n"/>
      <c r="D32" s="17">
        <f>IF(AND(1&gt;=$B$6,1&lt;=$D$6),1,0)</f>
        <v/>
      </c>
      <c r="E32" s="17">
        <f>IF(AND(2&gt;=$B$6,2&lt;=$D$6),1,0)</f>
        <v/>
      </c>
      <c r="F32" s="17">
        <f>IF(AND(3&gt;=$B$6,3&lt;=$D$6),1,0)</f>
        <v/>
      </c>
      <c r="G32" s="17">
        <f>IF(AND(4&gt;=$B$6,4&lt;=$D$6),1,0)</f>
        <v/>
      </c>
      <c r="H32" s="17">
        <f>IF(AND(5&gt;=$B$6,5&lt;=$D$6),1,0)</f>
        <v/>
      </c>
      <c r="I32" s="17">
        <f>IF(AND(6&gt;=$B$6,6&lt;=$D$6),1,0)</f>
        <v/>
      </c>
      <c r="J32" s="17">
        <f>IF(AND(7&gt;=$B$6,7&lt;=$D$6),1,0)</f>
        <v/>
      </c>
      <c r="K32" s="17">
        <f>IF(AND(8&gt;=$B$6,8&lt;=$D$6),1,0)</f>
        <v/>
      </c>
      <c r="L32" s="17">
        <f>IF(AND(9&gt;=$B$6,9&lt;=$D$6),1,0)</f>
        <v/>
      </c>
      <c r="M32" s="17">
        <f>IF(AND(10&gt;=$B$6,10&lt;=$D$6),1,0)</f>
        <v/>
      </c>
      <c r="N32" s="17">
        <f>IF(AND(11&gt;=$B$6,11&lt;=$D$6),1,0)</f>
        <v/>
      </c>
      <c r="O32" s="17">
        <f>IF(AND(12&gt;=$B$6,12&lt;=$D$6),1,0)</f>
        <v/>
      </c>
      <c r="P32" s="17">
        <f>IF(AND(13&gt;=$B$6,13&lt;=$D$6),1,0)</f>
        <v/>
      </c>
      <c r="Q32" s="17">
        <f>IF(AND(14&gt;=$B$6,14&lt;=$D$6),1,0)</f>
        <v/>
      </c>
      <c r="R32" s="17">
        <f>IF(AND(15&gt;=$B$6,15&lt;=$D$6),1,0)</f>
        <v/>
      </c>
      <c r="S32" s="17">
        <f>IF(AND(16&gt;=$B$6,16&lt;=$D$6),1,0)</f>
        <v/>
      </c>
      <c r="T32" s="17">
        <f>IF(AND(17&gt;=$B$6,17&lt;=$D$6),1,0)</f>
        <v/>
      </c>
      <c r="U32" s="17">
        <f>IF(AND(18&gt;=$B$6,18&lt;=$D$6),1,0)</f>
        <v/>
      </c>
      <c r="V32" s="17">
        <f>IF(AND(19&gt;=$B$6,19&lt;=$D$6),1,0)</f>
        <v/>
      </c>
      <c r="W32" s="17">
        <f>IF(AND(20&gt;=$B$6,20&lt;=$D$6),1,0)</f>
        <v/>
      </c>
      <c r="X32" s="17">
        <f>IF(AND(21&gt;=$B$6,21&lt;=$D$6),1,0)</f>
        <v/>
      </c>
      <c r="Y32" s="17">
        <f>IF(AND(22&gt;=$B$6,22&lt;=$D$6),1,0)</f>
        <v/>
      </c>
      <c r="Z32" s="17">
        <f>IF(AND(23&gt;=$B$6,23&lt;=$D$6),1,0)</f>
        <v/>
      </c>
      <c r="AA32" s="17">
        <f>IF(AND(24&gt;=$B$6,24&lt;=$D$6),1,0)</f>
        <v/>
      </c>
      <c r="AB32" s="17">
        <f>IF(AND(25&gt;=$B$6,25&lt;=$D$6),1,0)</f>
        <v/>
      </c>
      <c r="AC32" s="17">
        <f>IF(AND(26&gt;=$B$6,26&lt;=$D$6),1,0)</f>
        <v/>
      </c>
      <c r="AD32" s="17">
        <f>IF(AND(27&gt;=$B$6,27&lt;=$D$6),1,0)</f>
        <v/>
      </c>
      <c r="AE32" s="17">
        <f>IF(AND(28&gt;=$B$6,28&lt;=$D$6),1,0)</f>
        <v/>
      </c>
      <c r="AF32" s="17">
        <f>IF(AND(29&gt;=$B$6,29&lt;=$D$6),1,0)</f>
        <v/>
      </c>
      <c r="AG32" s="17">
        <f>IF(AND(30&gt;=$B$6,30&lt;=$D$6),1,0)</f>
        <v/>
      </c>
      <c r="AH32" s="17">
        <f>IF(AND(31&gt;=$B$6,31&lt;=$D$6),1,0)</f>
        <v/>
      </c>
      <c r="AI32" s="17">
        <f>IF(AND(32&gt;=$B$6,32&lt;=$D$6),1,0)</f>
        <v/>
      </c>
      <c r="AJ32" s="17">
        <f>IF(AND(33&gt;=$B$6,33&lt;=$D$6),1,0)</f>
        <v/>
      </c>
      <c r="AK32" s="17">
        <f>IF(AND(34&gt;=$B$6,34&lt;=$D$6),1,0)</f>
        <v/>
      </c>
      <c r="AL32" s="17">
        <f>IF(AND(35&gt;=$B$6,35&lt;=$D$6),1,0)</f>
        <v/>
      </c>
      <c r="AM32" s="17">
        <f>IF(AND(36&gt;=$B$6,36&lt;=$D$6),1,0)</f>
        <v/>
      </c>
      <c r="AN32" s="17">
        <f>IF(AND(37&gt;=$B$6,37&lt;=$D$6),1,0)</f>
        <v/>
      </c>
      <c r="AO32" s="17">
        <f>IF(AND(38&gt;=$B$6,38&lt;=$D$6),1,0)</f>
        <v/>
      </c>
      <c r="AP32" s="17">
        <f>IF(AND(39&gt;=$B$6,39&lt;=$D$6),1,0)</f>
        <v/>
      </c>
      <c r="AQ32" s="17">
        <f>IF(AND(40&gt;=$B$6,40&lt;=$D$6),1,0)</f>
        <v/>
      </c>
      <c r="AR32" s="17">
        <f>IF(AND(41&gt;=$B$6,41&lt;=$D$6),1,0)</f>
        <v/>
      </c>
      <c r="AS32" s="17">
        <f>IF(AND(42&gt;=$B$6,42&lt;=$D$6),1,0)</f>
        <v/>
      </c>
      <c r="AT32" s="17">
        <f>IF(AND(43&gt;=$B$6,43&lt;=$D$6),1,0)</f>
        <v/>
      </c>
      <c r="AU32" s="17">
        <f>IF(AND(44&gt;=$B$6,44&lt;=$D$6),1,0)</f>
        <v/>
      </c>
      <c r="AV32" s="17">
        <f>IF(AND(45&gt;=$B$6,45&lt;=$D$6),1,0)</f>
        <v/>
      </c>
      <c r="AW32" s="17">
        <f>IF(AND(46&gt;=$B$6,46&lt;=$D$6),1,0)</f>
        <v/>
      </c>
      <c r="AX32" s="17">
        <f>IF(AND(47&gt;=$B$6,47&lt;=$D$6),1,0)</f>
        <v/>
      </c>
      <c r="AY32" s="17">
        <f>IF(AND(48&gt;=$B$6,48&lt;=$D$6),1,0)</f>
        <v/>
      </c>
      <c r="AZ32" s="17">
        <f>IF(AND(49&gt;=$B$6,49&lt;=$D$6),1,0)</f>
        <v/>
      </c>
      <c r="BA32" s="17">
        <f>IF(AND(50&gt;=$B$6,50&lt;=$D$6),1,0)</f>
        <v/>
      </c>
      <c r="BB32" s="17">
        <f>IF(AND(51&gt;=$B$6,51&lt;=$D$6),1,0)</f>
        <v/>
      </c>
      <c r="BC32" s="17">
        <f>IF(AND(52&gt;=$B$6,52&lt;=$D$6),1,0)</f>
        <v/>
      </c>
      <c r="BD32" s="17">
        <f>IF(AND(53&gt;=$B$6,53&lt;=$D$6),1,0)</f>
        <v/>
      </c>
      <c r="BE32" s="17">
        <f>IF(AND(54&gt;=$B$6,54&lt;=$D$6),1,0)</f>
        <v/>
      </c>
      <c r="BF32" s="17">
        <f>IF(AND(55&gt;=$B$6,55&lt;=$D$6),1,0)</f>
        <v/>
      </c>
      <c r="BG32" s="17">
        <f>IF(AND(56&gt;=$B$6,56&lt;=$D$6),1,0)</f>
        <v/>
      </c>
      <c r="BH32" s="17">
        <f>IF(AND(57&gt;=$B$6,57&lt;=$D$6),1,0)</f>
        <v/>
      </c>
      <c r="BI32" s="17">
        <f>IF(AND(58&gt;=$B$6,58&lt;=$D$6),1,0)</f>
        <v/>
      </c>
      <c r="BJ32" s="17">
        <f>IF(AND(59&gt;=$B$6,59&lt;=$D$6),1,0)</f>
        <v/>
      </c>
      <c r="BK32" s="17">
        <f>IF(AND(60&gt;=$B$6,60&lt;=$D$6),1,0)</f>
        <v/>
      </c>
      <c r="BL32" s="17">
        <f>IF(AND(61&gt;=$B$6,61&lt;=$D$6),1,0)</f>
        <v/>
      </c>
      <c r="BM32" s="17">
        <f>IF(AND(62&gt;=$B$6,62&lt;=$D$6),1,0)</f>
        <v/>
      </c>
      <c r="BN32" s="17">
        <f>IF(AND(63&gt;=$B$6,63&lt;=$D$6),1,0)</f>
        <v/>
      </c>
      <c r="BO32" s="17">
        <f>IF(AND(64&gt;=$B$6,64&lt;=$D$6),1,0)</f>
        <v/>
      </c>
      <c r="BP32" s="17">
        <f>IF(AND(65&gt;=$B$6,65&lt;=$D$6),1,0)</f>
        <v/>
      </c>
      <c r="BQ32" s="17">
        <f>IF(AND(66&gt;=$B$6,66&lt;=$D$6),1,0)</f>
        <v/>
      </c>
      <c r="BR32" s="17">
        <f>IF(AND(67&gt;=$B$6,67&lt;=$D$6),1,0)</f>
        <v/>
      </c>
      <c r="BS32" s="17">
        <f>IF(AND(68&gt;=$B$6,68&lt;=$D$6),1,0)</f>
        <v/>
      </c>
      <c r="BT32" s="17">
        <f>IF(AND(69&gt;=$B$6,69&lt;=$D$6),1,0)</f>
        <v/>
      </c>
      <c r="BU32" s="17">
        <f>IF(AND(70&gt;=$B$6,70&lt;=$D$6),1,0)</f>
        <v/>
      </c>
      <c r="BV32" s="17">
        <f>IF(AND(71&gt;=$B$6,71&lt;=$D$6),1,0)</f>
        <v/>
      </c>
      <c r="BW32" s="17">
        <f>IF(AND(72&gt;=$B$6,72&lt;=$D$6),1,0)</f>
        <v/>
      </c>
      <c r="BX32" s="17">
        <f>IF(AND(73&gt;=$B$6,73&lt;=$D$6),1,0)</f>
        <v/>
      </c>
      <c r="BY32" s="17">
        <f>IF(AND(74&gt;=$B$6,74&lt;=$D$6),1,0)</f>
        <v/>
      </c>
      <c r="BZ32" s="17">
        <f>IF(AND(75&gt;=$B$6,75&lt;=$D$6),1,0)</f>
        <v/>
      </c>
      <c r="CA32" s="17">
        <f>IF(AND(76&gt;=$B$6,76&lt;=$D$6),1,0)</f>
        <v/>
      </c>
      <c r="CB32" s="17">
        <f>IF(AND(77&gt;=$B$6,77&lt;=$D$6),1,0)</f>
        <v/>
      </c>
      <c r="CC32" s="17">
        <f>IF(AND(78&gt;=$B$6,78&lt;=$D$6),1,0)</f>
        <v/>
      </c>
      <c r="CD32" s="17">
        <f>IF(AND(79&gt;=$B$6,79&lt;=$D$6),1,0)</f>
        <v/>
      </c>
      <c r="CE32" s="17">
        <f>IF(AND(80&gt;=$B$6,80&lt;=$D$6),1,0)</f>
        <v/>
      </c>
      <c r="CF32" s="17">
        <f>IF(AND(81&gt;=$B$6,81&lt;=$D$6),1,0)</f>
        <v/>
      </c>
      <c r="CG32" s="17">
        <f>IF(AND(82&gt;=$B$6,82&lt;=$D$6),1,0)</f>
        <v/>
      </c>
      <c r="CH32" s="17">
        <f>IF(AND(83&gt;=$B$6,83&lt;=$D$6),1,0)</f>
        <v/>
      </c>
      <c r="CI32" s="17">
        <f>IF(AND(84&gt;=$B$6,84&lt;=$D$6),1,0)</f>
        <v/>
      </c>
      <c r="CJ32" s="17">
        <f>IF(AND(85&gt;=$B$6,85&lt;=$D$6),1,0)</f>
        <v/>
      </c>
      <c r="CK32" s="17">
        <f>IF(AND(86&gt;=$B$6,86&lt;=$D$6),1,0)</f>
        <v/>
      </c>
      <c r="CL32" s="17">
        <f>IF(AND(87&gt;=$B$6,87&lt;=$D$6),1,0)</f>
        <v/>
      </c>
      <c r="CM32" s="17">
        <f>IF(AND(88&gt;=$B$6,88&lt;=$D$6),1,0)</f>
        <v/>
      </c>
      <c r="CN32" s="17">
        <f>IF(AND(89&gt;=$B$6,89&lt;=$D$6),1,0)</f>
        <v/>
      </c>
      <c r="CO32" s="17">
        <f>IF(AND(90&gt;=$B$6,90&lt;=$D$6),1,0)</f>
        <v/>
      </c>
      <c r="CP32" s="17">
        <f>IF(AND(91&gt;=$B$6,91&lt;=$D$6),1,0)</f>
        <v/>
      </c>
      <c r="CQ32" s="17">
        <f>IF(AND(92&gt;=$B$6,92&lt;=$D$6),1,0)</f>
        <v/>
      </c>
      <c r="CR32" s="17">
        <f>IF(AND(93&gt;=$B$6,93&lt;=$D$6),1,0)</f>
        <v/>
      </c>
      <c r="CS32" s="17">
        <f>IF(AND(94&gt;=$B$6,94&lt;=$D$6),1,0)</f>
        <v/>
      </c>
      <c r="CT32" s="17">
        <f>IF(AND(95&gt;=$B$6,95&lt;=$D$6),1,0)</f>
        <v/>
      </c>
      <c r="CU32" s="17">
        <f>IF(AND(96&gt;=$B$6,96&lt;=$D$6),1,0)</f>
        <v/>
      </c>
      <c r="CV32" s="17">
        <f>IF(AND(97&gt;=$B$6,97&lt;=$D$6),1,0)</f>
        <v/>
      </c>
      <c r="CW32" s="17">
        <f>IF(AND(98&gt;=$B$6,98&lt;=$D$6),1,0)</f>
        <v/>
      </c>
      <c r="CX32" s="17">
        <f>IF(AND(99&gt;=$B$6,99&lt;=$D$6),1,0)</f>
        <v/>
      </c>
      <c r="CY32" s="17">
        <f>IF(AND(100&gt;=$B$6,100&lt;=$D$6),1,0)</f>
        <v/>
      </c>
      <c r="CZ32" s="17">
        <f>IF(AND(101&gt;=$B$6,101&lt;=$D$6),1,0)</f>
        <v/>
      </c>
      <c r="DA32" s="17">
        <f>IF(AND(102&gt;=$B$6,102&lt;=$D$6),1,0)</f>
        <v/>
      </c>
      <c r="DB32" s="17">
        <f>IF(AND(103&gt;=$B$6,103&lt;=$D$6),1,0)</f>
        <v/>
      </c>
      <c r="DC32" s="17">
        <f>IF(AND(104&gt;=$B$6,104&lt;=$D$6),1,0)</f>
        <v/>
      </c>
      <c r="DD32" s="17">
        <f>IF(AND(105&gt;=$B$6,105&lt;=$D$6),1,0)</f>
        <v/>
      </c>
      <c r="DE32" s="17">
        <f>IF(AND(106&gt;=$B$6,106&lt;=$D$6),1,0)</f>
        <v/>
      </c>
      <c r="DF32" s="17">
        <f>IF(AND(107&gt;=$B$6,107&lt;=$D$6),1,0)</f>
        <v/>
      </c>
      <c r="DG32" s="17">
        <f>IF(AND(108&gt;=$B$6,108&lt;=$D$6),1,0)</f>
        <v/>
      </c>
      <c r="DH32" s="17">
        <f>IF(AND(109&gt;=$B$6,109&lt;=$D$6),1,0)</f>
        <v/>
      </c>
      <c r="DI32" s="17">
        <f>IF(AND(110&gt;=$B$6,110&lt;=$D$6),1,0)</f>
        <v/>
      </c>
      <c r="DJ32" s="17">
        <f>IF(AND(111&gt;=$B$6,111&lt;=$D$6),1,0)</f>
        <v/>
      </c>
      <c r="DK32" s="17">
        <f>IF(AND(112&gt;=$B$6,112&lt;=$D$6),1,0)</f>
        <v/>
      </c>
      <c r="DL32" s="17">
        <f>IF(AND(113&gt;=$B$6,113&lt;=$D$6),1,0)</f>
        <v/>
      </c>
      <c r="DM32" s="17">
        <f>IF(AND(114&gt;=$B$6,114&lt;=$D$6),1,0)</f>
        <v/>
      </c>
      <c r="DN32" s="17">
        <f>IF(AND(115&gt;=$B$6,115&lt;=$D$6),1,0)</f>
        <v/>
      </c>
      <c r="DO32" s="17">
        <f>IF(AND(116&gt;=$B$6,116&lt;=$D$6),1,0)</f>
        <v/>
      </c>
      <c r="DP32" s="17">
        <f>IF(AND(117&gt;=$B$6,117&lt;=$D$6),1,0)</f>
        <v/>
      </c>
      <c r="DQ32" s="17">
        <f>IF(AND(118&gt;=$B$6,118&lt;=$D$6),1,0)</f>
        <v/>
      </c>
      <c r="DR32" s="17">
        <f>IF(AND(119&gt;=$B$6,119&lt;=$D$6),1,0)</f>
        <v/>
      </c>
      <c r="DS32" s="17">
        <f>IF(AND(120&gt;=$B$6,120&lt;=$D$6),1,0)</f>
        <v/>
      </c>
      <c r="DT32" s="17">
        <f>IF(AND(121&gt;=$B$6,121&lt;=$D$6),1,0)</f>
        <v/>
      </c>
      <c r="DU32" s="17">
        <f>IF(AND(122&gt;=$B$6,122&lt;=$D$6),1,0)</f>
        <v/>
      </c>
      <c r="DV32" s="17">
        <f>IF(AND(123&gt;=$B$6,123&lt;=$D$6),1,0)</f>
        <v/>
      </c>
      <c r="DW32" s="17">
        <f>IF(AND(124&gt;=$B$6,124&lt;=$D$6),1,0)</f>
        <v/>
      </c>
      <c r="DX32" s="17">
        <f>IF(AND(125&gt;=$B$6,125&lt;=$D$6),1,0)</f>
        <v/>
      </c>
      <c r="DY32" s="17">
        <f>IF(AND(126&gt;=$B$6,126&lt;=$D$6),1,0)</f>
        <v/>
      </c>
      <c r="DZ32" s="17">
        <f>IF(AND(127&gt;=$B$6,127&lt;=$D$6),1,0)</f>
        <v/>
      </c>
      <c r="EA32" s="17">
        <f>IF(AND(128&gt;=$B$6,128&lt;=$D$6),1,0)</f>
        <v/>
      </c>
      <c r="EB32" s="17">
        <f>IF(AND(129&gt;=$B$6,129&lt;=$D$6),1,0)</f>
        <v/>
      </c>
      <c r="EC32" s="17">
        <f>IF(AND(130&gt;=$B$6,130&lt;=$D$6),1,0)</f>
        <v/>
      </c>
      <c r="ED32" s="17">
        <f>IF(AND(131&gt;=$B$6,131&lt;=$D$6),1,0)</f>
        <v/>
      </c>
      <c r="EE32" s="17">
        <f>IF(AND(132&gt;=$B$6,132&lt;=$D$6),1,0)</f>
        <v/>
      </c>
      <c r="EF32" s="17">
        <f>IF(AND(133&gt;=$B$6,133&lt;=$D$6),1,0)</f>
        <v/>
      </c>
      <c r="EG32" s="17">
        <f>IF(AND(134&gt;=$B$6,134&lt;=$D$6),1,0)</f>
        <v/>
      </c>
      <c r="EH32" s="17">
        <f>IF(AND(135&gt;=$B$6,135&lt;=$D$6),1,0)</f>
        <v/>
      </c>
      <c r="EI32" s="17">
        <f>IF(AND(136&gt;=$B$6,136&lt;=$D$6),1,0)</f>
        <v/>
      </c>
      <c r="EJ32" s="17">
        <f>IF(AND(137&gt;=$B$6,137&lt;=$D$6),1,0)</f>
        <v/>
      </c>
      <c r="EK32" s="17">
        <f>IF(AND(138&gt;=$B$6,138&lt;=$D$6),1,0)</f>
        <v/>
      </c>
      <c r="EL32" s="17">
        <f>IF(AND(139&gt;=$B$6,139&lt;=$D$6),1,0)</f>
        <v/>
      </c>
      <c r="EM32" s="17">
        <f>IF(AND(140&gt;=$B$6,140&lt;=$D$6),1,0)</f>
        <v/>
      </c>
      <c r="EN32" s="17">
        <f>IF(AND(141&gt;=$B$6,141&lt;=$D$6),1,0)</f>
        <v/>
      </c>
      <c r="EO32" s="17">
        <f>IF(AND(142&gt;=$B$6,142&lt;=$D$6),1,0)</f>
        <v/>
      </c>
      <c r="EP32" s="17">
        <f>IF(AND(143&gt;=$B$6,143&lt;=$D$6),1,0)</f>
        <v/>
      </c>
      <c r="EQ32" s="17">
        <f>IF(AND(144&gt;=$B$6,144&lt;=$D$6),1,0)</f>
        <v/>
      </c>
      <c r="ER32" s="17">
        <f>IF(AND(145&gt;=$B$6,145&lt;=$D$6),1,0)</f>
        <v/>
      </c>
      <c r="ES32" s="17">
        <f>IF(AND(146&gt;=$B$6,146&lt;=$D$6),1,0)</f>
        <v/>
      </c>
      <c r="ET32" s="17">
        <f>IF(AND(147&gt;=$B$6,147&lt;=$D$6),1,0)</f>
        <v/>
      </c>
      <c r="EU32" s="17">
        <f>IF(AND(148&gt;=$B$6,148&lt;=$D$6),1,0)</f>
        <v/>
      </c>
      <c r="EV32" s="17">
        <f>IF(AND(149&gt;=$B$6,149&lt;=$D$6),1,0)</f>
        <v/>
      </c>
      <c r="EW32" s="17">
        <f>IF(AND(150&gt;=$B$6,150&lt;=$D$6),1,0)</f>
        <v/>
      </c>
      <c r="EX32" s="17">
        <f>IF(AND(151&gt;=$B$6,151&lt;=$D$6),1,0)</f>
        <v/>
      </c>
      <c r="EY32" s="17">
        <f>IF(AND(152&gt;=$B$6,152&lt;=$D$6),1,0)</f>
        <v/>
      </c>
      <c r="EZ32" s="17">
        <f>IF(AND(153&gt;=$B$6,153&lt;=$D$6),1,0)</f>
        <v/>
      </c>
      <c r="FA32" s="17">
        <f>IF(AND(154&gt;=$B$6,154&lt;=$D$6),1,0)</f>
        <v/>
      </c>
      <c r="FB32" s="17">
        <f>IF(AND(155&gt;=$B$6,155&lt;=$D$6),1,0)</f>
        <v/>
      </c>
      <c r="FC32" s="17">
        <f>IF(AND(156&gt;=$B$6,156&lt;=$D$6),1,0)</f>
        <v/>
      </c>
      <c r="FD32" s="17">
        <f>IF(AND(157&gt;=$B$6,157&lt;=$D$6),1,0)</f>
        <v/>
      </c>
      <c r="FE32" s="17">
        <f>IF(AND(158&gt;=$B$6,158&lt;=$D$6),1,0)</f>
        <v/>
      </c>
      <c r="FF32" s="17">
        <f>IF(AND(159&gt;=$B$6,159&lt;=$D$6),1,0)</f>
        <v/>
      </c>
      <c r="FG32" s="17">
        <f>IF(AND(160&gt;=$B$6,160&lt;=$D$6),1,0)</f>
        <v/>
      </c>
      <c r="FH32" s="17">
        <f>IF(AND(161&gt;=$B$6,161&lt;=$D$6),1,0)</f>
        <v/>
      </c>
      <c r="FI32" s="17">
        <f>IF(AND(162&gt;=$B$6,162&lt;=$D$6),1,0)</f>
        <v/>
      </c>
      <c r="FJ32" s="17">
        <f>IF(AND(163&gt;=$B$6,163&lt;=$D$6),1,0)</f>
        <v/>
      </c>
      <c r="FK32" s="17">
        <f>IF(AND(164&gt;=$B$6,164&lt;=$D$6),1,0)</f>
        <v/>
      </c>
      <c r="FL32" s="17">
        <f>IF(AND(165&gt;=$B$6,165&lt;=$D$6),1,0)</f>
        <v/>
      </c>
      <c r="FM32" s="17">
        <f>IF(AND(166&gt;=$B$6,166&lt;=$D$6),1,0)</f>
        <v/>
      </c>
      <c r="FN32" s="17">
        <f>IF(AND(167&gt;=$B$6,167&lt;=$D$6),1,0)</f>
        <v/>
      </c>
      <c r="FO32" s="17">
        <f>IF(AND(168&gt;=$B$6,168&lt;=$D$6),1,0)</f>
        <v/>
      </c>
      <c r="FP32" s="17">
        <f>IF(AND(169&gt;=$B$6,169&lt;=$D$6),1,0)</f>
        <v/>
      </c>
      <c r="FQ32" s="17">
        <f>IF(AND(170&gt;=$B$6,170&lt;=$D$6),1,0)</f>
        <v/>
      </c>
      <c r="FR32" s="17">
        <f>IF(AND(171&gt;=$B$6,171&lt;=$D$6),1,0)</f>
        <v/>
      </c>
      <c r="FS32" s="17">
        <f>IF(AND(172&gt;=$B$6,172&lt;=$D$6),1,0)</f>
        <v/>
      </c>
      <c r="FT32" s="17">
        <f>IF(AND(173&gt;=$B$6,173&lt;=$D$6),1,0)</f>
        <v/>
      </c>
      <c r="FU32" s="17">
        <f>IF(AND(174&gt;=$B$6,174&lt;=$D$6),1,0)</f>
        <v/>
      </c>
      <c r="FV32" s="17">
        <f>IF(AND(175&gt;=$B$6,175&lt;=$D$6),1,0)</f>
        <v/>
      </c>
      <c r="FW32" s="17">
        <f>IF(AND(176&gt;=$B$6,176&lt;=$D$6),1,0)</f>
        <v/>
      </c>
      <c r="FX32" s="17">
        <f>IF(AND(177&gt;=$B$6,177&lt;=$D$6),1,0)</f>
        <v/>
      </c>
      <c r="FY32" s="17">
        <f>IF(AND(178&gt;=$B$6,178&lt;=$D$6),1,0)</f>
        <v/>
      </c>
      <c r="FZ32" s="17">
        <f>IF(AND(179&gt;=$B$6,179&lt;=$D$6),1,0)</f>
        <v/>
      </c>
      <c r="GA32" s="17">
        <f>IF(AND(180&gt;=$B$6,180&lt;=$D$6),1,0)</f>
        <v/>
      </c>
      <c r="GB32" s="17">
        <f>IF(AND(181&gt;=$B$6,181&lt;=$D$6),1,0)</f>
        <v/>
      </c>
      <c r="GC32" s="17">
        <f>IF(AND(182&gt;=$B$6,182&lt;=$D$6),1,0)</f>
        <v/>
      </c>
      <c r="GD32" s="17">
        <f>IF(AND(183&gt;=$B$6,183&lt;=$D$6),1,0)</f>
        <v/>
      </c>
      <c r="GE32" s="17">
        <f>IF(AND(184&gt;=$B$6,184&lt;=$D$6),1,0)</f>
        <v/>
      </c>
      <c r="GF32" s="17">
        <f>IF(AND(185&gt;=$B$6,185&lt;=$D$6),1,0)</f>
        <v/>
      </c>
      <c r="GG32" s="17">
        <f>IF(AND(186&gt;=$B$6,186&lt;=$D$6),1,0)</f>
        <v/>
      </c>
      <c r="GH32" s="17">
        <f>IF(AND(187&gt;=$B$6,187&lt;=$D$6),1,0)</f>
        <v/>
      </c>
      <c r="GI32" s="17">
        <f>IF(AND(188&gt;=$B$6,188&lt;=$D$6),1,0)</f>
        <v/>
      </c>
      <c r="GJ32" s="17">
        <f>IF(AND(189&gt;=$B$6,189&lt;=$D$6),1,0)</f>
        <v/>
      </c>
      <c r="GK32" s="17">
        <f>IF(AND(190&gt;=$B$6,190&lt;=$D$6),1,0)</f>
        <v/>
      </c>
      <c r="GL32" s="17">
        <f>IF(AND(191&gt;=$B$6,191&lt;=$D$6),1,0)</f>
        <v/>
      </c>
      <c r="GM32" s="17">
        <f>IF(AND(192&gt;=$B$6,192&lt;=$D$6),1,0)</f>
        <v/>
      </c>
      <c r="GN32" s="17">
        <f>IF(AND(193&gt;=$B$6,193&lt;=$D$6),1,0)</f>
        <v/>
      </c>
      <c r="GO32" s="17">
        <f>IF(AND(194&gt;=$B$6,194&lt;=$D$6),1,0)</f>
        <v/>
      </c>
      <c r="GP32" s="17">
        <f>IF(AND(195&gt;=$B$6,195&lt;=$D$6),1,0)</f>
        <v/>
      </c>
      <c r="GQ32" s="17">
        <f>IF(AND(196&gt;=$B$6,196&lt;=$D$6),1,0)</f>
        <v/>
      </c>
      <c r="GR32" s="17">
        <f>IF(AND(197&gt;=$B$6,197&lt;=$D$6),1,0)</f>
        <v/>
      </c>
      <c r="GS32" s="17">
        <f>IF(AND(198&gt;=$B$6,198&lt;=$D$6),1,0)</f>
        <v/>
      </c>
      <c r="GT32" s="17">
        <f>IF(AND(199&gt;=$B$6,199&lt;=$D$6),1,0)</f>
        <v/>
      </c>
      <c r="GU32" s="17">
        <f>IF(AND(200&gt;=$B$6,200&lt;=$D$6),1,0)</f>
        <v/>
      </c>
      <c r="GV32" s="17">
        <f>IF(AND(201&gt;=$B$6,201&lt;=$D$6),1,0)</f>
        <v/>
      </c>
      <c r="GW32" s="17">
        <f>IF(AND(202&gt;=$B$6,202&lt;=$D$6),1,0)</f>
        <v/>
      </c>
      <c r="GX32" s="17">
        <f>IF(AND(203&gt;=$B$6,203&lt;=$D$6),1,0)</f>
        <v/>
      </c>
      <c r="GY32" s="17">
        <f>IF(AND(204&gt;=$B$6,204&lt;=$D$6),1,0)</f>
        <v/>
      </c>
      <c r="GZ32" s="17">
        <f>IF(AND(205&gt;=$B$6,205&lt;=$D$6),1,0)</f>
        <v/>
      </c>
      <c r="HA32" s="17">
        <f>IF(AND(206&gt;=$B$6,206&lt;=$D$6),1,0)</f>
        <v/>
      </c>
      <c r="HB32" s="17">
        <f>IF(AND(207&gt;=$B$6,207&lt;=$D$6),1,0)</f>
        <v/>
      </c>
      <c r="HC32" s="17">
        <f>IF(AND(208&gt;=$B$6,208&lt;=$D$6),1,0)</f>
        <v/>
      </c>
      <c r="HD32" s="17">
        <f>IF(AND(209&gt;=$B$6,209&lt;=$D$6),1,0)</f>
        <v/>
      </c>
      <c r="HE32" s="17">
        <f>IF(AND(210&gt;=$B$6,210&lt;=$D$6),1,0)</f>
        <v/>
      </c>
      <c r="HF32" s="17">
        <f>IF(AND(211&gt;=$B$6,211&lt;=$D$6),1,0)</f>
        <v/>
      </c>
      <c r="HG32" s="17">
        <f>IF(AND(212&gt;=$B$6,212&lt;=$D$6),1,0)</f>
        <v/>
      </c>
      <c r="HH32" s="17">
        <f>IF(AND(213&gt;=$B$6,213&lt;=$D$6),1,0)</f>
        <v/>
      </c>
      <c r="HI32" s="17">
        <f>IF(AND(214&gt;=$B$6,214&lt;=$D$6),1,0)</f>
        <v/>
      </c>
      <c r="HJ32" s="17">
        <f>IF(AND(215&gt;=$B$6,215&lt;=$D$6),1,0)</f>
        <v/>
      </c>
      <c r="HK32" s="17">
        <f>IF(AND(216&gt;=$B$6,216&lt;=$D$6),1,0)</f>
        <v/>
      </c>
      <c r="HL32" s="17">
        <f>IF(AND(217&gt;=$B$6,217&lt;=$D$6),1,0)</f>
        <v/>
      </c>
      <c r="HM32" s="17">
        <f>IF(AND(218&gt;=$B$6,218&lt;=$D$6),1,0)</f>
        <v/>
      </c>
      <c r="HN32" s="17">
        <f>IF(AND(219&gt;=$B$6,219&lt;=$D$6),1,0)</f>
        <v/>
      </c>
      <c r="HO32" s="17">
        <f>IF(AND(220&gt;=$B$6,220&lt;=$D$6),1,0)</f>
        <v/>
      </c>
      <c r="HP32" s="17">
        <f>IF(AND(221&gt;=$B$6,221&lt;=$D$6),1,0)</f>
        <v/>
      </c>
      <c r="HQ32" s="17">
        <f>IF(AND(222&gt;=$B$6,222&lt;=$D$6),1,0)</f>
        <v/>
      </c>
      <c r="HR32" s="17">
        <f>IF(AND(223&gt;=$B$6,223&lt;=$D$6),1,0)</f>
        <v/>
      </c>
      <c r="HS32" s="17">
        <f>IF(AND(224&gt;=$B$6,224&lt;=$D$6),1,0)</f>
        <v/>
      </c>
      <c r="HT32" s="17">
        <f>IF(AND(225&gt;=$B$6,225&lt;=$D$6),1,0)</f>
        <v/>
      </c>
      <c r="HU32" s="17">
        <f>IF(AND(226&gt;=$B$6,226&lt;=$D$6),1,0)</f>
        <v/>
      </c>
      <c r="HV32" s="17">
        <f>IF(AND(227&gt;=$B$6,227&lt;=$D$6),1,0)</f>
        <v/>
      </c>
      <c r="HW32" s="17">
        <f>IF(AND(228&gt;=$B$6,228&lt;=$D$6),1,0)</f>
        <v/>
      </c>
      <c r="HX32" s="17">
        <f>IF(AND(229&gt;=$B$6,229&lt;=$D$6),1,0)</f>
        <v/>
      </c>
      <c r="HY32" s="17">
        <f>IF(AND(230&gt;=$B$6,230&lt;=$D$6),1,0)</f>
        <v/>
      </c>
      <c r="HZ32" s="17">
        <f>IF(AND(231&gt;=$B$6,231&lt;=$D$6),1,0)</f>
        <v/>
      </c>
      <c r="IA32" s="17">
        <f>IF(AND(232&gt;=$B$6,232&lt;=$D$6),1,0)</f>
        <v/>
      </c>
      <c r="IB32" s="17">
        <f>IF(AND(233&gt;=$B$6,233&lt;=$D$6),1,0)</f>
        <v/>
      </c>
      <c r="IC32" s="17">
        <f>IF(AND(234&gt;=$B$6,234&lt;=$D$6),1,0)</f>
        <v/>
      </c>
      <c r="ID32" s="17">
        <f>IF(AND(235&gt;=$B$6,235&lt;=$D$6),1,0)</f>
        <v/>
      </c>
      <c r="IE32" s="17">
        <f>IF(AND(236&gt;=$B$6,236&lt;=$D$6),1,0)</f>
        <v/>
      </c>
      <c r="IF32" s="17">
        <f>IF(AND(237&gt;=$B$6,237&lt;=$D$6),1,0)</f>
        <v/>
      </c>
      <c r="IG32" s="17">
        <f>IF(AND(238&gt;=$B$6,238&lt;=$D$6),1,0)</f>
        <v/>
      </c>
      <c r="IH32" s="17">
        <f>IF(AND(239&gt;=$B$6,239&lt;=$D$6),1,0)</f>
        <v/>
      </c>
      <c r="II32" s="17">
        <f>IF(AND(240&gt;=$B$6,240&lt;=$D$6),1,0)</f>
        <v/>
      </c>
      <c r="IJ32" s="17">
        <f>IF(AND(241&gt;=$B$6,241&lt;=$D$6),1,0)</f>
        <v/>
      </c>
      <c r="IK32" s="17">
        <f>IF(AND(242&gt;=$B$6,242&lt;=$D$6),1,0)</f>
        <v/>
      </c>
      <c r="IL32" s="17">
        <f>IF(AND(243&gt;=$B$6,243&lt;=$D$6),1,0)</f>
        <v/>
      </c>
      <c r="IM32" s="17">
        <f>IF(AND(244&gt;=$B$6,244&lt;=$D$6),1,0)</f>
        <v/>
      </c>
      <c r="IN32" s="17">
        <f>IF(AND(245&gt;=$B$6,245&lt;=$D$6),1,0)</f>
        <v/>
      </c>
      <c r="IO32" s="17">
        <f>IF(AND(246&gt;=$B$6,246&lt;=$D$6),1,0)</f>
        <v/>
      </c>
      <c r="IP32" s="17">
        <f>IF(AND(247&gt;=$B$6,247&lt;=$D$6),1,0)</f>
        <v/>
      </c>
      <c r="IQ32" s="17">
        <f>IF(AND(248&gt;=$B$6,248&lt;=$D$6),1,0)</f>
        <v/>
      </c>
      <c r="IR32" s="17">
        <f>IF(AND(249&gt;=$B$6,249&lt;=$D$6),1,0)</f>
        <v/>
      </c>
      <c r="IS32" s="17">
        <f>IF(AND(250&gt;=$B$6,250&lt;=$D$6),1,0)</f>
        <v/>
      </c>
      <c r="IT32" s="17">
        <f>IF(AND(251&gt;=$B$6,251&lt;=$D$6),1,0)</f>
        <v/>
      </c>
      <c r="IU32" s="17">
        <f>IF(AND(252&gt;=$B$6,252&lt;=$D$6),1,0)</f>
        <v/>
      </c>
      <c r="IV32" s="17">
        <f>IF(AND(253&gt;=$B$6,253&lt;=$D$6),1,0)</f>
        <v/>
      </c>
      <c r="IW32" s="17">
        <f>IF(AND(254&gt;=$B$6,254&lt;=$D$6),1,0)</f>
        <v/>
      </c>
      <c r="IX32" s="17">
        <f>IF(AND(255&gt;=$B$6,255&lt;=$D$6),1,0)</f>
        <v/>
      </c>
      <c r="IY32" s="17">
        <f>IF(AND(256&gt;=$B$6,256&lt;=$D$6),1,0)</f>
        <v/>
      </c>
      <c r="IZ32" s="17">
        <f>IF(AND(257&gt;=$B$6,257&lt;=$D$6),1,0)</f>
        <v/>
      </c>
      <c r="JA32" s="17">
        <f>IF(AND(258&gt;=$B$6,258&lt;=$D$6),1,0)</f>
        <v/>
      </c>
      <c r="JB32" s="17">
        <f>IF(AND(259&gt;=$B$6,259&lt;=$D$6),1,0)</f>
        <v/>
      </c>
      <c r="JC32" s="17">
        <f>IF(AND(260&gt;=$B$6,260&lt;=$D$6),1,0)</f>
        <v/>
      </c>
      <c r="JD32" s="17">
        <f>IF(AND(261&gt;=$B$6,261&lt;=$D$6),1,0)</f>
        <v/>
      </c>
      <c r="JE32" s="17">
        <f>IF(AND(262&gt;=$B$6,262&lt;=$D$6),1,0)</f>
        <v/>
      </c>
      <c r="JF32" s="17">
        <f>IF(AND(263&gt;=$B$6,263&lt;=$D$6),1,0)</f>
        <v/>
      </c>
      <c r="JG32" s="17">
        <f>IF(AND(264&gt;=$B$6,264&lt;=$D$6),1,0)</f>
        <v/>
      </c>
      <c r="JH32" s="17">
        <f>IF(AND(265&gt;=$B$6,265&lt;=$D$6),1,0)</f>
        <v/>
      </c>
      <c r="JI32" s="17">
        <f>IF(AND(266&gt;=$B$6,266&lt;=$D$6),1,0)</f>
        <v/>
      </c>
      <c r="JJ32" s="17">
        <f>IF(AND(267&gt;=$B$6,267&lt;=$D$6),1,0)</f>
        <v/>
      </c>
      <c r="JK32" s="17">
        <f>IF(AND(268&gt;=$B$6,268&lt;=$D$6),1,0)</f>
        <v/>
      </c>
      <c r="JL32" s="17">
        <f>IF(AND(269&gt;=$B$6,269&lt;=$D$6),1,0)</f>
        <v/>
      </c>
      <c r="JM32" s="17">
        <f>IF(AND(270&gt;=$B$6,270&lt;=$D$6),1,0)</f>
        <v/>
      </c>
      <c r="JN32" s="17">
        <f>IF(AND(271&gt;=$B$6,271&lt;=$D$6),1,0)</f>
        <v/>
      </c>
      <c r="JO32" s="17">
        <f>IF(AND(272&gt;=$B$6,272&lt;=$D$6),1,0)</f>
        <v/>
      </c>
      <c r="JP32" s="17">
        <f>IF(AND(273&gt;=$B$6,273&lt;=$D$6),1,0)</f>
        <v/>
      </c>
      <c r="JQ32" s="17">
        <f>IF(AND(274&gt;=$B$6,274&lt;=$D$6),1,0)</f>
        <v/>
      </c>
      <c r="JR32" s="17">
        <f>IF(AND(275&gt;=$B$6,275&lt;=$D$6),1,0)</f>
        <v/>
      </c>
      <c r="JS32" s="17">
        <f>IF(AND(276&gt;=$B$6,276&lt;=$D$6),1,0)</f>
        <v/>
      </c>
      <c r="JT32" s="17">
        <f>IF(AND(277&gt;=$B$6,277&lt;=$D$6),1,0)</f>
        <v/>
      </c>
      <c r="JU32" s="17">
        <f>IF(AND(278&gt;=$B$6,278&lt;=$D$6),1,0)</f>
        <v/>
      </c>
      <c r="JV32" s="17">
        <f>IF(AND(279&gt;=$B$6,279&lt;=$D$6),1,0)</f>
        <v/>
      </c>
      <c r="JW32" s="17">
        <f>IF(AND(280&gt;=$B$6,280&lt;=$D$6),1,0)</f>
        <v/>
      </c>
      <c r="JX32" s="17">
        <f>IF(AND(281&gt;=$B$6,281&lt;=$D$6),1,0)</f>
        <v/>
      </c>
      <c r="JY32" s="17">
        <f>IF(AND(282&gt;=$B$6,282&lt;=$D$6),1,0)</f>
        <v/>
      </c>
      <c r="JZ32" s="17">
        <f>IF(AND(283&gt;=$B$6,283&lt;=$D$6),1,0)</f>
        <v/>
      </c>
      <c r="KA32" s="17">
        <f>IF(AND(284&gt;=$B$6,284&lt;=$D$6),1,0)</f>
        <v/>
      </c>
      <c r="KB32" s="17">
        <f>IF(AND(285&gt;=$B$6,285&lt;=$D$6),1,0)</f>
        <v/>
      </c>
      <c r="KC32" s="17">
        <f>IF(AND(286&gt;=$B$6,286&lt;=$D$6),1,0)</f>
        <v/>
      </c>
      <c r="KD32" s="17">
        <f>IF(AND(287&gt;=$B$6,287&lt;=$D$6),1,0)</f>
        <v/>
      </c>
      <c r="KE32" s="17">
        <f>IF(AND(288&gt;=$B$6,288&lt;=$D$6),1,0)</f>
        <v/>
      </c>
      <c r="KF32" s="17">
        <f>IF(AND(289&gt;=$B$6,289&lt;=$D$6),1,0)</f>
        <v/>
      </c>
      <c r="KG32" s="17">
        <f>IF(AND(290&gt;=$B$6,290&lt;=$D$6),1,0)</f>
        <v/>
      </c>
      <c r="KH32" s="17">
        <f>IF(AND(291&gt;=$B$6,291&lt;=$D$6),1,0)</f>
        <v/>
      </c>
      <c r="KI32" s="17">
        <f>IF(AND(292&gt;=$B$6,292&lt;=$D$6),1,0)</f>
        <v/>
      </c>
      <c r="KJ32" s="17">
        <f>IF(AND(293&gt;=$B$6,293&lt;=$D$6),1,0)</f>
        <v/>
      </c>
      <c r="KK32" s="17">
        <f>IF(AND(294&gt;=$B$6,294&lt;=$D$6),1,0)</f>
        <v/>
      </c>
      <c r="KL32" s="17">
        <f>IF(AND(295&gt;=$B$6,295&lt;=$D$6),1,0)</f>
        <v/>
      </c>
      <c r="KM32" s="17">
        <f>IF(AND(296&gt;=$B$6,296&lt;=$D$6),1,0)</f>
        <v/>
      </c>
      <c r="KN32" s="17">
        <f>IF(AND(297&gt;=$B$6,297&lt;=$D$6),1,0)</f>
        <v/>
      </c>
      <c r="KO32" s="17">
        <f>IF(AND(298&gt;=$B$6,298&lt;=$D$6),1,0)</f>
        <v/>
      </c>
      <c r="KP32" s="17">
        <f>IF(AND(299&gt;=$B$6,299&lt;=$D$6),1,0)</f>
        <v/>
      </c>
      <c r="KQ32" s="17">
        <f>IF(AND(300&gt;=$B$6,300&lt;=$D$6),1,0)</f>
        <v/>
      </c>
      <c r="KR32" s="17">
        <f>IF(AND(301&gt;=$B$6,301&lt;=$D$6),1,0)</f>
        <v/>
      </c>
      <c r="KS32" s="17">
        <f>IF(AND(302&gt;=$B$6,302&lt;=$D$6),1,0)</f>
        <v/>
      </c>
      <c r="KT32" s="17">
        <f>IF(AND(303&gt;=$B$6,303&lt;=$D$6),1,0)</f>
        <v/>
      </c>
      <c r="KU32" s="17">
        <f>IF(AND(304&gt;=$B$6,304&lt;=$D$6),1,0)</f>
        <v/>
      </c>
      <c r="KV32" s="17">
        <f>IF(AND(305&gt;=$B$6,305&lt;=$D$6),1,0)</f>
        <v/>
      </c>
      <c r="KW32" s="17">
        <f>IF(AND(306&gt;=$B$6,306&lt;=$D$6),1,0)</f>
        <v/>
      </c>
      <c r="KX32" s="17">
        <f>IF(AND(307&gt;=$B$6,307&lt;=$D$6),1,0)</f>
        <v/>
      </c>
      <c r="KY32" s="17">
        <f>IF(AND(308&gt;=$B$6,308&lt;=$D$6),1,0)</f>
        <v/>
      </c>
      <c r="KZ32" s="17">
        <f>IF(AND(309&gt;=$B$6,309&lt;=$D$6),1,0)</f>
        <v/>
      </c>
      <c r="LA32" s="17">
        <f>IF(AND(310&gt;=$B$6,310&lt;=$D$6),1,0)</f>
        <v/>
      </c>
      <c r="LB32" s="17">
        <f>IF(AND(311&gt;=$B$6,311&lt;=$D$6),1,0)</f>
        <v/>
      </c>
      <c r="LC32" s="17">
        <f>IF(AND(312&gt;=$B$6,312&lt;=$D$6),1,0)</f>
        <v/>
      </c>
      <c r="LD32" s="17">
        <f>IF(AND(313&gt;=$B$6,313&lt;=$D$6),1,0)</f>
        <v/>
      </c>
      <c r="LE32" s="17">
        <f>IF(AND(314&gt;=$B$6,314&lt;=$D$6),1,0)</f>
        <v/>
      </c>
      <c r="LF32" s="17">
        <f>IF(AND(315&gt;=$B$6,315&lt;=$D$6),1,0)</f>
        <v/>
      </c>
      <c r="LG32" s="17">
        <f>IF(AND(316&gt;=$B$6,316&lt;=$D$6),1,0)</f>
        <v/>
      </c>
      <c r="LH32" s="17">
        <f>IF(AND(317&gt;=$B$6,317&lt;=$D$6),1,0)</f>
        <v/>
      </c>
      <c r="LI32" s="17">
        <f>IF(AND(318&gt;=$B$6,318&lt;=$D$6),1,0)</f>
        <v/>
      </c>
      <c r="LJ32" s="17">
        <f>IF(AND(319&gt;=$B$6,319&lt;=$D$6),1,0)</f>
        <v/>
      </c>
      <c r="LK32" s="17">
        <f>IF(AND(320&gt;=$B$6,320&lt;=$D$6),1,0)</f>
        <v/>
      </c>
      <c r="LL32" s="17">
        <f>IF(AND(321&gt;=$B$6,321&lt;=$D$6),1,0)</f>
        <v/>
      </c>
      <c r="LM32" s="17">
        <f>IF(AND(322&gt;=$B$6,322&lt;=$D$6),1,0)</f>
        <v/>
      </c>
      <c r="LN32" s="17">
        <f>IF(AND(323&gt;=$B$6,323&lt;=$D$6),1,0)</f>
        <v/>
      </c>
      <c r="LO32" s="17">
        <f>IF(AND(324&gt;=$B$6,324&lt;=$D$6),1,0)</f>
        <v/>
      </c>
      <c r="LP32" s="17">
        <f>IF(AND(325&gt;=$B$6,325&lt;=$D$6),1,0)</f>
        <v/>
      </c>
      <c r="LQ32" s="17">
        <f>IF(AND(326&gt;=$B$6,326&lt;=$D$6),1,0)</f>
        <v/>
      </c>
      <c r="LR32" s="17">
        <f>IF(AND(327&gt;=$B$6,327&lt;=$D$6),1,0)</f>
        <v/>
      </c>
      <c r="LS32" s="17">
        <f>IF(AND(328&gt;=$B$6,328&lt;=$D$6),1,0)</f>
        <v/>
      </c>
      <c r="LT32" s="17">
        <f>IF(AND(329&gt;=$B$6,329&lt;=$D$6),1,0)</f>
        <v/>
      </c>
      <c r="LU32" s="17">
        <f>IF(AND(330&gt;=$B$6,330&lt;=$D$6),1,0)</f>
        <v/>
      </c>
      <c r="LV32" s="17">
        <f>IF(AND(331&gt;=$B$6,331&lt;=$D$6),1,0)</f>
        <v/>
      </c>
      <c r="LW32" s="17">
        <f>IF(AND(332&gt;=$B$6,332&lt;=$D$6),1,0)</f>
        <v/>
      </c>
      <c r="LX32" s="17">
        <f>IF(AND(333&gt;=$B$6,333&lt;=$D$6),1,0)</f>
        <v/>
      </c>
      <c r="LY32" s="17">
        <f>IF(AND(334&gt;=$B$6,334&lt;=$D$6),1,0)</f>
        <v/>
      </c>
      <c r="LZ32" s="17">
        <f>IF(AND(335&gt;=$B$6,335&lt;=$D$6),1,0)</f>
        <v/>
      </c>
      <c r="MA32" s="17">
        <f>IF(AND(336&gt;=$B$6,336&lt;=$D$6),1,0)</f>
        <v/>
      </c>
      <c r="MB32" s="17">
        <f>IF(AND(337&gt;=$B$6,337&lt;=$D$6),1,0)</f>
        <v/>
      </c>
      <c r="MC32" s="17">
        <f>IF(AND(338&gt;=$B$6,338&lt;=$D$6),1,0)</f>
        <v/>
      </c>
      <c r="MD32" s="17">
        <f>IF(AND(339&gt;=$B$6,339&lt;=$D$6),1,0)</f>
        <v/>
      </c>
      <c r="ME32" s="17">
        <f>IF(AND(340&gt;=$B$6,340&lt;=$D$6),1,0)</f>
        <v/>
      </c>
      <c r="MF32" s="17">
        <f>IF(AND(341&gt;=$B$6,341&lt;=$D$6),1,0)</f>
        <v/>
      </c>
      <c r="MG32" s="17">
        <f>IF(AND(342&gt;=$B$6,342&lt;=$D$6),1,0)</f>
        <v/>
      </c>
      <c r="MH32" s="17">
        <f>IF(AND(343&gt;=$B$6,343&lt;=$D$6),1,0)</f>
        <v/>
      </c>
      <c r="MI32" s="17">
        <f>IF(AND(344&gt;=$B$6,344&lt;=$D$6),1,0)</f>
        <v/>
      </c>
      <c r="MJ32" s="17">
        <f>IF(AND(345&gt;=$B$6,345&lt;=$D$6),1,0)</f>
        <v/>
      </c>
      <c r="MK32" s="17">
        <f>IF(AND(346&gt;=$B$6,346&lt;=$D$6),1,0)</f>
        <v/>
      </c>
      <c r="ML32" s="17">
        <f>IF(AND(347&gt;=$B$6,347&lt;=$D$6),1,0)</f>
        <v/>
      </c>
      <c r="MM32" s="17">
        <f>IF(AND(348&gt;=$B$6,348&lt;=$D$6),1,0)</f>
        <v/>
      </c>
      <c r="MN32" s="17">
        <f>IF(AND(349&gt;=$B$6,349&lt;=$D$6),1,0)</f>
        <v/>
      </c>
      <c r="MO32" s="17">
        <f>IF(AND(350&gt;=$B$6,350&lt;=$D$6),1,0)</f>
        <v/>
      </c>
      <c r="MP32" s="17">
        <f>IF(AND(351&gt;=$B$6,351&lt;=$D$6),1,0)</f>
        <v/>
      </c>
      <c r="MQ32" s="17">
        <f>IF(AND(352&gt;=$B$6,352&lt;=$D$6),1,0)</f>
        <v/>
      </c>
      <c r="MR32" s="17">
        <f>IF(AND(353&gt;=$B$6,353&lt;=$D$6),1,0)</f>
        <v/>
      </c>
      <c r="MS32" s="17">
        <f>IF(AND(354&gt;=$B$6,354&lt;=$D$6),1,0)</f>
        <v/>
      </c>
      <c r="MT32" s="17">
        <f>IF(AND(355&gt;=$B$6,355&lt;=$D$6),1,0)</f>
        <v/>
      </c>
      <c r="MU32" s="17">
        <f>IF(AND(356&gt;=$B$6,356&lt;=$D$6),1,0)</f>
        <v/>
      </c>
      <c r="MV32" s="17">
        <f>IF(AND(357&gt;=$B$6,357&lt;=$D$6),1,0)</f>
        <v/>
      </c>
      <c r="MW32" s="17">
        <f>IF(AND(358&gt;=$B$6,358&lt;=$D$6),1,0)</f>
        <v/>
      </c>
      <c r="MX32" s="17">
        <f>IF(AND(359&gt;=$B$6,359&lt;=$D$6),1,0)</f>
        <v/>
      </c>
      <c r="MY32" s="17">
        <f>IF(AND(360&gt;=$B$6,360&lt;=$D$6),1,0)</f>
        <v/>
      </c>
      <c r="MZ32" s="17">
        <f>IF(AND(361&gt;=$B$6,361&lt;=$D$6),1,0)</f>
        <v/>
      </c>
      <c r="NA32" s="17">
        <f>IF(AND(362&gt;=$B$6,362&lt;=$D$6),1,0)</f>
        <v/>
      </c>
      <c r="NB32" s="17">
        <f>IF(AND(363&gt;=$B$6,363&lt;=$D$6),1,0)</f>
        <v/>
      </c>
      <c r="NC32" s="17">
        <f>IF(AND(364&gt;=$B$6,364&lt;=$D$6),1,0)</f>
        <v/>
      </c>
      <c r="ND32" s="17">
        <f>IF(AND(365&gt;=$B$6,365&lt;=$D$6),1,0)</f>
        <v/>
      </c>
      <c r="NE32" s="17">
        <f>IF(AND(366&gt;=$B$6,366&lt;=$D$6),1,0)</f>
        <v/>
      </c>
      <c r="NF32" s="17">
        <f>IF(AND(367&gt;=$B$6,367&lt;=$D$6),1,0)</f>
        <v/>
      </c>
      <c r="NG32" s="17">
        <f>IF(AND(368&gt;=$B$6,368&lt;=$D$6),1,0)</f>
        <v/>
      </c>
      <c r="NH32" s="17">
        <f>IF(AND(369&gt;=$B$6,369&lt;=$D$6),1,0)</f>
        <v/>
      </c>
      <c r="NI32" s="17">
        <f>IF(AND(370&gt;=$B$6,370&lt;=$D$6),1,0)</f>
        <v/>
      </c>
      <c r="NJ32" s="17">
        <f>IF(AND(371&gt;=$B$6,371&lt;=$D$6),1,0)</f>
        <v/>
      </c>
      <c r="NK32" s="17">
        <f>IF(AND(372&gt;=$B$6,372&lt;=$D$6),1,0)</f>
        <v/>
      </c>
    </row>
    <row r="33">
      <c r="A33" s="5" t="inlineStr">
        <is>
          <t>Flag: Pre-Construction</t>
        </is>
      </c>
      <c r="C33" s="40" t="n"/>
      <c r="D33" s="17">
        <f>IF(AND(1&gt;=$B$7,1&lt;=$D$7),1,0)</f>
        <v/>
      </c>
      <c r="E33" s="17">
        <f>IF(AND(2&gt;=$B$7,2&lt;=$D$7),1,0)</f>
        <v/>
      </c>
      <c r="F33" s="17">
        <f>IF(AND(3&gt;=$B$7,3&lt;=$D$7),1,0)</f>
        <v/>
      </c>
      <c r="G33" s="17">
        <f>IF(AND(4&gt;=$B$7,4&lt;=$D$7),1,0)</f>
        <v/>
      </c>
      <c r="H33" s="17">
        <f>IF(AND(5&gt;=$B$7,5&lt;=$D$7),1,0)</f>
        <v/>
      </c>
      <c r="I33" s="17">
        <f>IF(AND(6&gt;=$B$7,6&lt;=$D$7),1,0)</f>
        <v/>
      </c>
      <c r="J33" s="17">
        <f>IF(AND(7&gt;=$B$7,7&lt;=$D$7),1,0)</f>
        <v/>
      </c>
      <c r="K33" s="17">
        <f>IF(AND(8&gt;=$B$7,8&lt;=$D$7),1,0)</f>
        <v/>
      </c>
      <c r="L33" s="17">
        <f>IF(AND(9&gt;=$B$7,9&lt;=$D$7),1,0)</f>
        <v/>
      </c>
      <c r="M33" s="17">
        <f>IF(AND(10&gt;=$B$7,10&lt;=$D$7),1,0)</f>
        <v/>
      </c>
      <c r="N33" s="17">
        <f>IF(AND(11&gt;=$B$7,11&lt;=$D$7),1,0)</f>
        <v/>
      </c>
      <c r="O33" s="17">
        <f>IF(AND(12&gt;=$B$7,12&lt;=$D$7),1,0)</f>
        <v/>
      </c>
      <c r="P33" s="17">
        <f>IF(AND(13&gt;=$B$7,13&lt;=$D$7),1,0)</f>
        <v/>
      </c>
      <c r="Q33" s="17">
        <f>IF(AND(14&gt;=$B$7,14&lt;=$D$7),1,0)</f>
        <v/>
      </c>
      <c r="R33" s="17">
        <f>IF(AND(15&gt;=$B$7,15&lt;=$D$7),1,0)</f>
        <v/>
      </c>
      <c r="S33" s="17">
        <f>IF(AND(16&gt;=$B$7,16&lt;=$D$7),1,0)</f>
        <v/>
      </c>
      <c r="T33" s="17">
        <f>IF(AND(17&gt;=$B$7,17&lt;=$D$7),1,0)</f>
        <v/>
      </c>
      <c r="U33" s="17">
        <f>IF(AND(18&gt;=$B$7,18&lt;=$D$7),1,0)</f>
        <v/>
      </c>
      <c r="V33" s="17">
        <f>IF(AND(19&gt;=$B$7,19&lt;=$D$7),1,0)</f>
        <v/>
      </c>
      <c r="W33" s="17">
        <f>IF(AND(20&gt;=$B$7,20&lt;=$D$7),1,0)</f>
        <v/>
      </c>
      <c r="X33" s="17">
        <f>IF(AND(21&gt;=$B$7,21&lt;=$D$7),1,0)</f>
        <v/>
      </c>
      <c r="Y33" s="17">
        <f>IF(AND(22&gt;=$B$7,22&lt;=$D$7),1,0)</f>
        <v/>
      </c>
      <c r="Z33" s="17">
        <f>IF(AND(23&gt;=$B$7,23&lt;=$D$7),1,0)</f>
        <v/>
      </c>
      <c r="AA33" s="17">
        <f>IF(AND(24&gt;=$B$7,24&lt;=$D$7),1,0)</f>
        <v/>
      </c>
      <c r="AB33" s="17">
        <f>IF(AND(25&gt;=$B$7,25&lt;=$D$7),1,0)</f>
        <v/>
      </c>
      <c r="AC33" s="17">
        <f>IF(AND(26&gt;=$B$7,26&lt;=$D$7),1,0)</f>
        <v/>
      </c>
      <c r="AD33" s="17">
        <f>IF(AND(27&gt;=$B$7,27&lt;=$D$7),1,0)</f>
        <v/>
      </c>
      <c r="AE33" s="17">
        <f>IF(AND(28&gt;=$B$7,28&lt;=$D$7),1,0)</f>
        <v/>
      </c>
      <c r="AF33" s="17">
        <f>IF(AND(29&gt;=$B$7,29&lt;=$D$7),1,0)</f>
        <v/>
      </c>
      <c r="AG33" s="17">
        <f>IF(AND(30&gt;=$B$7,30&lt;=$D$7),1,0)</f>
        <v/>
      </c>
      <c r="AH33" s="17">
        <f>IF(AND(31&gt;=$B$7,31&lt;=$D$7),1,0)</f>
        <v/>
      </c>
      <c r="AI33" s="17">
        <f>IF(AND(32&gt;=$B$7,32&lt;=$D$7),1,0)</f>
        <v/>
      </c>
      <c r="AJ33" s="17">
        <f>IF(AND(33&gt;=$B$7,33&lt;=$D$7),1,0)</f>
        <v/>
      </c>
      <c r="AK33" s="17">
        <f>IF(AND(34&gt;=$B$7,34&lt;=$D$7),1,0)</f>
        <v/>
      </c>
      <c r="AL33" s="17">
        <f>IF(AND(35&gt;=$B$7,35&lt;=$D$7),1,0)</f>
        <v/>
      </c>
      <c r="AM33" s="17">
        <f>IF(AND(36&gt;=$B$7,36&lt;=$D$7),1,0)</f>
        <v/>
      </c>
      <c r="AN33" s="17">
        <f>IF(AND(37&gt;=$B$7,37&lt;=$D$7),1,0)</f>
        <v/>
      </c>
      <c r="AO33" s="17">
        <f>IF(AND(38&gt;=$B$7,38&lt;=$D$7),1,0)</f>
        <v/>
      </c>
      <c r="AP33" s="17">
        <f>IF(AND(39&gt;=$B$7,39&lt;=$D$7),1,0)</f>
        <v/>
      </c>
      <c r="AQ33" s="17">
        <f>IF(AND(40&gt;=$B$7,40&lt;=$D$7),1,0)</f>
        <v/>
      </c>
      <c r="AR33" s="17">
        <f>IF(AND(41&gt;=$B$7,41&lt;=$D$7),1,0)</f>
        <v/>
      </c>
      <c r="AS33" s="17">
        <f>IF(AND(42&gt;=$B$7,42&lt;=$D$7),1,0)</f>
        <v/>
      </c>
      <c r="AT33" s="17">
        <f>IF(AND(43&gt;=$B$7,43&lt;=$D$7),1,0)</f>
        <v/>
      </c>
      <c r="AU33" s="17">
        <f>IF(AND(44&gt;=$B$7,44&lt;=$D$7),1,0)</f>
        <v/>
      </c>
      <c r="AV33" s="17">
        <f>IF(AND(45&gt;=$B$7,45&lt;=$D$7),1,0)</f>
        <v/>
      </c>
      <c r="AW33" s="17">
        <f>IF(AND(46&gt;=$B$7,46&lt;=$D$7),1,0)</f>
        <v/>
      </c>
      <c r="AX33" s="17">
        <f>IF(AND(47&gt;=$B$7,47&lt;=$D$7),1,0)</f>
        <v/>
      </c>
      <c r="AY33" s="17">
        <f>IF(AND(48&gt;=$B$7,48&lt;=$D$7),1,0)</f>
        <v/>
      </c>
      <c r="AZ33" s="17">
        <f>IF(AND(49&gt;=$B$7,49&lt;=$D$7),1,0)</f>
        <v/>
      </c>
      <c r="BA33" s="17">
        <f>IF(AND(50&gt;=$B$7,50&lt;=$D$7),1,0)</f>
        <v/>
      </c>
      <c r="BB33" s="17">
        <f>IF(AND(51&gt;=$B$7,51&lt;=$D$7),1,0)</f>
        <v/>
      </c>
      <c r="BC33" s="17">
        <f>IF(AND(52&gt;=$B$7,52&lt;=$D$7),1,0)</f>
        <v/>
      </c>
      <c r="BD33" s="17">
        <f>IF(AND(53&gt;=$B$7,53&lt;=$D$7),1,0)</f>
        <v/>
      </c>
      <c r="BE33" s="17">
        <f>IF(AND(54&gt;=$B$7,54&lt;=$D$7),1,0)</f>
        <v/>
      </c>
      <c r="BF33" s="17">
        <f>IF(AND(55&gt;=$B$7,55&lt;=$D$7),1,0)</f>
        <v/>
      </c>
      <c r="BG33" s="17">
        <f>IF(AND(56&gt;=$B$7,56&lt;=$D$7),1,0)</f>
        <v/>
      </c>
      <c r="BH33" s="17">
        <f>IF(AND(57&gt;=$B$7,57&lt;=$D$7),1,0)</f>
        <v/>
      </c>
      <c r="BI33" s="17">
        <f>IF(AND(58&gt;=$B$7,58&lt;=$D$7),1,0)</f>
        <v/>
      </c>
      <c r="BJ33" s="17">
        <f>IF(AND(59&gt;=$B$7,59&lt;=$D$7),1,0)</f>
        <v/>
      </c>
      <c r="BK33" s="17">
        <f>IF(AND(60&gt;=$B$7,60&lt;=$D$7),1,0)</f>
        <v/>
      </c>
      <c r="BL33" s="17">
        <f>IF(AND(61&gt;=$B$7,61&lt;=$D$7),1,0)</f>
        <v/>
      </c>
      <c r="BM33" s="17">
        <f>IF(AND(62&gt;=$B$7,62&lt;=$D$7),1,0)</f>
        <v/>
      </c>
      <c r="BN33" s="17">
        <f>IF(AND(63&gt;=$B$7,63&lt;=$D$7),1,0)</f>
        <v/>
      </c>
      <c r="BO33" s="17">
        <f>IF(AND(64&gt;=$B$7,64&lt;=$D$7),1,0)</f>
        <v/>
      </c>
      <c r="BP33" s="17">
        <f>IF(AND(65&gt;=$B$7,65&lt;=$D$7),1,0)</f>
        <v/>
      </c>
      <c r="BQ33" s="17">
        <f>IF(AND(66&gt;=$B$7,66&lt;=$D$7),1,0)</f>
        <v/>
      </c>
      <c r="BR33" s="17">
        <f>IF(AND(67&gt;=$B$7,67&lt;=$D$7),1,0)</f>
        <v/>
      </c>
      <c r="BS33" s="17">
        <f>IF(AND(68&gt;=$B$7,68&lt;=$D$7),1,0)</f>
        <v/>
      </c>
      <c r="BT33" s="17">
        <f>IF(AND(69&gt;=$B$7,69&lt;=$D$7),1,0)</f>
        <v/>
      </c>
      <c r="BU33" s="17">
        <f>IF(AND(70&gt;=$B$7,70&lt;=$D$7),1,0)</f>
        <v/>
      </c>
      <c r="BV33" s="17">
        <f>IF(AND(71&gt;=$B$7,71&lt;=$D$7),1,0)</f>
        <v/>
      </c>
      <c r="BW33" s="17">
        <f>IF(AND(72&gt;=$B$7,72&lt;=$D$7),1,0)</f>
        <v/>
      </c>
      <c r="BX33" s="17">
        <f>IF(AND(73&gt;=$B$7,73&lt;=$D$7),1,0)</f>
        <v/>
      </c>
      <c r="BY33" s="17">
        <f>IF(AND(74&gt;=$B$7,74&lt;=$D$7),1,0)</f>
        <v/>
      </c>
      <c r="BZ33" s="17">
        <f>IF(AND(75&gt;=$B$7,75&lt;=$D$7),1,0)</f>
        <v/>
      </c>
      <c r="CA33" s="17">
        <f>IF(AND(76&gt;=$B$7,76&lt;=$D$7),1,0)</f>
        <v/>
      </c>
      <c r="CB33" s="17">
        <f>IF(AND(77&gt;=$B$7,77&lt;=$D$7),1,0)</f>
        <v/>
      </c>
      <c r="CC33" s="17">
        <f>IF(AND(78&gt;=$B$7,78&lt;=$D$7),1,0)</f>
        <v/>
      </c>
      <c r="CD33" s="17">
        <f>IF(AND(79&gt;=$B$7,79&lt;=$D$7),1,0)</f>
        <v/>
      </c>
      <c r="CE33" s="17">
        <f>IF(AND(80&gt;=$B$7,80&lt;=$D$7),1,0)</f>
        <v/>
      </c>
      <c r="CF33" s="17">
        <f>IF(AND(81&gt;=$B$7,81&lt;=$D$7),1,0)</f>
        <v/>
      </c>
      <c r="CG33" s="17">
        <f>IF(AND(82&gt;=$B$7,82&lt;=$D$7),1,0)</f>
        <v/>
      </c>
      <c r="CH33" s="17">
        <f>IF(AND(83&gt;=$B$7,83&lt;=$D$7),1,0)</f>
        <v/>
      </c>
      <c r="CI33" s="17">
        <f>IF(AND(84&gt;=$B$7,84&lt;=$D$7),1,0)</f>
        <v/>
      </c>
      <c r="CJ33" s="17">
        <f>IF(AND(85&gt;=$B$7,85&lt;=$D$7),1,0)</f>
        <v/>
      </c>
      <c r="CK33" s="17">
        <f>IF(AND(86&gt;=$B$7,86&lt;=$D$7),1,0)</f>
        <v/>
      </c>
      <c r="CL33" s="17">
        <f>IF(AND(87&gt;=$B$7,87&lt;=$D$7),1,0)</f>
        <v/>
      </c>
      <c r="CM33" s="17">
        <f>IF(AND(88&gt;=$B$7,88&lt;=$D$7),1,0)</f>
        <v/>
      </c>
      <c r="CN33" s="17">
        <f>IF(AND(89&gt;=$B$7,89&lt;=$D$7),1,0)</f>
        <v/>
      </c>
      <c r="CO33" s="17">
        <f>IF(AND(90&gt;=$B$7,90&lt;=$D$7),1,0)</f>
        <v/>
      </c>
      <c r="CP33" s="17">
        <f>IF(AND(91&gt;=$B$7,91&lt;=$D$7),1,0)</f>
        <v/>
      </c>
      <c r="CQ33" s="17">
        <f>IF(AND(92&gt;=$B$7,92&lt;=$D$7),1,0)</f>
        <v/>
      </c>
      <c r="CR33" s="17">
        <f>IF(AND(93&gt;=$B$7,93&lt;=$D$7),1,0)</f>
        <v/>
      </c>
      <c r="CS33" s="17">
        <f>IF(AND(94&gt;=$B$7,94&lt;=$D$7),1,0)</f>
        <v/>
      </c>
      <c r="CT33" s="17">
        <f>IF(AND(95&gt;=$B$7,95&lt;=$D$7),1,0)</f>
        <v/>
      </c>
      <c r="CU33" s="17">
        <f>IF(AND(96&gt;=$B$7,96&lt;=$D$7),1,0)</f>
        <v/>
      </c>
      <c r="CV33" s="17">
        <f>IF(AND(97&gt;=$B$7,97&lt;=$D$7),1,0)</f>
        <v/>
      </c>
      <c r="CW33" s="17">
        <f>IF(AND(98&gt;=$B$7,98&lt;=$D$7),1,0)</f>
        <v/>
      </c>
      <c r="CX33" s="17">
        <f>IF(AND(99&gt;=$B$7,99&lt;=$D$7),1,0)</f>
        <v/>
      </c>
      <c r="CY33" s="17">
        <f>IF(AND(100&gt;=$B$7,100&lt;=$D$7),1,0)</f>
        <v/>
      </c>
      <c r="CZ33" s="17">
        <f>IF(AND(101&gt;=$B$7,101&lt;=$D$7),1,0)</f>
        <v/>
      </c>
      <c r="DA33" s="17">
        <f>IF(AND(102&gt;=$B$7,102&lt;=$D$7),1,0)</f>
        <v/>
      </c>
      <c r="DB33" s="17">
        <f>IF(AND(103&gt;=$B$7,103&lt;=$D$7),1,0)</f>
        <v/>
      </c>
      <c r="DC33" s="17">
        <f>IF(AND(104&gt;=$B$7,104&lt;=$D$7),1,0)</f>
        <v/>
      </c>
      <c r="DD33" s="17">
        <f>IF(AND(105&gt;=$B$7,105&lt;=$D$7),1,0)</f>
        <v/>
      </c>
      <c r="DE33" s="17">
        <f>IF(AND(106&gt;=$B$7,106&lt;=$D$7),1,0)</f>
        <v/>
      </c>
      <c r="DF33" s="17">
        <f>IF(AND(107&gt;=$B$7,107&lt;=$D$7),1,0)</f>
        <v/>
      </c>
      <c r="DG33" s="17">
        <f>IF(AND(108&gt;=$B$7,108&lt;=$D$7),1,0)</f>
        <v/>
      </c>
      <c r="DH33" s="17">
        <f>IF(AND(109&gt;=$B$7,109&lt;=$D$7),1,0)</f>
        <v/>
      </c>
      <c r="DI33" s="17">
        <f>IF(AND(110&gt;=$B$7,110&lt;=$D$7),1,0)</f>
        <v/>
      </c>
      <c r="DJ33" s="17">
        <f>IF(AND(111&gt;=$B$7,111&lt;=$D$7),1,0)</f>
        <v/>
      </c>
      <c r="DK33" s="17">
        <f>IF(AND(112&gt;=$B$7,112&lt;=$D$7),1,0)</f>
        <v/>
      </c>
      <c r="DL33" s="17">
        <f>IF(AND(113&gt;=$B$7,113&lt;=$D$7),1,0)</f>
        <v/>
      </c>
      <c r="DM33" s="17">
        <f>IF(AND(114&gt;=$B$7,114&lt;=$D$7),1,0)</f>
        <v/>
      </c>
      <c r="DN33" s="17">
        <f>IF(AND(115&gt;=$B$7,115&lt;=$D$7),1,0)</f>
        <v/>
      </c>
      <c r="DO33" s="17">
        <f>IF(AND(116&gt;=$B$7,116&lt;=$D$7),1,0)</f>
        <v/>
      </c>
      <c r="DP33" s="17">
        <f>IF(AND(117&gt;=$B$7,117&lt;=$D$7),1,0)</f>
        <v/>
      </c>
      <c r="DQ33" s="17">
        <f>IF(AND(118&gt;=$B$7,118&lt;=$D$7),1,0)</f>
        <v/>
      </c>
      <c r="DR33" s="17">
        <f>IF(AND(119&gt;=$B$7,119&lt;=$D$7),1,0)</f>
        <v/>
      </c>
      <c r="DS33" s="17">
        <f>IF(AND(120&gt;=$B$7,120&lt;=$D$7),1,0)</f>
        <v/>
      </c>
      <c r="DT33" s="17">
        <f>IF(AND(121&gt;=$B$7,121&lt;=$D$7),1,0)</f>
        <v/>
      </c>
      <c r="DU33" s="17">
        <f>IF(AND(122&gt;=$B$7,122&lt;=$D$7),1,0)</f>
        <v/>
      </c>
      <c r="DV33" s="17">
        <f>IF(AND(123&gt;=$B$7,123&lt;=$D$7),1,0)</f>
        <v/>
      </c>
      <c r="DW33" s="17">
        <f>IF(AND(124&gt;=$B$7,124&lt;=$D$7),1,0)</f>
        <v/>
      </c>
      <c r="DX33" s="17">
        <f>IF(AND(125&gt;=$B$7,125&lt;=$D$7),1,0)</f>
        <v/>
      </c>
      <c r="DY33" s="17">
        <f>IF(AND(126&gt;=$B$7,126&lt;=$D$7),1,0)</f>
        <v/>
      </c>
      <c r="DZ33" s="17">
        <f>IF(AND(127&gt;=$B$7,127&lt;=$D$7),1,0)</f>
        <v/>
      </c>
      <c r="EA33" s="17">
        <f>IF(AND(128&gt;=$B$7,128&lt;=$D$7),1,0)</f>
        <v/>
      </c>
      <c r="EB33" s="17">
        <f>IF(AND(129&gt;=$B$7,129&lt;=$D$7),1,0)</f>
        <v/>
      </c>
      <c r="EC33" s="17">
        <f>IF(AND(130&gt;=$B$7,130&lt;=$D$7),1,0)</f>
        <v/>
      </c>
      <c r="ED33" s="17">
        <f>IF(AND(131&gt;=$B$7,131&lt;=$D$7),1,0)</f>
        <v/>
      </c>
      <c r="EE33" s="17">
        <f>IF(AND(132&gt;=$B$7,132&lt;=$D$7),1,0)</f>
        <v/>
      </c>
      <c r="EF33" s="17">
        <f>IF(AND(133&gt;=$B$7,133&lt;=$D$7),1,0)</f>
        <v/>
      </c>
      <c r="EG33" s="17">
        <f>IF(AND(134&gt;=$B$7,134&lt;=$D$7),1,0)</f>
        <v/>
      </c>
      <c r="EH33" s="17">
        <f>IF(AND(135&gt;=$B$7,135&lt;=$D$7),1,0)</f>
        <v/>
      </c>
      <c r="EI33" s="17">
        <f>IF(AND(136&gt;=$B$7,136&lt;=$D$7),1,0)</f>
        <v/>
      </c>
      <c r="EJ33" s="17">
        <f>IF(AND(137&gt;=$B$7,137&lt;=$D$7),1,0)</f>
        <v/>
      </c>
      <c r="EK33" s="17">
        <f>IF(AND(138&gt;=$B$7,138&lt;=$D$7),1,0)</f>
        <v/>
      </c>
      <c r="EL33" s="17">
        <f>IF(AND(139&gt;=$B$7,139&lt;=$D$7),1,0)</f>
        <v/>
      </c>
      <c r="EM33" s="17">
        <f>IF(AND(140&gt;=$B$7,140&lt;=$D$7),1,0)</f>
        <v/>
      </c>
      <c r="EN33" s="17">
        <f>IF(AND(141&gt;=$B$7,141&lt;=$D$7),1,0)</f>
        <v/>
      </c>
      <c r="EO33" s="17">
        <f>IF(AND(142&gt;=$B$7,142&lt;=$D$7),1,0)</f>
        <v/>
      </c>
      <c r="EP33" s="17">
        <f>IF(AND(143&gt;=$B$7,143&lt;=$D$7),1,0)</f>
        <v/>
      </c>
      <c r="EQ33" s="17">
        <f>IF(AND(144&gt;=$B$7,144&lt;=$D$7),1,0)</f>
        <v/>
      </c>
      <c r="ER33" s="17">
        <f>IF(AND(145&gt;=$B$7,145&lt;=$D$7),1,0)</f>
        <v/>
      </c>
      <c r="ES33" s="17">
        <f>IF(AND(146&gt;=$B$7,146&lt;=$D$7),1,0)</f>
        <v/>
      </c>
      <c r="ET33" s="17">
        <f>IF(AND(147&gt;=$B$7,147&lt;=$D$7),1,0)</f>
        <v/>
      </c>
      <c r="EU33" s="17">
        <f>IF(AND(148&gt;=$B$7,148&lt;=$D$7),1,0)</f>
        <v/>
      </c>
      <c r="EV33" s="17">
        <f>IF(AND(149&gt;=$B$7,149&lt;=$D$7),1,0)</f>
        <v/>
      </c>
      <c r="EW33" s="17">
        <f>IF(AND(150&gt;=$B$7,150&lt;=$D$7),1,0)</f>
        <v/>
      </c>
      <c r="EX33" s="17">
        <f>IF(AND(151&gt;=$B$7,151&lt;=$D$7),1,0)</f>
        <v/>
      </c>
      <c r="EY33" s="17">
        <f>IF(AND(152&gt;=$B$7,152&lt;=$D$7),1,0)</f>
        <v/>
      </c>
      <c r="EZ33" s="17">
        <f>IF(AND(153&gt;=$B$7,153&lt;=$D$7),1,0)</f>
        <v/>
      </c>
      <c r="FA33" s="17">
        <f>IF(AND(154&gt;=$B$7,154&lt;=$D$7),1,0)</f>
        <v/>
      </c>
      <c r="FB33" s="17">
        <f>IF(AND(155&gt;=$B$7,155&lt;=$D$7),1,0)</f>
        <v/>
      </c>
      <c r="FC33" s="17">
        <f>IF(AND(156&gt;=$B$7,156&lt;=$D$7),1,0)</f>
        <v/>
      </c>
      <c r="FD33" s="17">
        <f>IF(AND(157&gt;=$B$7,157&lt;=$D$7),1,0)</f>
        <v/>
      </c>
      <c r="FE33" s="17">
        <f>IF(AND(158&gt;=$B$7,158&lt;=$D$7),1,0)</f>
        <v/>
      </c>
      <c r="FF33" s="17">
        <f>IF(AND(159&gt;=$B$7,159&lt;=$D$7),1,0)</f>
        <v/>
      </c>
      <c r="FG33" s="17">
        <f>IF(AND(160&gt;=$B$7,160&lt;=$D$7),1,0)</f>
        <v/>
      </c>
      <c r="FH33" s="17">
        <f>IF(AND(161&gt;=$B$7,161&lt;=$D$7),1,0)</f>
        <v/>
      </c>
      <c r="FI33" s="17">
        <f>IF(AND(162&gt;=$B$7,162&lt;=$D$7),1,0)</f>
        <v/>
      </c>
      <c r="FJ33" s="17">
        <f>IF(AND(163&gt;=$B$7,163&lt;=$D$7),1,0)</f>
        <v/>
      </c>
      <c r="FK33" s="17">
        <f>IF(AND(164&gt;=$B$7,164&lt;=$D$7),1,0)</f>
        <v/>
      </c>
      <c r="FL33" s="17">
        <f>IF(AND(165&gt;=$B$7,165&lt;=$D$7),1,0)</f>
        <v/>
      </c>
      <c r="FM33" s="17">
        <f>IF(AND(166&gt;=$B$7,166&lt;=$D$7),1,0)</f>
        <v/>
      </c>
      <c r="FN33" s="17">
        <f>IF(AND(167&gt;=$B$7,167&lt;=$D$7),1,0)</f>
        <v/>
      </c>
      <c r="FO33" s="17">
        <f>IF(AND(168&gt;=$B$7,168&lt;=$D$7),1,0)</f>
        <v/>
      </c>
      <c r="FP33" s="17">
        <f>IF(AND(169&gt;=$B$7,169&lt;=$D$7),1,0)</f>
        <v/>
      </c>
      <c r="FQ33" s="17">
        <f>IF(AND(170&gt;=$B$7,170&lt;=$D$7),1,0)</f>
        <v/>
      </c>
      <c r="FR33" s="17">
        <f>IF(AND(171&gt;=$B$7,171&lt;=$D$7),1,0)</f>
        <v/>
      </c>
      <c r="FS33" s="17">
        <f>IF(AND(172&gt;=$B$7,172&lt;=$D$7),1,0)</f>
        <v/>
      </c>
      <c r="FT33" s="17">
        <f>IF(AND(173&gt;=$B$7,173&lt;=$D$7),1,0)</f>
        <v/>
      </c>
      <c r="FU33" s="17">
        <f>IF(AND(174&gt;=$B$7,174&lt;=$D$7),1,0)</f>
        <v/>
      </c>
      <c r="FV33" s="17">
        <f>IF(AND(175&gt;=$B$7,175&lt;=$D$7),1,0)</f>
        <v/>
      </c>
      <c r="FW33" s="17">
        <f>IF(AND(176&gt;=$B$7,176&lt;=$D$7),1,0)</f>
        <v/>
      </c>
      <c r="FX33" s="17">
        <f>IF(AND(177&gt;=$B$7,177&lt;=$D$7),1,0)</f>
        <v/>
      </c>
      <c r="FY33" s="17">
        <f>IF(AND(178&gt;=$B$7,178&lt;=$D$7),1,0)</f>
        <v/>
      </c>
      <c r="FZ33" s="17">
        <f>IF(AND(179&gt;=$B$7,179&lt;=$D$7),1,0)</f>
        <v/>
      </c>
      <c r="GA33" s="17">
        <f>IF(AND(180&gt;=$B$7,180&lt;=$D$7),1,0)</f>
        <v/>
      </c>
      <c r="GB33" s="17">
        <f>IF(AND(181&gt;=$B$7,181&lt;=$D$7),1,0)</f>
        <v/>
      </c>
      <c r="GC33" s="17">
        <f>IF(AND(182&gt;=$B$7,182&lt;=$D$7),1,0)</f>
        <v/>
      </c>
      <c r="GD33" s="17">
        <f>IF(AND(183&gt;=$B$7,183&lt;=$D$7),1,0)</f>
        <v/>
      </c>
      <c r="GE33" s="17">
        <f>IF(AND(184&gt;=$B$7,184&lt;=$D$7),1,0)</f>
        <v/>
      </c>
      <c r="GF33" s="17">
        <f>IF(AND(185&gt;=$B$7,185&lt;=$D$7),1,0)</f>
        <v/>
      </c>
      <c r="GG33" s="17">
        <f>IF(AND(186&gt;=$B$7,186&lt;=$D$7),1,0)</f>
        <v/>
      </c>
      <c r="GH33" s="17">
        <f>IF(AND(187&gt;=$B$7,187&lt;=$D$7),1,0)</f>
        <v/>
      </c>
      <c r="GI33" s="17">
        <f>IF(AND(188&gt;=$B$7,188&lt;=$D$7),1,0)</f>
        <v/>
      </c>
      <c r="GJ33" s="17">
        <f>IF(AND(189&gt;=$B$7,189&lt;=$D$7),1,0)</f>
        <v/>
      </c>
      <c r="GK33" s="17">
        <f>IF(AND(190&gt;=$B$7,190&lt;=$D$7),1,0)</f>
        <v/>
      </c>
      <c r="GL33" s="17">
        <f>IF(AND(191&gt;=$B$7,191&lt;=$D$7),1,0)</f>
        <v/>
      </c>
      <c r="GM33" s="17">
        <f>IF(AND(192&gt;=$B$7,192&lt;=$D$7),1,0)</f>
        <v/>
      </c>
      <c r="GN33" s="17">
        <f>IF(AND(193&gt;=$B$7,193&lt;=$D$7),1,0)</f>
        <v/>
      </c>
      <c r="GO33" s="17">
        <f>IF(AND(194&gt;=$B$7,194&lt;=$D$7),1,0)</f>
        <v/>
      </c>
      <c r="GP33" s="17">
        <f>IF(AND(195&gt;=$B$7,195&lt;=$D$7),1,0)</f>
        <v/>
      </c>
      <c r="GQ33" s="17">
        <f>IF(AND(196&gt;=$B$7,196&lt;=$D$7),1,0)</f>
        <v/>
      </c>
      <c r="GR33" s="17">
        <f>IF(AND(197&gt;=$B$7,197&lt;=$D$7),1,0)</f>
        <v/>
      </c>
      <c r="GS33" s="17">
        <f>IF(AND(198&gt;=$B$7,198&lt;=$D$7),1,0)</f>
        <v/>
      </c>
      <c r="GT33" s="17">
        <f>IF(AND(199&gt;=$B$7,199&lt;=$D$7),1,0)</f>
        <v/>
      </c>
      <c r="GU33" s="17">
        <f>IF(AND(200&gt;=$B$7,200&lt;=$D$7),1,0)</f>
        <v/>
      </c>
      <c r="GV33" s="17">
        <f>IF(AND(201&gt;=$B$7,201&lt;=$D$7),1,0)</f>
        <v/>
      </c>
      <c r="GW33" s="17">
        <f>IF(AND(202&gt;=$B$7,202&lt;=$D$7),1,0)</f>
        <v/>
      </c>
      <c r="GX33" s="17">
        <f>IF(AND(203&gt;=$B$7,203&lt;=$D$7),1,0)</f>
        <v/>
      </c>
      <c r="GY33" s="17">
        <f>IF(AND(204&gt;=$B$7,204&lt;=$D$7),1,0)</f>
        <v/>
      </c>
      <c r="GZ33" s="17">
        <f>IF(AND(205&gt;=$B$7,205&lt;=$D$7),1,0)</f>
        <v/>
      </c>
      <c r="HA33" s="17">
        <f>IF(AND(206&gt;=$B$7,206&lt;=$D$7),1,0)</f>
        <v/>
      </c>
      <c r="HB33" s="17">
        <f>IF(AND(207&gt;=$B$7,207&lt;=$D$7),1,0)</f>
        <v/>
      </c>
      <c r="HC33" s="17">
        <f>IF(AND(208&gt;=$B$7,208&lt;=$D$7),1,0)</f>
        <v/>
      </c>
      <c r="HD33" s="17">
        <f>IF(AND(209&gt;=$B$7,209&lt;=$D$7),1,0)</f>
        <v/>
      </c>
      <c r="HE33" s="17">
        <f>IF(AND(210&gt;=$B$7,210&lt;=$D$7),1,0)</f>
        <v/>
      </c>
      <c r="HF33" s="17">
        <f>IF(AND(211&gt;=$B$7,211&lt;=$D$7),1,0)</f>
        <v/>
      </c>
      <c r="HG33" s="17">
        <f>IF(AND(212&gt;=$B$7,212&lt;=$D$7),1,0)</f>
        <v/>
      </c>
      <c r="HH33" s="17">
        <f>IF(AND(213&gt;=$B$7,213&lt;=$D$7),1,0)</f>
        <v/>
      </c>
      <c r="HI33" s="17">
        <f>IF(AND(214&gt;=$B$7,214&lt;=$D$7),1,0)</f>
        <v/>
      </c>
      <c r="HJ33" s="17">
        <f>IF(AND(215&gt;=$B$7,215&lt;=$D$7),1,0)</f>
        <v/>
      </c>
      <c r="HK33" s="17">
        <f>IF(AND(216&gt;=$B$7,216&lt;=$D$7),1,0)</f>
        <v/>
      </c>
      <c r="HL33" s="17">
        <f>IF(AND(217&gt;=$B$7,217&lt;=$D$7),1,0)</f>
        <v/>
      </c>
      <c r="HM33" s="17">
        <f>IF(AND(218&gt;=$B$7,218&lt;=$D$7),1,0)</f>
        <v/>
      </c>
      <c r="HN33" s="17">
        <f>IF(AND(219&gt;=$B$7,219&lt;=$D$7),1,0)</f>
        <v/>
      </c>
      <c r="HO33" s="17">
        <f>IF(AND(220&gt;=$B$7,220&lt;=$D$7),1,0)</f>
        <v/>
      </c>
      <c r="HP33" s="17">
        <f>IF(AND(221&gt;=$B$7,221&lt;=$D$7),1,0)</f>
        <v/>
      </c>
      <c r="HQ33" s="17">
        <f>IF(AND(222&gt;=$B$7,222&lt;=$D$7),1,0)</f>
        <v/>
      </c>
      <c r="HR33" s="17">
        <f>IF(AND(223&gt;=$B$7,223&lt;=$D$7),1,0)</f>
        <v/>
      </c>
      <c r="HS33" s="17">
        <f>IF(AND(224&gt;=$B$7,224&lt;=$D$7),1,0)</f>
        <v/>
      </c>
      <c r="HT33" s="17">
        <f>IF(AND(225&gt;=$B$7,225&lt;=$D$7),1,0)</f>
        <v/>
      </c>
      <c r="HU33" s="17">
        <f>IF(AND(226&gt;=$B$7,226&lt;=$D$7),1,0)</f>
        <v/>
      </c>
      <c r="HV33" s="17">
        <f>IF(AND(227&gt;=$B$7,227&lt;=$D$7),1,0)</f>
        <v/>
      </c>
      <c r="HW33" s="17">
        <f>IF(AND(228&gt;=$B$7,228&lt;=$D$7),1,0)</f>
        <v/>
      </c>
      <c r="HX33" s="17">
        <f>IF(AND(229&gt;=$B$7,229&lt;=$D$7),1,0)</f>
        <v/>
      </c>
      <c r="HY33" s="17">
        <f>IF(AND(230&gt;=$B$7,230&lt;=$D$7),1,0)</f>
        <v/>
      </c>
      <c r="HZ33" s="17">
        <f>IF(AND(231&gt;=$B$7,231&lt;=$D$7),1,0)</f>
        <v/>
      </c>
      <c r="IA33" s="17">
        <f>IF(AND(232&gt;=$B$7,232&lt;=$D$7),1,0)</f>
        <v/>
      </c>
      <c r="IB33" s="17">
        <f>IF(AND(233&gt;=$B$7,233&lt;=$D$7),1,0)</f>
        <v/>
      </c>
      <c r="IC33" s="17">
        <f>IF(AND(234&gt;=$B$7,234&lt;=$D$7),1,0)</f>
        <v/>
      </c>
      <c r="ID33" s="17">
        <f>IF(AND(235&gt;=$B$7,235&lt;=$D$7),1,0)</f>
        <v/>
      </c>
      <c r="IE33" s="17">
        <f>IF(AND(236&gt;=$B$7,236&lt;=$D$7),1,0)</f>
        <v/>
      </c>
      <c r="IF33" s="17">
        <f>IF(AND(237&gt;=$B$7,237&lt;=$D$7),1,0)</f>
        <v/>
      </c>
      <c r="IG33" s="17">
        <f>IF(AND(238&gt;=$B$7,238&lt;=$D$7),1,0)</f>
        <v/>
      </c>
      <c r="IH33" s="17">
        <f>IF(AND(239&gt;=$B$7,239&lt;=$D$7),1,0)</f>
        <v/>
      </c>
      <c r="II33" s="17">
        <f>IF(AND(240&gt;=$B$7,240&lt;=$D$7),1,0)</f>
        <v/>
      </c>
      <c r="IJ33" s="17">
        <f>IF(AND(241&gt;=$B$7,241&lt;=$D$7),1,0)</f>
        <v/>
      </c>
      <c r="IK33" s="17">
        <f>IF(AND(242&gt;=$B$7,242&lt;=$D$7),1,0)</f>
        <v/>
      </c>
      <c r="IL33" s="17">
        <f>IF(AND(243&gt;=$B$7,243&lt;=$D$7),1,0)</f>
        <v/>
      </c>
      <c r="IM33" s="17">
        <f>IF(AND(244&gt;=$B$7,244&lt;=$D$7),1,0)</f>
        <v/>
      </c>
      <c r="IN33" s="17">
        <f>IF(AND(245&gt;=$B$7,245&lt;=$D$7),1,0)</f>
        <v/>
      </c>
      <c r="IO33" s="17">
        <f>IF(AND(246&gt;=$B$7,246&lt;=$D$7),1,0)</f>
        <v/>
      </c>
      <c r="IP33" s="17">
        <f>IF(AND(247&gt;=$B$7,247&lt;=$D$7),1,0)</f>
        <v/>
      </c>
      <c r="IQ33" s="17">
        <f>IF(AND(248&gt;=$B$7,248&lt;=$D$7),1,0)</f>
        <v/>
      </c>
      <c r="IR33" s="17">
        <f>IF(AND(249&gt;=$B$7,249&lt;=$D$7),1,0)</f>
        <v/>
      </c>
      <c r="IS33" s="17">
        <f>IF(AND(250&gt;=$B$7,250&lt;=$D$7),1,0)</f>
        <v/>
      </c>
      <c r="IT33" s="17">
        <f>IF(AND(251&gt;=$B$7,251&lt;=$D$7),1,0)</f>
        <v/>
      </c>
      <c r="IU33" s="17">
        <f>IF(AND(252&gt;=$B$7,252&lt;=$D$7),1,0)</f>
        <v/>
      </c>
      <c r="IV33" s="17">
        <f>IF(AND(253&gt;=$B$7,253&lt;=$D$7),1,0)</f>
        <v/>
      </c>
      <c r="IW33" s="17">
        <f>IF(AND(254&gt;=$B$7,254&lt;=$D$7),1,0)</f>
        <v/>
      </c>
      <c r="IX33" s="17">
        <f>IF(AND(255&gt;=$B$7,255&lt;=$D$7),1,0)</f>
        <v/>
      </c>
      <c r="IY33" s="17">
        <f>IF(AND(256&gt;=$B$7,256&lt;=$D$7),1,0)</f>
        <v/>
      </c>
      <c r="IZ33" s="17">
        <f>IF(AND(257&gt;=$B$7,257&lt;=$D$7),1,0)</f>
        <v/>
      </c>
      <c r="JA33" s="17">
        <f>IF(AND(258&gt;=$B$7,258&lt;=$D$7),1,0)</f>
        <v/>
      </c>
      <c r="JB33" s="17">
        <f>IF(AND(259&gt;=$B$7,259&lt;=$D$7),1,0)</f>
        <v/>
      </c>
      <c r="JC33" s="17">
        <f>IF(AND(260&gt;=$B$7,260&lt;=$D$7),1,0)</f>
        <v/>
      </c>
      <c r="JD33" s="17">
        <f>IF(AND(261&gt;=$B$7,261&lt;=$D$7),1,0)</f>
        <v/>
      </c>
      <c r="JE33" s="17">
        <f>IF(AND(262&gt;=$B$7,262&lt;=$D$7),1,0)</f>
        <v/>
      </c>
      <c r="JF33" s="17">
        <f>IF(AND(263&gt;=$B$7,263&lt;=$D$7),1,0)</f>
        <v/>
      </c>
      <c r="JG33" s="17">
        <f>IF(AND(264&gt;=$B$7,264&lt;=$D$7),1,0)</f>
        <v/>
      </c>
      <c r="JH33" s="17">
        <f>IF(AND(265&gt;=$B$7,265&lt;=$D$7),1,0)</f>
        <v/>
      </c>
      <c r="JI33" s="17">
        <f>IF(AND(266&gt;=$B$7,266&lt;=$D$7),1,0)</f>
        <v/>
      </c>
      <c r="JJ33" s="17">
        <f>IF(AND(267&gt;=$B$7,267&lt;=$D$7),1,0)</f>
        <v/>
      </c>
      <c r="JK33" s="17">
        <f>IF(AND(268&gt;=$B$7,268&lt;=$D$7),1,0)</f>
        <v/>
      </c>
      <c r="JL33" s="17">
        <f>IF(AND(269&gt;=$B$7,269&lt;=$D$7),1,0)</f>
        <v/>
      </c>
      <c r="JM33" s="17">
        <f>IF(AND(270&gt;=$B$7,270&lt;=$D$7),1,0)</f>
        <v/>
      </c>
      <c r="JN33" s="17">
        <f>IF(AND(271&gt;=$B$7,271&lt;=$D$7),1,0)</f>
        <v/>
      </c>
      <c r="JO33" s="17">
        <f>IF(AND(272&gt;=$B$7,272&lt;=$D$7),1,0)</f>
        <v/>
      </c>
      <c r="JP33" s="17">
        <f>IF(AND(273&gt;=$B$7,273&lt;=$D$7),1,0)</f>
        <v/>
      </c>
      <c r="JQ33" s="17">
        <f>IF(AND(274&gt;=$B$7,274&lt;=$D$7),1,0)</f>
        <v/>
      </c>
      <c r="JR33" s="17">
        <f>IF(AND(275&gt;=$B$7,275&lt;=$D$7),1,0)</f>
        <v/>
      </c>
      <c r="JS33" s="17">
        <f>IF(AND(276&gt;=$B$7,276&lt;=$D$7),1,0)</f>
        <v/>
      </c>
      <c r="JT33" s="17">
        <f>IF(AND(277&gt;=$B$7,277&lt;=$D$7),1,0)</f>
        <v/>
      </c>
      <c r="JU33" s="17">
        <f>IF(AND(278&gt;=$B$7,278&lt;=$D$7),1,0)</f>
        <v/>
      </c>
      <c r="JV33" s="17">
        <f>IF(AND(279&gt;=$B$7,279&lt;=$D$7),1,0)</f>
        <v/>
      </c>
      <c r="JW33" s="17">
        <f>IF(AND(280&gt;=$B$7,280&lt;=$D$7),1,0)</f>
        <v/>
      </c>
      <c r="JX33" s="17">
        <f>IF(AND(281&gt;=$B$7,281&lt;=$D$7),1,0)</f>
        <v/>
      </c>
      <c r="JY33" s="17">
        <f>IF(AND(282&gt;=$B$7,282&lt;=$D$7),1,0)</f>
        <v/>
      </c>
      <c r="JZ33" s="17">
        <f>IF(AND(283&gt;=$B$7,283&lt;=$D$7),1,0)</f>
        <v/>
      </c>
      <c r="KA33" s="17">
        <f>IF(AND(284&gt;=$B$7,284&lt;=$D$7),1,0)</f>
        <v/>
      </c>
      <c r="KB33" s="17">
        <f>IF(AND(285&gt;=$B$7,285&lt;=$D$7),1,0)</f>
        <v/>
      </c>
      <c r="KC33" s="17">
        <f>IF(AND(286&gt;=$B$7,286&lt;=$D$7),1,0)</f>
        <v/>
      </c>
      <c r="KD33" s="17">
        <f>IF(AND(287&gt;=$B$7,287&lt;=$D$7),1,0)</f>
        <v/>
      </c>
      <c r="KE33" s="17">
        <f>IF(AND(288&gt;=$B$7,288&lt;=$D$7),1,0)</f>
        <v/>
      </c>
      <c r="KF33" s="17">
        <f>IF(AND(289&gt;=$B$7,289&lt;=$D$7),1,0)</f>
        <v/>
      </c>
      <c r="KG33" s="17">
        <f>IF(AND(290&gt;=$B$7,290&lt;=$D$7),1,0)</f>
        <v/>
      </c>
      <c r="KH33" s="17">
        <f>IF(AND(291&gt;=$B$7,291&lt;=$D$7),1,0)</f>
        <v/>
      </c>
      <c r="KI33" s="17">
        <f>IF(AND(292&gt;=$B$7,292&lt;=$D$7),1,0)</f>
        <v/>
      </c>
      <c r="KJ33" s="17">
        <f>IF(AND(293&gt;=$B$7,293&lt;=$D$7),1,0)</f>
        <v/>
      </c>
      <c r="KK33" s="17">
        <f>IF(AND(294&gt;=$B$7,294&lt;=$D$7),1,0)</f>
        <v/>
      </c>
      <c r="KL33" s="17">
        <f>IF(AND(295&gt;=$B$7,295&lt;=$D$7),1,0)</f>
        <v/>
      </c>
      <c r="KM33" s="17">
        <f>IF(AND(296&gt;=$B$7,296&lt;=$D$7),1,0)</f>
        <v/>
      </c>
      <c r="KN33" s="17">
        <f>IF(AND(297&gt;=$B$7,297&lt;=$D$7),1,0)</f>
        <v/>
      </c>
      <c r="KO33" s="17">
        <f>IF(AND(298&gt;=$B$7,298&lt;=$D$7),1,0)</f>
        <v/>
      </c>
      <c r="KP33" s="17">
        <f>IF(AND(299&gt;=$B$7,299&lt;=$D$7),1,0)</f>
        <v/>
      </c>
      <c r="KQ33" s="17">
        <f>IF(AND(300&gt;=$B$7,300&lt;=$D$7),1,0)</f>
        <v/>
      </c>
      <c r="KR33" s="17">
        <f>IF(AND(301&gt;=$B$7,301&lt;=$D$7),1,0)</f>
        <v/>
      </c>
      <c r="KS33" s="17">
        <f>IF(AND(302&gt;=$B$7,302&lt;=$D$7),1,0)</f>
        <v/>
      </c>
      <c r="KT33" s="17">
        <f>IF(AND(303&gt;=$B$7,303&lt;=$D$7),1,0)</f>
        <v/>
      </c>
      <c r="KU33" s="17">
        <f>IF(AND(304&gt;=$B$7,304&lt;=$D$7),1,0)</f>
        <v/>
      </c>
      <c r="KV33" s="17">
        <f>IF(AND(305&gt;=$B$7,305&lt;=$D$7),1,0)</f>
        <v/>
      </c>
      <c r="KW33" s="17">
        <f>IF(AND(306&gt;=$B$7,306&lt;=$D$7),1,0)</f>
        <v/>
      </c>
      <c r="KX33" s="17">
        <f>IF(AND(307&gt;=$B$7,307&lt;=$D$7),1,0)</f>
        <v/>
      </c>
      <c r="KY33" s="17">
        <f>IF(AND(308&gt;=$B$7,308&lt;=$D$7),1,0)</f>
        <v/>
      </c>
      <c r="KZ33" s="17">
        <f>IF(AND(309&gt;=$B$7,309&lt;=$D$7),1,0)</f>
        <v/>
      </c>
      <c r="LA33" s="17">
        <f>IF(AND(310&gt;=$B$7,310&lt;=$D$7),1,0)</f>
        <v/>
      </c>
      <c r="LB33" s="17">
        <f>IF(AND(311&gt;=$B$7,311&lt;=$D$7),1,0)</f>
        <v/>
      </c>
      <c r="LC33" s="17">
        <f>IF(AND(312&gt;=$B$7,312&lt;=$D$7),1,0)</f>
        <v/>
      </c>
      <c r="LD33" s="17">
        <f>IF(AND(313&gt;=$B$7,313&lt;=$D$7),1,0)</f>
        <v/>
      </c>
      <c r="LE33" s="17">
        <f>IF(AND(314&gt;=$B$7,314&lt;=$D$7),1,0)</f>
        <v/>
      </c>
      <c r="LF33" s="17">
        <f>IF(AND(315&gt;=$B$7,315&lt;=$D$7),1,0)</f>
        <v/>
      </c>
      <c r="LG33" s="17">
        <f>IF(AND(316&gt;=$B$7,316&lt;=$D$7),1,0)</f>
        <v/>
      </c>
      <c r="LH33" s="17">
        <f>IF(AND(317&gt;=$B$7,317&lt;=$D$7),1,0)</f>
        <v/>
      </c>
      <c r="LI33" s="17">
        <f>IF(AND(318&gt;=$B$7,318&lt;=$D$7),1,0)</f>
        <v/>
      </c>
      <c r="LJ33" s="17">
        <f>IF(AND(319&gt;=$B$7,319&lt;=$D$7),1,0)</f>
        <v/>
      </c>
      <c r="LK33" s="17">
        <f>IF(AND(320&gt;=$B$7,320&lt;=$D$7),1,0)</f>
        <v/>
      </c>
      <c r="LL33" s="17">
        <f>IF(AND(321&gt;=$B$7,321&lt;=$D$7),1,0)</f>
        <v/>
      </c>
      <c r="LM33" s="17">
        <f>IF(AND(322&gt;=$B$7,322&lt;=$D$7),1,0)</f>
        <v/>
      </c>
      <c r="LN33" s="17">
        <f>IF(AND(323&gt;=$B$7,323&lt;=$D$7),1,0)</f>
        <v/>
      </c>
      <c r="LO33" s="17">
        <f>IF(AND(324&gt;=$B$7,324&lt;=$D$7),1,0)</f>
        <v/>
      </c>
      <c r="LP33" s="17">
        <f>IF(AND(325&gt;=$B$7,325&lt;=$D$7),1,0)</f>
        <v/>
      </c>
      <c r="LQ33" s="17">
        <f>IF(AND(326&gt;=$B$7,326&lt;=$D$7),1,0)</f>
        <v/>
      </c>
      <c r="LR33" s="17">
        <f>IF(AND(327&gt;=$B$7,327&lt;=$D$7),1,0)</f>
        <v/>
      </c>
      <c r="LS33" s="17">
        <f>IF(AND(328&gt;=$B$7,328&lt;=$D$7),1,0)</f>
        <v/>
      </c>
      <c r="LT33" s="17">
        <f>IF(AND(329&gt;=$B$7,329&lt;=$D$7),1,0)</f>
        <v/>
      </c>
      <c r="LU33" s="17">
        <f>IF(AND(330&gt;=$B$7,330&lt;=$D$7),1,0)</f>
        <v/>
      </c>
      <c r="LV33" s="17">
        <f>IF(AND(331&gt;=$B$7,331&lt;=$D$7),1,0)</f>
        <v/>
      </c>
      <c r="LW33" s="17">
        <f>IF(AND(332&gt;=$B$7,332&lt;=$D$7),1,0)</f>
        <v/>
      </c>
      <c r="LX33" s="17">
        <f>IF(AND(333&gt;=$B$7,333&lt;=$D$7),1,0)</f>
        <v/>
      </c>
      <c r="LY33" s="17">
        <f>IF(AND(334&gt;=$B$7,334&lt;=$D$7),1,0)</f>
        <v/>
      </c>
      <c r="LZ33" s="17">
        <f>IF(AND(335&gt;=$B$7,335&lt;=$D$7),1,0)</f>
        <v/>
      </c>
      <c r="MA33" s="17">
        <f>IF(AND(336&gt;=$B$7,336&lt;=$D$7),1,0)</f>
        <v/>
      </c>
      <c r="MB33" s="17">
        <f>IF(AND(337&gt;=$B$7,337&lt;=$D$7),1,0)</f>
        <v/>
      </c>
      <c r="MC33" s="17">
        <f>IF(AND(338&gt;=$B$7,338&lt;=$D$7),1,0)</f>
        <v/>
      </c>
      <c r="MD33" s="17">
        <f>IF(AND(339&gt;=$B$7,339&lt;=$D$7),1,0)</f>
        <v/>
      </c>
      <c r="ME33" s="17">
        <f>IF(AND(340&gt;=$B$7,340&lt;=$D$7),1,0)</f>
        <v/>
      </c>
      <c r="MF33" s="17">
        <f>IF(AND(341&gt;=$B$7,341&lt;=$D$7),1,0)</f>
        <v/>
      </c>
      <c r="MG33" s="17">
        <f>IF(AND(342&gt;=$B$7,342&lt;=$D$7),1,0)</f>
        <v/>
      </c>
      <c r="MH33" s="17">
        <f>IF(AND(343&gt;=$B$7,343&lt;=$D$7),1,0)</f>
        <v/>
      </c>
      <c r="MI33" s="17">
        <f>IF(AND(344&gt;=$B$7,344&lt;=$D$7),1,0)</f>
        <v/>
      </c>
      <c r="MJ33" s="17">
        <f>IF(AND(345&gt;=$B$7,345&lt;=$D$7),1,0)</f>
        <v/>
      </c>
      <c r="MK33" s="17">
        <f>IF(AND(346&gt;=$B$7,346&lt;=$D$7),1,0)</f>
        <v/>
      </c>
      <c r="ML33" s="17">
        <f>IF(AND(347&gt;=$B$7,347&lt;=$D$7),1,0)</f>
        <v/>
      </c>
      <c r="MM33" s="17">
        <f>IF(AND(348&gt;=$B$7,348&lt;=$D$7),1,0)</f>
        <v/>
      </c>
      <c r="MN33" s="17">
        <f>IF(AND(349&gt;=$B$7,349&lt;=$D$7),1,0)</f>
        <v/>
      </c>
      <c r="MO33" s="17">
        <f>IF(AND(350&gt;=$B$7,350&lt;=$D$7),1,0)</f>
        <v/>
      </c>
      <c r="MP33" s="17">
        <f>IF(AND(351&gt;=$B$7,351&lt;=$D$7),1,0)</f>
        <v/>
      </c>
      <c r="MQ33" s="17">
        <f>IF(AND(352&gt;=$B$7,352&lt;=$D$7),1,0)</f>
        <v/>
      </c>
      <c r="MR33" s="17">
        <f>IF(AND(353&gt;=$B$7,353&lt;=$D$7),1,0)</f>
        <v/>
      </c>
      <c r="MS33" s="17">
        <f>IF(AND(354&gt;=$B$7,354&lt;=$D$7),1,0)</f>
        <v/>
      </c>
      <c r="MT33" s="17">
        <f>IF(AND(355&gt;=$B$7,355&lt;=$D$7),1,0)</f>
        <v/>
      </c>
      <c r="MU33" s="17">
        <f>IF(AND(356&gt;=$B$7,356&lt;=$D$7),1,0)</f>
        <v/>
      </c>
      <c r="MV33" s="17">
        <f>IF(AND(357&gt;=$B$7,357&lt;=$D$7),1,0)</f>
        <v/>
      </c>
      <c r="MW33" s="17">
        <f>IF(AND(358&gt;=$B$7,358&lt;=$D$7),1,0)</f>
        <v/>
      </c>
      <c r="MX33" s="17">
        <f>IF(AND(359&gt;=$B$7,359&lt;=$D$7),1,0)</f>
        <v/>
      </c>
      <c r="MY33" s="17">
        <f>IF(AND(360&gt;=$B$7,360&lt;=$D$7),1,0)</f>
        <v/>
      </c>
      <c r="MZ33" s="17">
        <f>IF(AND(361&gt;=$B$7,361&lt;=$D$7),1,0)</f>
        <v/>
      </c>
      <c r="NA33" s="17">
        <f>IF(AND(362&gt;=$B$7,362&lt;=$D$7),1,0)</f>
        <v/>
      </c>
      <c r="NB33" s="17">
        <f>IF(AND(363&gt;=$B$7,363&lt;=$D$7),1,0)</f>
        <v/>
      </c>
      <c r="NC33" s="17">
        <f>IF(AND(364&gt;=$B$7,364&lt;=$D$7),1,0)</f>
        <v/>
      </c>
      <c r="ND33" s="17">
        <f>IF(AND(365&gt;=$B$7,365&lt;=$D$7),1,0)</f>
        <v/>
      </c>
      <c r="NE33" s="17">
        <f>IF(AND(366&gt;=$B$7,366&lt;=$D$7),1,0)</f>
        <v/>
      </c>
      <c r="NF33" s="17">
        <f>IF(AND(367&gt;=$B$7,367&lt;=$D$7),1,0)</f>
        <v/>
      </c>
      <c r="NG33" s="17">
        <f>IF(AND(368&gt;=$B$7,368&lt;=$D$7),1,0)</f>
        <v/>
      </c>
      <c r="NH33" s="17">
        <f>IF(AND(369&gt;=$B$7,369&lt;=$D$7),1,0)</f>
        <v/>
      </c>
      <c r="NI33" s="17">
        <f>IF(AND(370&gt;=$B$7,370&lt;=$D$7),1,0)</f>
        <v/>
      </c>
      <c r="NJ33" s="17">
        <f>IF(AND(371&gt;=$B$7,371&lt;=$D$7),1,0)</f>
        <v/>
      </c>
      <c r="NK33" s="17">
        <f>IF(AND(372&gt;=$B$7,372&lt;=$D$7),1,0)</f>
        <v/>
      </c>
    </row>
    <row r="34">
      <c r="A34" s="5" t="inlineStr">
        <is>
          <t>Flag: Initial Closing</t>
        </is>
      </c>
      <c r="C34" s="40" t="n"/>
      <c r="D34" s="17">
        <f>IF(AND(1&gt;=$B$8,1&lt;=$D$8),1,0)</f>
        <v/>
      </c>
      <c r="E34" s="17">
        <f>IF(AND(2&gt;=$B$8,2&lt;=$D$8),1,0)</f>
        <v/>
      </c>
      <c r="F34" s="17">
        <f>IF(AND(3&gt;=$B$8,3&lt;=$D$8),1,0)</f>
        <v/>
      </c>
      <c r="G34" s="17">
        <f>IF(AND(4&gt;=$B$8,4&lt;=$D$8),1,0)</f>
        <v/>
      </c>
      <c r="H34" s="17">
        <f>IF(AND(5&gt;=$B$8,5&lt;=$D$8),1,0)</f>
        <v/>
      </c>
      <c r="I34" s="17">
        <f>IF(AND(6&gt;=$B$8,6&lt;=$D$8),1,0)</f>
        <v/>
      </c>
      <c r="J34" s="17">
        <f>IF(AND(7&gt;=$B$8,7&lt;=$D$8),1,0)</f>
        <v/>
      </c>
      <c r="K34" s="17">
        <f>IF(AND(8&gt;=$B$8,8&lt;=$D$8),1,0)</f>
        <v/>
      </c>
      <c r="L34" s="17">
        <f>IF(AND(9&gt;=$B$8,9&lt;=$D$8),1,0)</f>
        <v/>
      </c>
      <c r="M34" s="17">
        <f>IF(AND(10&gt;=$B$8,10&lt;=$D$8),1,0)</f>
        <v/>
      </c>
      <c r="N34" s="17">
        <f>IF(AND(11&gt;=$B$8,11&lt;=$D$8),1,0)</f>
        <v/>
      </c>
      <c r="O34" s="17">
        <f>IF(AND(12&gt;=$B$8,12&lt;=$D$8),1,0)</f>
        <v/>
      </c>
      <c r="P34" s="17">
        <f>IF(AND(13&gt;=$B$8,13&lt;=$D$8),1,0)</f>
        <v/>
      </c>
      <c r="Q34" s="17">
        <f>IF(AND(14&gt;=$B$8,14&lt;=$D$8),1,0)</f>
        <v/>
      </c>
      <c r="R34" s="17">
        <f>IF(AND(15&gt;=$B$8,15&lt;=$D$8),1,0)</f>
        <v/>
      </c>
      <c r="S34" s="17">
        <f>IF(AND(16&gt;=$B$8,16&lt;=$D$8),1,0)</f>
        <v/>
      </c>
      <c r="T34" s="17">
        <f>IF(AND(17&gt;=$B$8,17&lt;=$D$8),1,0)</f>
        <v/>
      </c>
      <c r="U34" s="17">
        <f>IF(AND(18&gt;=$B$8,18&lt;=$D$8),1,0)</f>
        <v/>
      </c>
      <c r="V34" s="17">
        <f>IF(AND(19&gt;=$B$8,19&lt;=$D$8),1,0)</f>
        <v/>
      </c>
      <c r="W34" s="17">
        <f>IF(AND(20&gt;=$B$8,20&lt;=$D$8),1,0)</f>
        <v/>
      </c>
      <c r="X34" s="17">
        <f>IF(AND(21&gt;=$B$8,21&lt;=$D$8),1,0)</f>
        <v/>
      </c>
      <c r="Y34" s="17">
        <f>IF(AND(22&gt;=$B$8,22&lt;=$D$8),1,0)</f>
        <v/>
      </c>
      <c r="Z34" s="17">
        <f>IF(AND(23&gt;=$B$8,23&lt;=$D$8),1,0)</f>
        <v/>
      </c>
      <c r="AA34" s="17">
        <f>IF(AND(24&gt;=$B$8,24&lt;=$D$8),1,0)</f>
        <v/>
      </c>
      <c r="AB34" s="17">
        <f>IF(AND(25&gt;=$B$8,25&lt;=$D$8),1,0)</f>
        <v/>
      </c>
      <c r="AC34" s="17">
        <f>IF(AND(26&gt;=$B$8,26&lt;=$D$8),1,0)</f>
        <v/>
      </c>
      <c r="AD34" s="17">
        <f>IF(AND(27&gt;=$B$8,27&lt;=$D$8),1,0)</f>
        <v/>
      </c>
      <c r="AE34" s="17">
        <f>IF(AND(28&gt;=$B$8,28&lt;=$D$8),1,0)</f>
        <v/>
      </c>
      <c r="AF34" s="17">
        <f>IF(AND(29&gt;=$B$8,29&lt;=$D$8),1,0)</f>
        <v/>
      </c>
      <c r="AG34" s="17">
        <f>IF(AND(30&gt;=$B$8,30&lt;=$D$8),1,0)</f>
        <v/>
      </c>
      <c r="AH34" s="17">
        <f>IF(AND(31&gt;=$B$8,31&lt;=$D$8),1,0)</f>
        <v/>
      </c>
      <c r="AI34" s="17">
        <f>IF(AND(32&gt;=$B$8,32&lt;=$D$8),1,0)</f>
        <v/>
      </c>
      <c r="AJ34" s="17">
        <f>IF(AND(33&gt;=$B$8,33&lt;=$D$8),1,0)</f>
        <v/>
      </c>
      <c r="AK34" s="17">
        <f>IF(AND(34&gt;=$B$8,34&lt;=$D$8),1,0)</f>
        <v/>
      </c>
      <c r="AL34" s="17">
        <f>IF(AND(35&gt;=$B$8,35&lt;=$D$8),1,0)</f>
        <v/>
      </c>
      <c r="AM34" s="17">
        <f>IF(AND(36&gt;=$B$8,36&lt;=$D$8),1,0)</f>
        <v/>
      </c>
      <c r="AN34" s="17">
        <f>IF(AND(37&gt;=$B$8,37&lt;=$D$8),1,0)</f>
        <v/>
      </c>
      <c r="AO34" s="17">
        <f>IF(AND(38&gt;=$B$8,38&lt;=$D$8),1,0)</f>
        <v/>
      </c>
      <c r="AP34" s="17">
        <f>IF(AND(39&gt;=$B$8,39&lt;=$D$8),1,0)</f>
        <v/>
      </c>
      <c r="AQ34" s="17">
        <f>IF(AND(40&gt;=$B$8,40&lt;=$D$8),1,0)</f>
        <v/>
      </c>
      <c r="AR34" s="17">
        <f>IF(AND(41&gt;=$B$8,41&lt;=$D$8),1,0)</f>
        <v/>
      </c>
      <c r="AS34" s="17">
        <f>IF(AND(42&gt;=$B$8,42&lt;=$D$8),1,0)</f>
        <v/>
      </c>
      <c r="AT34" s="17">
        <f>IF(AND(43&gt;=$B$8,43&lt;=$D$8),1,0)</f>
        <v/>
      </c>
      <c r="AU34" s="17">
        <f>IF(AND(44&gt;=$B$8,44&lt;=$D$8),1,0)</f>
        <v/>
      </c>
      <c r="AV34" s="17">
        <f>IF(AND(45&gt;=$B$8,45&lt;=$D$8),1,0)</f>
        <v/>
      </c>
      <c r="AW34" s="17">
        <f>IF(AND(46&gt;=$B$8,46&lt;=$D$8),1,0)</f>
        <v/>
      </c>
      <c r="AX34" s="17">
        <f>IF(AND(47&gt;=$B$8,47&lt;=$D$8),1,0)</f>
        <v/>
      </c>
      <c r="AY34" s="17">
        <f>IF(AND(48&gt;=$B$8,48&lt;=$D$8),1,0)</f>
        <v/>
      </c>
      <c r="AZ34" s="17">
        <f>IF(AND(49&gt;=$B$8,49&lt;=$D$8),1,0)</f>
        <v/>
      </c>
      <c r="BA34" s="17">
        <f>IF(AND(50&gt;=$B$8,50&lt;=$D$8),1,0)</f>
        <v/>
      </c>
      <c r="BB34" s="17">
        <f>IF(AND(51&gt;=$B$8,51&lt;=$D$8),1,0)</f>
        <v/>
      </c>
      <c r="BC34" s="17">
        <f>IF(AND(52&gt;=$B$8,52&lt;=$D$8),1,0)</f>
        <v/>
      </c>
      <c r="BD34" s="17">
        <f>IF(AND(53&gt;=$B$8,53&lt;=$D$8),1,0)</f>
        <v/>
      </c>
      <c r="BE34" s="17">
        <f>IF(AND(54&gt;=$B$8,54&lt;=$D$8),1,0)</f>
        <v/>
      </c>
      <c r="BF34" s="17">
        <f>IF(AND(55&gt;=$B$8,55&lt;=$D$8),1,0)</f>
        <v/>
      </c>
      <c r="BG34" s="17">
        <f>IF(AND(56&gt;=$B$8,56&lt;=$D$8),1,0)</f>
        <v/>
      </c>
      <c r="BH34" s="17">
        <f>IF(AND(57&gt;=$B$8,57&lt;=$D$8),1,0)</f>
        <v/>
      </c>
      <c r="BI34" s="17">
        <f>IF(AND(58&gt;=$B$8,58&lt;=$D$8),1,0)</f>
        <v/>
      </c>
      <c r="BJ34" s="17">
        <f>IF(AND(59&gt;=$B$8,59&lt;=$D$8),1,0)</f>
        <v/>
      </c>
      <c r="BK34" s="17">
        <f>IF(AND(60&gt;=$B$8,60&lt;=$D$8),1,0)</f>
        <v/>
      </c>
      <c r="BL34" s="17">
        <f>IF(AND(61&gt;=$B$8,61&lt;=$D$8),1,0)</f>
        <v/>
      </c>
      <c r="BM34" s="17">
        <f>IF(AND(62&gt;=$B$8,62&lt;=$D$8),1,0)</f>
        <v/>
      </c>
      <c r="BN34" s="17">
        <f>IF(AND(63&gt;=$B$8,63&lt;=$D$8),1,0)</f>
        <v/>
      </c>
      <c r="BO34" s="17">
        <f>IF(AND(64&gt;=$B$8,64&lt;=$D$8),1,0)</f>
        <v/>
      </c>
      <c r="BP34" s="17">
        <f>IF(AND(65&gt;=$B$8,65&lt;=$D$8),1,0)</f>
        <v/>
      </c>
      <c r="BQ34" s="17">
        <f>IF(AND(66&gt;=$B$8,66&lt;=$D$8),1,0)</f>
        <v/>
      </c>
      <c r="BR34" s="17">
        <f>IF(AND(67&gt;=$B$8,67&lt;=$D$8),1,0)</f>
        <v/>
      </c>
      <c r="BS34" s="17">
        <f>IF(AND(68&gt;=$B$8,68&lt;=$D$8),1,0)</f>
        <v/>
      </c>
      <c r="BT34" s="17">
        <f>IF(AND(69&gt;=$B$8,69&lt;=$D$8),1,0)</f>
        <v/>
      </c>
      <c r="BU34" s="17">
        <f>IF(AND(70&gt;=$B$8,70&lt;=$D$8),1,0)</f>
        <v/>
      </c>
      <c r="BV34" s="17">
        <f>IF(AND(71&gt;=$B$8,71&lt;=$D$8),1,0)</f>
        <v/>
      </c>
      <c r="BW34" s="17">
        <f>IF(AND(72&gt;=$B$8,72&lt;=$D$8),1,0)</f>
        <v/>
      </c>
      <c r="BX34" s="17">
        <f>IF(AND(73&gt;=$B$8,73&lt;=$D$8),1,0)</f>
        <v/>
      </c>
      <c r="BY34" s="17">
        <f>IF(AND(74&gt;=$B$8,74&lt;=$D$8),1,0)</f>
        <v/>
      </c>
      <c r="BZ34" s="17">
        <f>IF(AND(75&gt;=$B$8,75&lt;=$D$8),1,0)</f>
        <v/>
      </c>
      <c r="CA34" s="17">
        <f>IF(AND(76&gt;=$B$8,76&lt;=$D$8),1,0)</f>
        <v/>
      </c>
      <c r="CB34" s="17">
        <f>IF(AND(77&gt;=$B$8,77&lt;=$D$8),1,0)</f>
        <v/>
      </c>
      <c r="CC34" s="17">
        <f>IF(AND(78&gt;=$B$8,78&lt;=$D$8),1,0)</f>
        <v/>
      </c>
      <c r="CD34" s="17">
        <f>IF(AND(79&gt;=$B$8,79&lt;=$D$8),1,0)</f>
        <v/>
      </c>
      <c r="CE34" s="17">
        <f>IF(AND(80&gt;=$B$8,80&lt;=$D$8),1,0)</f>
        <v/>
      </c>
      <c r="CF34" s="17">
        <f>IF(AND(81&gt;=$B$8,81&lt;=$D$8),1,0)</f>
        <v/>
      </c>
      <c r="CG34" s="17">
        <f>IF(AND(82&gt;=$B$8,82&lt;=$D$8),1,0)</f>
        <v/>
      </c>
      <c r="CH34" s="17">
        <f>IF(AND(83&gt;=$B$8,83&lt;=$D$8),1,0)</f>
        <v/>
      </c>
      <c r="CI34" s="17">
        <f>IF(AND(84&gt;=$B$8,84&lt;=$D$8),1,0)</f>
        <v/>
      </c>
      <c r="CJ34" s="17">
        <f>IF(AND(85&gt;=$B$8,85&lt;=$D$8),1,0)</f>
        <v/>
      </c>
      <c r="CK34" s="17">
        <f>IF(AND(86&gt;=$B$8,86&lt;=$D$8),1,0)</f>
        <v/>
      </c>
      <c r="CL34" s="17">
        <f>IF(AND(87&gt;=$B$8,87&lt;=$D$8),1,0)</f>
        <v/>
      </c>
      <c r="CM34" s="17">
        <f>IF(AND(88&gt;=$B$8,88&lt;=$D$8),1,0)</f>
        <v/>
      </c>
      <c r="CN34" s="17">
        <f>IF(AND(89&gt;=$B$8,89&lt;=$D$8),1,0)</f>
        <v/>
      </c>
      <c r="CO34" s="17">
        <f>IF(AND(90&gt;=$B$8,90&lt;=$D$8),1,0)</f>
        <v/>
      </c>
      <c r="CP34" s="17">
        <f>IF(AND(91&gt;=$B$8,91&lt;=$D$8),1,0)</f>
        <v/>
      </c>
      <c r="CQ34" s="17">
        <f>IF(AND(92&gt;=$B$8,92&lt;=$D$8),1,0)</f>
        <v/>
      </c>
      <c r="CR34" s="17">
        <f>IF(AND(93&gt;=$B$8,93&lt;=$D$8),1,0)</f>
        <v/>
      </c>
      <c r="CS34" s="17">
        <f>IF(AND(94&gt;=$B$8,94&lt;=$D$8),1,0)</f>
        <v/>
      </c>
      <c r="CT34" s="17">
        <f>IF(AND(95&gt;=$B$8,95&lt;=$D$8),1,0)</f>
        <v/>
      </c>
      <c r="CU34" s="17">
        <f>IF(AND(96&gt;=$B$8,96&lt;=$D$8),1,0)</f>
        <v/>
      </c>
      <c r="CV34" s="17">
        <f>IF(AND(97&gt;=$B$8,97&lt;=$D$8),1,0)</f>
        <v/>
      </c>
      <c r="CW34" s="17">
        <f>IF(AND(98&gt;=$B$8,98&lt;=$D$8),1,0)</f>
        <v/>
      </c>
      <c r="CX34" s="17">
        <f>IF(AND(99&gt;=$B$8,99&lt;=$D$8),1,0)</f>
        <v/>
      </c>
      <c r="CY34" s="17">
        <f>IF(AND(100&gt;=$B$8,100&lt;=$D$8),1,0)</f>
        <v/>
      </c>
      <c r="CZ34" s="17">
        <f>IF(AND(101&gt;=$B$8,101&lt;=$D$8),1,0)</f>
        <v/>
      </c>
      <c r="DA34" s="17">
        <f>IF(AND(102&gt;=$B$8,102&lt;=$D$8),1,0)</f>
        <v/>
      </c>
      <c r="DB34" s="17">
        <f>IF(AND(103&gt;=$B$8,103&lt;=$D$8),1,0)</f>
        <v/>
      </c>
      <c r="DC34" s="17">
        <f>IF(AND(104&gt;=$B$8,104&lt;=$D$8),1,0)</f>
        <v/>
      </c>
      <c r="DD34" s="17">
        <f>IF(AND(105&gt;=$B$8,105&lt;=$D$8),1,0)</f>
        <v/>
      </c>
      <c r="DE34" s="17">
        <f>IF(AND(106&gt;=$B$8,106&lt;=$D$8),1,0)</f>
        <v/>
      </c>
      <c r="DF34" s="17">
        <f>IF(AND(107&gt;=$B$8,107&lt;=$D$8),1,0)</f>
        <v/>
      </c>
      <c r="DG34" s="17">
        <f>IF(AND(108&gt;=$B$8,108&lt;=$D$8),1,0)</f>
        <v/>
      </c>
      <c r="DH34" s="17">
        <f>IF(AND(109&gt;=$B$8,109&lt;=$D$8),1,0)</f>
        <v/>
      </c>
      <c r="DI34" s="17">
        <f>IF(AND(110&gt;=$B$8,110&lt;=$D$8),1,0)</f>
        <v/>
      </c>
      <c r="DJ34" s="17">
        <f>IF(AND(111&gt;=$B$8,111&lt;=$D$8),1,0)</f>
        <v/>
      </c>
      <c r="DK34" s="17">
        <f>IF(AND(112&gt;=$B$8,112&lt;=$D$8),1,0)</f>
        <v/>
      </c>
      <c r="DL34" s="17">
        <f>IF(AND(113&gt;=$B$8,113&lt;=$D$8),1,0)</f>
        <v/>
      </c>
      <c r="DM34" s="17">
        <f>IF(AND(114&gt;=$B$8,114&lt;=$D$8),1,0)</f>
        <v/>
      </c>
      <c r="DN34" s="17">
        <f>IF(AND(115&gt;=$B$8,115&lt;=$D$8),1,0)</f>
        <v/>
      </c>
      <c r="DO34" s="17">
        <f>IF(AND(116&gt;=$B$8,116&lt;=$D$8),1,0)</f>
        <v/>
      </c>
      <c r="DP34" s="17">
        <f>IF(AND(117&gt;=$B$8,117&lt;=$D$8),1,0)</f>
        <v/>
      </c>
      <c r="DQ34" s="17">
        <f>IF(AND(118&gt;=$B$8,118&lt;=$D$8),1,0)</f>
        <v/>
      </c>
      <c r="DR34" s="17">
        <f>IF(AND(119&gt;=$B$8,119&lt;=$D$8),1,0)</f>
        <v/>
      </c>
      <c r="DS34" s="17">
        <f>IF(AND(120&gt;=$B$8,120&lt;=$D$8),1,0)</f>
        <v/>
      </c>
      <c r="DT34" s="17">
        <f>IF(AND(121&gt;=$B$8,121&lt;=$D$8),1,0)</f>
        <v/>
      </c>
      <c r="DU34" s="17">
        <f>IF(AND(122&gt;=$B$8,122&lt;=$D$8),1,0)</f>
        <v/>
      </c>
      <c r="DV34" s="17">
        <f>IF(AND(123&gt;=$B$8,123&lt;=$D$8),1,0)</f>
        <v/>
      </c>
      <c r="DW34" s="17">
        <f>IF(AND(124&gt;=$B$8,124&lt;=$D$8),1,0)</f>
        <v/>
      </c>
      <c r="DX34" s="17">
        <f>IF(AND(125&gt;=$B$8,125&lt;=$D$8),1,0)</f>
        <v/>
      </c>
      <c r="DY34" s="17">
        <f>IF(AND(126&gt;=$B$8,126&lt;=$D$8),1,0)</f>
        <v/>
      </c>
      <c r="DZ34" s="17">
        <f>IF(AND(127&gt;=$B$8,127&lt;=$D$8),1,0)</f>
        <v/>
      </c>
      <c r="EA34" s="17">
        <f>IF(AND(128&gt;=$B$8,128&lt;=$D$8),1,0)</f>
        <v/>
      </c>
      <c r="EB34" s="17">
        <f>IF(AND(129&gt;=$B$8,129&lt;=$D$8),1,0)</f>
        <v/>
      </c>
      <c r="EC34" s="17">
        <f>IF(AND(130&gt;=$B$8,130&lt;=$D$8),1,0)</f>
        <v/>
      </c>
      <c r="ED34" s="17">
        <f>IF(AND(131&gt;=$B$8,131&lt;=$D$8),1,0)</f>
        <v/>
      </c>
      <c r="EE34" s="17">
        <f>IF(AND(132&gt;=$B$8,132&lt;=$D$8),1,0)</f>
        <v/>
      </c>
      <c r="EF34" s="17">
        <f>IF(AND(133&gt;=$B$8,133&lt;=$D$8),1,0)</f>
        <v/>
      </c>
      <c r="EG34" s="17">
        <f>IF(AND(134&gt;=$B$8,134&lt;=$D$8),1,0)</f>
        <v/>
      </c>
      <c r="EH34" s="17">
        <f>IF(AND(135&gt;=$B$8,135&lt;=$D$8),1,0)</f>
        <v/>
      </c>
      <c r="EI34" s="17">
        <f>IF(AND(136&gt;=$B$8,136&lt;=$D$8),1,0)</f>
        <v/>
      </c>
      <c r="EJ34" s="17">
        <f>IF(AND(137&gt;=$B$8,137&lt;=$D$8),1,0)</f>
        <v/>
      </c>
      <c r="EK34" s="17">
        <f>IF(AND(138&gt;=$B$8,138&lt;=$D$8),1,0)</f>
        <v/>
      </c>
      <c r="EL34" s="17">
        <f>IF(AND(139&gt;=$B$8,139&lt;=$D$8),1,0)</f>
        <v/>
      </c>
      <c r="EM34" s="17">
        <f>IF(AND(140&gt;=$B$8,140&lt;=$D$8),1,0)</f>
        <v/>
      </c>
      <c r="EN34" s="17">
        <f>IF(AND(141&gt;=$B$8,141&lt;=$D$8),1,0)</f>
        <v/>
      </c>
      <c r="EO34" s="17">
        <f>IF(AND(142&gt;=$B$8,142&lt;=$D$8),1,0)</f>
        <v/>
      </c>
      <c r="EP34" s="17">
        <f>IF(AND(143&gt;=$B$8,143&lt;=$D$8),1,0)</f>
        <v/>
      </c>
      <c r="EQ34" s="17">
        <f>IF(AND(144&gt;=$B$8,144&lt;=$D$8),1,0)</f>
        <v/>
      </c>
      <c r="ER34" s="17">
        <f>IF(AND(145&gt;=$B$8,145&lt;=$D$8),1,0)</f>
        <v/>
      </c>
      <c r="ES34" s="17">
        <f>IF(AND(146&gt;=$B$8,146&lt;=$D$8),1,0)</f>
        <v/>
      </c>
      <c r="ET34" s="17">
        <f>IF(AND(147&gt;=$B$8,147&lt;=$D$8),1,0)</f>
        <v/>
      </c>
      <c r="EU34" s="17">
        <f>IF(AND(148&gt;=$B$8,148&lt;=$D$8),1,0)</f>
        <v/>
      </c>
      <c r="EV34" s="17">
        <f>IF(AND(149&gt;=$B$8,149&lt;=$D$8),1,0)</f>
        <v/>
      </c>
      <c r="EW34" s="17">
        <f>IF(AND(150&gt;=$B$8,150&lt;=$D$8),1,0)</f>
        <v/>
      </c>
      <c r="EX34" s="17">
        <f>IF(AND(151&gt;=$B$8,151&lt;=$D$8),1,0)</f>
        <v/>
      </c>
      <c r="EY34" s="17">
        <f>IF(AND(152&gt;=$B$8,152&lt;=$D$8),1,0)</f>
        <v/>
      </c>
      <c r="EZ34" s="17">
        <f>IF(AND(153&gt;=$B$8,153&lt;=$D$8),1,0)</f>
        <v/>
      </c>
      <c r="FA34" s="17">
        <f>IF(AND(154&gt;=$B$8,154&lt;=$D$8),1,0)</f>
        <v/>
      </c>
      <c r="FB34" s="17">
        <f>IF(AND(155&gt;=$B$8,155&lt;=$D$8),1,0)</f>
        <v/>
      </c>
      <c r="FC34" s="17">
        <f>IF(AND(156&gt;=$B$8,156&lt;=$D$8),1,0)</f>
        <v/>
      </c>
      <c r="FD34" s="17">
        <f>IF(AND(157&gt;=$B$8,157&lt;=$D$8),1,0)</f>
        <v/>
      </c>
      <c r="FE34" s="17">
        <f>IF(AND(158&gt;=$B$8,158&lt;=$D$8),1,0)</f>
        <v/>
      </c>
      <c r="FF34" s="17">
        <f>IF(AND(159&gt;=$B$8,159&lt;=$D$8),1,0)</f>
        <v/>
      </c>
      <c r="FG34" s="17">
        <f>IF(AND(160&gt;=$B$8,160&lt;=$D$8),1,0)</f>
        <v/>
      </c>
      <c r="FH34" s="17">
        <f>IF(AND(161&gt;=$B$8,161&lt;=$D$8),1,0)</f>
        <v/>
      </c>
      <c r="FI34" s="17">
        <f>IF(AND(162&gt;=$B$8,162&lt;=$D$8),1,0)</f>
        <v/>
      </c>
      <c r="FJ34" s="17">
        <f>IF(AND(163&gt;=$B$8,163&lt;=$D$8),1,0)</f>
        <v/>
      </c>
      <c r="FK34" s="17">
        <f>IF(AND(164&gt;=$B$8,164&lt;=$D$8),1,0)</f>
        <v/>
      </c>
      <c r="FL34" s="17">
        <f>IF(AND(165&gt;=$B$8,165&lt;=$D$8),1,0)</f>
        <v/>
      </c>
      <c r="FM34" s="17">
        <f>IF(AND(166&gt;=$B$8,166&lt;=$D$8),1,0)</f>
        <v/>
      </c>
      <c r="FN34" s="17">
        <f>IF(AND(167&gt;=$B$8,167&lt;=$D$8),1,0)</f>
        <v/>
      </c>
      <c r="FO34" s="17">
        <f>IF(AND(168&gt;=$B$8,168&lt;=$D$8),1,0)</f>
        <v/>
      </c>
      <c r="FP34" s="17">
        <f>IF(AND(169&gt;=$B$8,169&lt;=$D$8),1,0)</f>
        <v/>
      </c>
      <c r="FQ34" s="17">
        <f>IF(AND(170&gt;=$B$8,170&lt;=$D$8),1,0)</f>
        <v/>
      </c>
      <c r="FR34" s="17">
        <f>IF(AND(171&gt;=$B$8,171&lt;=$D$8),1,0)</f>
        <v/>
      </c>
      <c r="FS34" s="17">
        <f>IF(AND(172&gt;=$B$8,172&lt;=$D$8),1,0)</f>
        <v/>
      </c>
      <c r="FT34" s="17">
        <f>IF(AND(173&gt;=$B$8,173&lt;=$D$8),1,0)</f>
        <v/>
      </c>
      <c r="FU34" s="17">
        <f>IF(AND(174&gt;=$B$8,174&lt;=$D$8),1,0)</f>
        <v/>
      </c>
      <c r="FV34" s="17">
        <f>IF(AND(175&gt;=$B$8,175&lt;=$D$8),1,0)</f>
        <v/>
      </c>
      <c r="FW34" s="17">
        <f>IF(AND(176&gt;=$B$8,176&lt;=$D$8),1,0)</f>
        <v/>
      </c>
      <c r="FX34" s="17">
        <f>IF(AND(177&gt;=$B$8,177&lt;=$D$8),1,0)</f>
        <v/>
      </c>
      <c r="FY34" s="17">
        <f>IF(AND(178&gt;=$B$8,178&lt;=$D$8),1,0)</f>
        <v/>
      </c>
      <c r="FZ34" s="17">
        <f>IF(AND(179&gt;=$B$8,179&lt;=$D$8),1,0)</f>
        <v/>
      </c>
      <c r="GA34" s="17">
        <f>IF(AND(180&gt;=$B$8,180&lt;=$D$8),1,0)</f>
        <v/>
      </c>
      <c r="GB34" s="17">
        <f>IF(AND(181&gt;=$B$8,181&lt;=$D$8),1,0)</f>
        <v/>
      </c>
      <c r="GC34" s="17">
        <f>IF(AND(182&gt;=$B$8,182&lt;=$D$8),1,0)</f>
        <v/>
      </c>
      <c r="GD34" s="17">
        <f>IF(AND(183&gt;=$B$8,183&lt;=$D$8),1,0)</f>
        <v/>
      </c>
      <c r="GE34" s="17">
        <f>IF(AND(184&gt;=$B$8,184&lt;=$D$8),1,0)</f>
        <v/>
      </c>
      <c r="GF34" s="17">
        <f>IF(AND(185&gt;=$B$8,185&lt;=$D$8),1,0)</f>
        <v/>
      </c>
      <c r="GG34" s="17">
        <f>IF(AND(186&gt;=$B$8,186&lt;=$D$8),1,0)</f>
        <v/>
      </c>
      <c r="GH34" s="17">
        <f>IF(AND(187&gt;=$B$8,187&lt;=$D$8),1,0)</f>
        <v/>
      </c>
      <c r="GI34" s="17">
        <f>IF(AND(188&gt;=$B$8,188&lt;=$D$8),1,0)</f>
        <v/>
      </c>
      <c r="GJ34" s="17">
        <f>IF(AND(189&gt;=$B$8,189&lt;=$D$8),1,0)</f>
        <v/>
      </c>
      <c r="GK34" s="17">
        <f>IF(AND(190&gt;=$B$8,190&lt;=$D$8),1,0)</f>
        <v/>
      </c>
      <c r="GL34" s="17">
        <f>IF(AND(191&gt;=$B$8,191&lt;=$D$8),1,0)</f>
        <v/>
      </c>
      <c r="GM34" s="17">
        <f>IF(AND(192&gt;=$B$8,192&lt;=$D$8),1,0)</f>
        <v/>
      </c>
      <c r="GN34" s="17">
        <f>IF(AND(193&gt;=$B$8,193&lt;=$D$8),1,0)</f>
        <v/>
      </c>
      <c r="GO34" s="17">
        <f>IF(AND(194&gt;=$B$8,194&lt;=$D$8),1,0)</f>
        <v/>
      </c>
      <c r="GP34" s="17">
        <f>IF(AND(195&gt;=$B$8,195&lt;=$D$8),1,0)</f>
        <v/>
      </c>
      <c r="GQ34" s="17">
        <f>IF(AND(196&gt;=$B$8,196&lt;=$D$8),1,0)</f>
        <v/>
      </c>
      <c r="GR34" s="17">
        <f>IF(AND(197&gt;=$B$8,197&lt;=$D$8),1,0)</f>
        <v/>
      </c>
      <c r="GS34" s="17">
        <f>IF(AND(198&gt;=$B$8,198&lt;=$D$8),1,0)</f>
        <v/>
      </c>
      <c r="GT34" s="17">
        <f>IF(AND(199&gt;=$B$8,199&lt;=$D$8),1,0)</f>
        <v/>
      </c>
      <c r="GU34" s="17">
        <f>IF(AND(200&gt;=$B$8,200&lt;=$D$8),1,0)</f>
        <v/>
      </c>
      <c r="GV34" s="17">
        <f>IF(AND(201&gt;=$B$8,201&lt;=$D$8),1,0)</f>
        <v/>
      </c>
      <c r="GW34" s="17">
        <f>IF(AND(202&gt;=$B$8,202&lt;=$D$8),1,0)</f>
        <v/>
      </c>
      <c r="GX34" s="17">
        <f>IF(AND(203&gt;=$B$8,203&lt;=$D$8),1,0)</f>
        <v/>
      </c>
      <c r="GY34" s="17">
        <f>IF(AND(204&gt;=$B$8,204&lt;=$D$8),1,0)</f>
        <v/>
      </c>
      <c r="GZ34" s="17">
        <f>IF(AND(205&gt;=$B$8,205&lt;=$D$8),1,0)</f>
        <v/>
      </c>
      <c r="HA34" s="17">
        <f>IF(AND(206&gt;=$B$8,206&lt;=$D$8),1,0)</f>
        <v/>
      </c>
      <c r="HB34" s="17">
        <f>IF(AND(207&gt;=$B$8,207&lt;=$D$8),1,0)</f>
        <v/>
      </c>
      <c r="HC34" s="17">
        <f>IF(AND(208&gt;=$B$8,208&lt;=$D$8),1,0)</f>
        <v/>
      </c>
      <c r="HD34" s="17">
        <f>IF(AND(209&gt;=$B$8,209&lt;=$D$8),1,0)</f>
        <v/>
      </c>
      <c r="HE34" s="17">
        <f>IF(AND(210&gt;=$B$8,210&lt;=$D$8),1,0)</f>
        <v/>
      </c>
      <c r="HF34" s="17">
        <f>IF(AND(211&gt;=$B$8,211&lt;=$D$8),1,0)</f>
        <v/>
      </c>
      <c r="HG34" s="17">
        <f>IF(AND(212&gt;=$B$8,212&lt;=$D$8),1,0)</f>
        <v/>
      </c>
      <c r="HH34" s="17">
        <f>IF(AND(213&gt;=$B$8,213&lt;=$D$8),1,0)</f>
        <v/>
      </c>
      <c r="HI34" s="17">
        <f>IF(AND(214&gt;=$B$8,214&lt;=$D$8),1,0)</f>
        <v/>
      </c>
      <c r="HJ34" s="17">
        <f>IF(AND(215&gt;=$B$8,215&lt;=$D$8),1,0)</f>
        <v/>
      </c>
      <c r="HK34" s="17">
        <f>IF(AND(216&gt;=$B$8,216&lt;=$D$8),1,0)</f>
        <v/>
      </c>
      <c r="HL34" s="17">
        <f>IF(AND(217&gt;=$B$8,217&lt;=$D$8),1,0)</f>
        <v/>
      </c>
      <c r="HM34" s="17">
        <f>IF(AND(218&gt;=$B$8,218&lt;=$D$8),1,0)</f>
        <v/>
      </c>
      <c r="HN34" s="17">
        <f>IF(AND(219&gt;=$B$8,219&lt;=$D$8),1,0)</f>
        <v/>
      </c>
      <c r="HO34" s="17">
        <f>IF(AND(220&gt;=$B$8,220&lt;=$D$8),1,0)</f>
        <v/>
      </c>
      <c r="HP34" s="17">
        <f>IF(AND(221&gt;=$B$8,221&lt;=$D$8),1,0)</f>
        <v/>
      </c>
      <c r="HQ34" s="17">
        <f>IF(AND(222&gt;=$B$8,222&lt;=$D$8),1,0)</f>
        <v/>
      </c>
      <c r="HR34" s="17">
        <f>IF(AND(223&gt;=$B$8,223&lt;=$D$8),1,0)</f>
        <v/>
      </c>
      <c r="HS34" s="17">
        <f>IF(AND(224&gt;=$B$8,224&lt;=$D$8),1,0)</f>
        <v/>
      </c>
      <c r="HT34" s="17">
        <f>IF(AND(225&gt;=$B$8,225&lt;=$D$8),1,0)</f>
        <v/>
      </c>
      <c r="HU34" s="17">
        <f>IF(AND(226&gt;=$B$8,226&lt;=$D$8),1,0)</f>
        <v/>
      </c>
      <c r="HV34" s="17">
        <f>IF(AND(227&gt;=$B$8,227&lt;=$D$8),1,0)</f>
        <v/>
      </c>
      <c r="HW34" s="17">
        <f>IF(AND(228&gt;=$B$8,228&lt;=$D$8),1,0)</f>
        <v/>
      </c>
      <c r="HX34" s="17">
        <f>IF(AND(229&gt;=$B$8,229&lt;=$D$8),1,0)</f>
        <v/>
      </c>
      <c r="HY34" s="17">
        <f>IF(AND(230&gt;=$B$8,230&lt;=$D$8),1,0)</f>
        <v/>
      </c>
      <c r="HZ34" s="17">
        <f>IF(AND(231&gt;=$B$8,231&lt;=$D$8),1,0)</f>
        <v/>
      </c>
      <c r="IA34" s="17">
        <f>IF(AND(232&gt;=$B$8,232&lt;=$D$8),1,0)</f>
        <v/>
      </c>
      <c r="IB34" s="17">
        <f>IF(AND(233&gt;=$B$8,233&lt;=$D$8),1,0)</f>
        <v/>
      </c>
      <c r="IC34" s="17">
        <f>IF(AND(234&gt;=$B$8,234&lt;=$D$8),1,0)</f>
        <v/>
      </c>
      <c r="ID34" s="17">
        <f>IF(AND(235&gt;=$B$8,235&lt;=$D$8),1,0)</f>
        <v/>
      </c>
      <c r="IE34" s="17">
        <f>IF(AND(236&gt;=$B$8,236&lt;=$D$8),1,0)</f>
        <v/>
      </c>
      <c r="IF34" s="17">
        <f>IF(AND(237&gt;=$B$8,237&lt;=$D$8),1,0)</f>
        <v/>
      </c>
      <c r="IG34" s="17">
        <f>IF(AND(238&gt;=$B$8,238&lt;=$D$8),1,0)</f>
        <v/>
      </c>
      <c r="IH34" s="17">
        <f>IF(AND(239&gt;=$B$8,239&lt;=$D$8),1,0)</f>
        <v/>
      </c>
      <c r="II34" s="17">
        <f>IF(AND(240&gt;=$B$8,240&lt;=$D$8),1,0)</f>
        <v/>
      </c>
      <c r="IJ34" s="17">
        <f>IF(AND(241&gt;=$B$8,241&lt;=$D$8),1,0)</f>
        <v/>
      </c>
      <c r="IK34" s="17">
        <f>IF(AND(242&gt;=$B$8,242&lt;=$D$8),1,0)</f>
        <v/>
      </c>
      <c r="IL34" s="17">
        <f>IF(AND(243&gt;=$B$8,243&lt;=$D$8),1,0)</f>
        <v/>
      </c>
      <c r="IM34" s="17">
        <f>IF(AND(244&gt;=$B$8,244&lt;=$D$8),1,0)</f>
        <v/>
      </c>
      <c r="IN34" s="17">
        <f>IF(AND(245&gt;=$B$8,245&lt;=$D$8),1,0)</f>
        <v/>
      </c>
      <c r="IO34" s="17">
        <f>IF(AND(246&gt;=$B$8,246&lt;=$D$8),1,0)</f>
        <v/>
      </c>
      <c r="IP34" s="17">
        <f>IF(AND(247&gt;=$B$8,247&lt;=$D$8),1,0)</f>
        <v/>
      </c>
      <c r="IQ34" s="17">
        <f>IF(AND(248&gt;=$B$8,248&lt;=$D$8),1,0)</f>
        <v/>
      </c>
      <c r="IR34" s="17">
        <f>IF(AND(249&gt;=$B$8,249&lt;=$D$8),1,0)</f>
        <v/>
      </c>
      <c r="IS34" s="17">
        <f>IF(AND(250&gt;=$B$8,250&lt;=$D$8),1,0)</f>
        <v/>
      </c>
      <c r="IT34" s="17">
        <f>IF(AND(251&gt;=$B$8,251&lt;=$D$8),1,0)</f>
        <v/>
      </c>
      <c r="IU34" s="17">
        <f>IF(AND(252&gt;=$B$8,252&lt;=$D$8),1,0)</f>
        <v/>
      </c>
      <c r="IV34" s="17">
        <f>IF(AND(253&gt;=$B$8,253&lt;=$D$8),1,0)</f>
        <v/>
      </c>
      <c r="IW34" s="17">
        <f>IF(AND(254&gt;=$B$8,254&lt;=$D$8),1,0)</f>
        <v/>
      </c>
      <c r="IX34" s="17">
        <f>IF(AND(255&gt;=$B$8,255&lt;=$D$8),1,0)</f>
        <v/>
      </c>
      <c r="IY34" s="17">
        <f>IF(AND(256&gt;=$B$8,256&lt;=$D$8),1,0)</f>
        <v/>
      </c>
      <c r="IZ34" s="17">
        <f>IF(AND(257&gt;=$B$8,257&lt;=$D$8),1,0)</f>
        <v/>
      </c>
      <c r="JA34" s="17">
        <f>IF(AND(258&gt;=$B$8,258&lt;=$D$8),1,0)</f>
        <v/>
      </c>
      <c r="JB34" s="17">
        <f>IF(AND(259&gt;=$B$8,259&lt;=$D$8),1,0)</f>
        <v/>
      </c>
      <c r="JC34" s="17">
        <f>IF(AND(260&gt;=$B$8,260&lt;=$D$8),1,0)</f>
        <v/>
      </c>
      <c r="JD34" s="17">
        <f>IF(AND(261&gt;=$B$8,261&lt;=$D$8),1,0)</f>
        <v/>
      </c>
      <c r="JE34" s="17">
        <f>IF(AND(262&gt;=$B$8,262&lt;=$D$8),1,0)</f>
        <v/>
      </c>
      <c r="JF34" s="17">
        <f>IF(AND(263&gt;=$B$8,263&lt;=$D$8),1,0)</f>
        <v/>
      </c>
      <c r="JG34" s="17">
        <f>IF(AND(264&gt;=$B$8,264&lt;=$D$8),1,0)</f>
        <v/>
      </c>
      <c r="JH34" s="17">
        <f>IF(AND(265&gt;=$B$8,265&lt;=$D$8),1,0)</f>
        <v/>
      </c>
      <c r="JI34" s="17">
        <f>IF(AND(266&gt;=$B$8,266&lt;=$D$8),1,0)</f>
        <v/>
      </c>
      <c r="JJ34" s="17">
        <f>IF(AND(267&gt;=$B$8,267&lt;=$D$8),1,0)</f>
        <v/>
      </c>
      <c r="JK34" s="17">
        <f>IF(AND(268&gt;=$B$8,268&lt;=$D$8),1,0)</f>
        <v/>
      </c>
      <c r="JL34" s="17">
        <f>IF(AND(269&gt;=$B$8,269&lt;=$D$8),1,0)</f>
        <v/>
      </c>
      <c r="JM34" s="17">
        <f>IF(AND(270&gt;=$B$8,270&lt;=$D$8),1,0)</f>
        <v/>
      </c>
      <c r="JN34" s="17">
        <f>IF(AND(271&gt;=$B$8,271&lt;=$D$8),1,0)</f>
        <v/>
      </c>
      <c r="JO34" s="17">
        <f>IF(AND(272&gt;=$B$8,272&lt;=$D$8),1,0)</f>
        <v/>
      </c>
      <c r="JP34" s="17">
        <f>IF(AND(273&gt;=$B$8,273&lt;=$D$8),1,0)</f>
        <v/>
      </c>
      <c r="JQ34" s="17">
        <f>IF(AND(274&gt;=$B$8,274&lt;=$D$8),1,0)</f>
        <v/>
      </c>
      <c r="JR34" s="17">
        <f>IF(AND(275&gt;=$B$8,275&lt;=$D$8),1,0)</f>
        <v/>
      </c>
      <c r="JS34" s="17">
        <f>IF(AND(276&gt;=$B$8,276&lt;=$D$8),1,0)</f>
        <v/>
      </c>
      <c r="JT34" s="17">
        <f>IF(AND(277&gt;=$B$8,277&lt;=$D$8),1,0)</f>
        <v/>
      </c>
      <c r="JU34" s="17">
        <f>IF(AND(278&gt;=$B$8,278&lt;=$D$8),1,0)</f>
        <v/>
      </c>
      <c r="JV34" s="17">
        <f>IF(AND(279&gt;=$B$8,279&lt;=$D$8),1,0)</f>
        <v/>
      </c>
      <c r="JW34" s="17">
        <f>IF(AND(280&gt;=$B$8,280&lt;=$D$8),1,0)</f>
        <v/>
      </c>
      <c r="JX34" s="17">
        <f>IF(AND(281&gt;=$B$8,281&lt;=$D$8),1,0)</f>
        <v/>
      </c>
      <c r="JY34" s="17">
        <f>IF(AND(282&gt;=$B$8,282&lt;=$D$8),1,0)</f>
        <v/>
      </c>
      <c r="JZ34" s="17">
        <f>IF(AND(283&gt;=$B$8,283&lt;=$D$8),1,0)</f>
        <v/>
      </c>
      <c r="KA34" s="17">
        <f>IF(AND(284&gt;=$B$8,284&lt;=$D$8),1,0)</f>
        <v/>
      </c>
      <c r="KB34" s="17">
        <f>IF(AND(285&gt;=$B$8,285&lt;=$D$8),1,0)</f>
        <v/>
      </c>
      <c r="KC34" s="17">
        <f>IF(AND(286&gt;=$B$8,286&lt;=$D$8),1,0)</f>
        <v/>
      </c>
      <c r="KD34" s="17">
        <f>IF(AND(287&gt;=$B$8,287&lt;=$D$8),1,0)</f>
        <v/>
      </c>
      <c r="KE34" s="17">
        <f>IF(AND(288&gt;=$B$8,288&lt;=$D$8),1,0)</f>
        <v/>
      </c>
      <c r="KF34" s="17">
        <f>IF(AND(289&gt;=$B$8,289&lt;=$D$8),1,0)</f>
        <v/>
      </c>
      <c r="KG34" s="17">
        <f>IF(AND(290&gt;=$B$8,290&lt;=$D$8),1,0)</f>
        <v/>
      </c>
      <c r="KH34" s="17">
        <f>IF(AND(291&gt;=$B$8,291&lt;=$D$8),1,0)</f>
        <v/>
      </c>
      <c r="KI34" s="17">
        <f>IF(AND(292&gt;=$B$8,292&lt;=$D$8),1,0)</f>
        <v/>
      </c>
      <c r="KJ34" s="17">
        <f>IF(AND(293&gt;=$B$8,293&lt;=$D$8),1,0)</f>
        <v/>
      </c>
      <c r="KK34" s="17">
        <f>IF(AND(294&gt;=$B$8,294&lt;=$D$8),1,0)</f>
        <v/>
      </c>
      <c r="KL34" s="17">
        <f>IF(AND(295&gt;=$B$8,295&lt;=$D$8),1,0)</f>
        <v/>
      </c>
      <c r="KM34" s="17">
        <f>IF(AND(296&gt;=$B$8,296&lt;=$D$8),1,0)</f>
        <v/>
      </c>
      <c r="KN34" s="17">
        <f>IF(AND(297&gt;=$B$8,297&lt;=$D$8),1,0)</f>
        <v/>
      </c>
      <c r="KO34" s="17">
        <f>IF(AND(298&gt;=$B$8,298&lt;=$D$8),1,0)</f>
        <v/>
      </c>
      <c r="KP34" s="17">
        <f>IF(AND(299&gt;=$B$8,299&lt;=$D$8),1,0)</f>
        <v/>
      </c>
      <c r="KQ34" s="17">
        <f>IF(AND(300&gt;=$B$8,300&lt;=$D$8),1,0)</f>
        <v/>
      </c>
      <c r="KR34" s="17">
        <f>IF(AND(301&gt;=$B$8,301&lt;=$D$8),1,0)</f>
        <v/>
      </c>
      <c r="KS34" s="17">
        <f>IF(AND(302&gt;=$B$8,302&lt;=$D$8),1,0)</f>
        <v/>
      </c>
      <c r="KT34" s="17">
        <f>IF(AND(303&gt;=$B$8,303&lt;=$D$8),1,0)</f>
        <v/>
      </c>
      <c r="KU34" s="17">
        <f>IF(AND(304&gt;=$B$8,304&lt;=$D$8),1,0)</f>
        <v/>
      </c>
      <c r="KV34" s="17">
        <f>IF(AND(305&gt;=$B$8,305&lt;=$D$8),1,0)</f>
        <v/>
      </c>
      <c r="KW34" s="17">
        <f>IF(AND(306&gt;=$B$8,306&lt;=$D$8),1,0)</f>
        <v/>
      </c>
      <c r="KX34" s="17">
        <f>IF(AND(307&gt;=$B$8,307&lt;=$D$8),1,0)</f>
        <v/>
      </c>
      <c r="KY34" s="17">
        <f>IF(AND(308&gt;=$B$8,308&lt;=$D$8),1,0)</f>
        <v/>
      </c>
      <c r="KZ34" s="17">
        <f>IF(AND(309&gt;=$B$8,309&lt;=$D$8),1,0)</f>
        <v/>
      </c>
      <c r="LA34" s="17">
        <f>IF(AND(310&gt;=$B$8,310&lt;=$D$8),1,0)</f>
        <v/>
      </c>
      <c r="LB34" s="17">
        <f>IF(AND(311&gt;=$B$8,311&lt;=$D$8),1,0)</f>
        <v/>
      </c>
      <c r="LC34" s="17">
        <f>IF(AND(312&gt;=$B$8,312&lt;=$D$8),1,0)</f>
        <v/>
      </c>
      <c r="LD34" s="17">
        <f>IF(AND(313&gt;=$B$8,313&lt;=$D$8),1,0)</f>
        <v/>
      </c>
      <c r="LE34" s="17">
        <f>IF(AND(314&gt;=$B$8,314&lt;=$D$8),1,0)</f>
        <v/>
      </c>
      <c r="LF34" s="17">
        <f>IF(AND(315&gt;=$B$8,315&lt;=$D$8),1,0)</f>
        <v/>
      </c>
      <c r="LG34" s="17">
        <f>IF(AND(316&gt;=$B$8,316&lt;=$D$8),1,0)</f>
        <v/>
      </c>
      <c r="LH34" s="17">
        <f>IF(AND(317&gt;=$B$8,317&lt;=$D$8),1,0)</f>
        <v/>
      </c>
      <c r="LI34" s="17">
        <f>IF(AND(318&gt;=$B$8,318&lt;=$D$8),1,0)</f>
        <v/>
      </c>
      <c r="LJ34" s="17">
        <f>IF(AND(319&gt;=$B$8,319&lt;=$D$8),1,0)</f>
        <v/>
      </c>
      <c r="LK34" s="17">
        <f>IF(AND(320&gt;=$B$8,320&lt;=$D$8),1,0)</f>
        <v/>
      </c>
      <c r="LL34" s="17">
        <f>IF(AND(321&gt;=$B$8,321&lt;=$D$8),1,0)</f>
        <v/>
      </c>
      <c r="LM34" s="17">
        <f>IF(AND(322&gt;=$B$8,322&lt;=$D$8),1,0)</f>
        <v/>
      </c>
      <c r="LN34" s="17">
        <f>IF(AND(323&gt;=$B$8,323&lt;=$D$8),1,0)</f>
        <v/>
      </c>
      <c r="LO34" s="17">
        <f>IF(AND(324&gt;=$B$8,324&lt;=$D$8),1,0)</f>
        <v/>
      </c>
      <c r="LP34" s="17">
        <f>IF(AND(325&gt;=$B$8,325&lt;=$D$8),1,0)</f>
        <v/>
      </c>
      <c r="LQ34" s="17">
        <f>IF(AND(326&gt;=$B$8,326&lt;=$D$8),1,0)</f>
        <v/>
      </c>
      <c r="LR34" s="17">
        <f>IF(AND(327&gt;=$B$8,327&lt;=$D$8),1,0)</f>
        <v/>
      </c>
      <c r="LS34" s="17">
        <f>IF(AND(328&gt;=$B$8,328&lt;=$D$8),1,0)</f>
        <v/>
      </c>
      <c r="LT34" s="17">
        <f>IF(AND(329&gt;=$B$8,329&lt;=$D$8),1,0)</f>
        <v/>
      </c>
      <c r="LU34" s="17">
        <f>IF(AND(330&gt;=$B$8,330&lt;=$D$8),1,0)</f>
        <v/>
      </c>
      <c r="LV34" s="17">
        <f>IF(AND(331&gt;=$B$8,331&lt;=$D$8),1,0)</f>
        <v/>
      </c>
      <c r="LW34" s="17">
        <f>IF(AND(332&gt;=$B$8,332&lt;=$D$8),1,0)</f>
        <v/>
      </c>
      <c r="LX34" s="17">
        <f>IF(AND(333&gt;=$B$8,333&lt;=$D$8),1,0)</f>
        <v/>
      </c>
      <c r="LY34" s="17">
        <f>IF(AND(334&gt;=$B$8,334&lt;=$D$8),1,0)</f>
        <v/>
      </c>
      <c r="LZ34" s="17">
        <f>IF(AND(335&gt;=$B$8,335&lt;=$D$8),1,0)</f>
        <v/>
      </c>
      <c r="MA34" s="17">
        <f>IF(AND(336&gt;=$B$8,336&lt;=$D$8),1,0)</f>
        <v/>
      </c>
      <c r="MB34" s="17">
        <f>IF(AND(337&gt;=$B$8,337&lt;=$D$8),1,0)</f>
        <v/>
      </c>
      <c r="MC34" s="17">
        <f>IF(AND(338&gt;=$B$8,338&lt;=$D$8),1,0)</f>
        <v/>
      </c>
      <c r="MD34" s="17">
        <f>IF(AND(339&gt;=$B$8,339&lt;=$D$8),1,0)</f>
        <v/>
      </c>
      <c r="ME34" s="17">
        <f>IF(AND(340&gt;=$B$8,340&lt;=$D$8),1,0)</f>
        <v/>
      </c>
      <c r="MF34" s="17">
        <f>IF(AND(341&gt;=$B$8,341&lt;=$D$8),1,0)</f>
        <v/>
      </c>
      <c r="MG34" s="17">
        <f>IF(AND(342&gt;=$B$8,342&lt;=$D$8),1,0)</f>
        <v/>
      </c>
      <c r="MH34" s="17">
        <f>IF(AND(343&gt;=$B$8,343&lt;=$D$8),1,0)</f>
        <v/>
      </c>
      <c r="MI34" s="17">
        <f>IF(AND(344&gt;=$B$8,344&lt;=$D$8),1,0)</f>
        <v/>
      </c>
      <c r="MJ34" s="17">
        <f>IF(AND(345&gt;=$B$8,345&lt;=$D$8),1,0)</f>
        <v/>
      </c>
      <c r="MK34" s="17">
        <f>IF(AND(346&gt;=$B$8,346&lt;=$D$8),1,0)</f>
        <v/>
      </c>
      <c r="ML34" s="17">
        <f>IF(AND(347&gt;=$B$8,347&lt;=$D$8),1,0)</f>
        <v/>
      </c>
      <c r="MM34" s="17">
        <f>IF(AND(348&gt;=$B$8,348&lt;=$D$8),1,0)</f>
        <v/>
      </c>
      <c r="MN34" s="17">
        <f>IF(AND(349&gt;=$B$8,349&lt;=$D$8),1,0)</f>
        <v/>
      </c>
      <c r="MO34" s="17">
        <f>IF(AND(350&gt;=$B$8,350&lt;=$D$8),1,0)</f>
        <v/>
      </c>
      <c r="MP34" s="17">
        <f>IF(AND(351&gt;=$B$8,351&lt;=$D$8),1,0)</f>
        <v/>
      </c>
      <c r="MQ34" s="17">
        <f>IF(AND(352&gt;=$B$8,352&lt;=$D$8),1,0)</f>
        <v/>
      </c>
      <c r="MR34" s="17">
        <f>IF(AND(353&gt;=$B$8,353&lt;=$D$8),1,0)</f>
        <v/>
      </c>
      <c r="MS34" s="17">
        <f>IF(AND(354&gt;=$B$8,354&lt;=$D$8),1,0)</f>
        <v/>
      </c>
      <c r="MT34" s="17">
        <f>IF(AND(355&gt;=$B$8,355&lt;=$D$8),1,0)</f>
        <v/>
      </c>
      <c r="MU34" s="17">
        <f>IF(AND(356&gt;=$B$8,356&lt;=$D$8),1,0)</f>
        <v/>
      </c>
      <c r="MV34" s="17">
        <f>IF(AND(357&gt;=$B$8,357&lt;=$D$8),1,0)</f>
        <v/>
      </c>
      <c r="MW34" s="17">
        <f>IF(AND(358&gt;=$B$8,358&lt;=$D$8),1,0)</f>
        <v/>
      </c>
      <c r="MX34" s="17">
        <f>IF(AND(359&gt;=$B$8,359&lt;=$D$8),1,0)</f>
        <v/>
      </c>
      <c r="MY34" s="17">
        <f>IF(AND(360&gt;=$B$8,360&lt;=$D$8),1,0)</f>
        <v/>
      </c>
      <c r="MZ34" s="17">
        <f>IF(AND(361&gt;=$B$8,361&lt;=$D$8),1,0)</f>
        <v/>
      </c>
      <c r="NA34" s="17">
        <f>IF(AND(362&gt;=$B$8,362&lt;=$D$8),1,0)</f>
        <v/>
      </c>
      <c r="NB34" s="17">
        <f>IF(AND(363&gt;=$B$8,363&lt;=$D$8),1,0)</f>
        <v/>
      </c>
      <c r="NC34" s="17">
        <f>IF(AND(364&gt;=$B$8,364&lt;=$D$8),1,0)</f>
        <v/>
      </c>
      <c r="ND34" s="17">
        <f>IF(AND(365&gt;=$B$8,365&lt;=$D$8),1,0)</f>
        <v/>
      </c>
      <c r="NE34" s="17">
        <f>IF(AND(366&gt;=$B$8,366&lt;=$D$8),1,0)</f>
        <v/>
      </c>
      <c r="NF34" s="17">
        <f>IF(AND(367&gt;=$B$8,367&lt;=$D$8),1,0)</f>
        <v/>
      </c>
      <c r="NG34" s="17">
        <f>IF(AND(368&gt;=$B$8,368&lt;=$D$8),1,0)</f>
        <v/>
      </c>
      <c r="NH34" s="17">
        <f>IF(AND(369&gt;=$B$8,369&lt;=$D$8),1,0)</f>
        <v/>
      </c>
      <c r="NI34" s="17">
        <f>IF(AND(370&gt;=$B$8,370&lt;=$D$8),1,0)</f>
        <v/>
      </c>
      <c r="NJ34" s="17">
        <f>IF(AND(371&gt;=$B$8,371&lt;=$D$8),1,0)</f>
        <v/>
      </c>
      <c r="NK34" s="17">
        <f>IF(AND(372&gt;=$B$8,372&lt;=$D$8),1,0)</f>
        <v/>
      </c>
    </row>
    <row r="35">
      <c r="A35" s="5" t="inlineStr">
        <is>
          <t>Flag: Construction</t>
        </is>
      </c>
      <c r="C35" s="40" t="n"/>
      <c r="D35" s="17">
        <f>IF(AND(1&gt;=$B$9,1&lt;=$D$9),1,0)</f>
        <v/>
      </c>
      <c r="E35" s="17">
        <f>IF(AND(2&gt;=$B$9,2&lt;=$D$9),1,0)</f>
        <v/>
      </c>
      <c r="F35" s="17">
        <f>IF(AND(3&gt;=$B$9,3&lt;=$D$9),1,0)</f>
        <v/>
      </c>
      <c r="G35" s="17">
        <f>IF(AND(4&gt;=$B$9,4&lt;=$D$9),1,0)</f>
        <v/>
      </c>
      <c r="H35" s="17">
        <f>IF(AND(5&gt;=$B$9,5&lt;=$D$9),1,0)</f>
        <v/>
      </c>
      <c r="I35" s="17">
        <f>IF(AND(6&gt;=$B$9,6&lt;=$D$9),1,0)</f>
        <v/>
      </c>
      <c r="J35" s="17">
        <f>IF(AND(7&gt;=$B$9,7&lt;=$D$9),1,0)</f>
        <v/>
      </c>
      <c r="K35" s="17">
        <f>IF(AND(8&gt;=$B$9,8&lt;=$D$9),1,0)</f>
        <v/>
      </c>
      <c r="L35" s="17">
        <f>IF(AND(9&gt;=$B$9,9&lt;=$D$9),1,0)</f>
        <v/>
      </c>
      <c r="M35" s="17">
        <f>IF(AND(10&gt;=$B$9,10&lt;=$D$9),1,0)</f>
        <v/>
      </c>
      <c r="N35" s="17">
        <f>IF(AND(11&gt;=$B$9,11&lt;=$D$9),1,0)</f>
        <v/>
      </c>
      <c r="O35" s="17">
        <f>IF(AND(12&gt;=$B$9,12&lt;=$D$9),1,0)</f>
        <v/>
      </c>
      <c r="P35" s="17">
        <f>IF(AND(13&gt;=$B$9,13&lt;=$D$9),1,0)</f>
        <v/>
      </c>
      <c r="Q35" s="17">
        <f>IF(AND(14&gt;=$B$9,14&lt;=$D$9),1,0)</f>
        <v/>
      </c>
      <c r="R35" s="17">
        <f>IF(AND(15&gt;=$B$9,15&lt;=$D$9),1,0)</f>
        <v/>
      </c>
      <c r="S35" s="17">
        <f>IF(AND(16&gt;=$B$9,16&lt;=$D$9),1,0)</f>
        <v/>
      </c>
      <c r="T35" s="17">
        <f>IF(AND(17&gt;=$B$9,17&lt;=$D$9),1,0)</f>
        <v/>
      </c>
      <c r="U35" s="17">
        <f>IF(AND(18&gt;=$B$9,18&lt;=$D$9),1,0)</f>
        <v/>
      </c>
      <c r="V35" s="17">
        <f>IF(AND(19&gt;=$B$9,19&lt;=$D$9),1,0)</f>
        <v/>
      </c>
      <c r="W35" s="17">
        <f>IF(AND(20&gt;=$B$9,20&lt;=$D$9),1,0)</f>
        <v/>
      </c>
      <c r="X35" s="17">
        <f>IF(AND(21&gt;=$B$9,21&lt;=$D$9),1,0)</f>
        <v/>
      </c>
      <c r="Y35" s="17">
        <f>IF(AND(22&gt;=$B$9,22&lt;=$D$9),1,0)</f>
        <v/>
      </c>
      <c r="Z35" s="17">
        <f>IF(AND(23&gt;=$B$9,23&lt;=$D$9),1,0)</f>
        <v/>
      </c>
      <c r="AA35" s="17">
        <f>IF(AND(24&gt;=$B$9,24&lt;=$D$9),1,0)</f>
        <v/>
      </c>
      <c r="AB35" s="17">
        <f>IF(AND(25&gt;=$B$9,25&lt;=$D$9),1,0)</f>
        <v/>
      </c>
      <c r="AC35" s="17">
        <f>IF(AND(26&gt;=$B$9,26&lt;=$D$9),1,0)</f>
        <v/>
      </c>
      <c r="AD35" s="17">
        <f>IF(AND(27&gt;=$B$9,27&lt;=$D$9),1,0)</f>
        <v/>
      </c>
      <c r="AE35" s="17">
        <f>IF(AND(28&gt;=$B$9,28&lt;=$D$9),1,0)</f>
        <v/>
      </c>
      <c r="AF35" s="17">
        <f>IF(AND(29&gt;=$B$9,29&lt;=$D$9),1,0)</f>
        <v/>
      </c>
      <c r="AG35" s="17">
        <f>IF(AND(30&gt;=$B$9,30&lt;=$D$9),1,0)</f>
        <v/>
      </c>
      <c r="AH35" s="17">
        <f>IF(AND(31&gt;=$B$9,31&lt;=$D$9),1,0)</f>
        <v/>
      </c>
      <c r="AI35" s="17">
        <f>IF(AND(32&gt;=$B$9,32&lt;=$D$9),1,0)</f>
        <v/>
      </c>
      <c r="AJ35" s="17">
        <f>IF(AND(33&gt;=$B$9,33&lt;=$D$9),1,0)</f>
        <v/>
      </c>
      <c r="AK35" s="17">
        <f>IF(AND(34&gt;=$B$9,34&lt;=$D$9),1,0)</f>
        <v/>
      </c>
      <c r="AL35" s="17">
        <f>IF(AND(35&gt;=$B$9,35&lt;=$D$9),1,0)</f>
        <v/>
      </c>
      <c r="AM35" s="17">
        <f>IF(AND(36&gt;=$B$9,36&lt;=$D$9),1,0)</f>
        <v/>
      </c>
      <c r="AN35" s="17">
        <f>IF(AND(37&gt;=$B$9,37&lt;=$D$9),1,0)</f>
        <v/>
      </c>
      <c r="AO35" s="17">
        <f>IF(AND(38&gt;=$B$9,38&lt;=$D$9),1,0)</f>
        <v/>
      </c>
      <c r="AP35" s="17">
        <f>IF(AND(39&gt;=$B$9,39&lt;=$D$9),1,0)</f>
        <v/>
      </c>
      <c r="AQ35" s="17">
        <f>IF(AND(40&gt;=$B$9,40&lt;=$D$9),1,0)</f>
        <v/>
      </c>
      <c r="AR35" s="17">
        <f>IF(AND(41&gt;=$B$9,41&lt;=$D$9),1,0)</f>
        <v/>
      </c>
      <c r="AS35" s="17">
        <f>IF(AND(42&gt;=$B$9,42&lt;=$D$9),1,0)</f>
        <v/>
      </c>
      <c r="AT35" s="17">
        <f>IF(AND(43&gt;=$B$9,43&lt;=$D$9),1,0)</f>
        <v/>
      </c>
      <c r="AU35" s="17">
        <f>IF(AND(44&gt;=$B$9,44&lt;=$D$9),1,0)</f>
        <v/>
      </c>
      <c r="AV35" s="17">
        <f>IF(AND(45&gt;=$B$9,45&lt;=$D$9),1,0)</f>
        <v/>
      </c>
      <c r="AW35" s="17">
        <f>IF(AND(46&gt;=$B$9,46&lt;=$D$9),1,0)</f>
        <v/>
      </c>
      <c r="AX35" s="17">
        <f>IF(AND(47&gt;=$B$9,47&lt;=$D$9),1,0)</f>
        <v/>
      </c>
      <c r="AY35" s="17">
        <f>IF(AND(48&gt;=$B$9,48&lt;=$D$9),1,0)</f>
        <v/>
      </c>
      <c r="AZ35" s="17">
        <f>IF(AND(49&gt;=$B$9,49&lt;=$D$9),1,0)</f>
        <v/>
      </c>
      <c r="BA35" s="17">
        <f>IF(AND(50&gt;=$B$9,50&lt;=$D$9),1,0)</f>
        <v/>
      </c>
      <c r="BB35" s="17">
        <f>IF(AND(51&gt;=$B$9,51&lt;=$D$9),1,0)</f>
        <v/>
      </c>
      <c r="BC35" s="17">
        <f>IF(AND(52&gt;=$B$9,52&lt;=$D$9),1,0)</f>
        <v/>
      </c>
      <c r="BD35" s="17">
        <f>IF(AND(53&gt;=$B$9,53&lt;=$D$9),1,0)</f>
        <v/>
      </c>
      <c r="BE35" s="17">
        <f>IF(AND(54&gt;=$B$9,54&lt;=$D$9),1,0)</f>
        <v/>
      </c>
      <c r="BF35" s="17">
        <f>IF(AND(55&gt;=$B$9,55&lt;=$D$9),1,0)</f>
        <v/>
      </c>
      <c r="BG35" s="17">
        <f>IF(AND(56&gt;=$B$9,56&lt;=$D$9),1,0)</f>
        <v/>
      </c>
      <c r="BH35" s="17">
        <f>IF(AND(57&gt;=$B$9,57&lt;=$D$9),1,0)</f>
        <v/>
      </c>
      <c r="BI35" s="17">
        <f>IF(AND(58&gt;=$B$9,58&lt;=$D$9),1,0)</f>
        <v/>
      </c>
      <c r="BJ35" s="17">
        <f>IF(AND(59&gt;=$B$9,59&lt;=$D$9),1,0)</f>
        <v/>
      </c>
      <c r="BK35" s="17">
        <f>IF(AND(60&gt;=$B$9,60&lt;=$D$9),1,0)</f>
        <v/>
      </c>
      <c r="BL35" s="17">
        <f>IF(AND(61&gt;=$B$9,61&lt;=$D$9),1,0)</f>
        <v/>
      </c>
      <c r="BM35" s="17">
        <f>IF(AND(62&gt;=$B$9,62&lt;=$D$9),1,0)</f>
        <v/>
      </c>
      <c r="BN35" s="17">
        <f>IF(AND(63&gt;=$B$9,63&lt;=$D$9),1,0)</f>
        <v/>
      </c>
      <c r="BO35" s="17">
        <f>IF(AND(64&gt;=$B$9,64&lt;=$D$9),1,0)</f>
        <v/>
      </c>
      <c r="BP35" s="17">
        <f>IF(AND(65&gt;=$B$9,65&lt;=$D$9),1,0)</f>
        <v/>
      </c>
      <c r="BQ35" s="17">
        <f>IF(AND(66&gt;=$B$9,66&lt;=$D$9),1,0)</f>
        <v/>
      </c>
      <c r="BR35" s="17">
        <f>IF(AND(67&gt;=$B$9,67&lt;=$D$9),1,0)</f>
        <v/>
      </c>
      <c r="BS35" s="17">
        <f>IF(AND(68&gt;=$B$9,68&lt;=$D$9),1,0)</f>
        <v/>
      </c>
      <c r="BT35" s="17">
        <f>IF(AND(69&gt;=$B$9,69&lt;=$D$9),1,0)</f>
        <v/>
      </c>
      <c r="BU35" s="17">
        <f>IF(AND(70&gt;=$B$9,70&lt;=$D$9),1,0)</f>
        <v/>
      </c>
      <c r="BV35" s="17">
        <f>IF(AND(71&gt;=$B$9,71&lt;=$D$9),1,0)</f>
        <v/>
      </c>
      <c r="BW35" s="17">
        <f>IF(AND(72&gt;=$B$9,72&lt;=$D$9),1,0)</f>
        <v/>
      </c>
      <c r="BX35" s="17">
        <f>IF(AND(73&gt;=$B$9,73&lt;=$D$9),1,0)</f>
        <v/>
      </c>
      <c r="BY35" s="17">
        <f>IF(AND(74&gt;=$B$9,74&lt;=$D$9),1,0)</f>
        <v/>
      </c>
      <c r="BZ35" s="17">
        <f>IF(AND(75&gt;=$B$9,75&lt;=$D$9),1,0)</f>
        <v/>
      </c>
      <c r="CA35" s="17">
        <f>IF(AND(76&gt;=$B$9,76&lt;=$D$9),1,0)</f>
        <v/>
      </c>
      <c r="CB35" s="17">
        <f>IF(AND(77&gt;=$B$9,77&lt;=$D$9),1,0)</f>
        <v/>
      </c>
      <c r="CC35" s="17">
        <f>IF(AND(78&gt;=$B$9,78&lt;=$D$9),1,0)</f>
        <v/>
      </c>
      <c r="CD35" s="17">
        <f>IF(AND(79&gt;=$B$9,79&lt;=$D$9),1,0)</f>
        <v/>
      </c>
      <c r="CE35" s="17">
        <f>IF(AND(80&gt;=$B$9,80&lt;=$D$9),1,0)</f>
        <v/>
      </c>
      <c r="CF35" s="17">
        <f>IF(AND(81&gt;=$B$9,81&lt;=$D$9),1,0)</f>
        <v/>
      </c>
      <c r="CG35" s="17">
        <f>IF(AND(82&gt;=$B$9,82&lt;=$D$9),1,0)</f>
        <v/>
      </c>
      <c r="CH35" s="17">
        <f>IF(AND(83&gt;=$B$9,83&lt;=$D$9),1,0)</f>
        <v/>
      </c>
      <c r="CI35" s="17">
        <f>IF(AND(84&gt;=$B$9,84&lt;=$D$9),1,0)</f>
        <v/>
      </c>
      <c r="CJ35" s="17">
        <f>IF(AND(85&gt;=$B$9,85&lt;=$D$9),1,0)</f>
        <v/>
      </c>
      <c r="CK35" s="17">
        <f>IF(AND(86&gt;=$B$9,86&lt;=$D$9),1,0)</f>
        <v/>
      </c>
      <c r="CL35" s="17">
        <f>IF(AND(87&gt;=$B$9,87&lt;=$D$9),1,0)</f>
        <v/>
      </c>
      <c r="CM35" s="17">
        <f>IF(AND(88&gt;=$B$9,88&lt;=$D$9),1,0)</f>
        <v/>
      </c>
      <c r="CN35" s="17">
        <f>IF(AND(89&gt;=$B$9,89&lt;=$D$9),1,0)</f>
        <v/>
      </c>
      <c r="CO35" s="17">
        <f>IF(AND(90&gt;=$B$9,90&lt;=$D$9),1,0)</f>
        <v/>
      </c>
      <c r="CP35" s="17">
        <f>IF(AND(91&gt;=$B$9,91&lt;=$D$9),1,0)</f>
        <v/>
      </c>
      <c r="CQ35" s="17">
        <f>IF(AND(92&gt;=$B$9,92&lt;=$D$9),1,0)</f>
        <v/>
      </c>
      <c r="CR35" s="17">
        <f>IF(AND(93&gt;=$B$9,93&lt;=$D$9),1,0)</f>
        <v/>
      </c>
      <c r="CS35" s="17">
        <f>IF(AND(94&gt;=$B$9,94&lt;=$D$9),1,0)</f>
        <v/>
      </c>
      <c r="CT35" s="17">
        <f>IF(AND(95&gt;=$B$9,95&lt;=$D$9),1,0)</f>
        <v/>
      </c>
      <c r="CU35" s="17">
        <f>IF(AND(96&gt;=$B$9,96&lt;=$D$9),1,0)</f>
        <v/>
      </c>
      <c r="CV35" s="17">
        <f>IF(AND(97&gt;=$B$9,97&lt;=$D$9),1,0)</f>
        <v/>
      </c>
      <c r="CW35" s="17">
        <f>IF(AND(98&gt;=$B$9,98&lt;=$D$9),1,0)</f>
        <v/>
      </c>
      <c r="CX35" s="17">
        <f>IF(AND(99&gt;=$B$9,99&lt;=$D$9),1,0)</f>
        <v/>
      </c>
      <c r="CY35" s="17">
        <f>IF(AND(100&gt;=$B$9,100&lt;=$D$9),1,0)</f>
        <v/>
      </c>
      <c r="CZ35" s="17">
        <f>IF(AND(101&gt;=$B$9,101&lt;=$D$9),1,0)</f>
        <v/>
      </c>
      <c r="DA35" s="17">
        <f>IF(AND(102&gt;=$B$9,102&lt;=$D$9),1,0)</f>
        <v/>
      </c>
      <c r="DB35" s="17">
        <f>IF(AND(103&gt;=$B$9,103&lt;=$D$9),1,0)</f>
        <v/>
      </c>
      <c r="DC35" s="17">
        <f>IF(AND(104&gt;=$B$9,104&lt;=$D$9),1,0)</f>
        <v/>
      </c>
      <c r="DD35" s="17">
        <f>IF(AND(105&gt;=$B$9,105&lt;=$D$9),1,0)</f>
        <v/>
      </c>
      <c r="DE35" s="17">
        <f>IF(AND(106&gt;=$B$9,106&lt;=$D$9),1,0)</f>
        <v/>
      </c>
      <c r="DF35" s="17">
        <f>IF(AND(107&gt;=$B$9,107&lt;=$D$9),1,0)</f>
        <v/>
      </c>
      <c r="DG35" s="17">
        <f>IF(AND(108&gt;=$B$9,108&lt;=$D$9),1,0)</f>
        <v/>
      </c>
      <c r="DH35" s="17">
        <f>IF(AND(109&gt;=$B$9,109&lt;=$D$9),1,0)</f>
        <v/>
      </c>
      <c r="DI35" s="17">
        <f>IF(AND(110&gt;=$B$9,110&lt;=$D$9),1,0)</f>
        <v/>
      </c>
      <c r="DJ35" s="17">
        <f>IF(AND(111&gt;=$B$9,111&lt;=$D$9),1,0)</f>
        <v/>
      </c>
      <c r="DK35" s="17">
        <f>IF(AND(112&gt;=$B$9,112&lt;=$D$9),1,0)</f>
        <v/>
      </c>
      <c r="DL35" s="17">
        <f>IF(AND(113&gt;=$B$9,113&lt;=$D$9),1,0)</f>
        <v/>
      </c>
      <c r="DM35" s="17">
        <f>IF(AND(114&gt;=$B$9,114&lt;=$D$9),1,0)</f>
        <v/>
      </c>
      <c r="DN35" s="17">
        <f>IF(AND(115&gt;=$B$9,115&lt;=$D$9),1,0)</f>
        <v/>
      </c>
      <c r="DO35" s="17">
        <f>IF(AND(116&gt;=$B$9,116&lt;=$D$9),1,0)</f>
        <v/>
      </c>
      <c r="DP35" s="17">
        <f>IF(AND(117&gt;=$B$9,117&lt;=$D$9),1,0)</f>
        <v/>
      </c>
      <c r="DQ35" s="17">
        <f>IF(AND(118&gt;=$B$9,118&lt;=$D$9),1,0)</f>
        <v/>
      </c>
      <c r="DR35" s="17">
        <f>IF(AND(119&gt;=$B$9,119&lt;=$D$9),1,0)</f>
        <v/>
      </c>
      <c r="DS35" s="17">
        <f>IF(AND(120&gt;=$B$9,120&lt;=$D$9),1,0)</f>
        <v/>
      </c>
      <c r="DT35" s="17">
        <f>IF(AND(121&gt;=$B$9,121&lt;=$D$9),1,0)</f>
        <v/>
      </c>
      <c r="DU35" s="17">
        <f>IF(AND(122&gt;=$B$9,122&lt;=$D$9),1,0)</f>
        <v/>
      </c>
      <c r="DV35" s="17">
        <f>IF(AND(123&gt;=$B$9,123&lt;=$D$9),1,0)</f>
        <v/>
      </c>
      <c r="DW35" s="17">
        <f>IF(AND(124&gt;=$B$9,124&lt;=$D$9),1,0)</f>
        <v/>
      </c>
      <c r="DX35" s="17">
        <f>IF(AND(125&gt;=$B$9,125&lt;=$D$9),1,0)</f>
        <v/>
      </c>
      <c r="DY35" s="17">
        <f>IF(AND(126&gt;=$B$9,126&lt;=$D$9),1,0)</f>
        <v/>
      </c>
      <c r="DZ35" s="17">
        <f>IF(AND(127&gt;=$B$9,127&lt;=$D$9),1,0)</f>
        <v/>
      </c>
      <c r="EA35" s="17">
        <f>IF(AND(128&gt;=$B$9,128&lt;=$D$9),1,0)</f>
        <v/>
      </c>
      <c r="EB35" s="17">
        <f>IF(AND(129&gt;=$B$9,129&lt;=$D$9),1,0)</f>
        <v/>
      </c>
      <c r="EC35" s="17">
        <f>IF(AND(130&gt;=$B$9,130&lt;=$D$9),1,0)</f>
        <v/>
      </c>
      <c r="ED35" s="17">
        <f>IF(AND(131&gt;=$B$9,131&lt;=$D$9),1,0)</f>
        <v/>
      </c>
      <c r="EE35" s="17">
        <f>IF(AND(132&gt;=$B$9,132&lt;=$D$9),1,0)</f>
        <v/>
      </c>
      <c r="EF35" s="17">
        <f>IF(AND(133&gt;=$B$9,133&lt;=$D$9),1,0)</f>
        <v/>
      </c>
      <c r="EG35" s="17">
        <f>IF(AND(134&gt;=$B$9,134&lt;=$D$9),1,0)</f>
        <v/>
      </c>
      <c r="EH35" s="17">
        <f>IF(AND(135&gt;=$B$9,135&lt;=$D$9),1,0)</f>
        <v/>
      </c>
      <c r="EI35" s="17">
        <f>IF(AND(136&gt;=$B$9,136&lt;=$D$9),1,0)</f>
        <v/>
      </c>
      <c r="EJ35" s="17">
        <f>IF(AND(137&gt;=$B$9,137&lt;=$D$9),1,0)</f>
        <v/>
      </c>
      <c r="EK35" s="17">
        <f>IF(AND(138&gt;=$B$9,138&lt;=$D$9),1,0)</f>
        <v/>
      </c>
      <c r="EL35" s="17">
        <f>IF(AND(139&gt;=$B$9,139&lt;=$D$9),1,0)</f>
        <v/>
      </c>
      <c r="EM35" s="17">
        <f>IF(AND(140&gt;=$B$9,140&lt;=$D$9),1,0)</f>
        <v/>
      </c>
      <c r="EN35" s="17">
        <f>IF(AND(141&gt;=$B$9,141&lt;=$D$9),1,0)</f>
        <v/>
      </c>
      <c r="EO35" s="17">
        <f>IF(AND(142&gt;=$B$9,142&lt;=$D$9),1,0)</f>
        <v/>
      </c>
      <c r="EP35" s="17">
        <f>IF(AND(143&gt;=$B$9,143&lt;=$D$9),1,0)</f>
        <v/>
      </c>
      <c r="EQ35" s="17">
        <f>IF(AND(144&gt;=$B$9,144&lt;=$D$9),1,0)</f>
        <v/>
      </c>
      <c r="ER35" s="17">
        <f>IF(AND(145&gt;=$B$9,145&lt;=$D$9),1,0)</f>
        <v/>
      </c>
      <c r="ES35" s="17">
        <f>IF(AND(146&gt;=$B$9,146&lt;=$D$9),1,0)</f>
        <v/>
      </c>
      <c r="ET35" s="17">
        <f>IF(AND(147&gt;=$B$9,147&lt;=$D$9),1,0)</f>
        <v/>
      </c>
      <c r="EU35" s="17">
        <f>IF(AND(148&gt;=$B$9,148&lt;=$D$9),1,0)</f>
        <v/>
      </c>
      <c r="EV35" s="17">
        <f>IF(AND(149&gt;=$B$9,149&lt;=$D$9),1,0)</f>
        <v/>
      </c>
      <c r="EW35" s="17">
        <f>IF(AND(150&gt;=$B$9,150&lt;=$D$9),1,0)</f>
        <v/>
      </c>
      <c r="EX35" s="17">
        <f>IF(AND(151&gt;=$B$9,151&lt;=$D$9),1,0)</f>
        <v/>
      </c>
      <c r="EY35" s="17">
        <f>IF(AND(152&gt;=$B$9,152&lt;=$D$9),1,0)</f>
        <v/>
      </c>
      <c r="EZ35" s="17">
        <f>IF(AND(153&gt;=$B$9,153&lt;=$D$9),1,0)</f>
        <v/>
      </c>
      <c r="FA35" s="17">
        <f>IF(AND(154&gt;=$B$9,154&lt;=$D$9),1,0)</f>
        <v/>
      </c>
      <c r="FB35" s="17">
        <f>IF(AND(155&gt;=$B$9,155&lt;=$D$9),1,0)</f>
        <v/>
      </c>
      <c r="FC35" s="17">
        <f>IF(AND(156&gt;=$B$9,156&lt;=$D$9),1,0)</f>
        <v/>
      </c>
      <c r="FD35" s="17">
        <f>IF(AND(157&gt;=$B$9,157&lt;=$D$9),1,0)</f>
        <v/>
      </c>
      <c r="FE35" s="17">
        <f>IF(AND(158&gt;=$B$9,158&lt;=$D$9),1,0)</f>
        <v/>
      </c>
      <c r="FF35" s="17">
        <f>IF(AND(159&gt;=$B$9,159&lt;=$D$9),1,0)</f>
        <v/>
      </c>
      <c r="FG35" s="17">
        <f>IF(AND(160&gt;=$B$9,160&lt;=$D$9),1,0)</f>
        <v/>
      </c>
      <c r="FH35" s="17">
        <f>IF(AND(161&gt;=$B$9,161&lt;=$D$9),1,0)</f>
        <v/>
      </c>
      <c r="FI35" s="17">
        <f>IF(AND(162&gt;=$B$9,162&lt;=$D$9),1,0)</f>
        <v/>
      </c>
      <c r="FJ35" s="17">
        <f>IF(AND(163&gt;=$B$9,163&lt;=$D$9),1,0)</f>
        <v/>
      </c>
      <c r="FK35" s="17">
        <f>IF(AND(164&gt;=$B$9,164&lt;=$D$9),1,0)</f>
        <v/>
      </c>
      <c r="FL35" s="17">
        <f>IF(AND(165&gt;=$B$9,165&lt;=$D$9),1,0)</f>
        <v/>
      </c>
      <c r="FM35" s="17">
        <f>IF(AND(166&gt;=$B$9,166&lt;=$D$9),1,0)</f>
        <v/>
      </c>
      <c r="FN35" s="17">
        <f>IF(AND(167&gt;=$B$9,167&lt;=$D$9),1,0)</f>
        <v/>
      </c>
      <c r="FO35" s="17">
        <f>IF(AND(168&gt;=$B$9,168&lt;=$D$9),1,0)</f>
        <v/>
      </c>
      <c r="FP35" s="17">
        <f>IF(AND(169&gt;=$B$9,169&lt;=$D$9),1,0)</f>
        <v/>
      </c>
      <c r="FQ35" s="17">
        <f>IF(AND(170&gt;=$B$9,170&lt;=$D$9),1,0)</f>
        <v/>
      </c>
      <c r="FR35" s="17">
        <f>IF(AND(171&gt;=$B$9,171&lt;=$D$9),1,0)</f>
        <v/>
      </c>
      <c r="FS35" s="17">
        <f>IF(AND(172&gt;=$B$9,172&lt;=$D$9),1,0)</f>
        <v/>
      </c>
      <c r="FT35" s="17">
        <f>IF(AND(173&gt;=$B$9,173&lt;=$D$9),1,0)</f>
        <v/>
      </c>
      <c r="FU35" s="17">
        <f>IF(AND(174&gt;=$B$9,174&lt;=$D$9),1,0)</f>
        <v/>
      </c>
      <c r="FV35" s="17">
        <f>IF(AND(175&gt;=$B$9,175&lt;=$D$9),1,0)</f>
        <v/>
      </c>
      <c r="FW35" s="17">
        <f>IF(AND(176&gt;=$B$9,176&lt;=$D$9),1,0)</f>
        <v/>
      </c>
      <c r="FX35" s="17">
        <f>IF(AND(177&gt;=$B$9,177&lt;=$D$9),1,0)</f>
        <v/>
      </c>
      <c r="FY35" s="17">
        <f>IF(AND(178&gt;=$B$9,178&lt;=$D$9),1,0)</f>
        <v/>
      </c>
      <c r="FZ35" s="17">
        <f>IF(AND(179&gt;=$B$9,179&lt;=$D$9),1,0)</f>
        <v/>
      </c>
      <c r="GA35" s="17">
        <f>IF(AND(180&gt;=$B$9,180&lt;=$D$9),1,0)</f>
        <v/>
      </c>
      <c r="GB35" s="17">
        <f>IF(AND(181&gt;=$B$9,181&lt;=$D$9),1,0)</f>
        <v/>
      </c>
      <c r="GC35" s="17">
        <f>IF(AND(182&gt;=$B$9,182&lt;=$D$9),1,0)</f>
        <v/>
      </c>
      <c r="GD35" s="17">
        <f>IF(AND(183&gt;=$B$9,183&lt;=$D$9),1,0)</f>
        <v/>
      </c>
      <c r="GE35" s="17">
        <f>IF(AND(184&gt;=$B$9,184&lt;=$D$9),1,0)</f>
        <v/>
      </c>
      <c r="GF35" s="17">
        <f>IF(AND(185&gt;=$B$9,185&lt;=$D$9),1,0)</f>
        <v/>
      </c>
      <c r="GG35" s="17">
        <f>IF(AND(186&gt;=$B$9,186&lt;=$D$9),1,0)</f>
        <v/>
      </c>
      <c r="GH35" s="17">
        <f>IF(AND(187&gt;=$B$9,187&lt;=$D$9),1,0)</f>
        <v/>
      </c>
      <c r="GI35" s="17">
        <f>IF(AND(188&gt;=$B$9,188&lt;=$D$9),1,0)</f>
        <v/>
      </c>
      <c r="GJ35" s="17">
        <f>IF(AND(189&gt;=$B$9,189&lt;=$D$9),1,0)</f>
        <v/>
      </c>
      <c r="GK35" s="17">
        <f>IF(AND(190&gt;=$B$9,190&lt;=$D$9),1,0)</f>
        <v/>
      </c>
      <c r="GL35" s="17">
        <f>IF(AND(191&gt;=$B$9,191&lt;=$D$9),1,0)</f>
        <v/>
      </c>
      <c r="GM35" s="17">
        <f>IF(AND(192&gt;=$B$9,192&lt;=$D$9),1,0)</f>
        <v/>
      </c>
      <c r="GN35" s="17">
        <f>IF(AND(193&gt;=$B$9,193&lt;=$D$9),1,0)</f>
        <v/>
      </c>
      <c r="GO35" s="17">
        <f>IF(AND(194&gt;=$B$9,194&lt;=$D$9),1,0)</f>
        <v/>
      </c>
      <c r="GP35" s="17">
        <f>IF(AND(195&gt;=$B$9,195&lt;=$D$9),1,0)</f>
        <v/>
      </c>
      <c r="GQ35" s="17">
        <f>IF(AND(196&gt;=$B$9,196&lt;=$D$9),1,0)</f>
        <v/>
      </c>
      <c r="GR35" s="17">
        <f>IF(AND(197&gt;=$B$9,197&lt;=$D$9),1,0)</f>
        <v/>
      </c>
      <c r="GS35" s="17">
        <f>IF(AND(198&gt;=$B$9,198&lt;=$D$9),1,0)</f>
        <v/>
      </c>
      <c r="GT35" s="17">
        <f>IF(AND(199&gt;=$B$9,199&lt;=$D$9),1,0)</f>
        <v/>
      </c>
      <c r="GU35" s="17">
        <f>IF(AND(200&gt;=$B$9,200&lt;=$D$9),1,0)</f>
        <v/>
      </c>
      <c r="GV35" s="17">
        <f>IF(AND(201&gt;=$B$9,201&lt;=$D$9),1,0)</f>
        <v/>
      </c>
      <c r="GW35" s="17">
        <f>IF(AND(202&gt;=$B$9,202&lt;=$D$9),1,0)</f>
        <v/>
      </c>
      <c r="GX35" s="17">
        <f>IF(AND(203&gt;=$B$9,203&lt;=$D$9),1,0)</f>
        <v/>
      </c>
      <c r="GY35" s="17">
        <f>IF(AND(204&gt;=$B$9,204&lt;=$D$9),1,0)</f>
        <v/>
      </c>
      <c r="GZ35" s="17">
        <f>IF(AND(205&gt;=$B$9,205&lt;=$D$9),1,0)</f>
        <v/>
      </c>
      <c r="HA35" s="17">
        <f>IF(AND(206&gt;=$B$9,206&lt;=$D$9),1,0)</f>
        <v/>
      </c>
      <c r="HB35" s="17">
        <f>IF(AND(207&gt;=$B$9,207&lt;=$D$9),1,0)</f>
        <v/>
      </c>
      <c r="HC35" s="17">
        <f>IF(AND(208&gt;=$B$9,208&lt;=$D$9),1,0)</f>
        <v/>
      </c>
      <c r="HD35" s="17">
        <f>IF(AND(209&gt;=$B$9,209&lt;=$D$9),1,0)</f>
        <v/>
      </c>
      <c r="HE35" s="17">
        <f>IF(AND(210&gt;=$B$9,210&lt;=$D$9),1,0)</f>
        <v/>
      </c>
      <c r="HF35" s="17">
        <f>IF(AND(211&gt;=$B$9,211&lt;=$D$9),1,0)</f>
        <v/>
      </c>
      <c r="HG35" s="17">
        <f>IF(AND(212&gt;=$B$9,212&lt;=$D$9),1,0)</f>
        <v/>
      </c>
      <c r="HH35" s="17">
        <f>IF(AND(213&gt;=$B$9,213&lt;=$D$9),1,0)</f>
        <v/>
      </c>
      <c r="HI35" s="17">
        <f>IF(AND(214&gt;=$B$9,214&lt;=$D$9),1,0)</f>
        <v/>
      </c>
      <c r="HJ35" s="17">
        <f>IF(AND(215&gt;=$B$9,215&lt;=$D$9),1,0)</f>
        <v/>
      </c>
      <c r="HK35" s="17">
        <f>IF(AND(216&gt;=$B$9,216&lt;=$D$9),1,0)</f>
        <v/>
      </c>
      <c r="HL35" s="17">
        <f>IF(AND(217&gt;=$B$9,217&lt;=$D$9),1,0)</f>
        <v/>
      </c>
      <c r="HM35" s="17">
        <f>IF(AND(218&gt;=$B$9,218&lt;=$D$9),1,0)</f>
        <v/>
      </c>
      <c r="HN35" s="17">
        <f>IF(AND(219&gt;=$B$9,219&lt;=$D$9),1,0)</f>
        <v/>
      </c>
      <c r="HO35" s="17">
        <f>IF(AND(220&gt;=$B$9,220&lt;=$D$9),1,0)</f>
        <v/>
      </c>
      <c r="HP35" s="17">
        <f>IF(AND(221&gt;=$B$9,221&lt;=$D$9),1,0)</f>
        <v/>
      </c>
      <c r="HQ35" s="17">
        <f>IF(AND(222&gt;=$B$9,222&lt;=$D$9),1,0)</f>
        <v/>
      </c>
      <c r="HR35" s="17">
        <f>IF(AND(223&gt;=$B$9,223&lt;=$D$9),1,0)</f>
        <v/>
      </c>
      <c r="HS35" s="17">
        <f>IF(AND(224&gt;=$B$9,224&lt;=$D$9),1,0)</f>
        <v/>
      </c>
      <c r="HT35" s="17">
        <f>IF(AND(225&gt;=$B$9,225&lt;=$D$9),1,0)</f>
        <v/>
      </c>
      <c r="HU35" s="17">
        <f>IF(AND(226&gt;=$B$9,226&lt;=$D$9),1,0)</f>
        <v/>
      </c>
      <c r="HV35" s="17">
        <f>IF(AND(227&gt;=$B$9,227&lt;=$D$9),1,0)</f>
        <v/>
      </c>
      <c r="HW35" s="17">
        <f>IF(AND(228&gt;=$B$9,228&lt;=$D$9),1,0)</f>
        <v/>
      </c>
      <c r="HX35" s="17">
        <f>IF(AND(229&gt;=$B$9,229&lt;=$D$9),1,0)</f>
        <v/>
      </c>
      <c r="HY35" s="17">
        <f>IF(AND(230&gt;=$B$9,230&lt;=$D$9),1,0)</f>
        <v/>
      </c>
      <c r="HZ35" s="17">
        <f>IF(AND(231&gt;=$B$9,231&lt;=$D$9),1,0)</f>
        <v/>
      </c>
      <c r="IA35" s="17">
        <f>IF(AND(232&gt;=$B$9,232&lt;=$D$9),1,0)</f>
        <v/>
      </c>
      <c r="IB35" s="17">
        <f>IF(AND(233&gt;=$B$9,233&lt;=$D$9),1,0)</f>
        <v/>
      </c>
      <c r="IC35" s="17">
        <f>IF(AND(234&gt;=$B$9,234&lt;=$D$9),1,0)</f>
        <v/>
      </c>
      <c r="ID35" s="17">
        <f>IF(AND(235&gt;=$B$9,235&lt;=$D$9),1,0)</f>
        <v/>
      </c>
      <c r="IE35" s="17">
        <f>IF(AND(236&gt;=$B$9,236&lt;=$D$9),1,0)</f>
        <v/>
      </c>
      <c r="IF35" s="17">
        <f>IF(AND(237&gt;=$B$9,237&lt;=$D$9),1,0)</f>
        <v/>
      </c>
      <c r="IG35" s="17">
        <f>IF(AND(238&gt;=$B$9,238&lt;=$D$9),1,0)</f>
        <v/>
      </c>
      <c r="IH35" s="17">
        <f>IF(AND(239&gt;=$B$9,239&lt;=$D$9),1,0)</f>
        <v/>
      </c>
      <c r="II35" s="17">
        <f>IF(AND(240&gt;=$B$9,240&lt;=$D$9),1,0)</f>
        <v/>
      </c>
      <c r="IJ35" s="17">
        <f>IF(AND(241&gt;=$B$9,241&lt;=$D$9),1,0)</f>
        <v/>
      </c>
      <c r="IK35" s="17">
        <f>IF(AND(242&gt;=$B$9,242&lt;=$D$9),1,0)</f>
        <v/>
      </c>
      <c r="IL35" s="17">
        <f>IF(AND(243&gt;=$B$9,243&lt;=$D$9),1,0)</f>
        <v/>
      </c>
      <c r="IM35" s="17">
        <f>IF(AND(244&gt;=$B$9,244&lt;=$D$9),1,0)</f>
        <v/>
      </c>
      <c r="IN35" s="17">
        <f>IF(AND(245&gt;=$B$9,245&lt;=$D$9),1,0)</f>
        <v/>
      </c>
      <c r="IO35" s="17">
        <f>IF(AND(246&gt;=$B$9,246&lt;=$D$9),1,0)</f>
        <v/>
      </c>
      <c r="IP35" s="17">
        <f>IF(AND(247&gt;=$B$9,247&lt;=$D$9),1,0)</f>
        <v/>
      </c>
      <c r="IQ35" s="17">
        <f>IF(AND(248&gt;=$B$9,248&lt;=$D$9),1,0)</f>
        <v/>
      </c>
      <c r="IR35" s="17">
        <f>IF(AND(249&gt;=$B$9,249&lt;=$D$9),1,0)</f>
        <v/>
      </c>
      <c r="IS35" s="17">
        <f>IF(AND(250&gt;=$B$9,250&lt;=$D$9),1,0)</f>
        <v/>
      </c>
      <c r="IT35" s="17">
        <f>IF(AND(251&gt;=$B$9,251&lt;=$D$9),1,0)</f>
        <v/>
      </c>
      <c r="IU35" s="17">
        <f>IF(AND(252&gt;=$B$9,252&lt;=$D$9),1,0)</f>
        <v/>
      </c>
      <c r="IV35" s="17">
        <f>IF(AND(253&gt;=$B$9,253&lt;=$D$9),1,0)</f>
        <v/>
      </c>
      <c r="IW35" s="17">
        <f>IF(AND(254&gt;=$B$9,254&lt;=$D$9),1,0)</f>
        <v/>
      </c>
      <c r="IX35" s="17">
        <f>IF(AND(255&gt;=$B$9,255&lt;=$D$9),1,0)</f>
        <v/>
      </c>
      <c r="IY35" s="17">
        <f>IF(AND(256&gt;=$B$9,256&lt;=$D$9),1,0)</f>
        <v/>
      </c>
      <c r="IZ35" s="17">
        <f>IF(AND(257&gt;=$B$9,257&lt;=$D$9),1,0)</f>
        <v/>
      </c>
      <c r="JA35" s="17">
        <f>IF(AND(258&gt;=$B$9,258&lt;=$D$9),1,0)</f>
        <v/>
      </c>
      <c r="JB35" s="17">
        <f>IF(AND(259&gt;=$B$9,259&lt;=$D$9),1,0)</f>
        <v/>
      </c>
      <c r="JC35" s="17">
        <f>IF(AND(260&gt;=$B$9,260&lt;=$D$9),1,0)</f>
        <v/>
      </c>
      <c r="JD35" s="17">
        <f>IF(AND(261&gt;=$B$9,261&lt;=$D$9),1,0)</f>
        <v/>
      </c>
      <c r="JE35" s="17">
        <f>IF(AND(262&gt;=$B$9,262&lt;=$D$9),1,0)</f>
        <v/>
      </c>
      <c r="JF35" s="17">
        <f>IF(AND(263&gt;=$B$9,263&lt;=$D$9),1,0)</f>
        <v/>
      </c>
      <c r="JG35" s="17">
        <f>IF(AND(264&gt;=$B$9,264&lt;=$D$9),1,0)</f>
        <v/>
      </c>
      <c r="JH35" s="17">
        <f>IF(AND(265&gt;=$B$9,265&lt;=$D$9),1,0)</f>
        <v/>
      </c>
      <c r="JI35" s="17">
        <f>IF(AND(266&gt;=$B$9,266&lt;=$D$9),1,0)</f>
        <v/>
      </c>
      <c r="JJ35" s="17">
        <f>IF(AND(267&gt;=$B$9,267&lt;=$D$9),1,0)</f>
        <v/>
      </c>
      <c r="JK35" s="17">
        <f>IF(AND(268&gt;=$B$9,268&lt;=$D$9),1,0)</f>
        <v/>
      </c>
      <c r="JL35" s="17">
        <f>IF(AND(269&gt;=$B$9,269&lt;=$D$9),1,0)</f>
        <v/>
      </c>
      <c r="JM35" s="17">
        <f>IF(AND(270&gt;=$B$9,270&lt;=$D$9),1,0)</f>
        <v/>
      </c>
      <c r="JN35" s="17">
        <f>IF(AND(271&gt;=$B$9,271&lt;=$D$9),1,0)</f>
        <v/>
      </c>
      <c r="JO35" s="17">
        <f>IF(AND(272&gt;=$B$9,272&lt;=$D$9),1,0)</f>
        <v/>
      </c>
      <c r="JP35" s="17">
        <f>IF(AND(273&gt;=$B$9,273&lt;=$D$9),1,0)</f>
        <v/>
      </c>
      <c r="JQ35" s="17">
        <f>IF(AND(274&gt;=$B$9,274&lt;=$D$9),1,0)</f>
        <v/>
      </c>
      <c r="JR35" s="17">
        <f>IF(AND(275&gt;=$B$9,275&lt;=$D$9),1,0)</f>
        <v/>
      </c>
      <c r="JS35" s="17">
        <f>IF(AND(276&gt;=$B$9,276&lt;=$D$9),1,0)</f>
        <v/>
      </c>
      <c r="JT35" s="17">
        <f>IF(AND(277&gt;=$B$9,277&lt;=$D$9),1,0)</f>
        <v/>
      </c>
      <c r="JU35" s="17">
        <f>IF(AND(278&gt;=$B$9,278&lt;=$D$9),1,0)</f>
        <v/>
      </c>
      <c r="JV35" s="17">
        <f>IF(AND(279&gt;=$B$9,279&lt;=$D$9),1,0)</f>
        <v/>
      </c>
      <c r="JW35" s="17">
        <f>IF(AND(280&gt;=$B$9,280&lt;=$D$9),1,0)</f>
        <v/>
      </c>
      <c r="JX35" s="17">
        <f>IF(AND(281&gt;=$B$9,281&lt;=$D$9),1,0)</f>
        <v/>
      </c>
      <c r="JY35" s="17">
        <f>IF(AND(282&gt;=$B$9,282&lt;=$D$9),1,0)</f>
        <v/>
      </c>
      <c r="JZ35" s="17">
        <f>IF(AND(283&gt;=$B$9,283&lt;=$D$9),1,0)</f>
        <v/>
      </c>
      <c r="KA35" s="17">
        <f>IF(AND(284&gt;=$B$9,284&lt;=$D$9),1,0)</f>
        <v/>
      </c>
      <c r="KB35" s="17">
        <f>IF(AND(285&gt;=$B$9,285&lt;=$D$9),1,0)</f>
        <v/>
      </c>
      <c r="KC35" s="17">
        <f>IF(AND(286&gt;=$B$9,286&lt;=$D$9),1,0)</f>
        <v/>
      </c>
      <c r="KD35" s="17">
        <f>IF(AND(287&gt;=$B$9,287&lt;=$D$9),1,0)</f>
        <v/>
      </c>
      <c r="KE35" s="17">
        <f>IF(AND(288&gt;=$B$9,288&lt;=$D$9),1,0)</f>
        <v/>
      </c>
      <c r="KF35" s="17">
        <f>IF(AND(289&gt;=$B$9,289&lt;=$D$9),1,0)</f>
        <v/>
      </c>
      <c r="KG35" s="17">
        <f>IF(AND(290&gt;=$B$9,290&lt;=$D$9),1,0)</f>
        <v/>
      </c>
      <c r="KH35" s="17">
        <f>IF(AND(291&gt;=$B$9,291&lt;=$D$9),1,0)</f>
        <v/>
      </c>
      <c r="KI35" s="17">
        <f>IF(AND(292&gt;=$B$9,292&lt;=$D$9),1,0)</f>
        <v/>
      </c>
      <c r="KJ35" s="17">
        <f>IF(AND(293&gt;=$B$9,293&lt;=$D$9),1,0)</f>
        <v/>
      </c>
      <c r="KK35" s="17">
        <f>IF(AND(294&gt;=$B$9,294&lt;=$D$9),1,0)</f>
        <v/>
      </c>
      <c r="KL35" s="17">
        <f>IF(AND(295&gt;=$B$9,295&lt;=$D$9),1,0)</f>
        <v/>
      </c>
      <c r="KM35" s="17">
        <f>IF(AND(296&gt;=$B$9,296&lt;=$D$9),1,0)</f>
        <v/>
      </c>
      <c r="KN35" s="17">
        <f>IF(AND(297&gt;=$B$9,297&lt;=$D$9),1,0)</f>
        <v/>
      </c>
      <c r="KO35" s="17">
        <f>IF(AND(298&gt;=$B$9,298&lt;=$D$9),1,0)</f>
        <v/>
      </c>
      <c r="KP35" s="17">
        <f>IF(AND(299&gt;=$B$9,299&lt;=$D$9),1,0)</f>
        <v/>
      </c>
      <c r="KQ35" s="17">
        <f>IF(AND(300&gt;=$B$9,300&lt;=$D$9),1,0)</f>
        <v/>
      </c>
      <c r="KR35" s="17">
        <f>IF(AND(301&gt;=$B$9,301&lt;=$D$9),1,0)</f>
        <v/>
      </c>
      <c r="KS35" s="17">
        <f>IF(AND(302&gt;=$B$9,302&lt;=$D$9),1,0)</f>
        <v/>
      </c>
      <c r="KT35" s="17">
        <f>IF(AND(303&gt;=$B$9,303&lt;=$D$9),1,0)</f>
        <v/>
      </c>
      <c r="KU35" s="17">
        <f>IF(AND(304&gt;=$B$9,304&lt;=$D$9),1,0)</f>
        <v/>
      </c>
      <c r="KV35" s="17">
        <f>IF(AND(305&gt;=$B$9,305&lt;=$D$9),1,0)</f>
        <v/>
      </c>
      <c r="KW35" s="17">
        <f>IF(AND(306&gt;=$B$9,306&lt;=$D$9),1,0)</f>
        <v/>
      </c>
      <c r="KX35" s="17">
        <f>IF(AND(307&gt;=$B$9,307&lt;=$D$9),1,0)</f>
        <v/>
      </c>
      <c r="KY35" s="17">
        <f>IF(AND(308&gt;=$B$9,308&lt;=$D$9),1,0)</f>
        <v/>
      </c>
      <c r="KZ35" s="17">
        <f>IF(AND(309&gt;=$B$9,309&lt;=$D$9),1,0)</f>
        <v/>
      </c>
      <c r="LA35" s="17">
        <f>IF(AND(310&gt;=$B$9,310&lt;=$D$9),1,0)</f>
        <v/>
      </c>
      <c r="LB35" s="17">
        <f>IF(AND(311&gt;=$B$9,311&lt;=$D$9),1,0)</f>
        <v/>
      </c>
      <c r="LC35" s="17">
        <f>IF(AND(312&gt;=$B$9,312&lt;=$D$9),1,0)</f>
        <v/>
      </c>
      <c r="LD35" s="17">
        <f>IF(AND(313&gt;=$B$9,313&lt;=$D$9),1,0)</f>
        <v/>
      </c>
      <c r="LE35" s="17">
        <f>IF(AND(314&gt;=$B$9,314&lt;=$D$9),1,0)</f>
        <v/>
      </c>
      <c r="LF35" s="17">
        <f>IF(AND(315&gt;=$B$9,315&lt;=$D$9),1,0)</f>
        <v/>
      </c>
      <c r="LG35" s="17">
        <f>IF(AND(316&gt;=$B$9,316&lt;=$D$9),1,0)</f>
        <v/>
      </c>
      <c r="LH35" s="17">
        <f>IF(AND(317&gt;=$B$9,317&lt;=$D$9),1,0)</f>
        <v/>
      </c>
      <c r="LI35" s="17">
        <f>IF(AND(318&gt;=$B$9,318&lt;=$D$9),1,0)</f>
        <v/>
      </c>
      <c r="LJ35" s="17">
        <f>IF(AND(319&gt;=$B$9,319&lt;=$D$9),1,0)</f>
        <v/>
      </c>
      <c r="LK35" s="17">
        <f>IF(AND(320&gt;=$B$9,320&lt;=$D$9),1,0)</f>
        <v/>
      </c>
      <c r="LL35" s="17">
        <f>IF(AND(321&gt;=$B$9,321&lt;=$D$9),1,0)</f>
        <v/>
      </c>
      <c r="LM35" s="17">
        <f>IF(AND(322&gt;=$B$9,322&lt;=$D$9),1,0)</f>
        <v/>
      </c>
      <c r="LN35" s="17">
        <f>IF(AND(323&gt;=$B$9,323&lt;=$D$9),1,0)</f>
        <v/>
      </c>
      <c r="LO35" s="17">
        <f>IF(AND(324&gt;=$B$9,324&lt;=$D$9),1,0)</f>
        <v/>
      </c>
      <c r="LP35" s="17">
        <f>IF(AND(325&gt;=$B$9,325&lt;=$D$9),1,0)</f>
        <v/>
      </c>
      <c r="LQ35" s="17">
        <f>IF(AND(326&gt;=$B$9,326&lt;=$D$9),1,0)</f>
        <v/>
      </c>
      <c r="LR35" s="17">
        <f>IF(AND(327&gt;=$B$9,327&lt;=$D$9),1,0)</f>
        <v/>
      </c>
      <c r="LS35" s="17">
        <f>IF(AND(328&gt;=$B$9,328&lt;=$D$9),1,0)</f>
        <v/>
      </c>
      <c r="LT35" s="17">
        <f>IF(AND(329&gt;=$B$9,329&lt;=$D$9),1,0)</f>
        <v/>
      </c>
      <c r="LU35" s="17">
        <f>IF(AND(330&gt;=$B$9,330&lt;=$D$9),1,0)</f>
        <v/>
      </c>
      <c r="LV35" s="17">
        <f>IF(AND(331&gt;=$B$9,331&lt;=$D$9),1,0)</f>
        <v/>
      </c>
      <c r="LW35" s="17">
        <f>IF(AND(332&gt;=$B$9,332&lt;=$D$9),1,0)</f>
        <v/>
      </c>
      <c r="LX35" s="17">
        <f>IF(AND(333&gt;=$B$9,333&lt;=$D$9),1,0)</f>
        <v/>
      </c>
      <c r="LY35" s="17">
        <f>IF(AND(334&gt;=$B$9,334&lt;=$D$9),1,0)</f>
        <v/>
      </c>
      <c r="LZ35" s="17">
        <f>IF(AND(335&gt;=$B$9,335&lt;=$D$9),1,0)</f>
        <v/>
      </c>
      <c r="MA35" s="17">
        <f>IF(AND(336&gt;=$B$9,336&lt;=$D$9),1,0)</f>
        <v/>
      </c>
      <c r="MB35" s="17">
        <f>IF(AND(337&gt;=$B$9,337&lt;=$D$9),1,0)</f>
        <v/>
      </c>
      <c r="MC35" s="17">
        <f>IF(AND(338&gt;=$B$9,338&lt;=$D$9),1,0)</f>
        <v/>
      </c>
      <c r="MD35" s="17">
        <f>IF(AND(339&gt;=$B$9,339&lt;=$D$9),1,0)</f>
        <v/>
      </c>
      <c r="ME35" s="17">
        <f>IF(AND(340&gt;=$B$9,340&lt;=$D$9),1,0)</f>
        <v/>
      </c>
      <c r="MF35" s="17">
        <f>IF(AND(341&gt;=$B$9,341&lt;=$D$9),1,0)</f>
        <v/>
      </c>
      <c r="MG35" s="17">
        <f>IF(AND(342&gt;=$B$9,342&lt;=$D$9),1,0)</f>
        <v/>
      </c>
      <c r="MH35" s="17">
        <f>IF(AND(343&gt;=$B$9,343&lt;=$D$9),1,0)</f>
        <v/>
      </c>
      <c r="MI35" s="17">
        <f>IF(AND(344&gt;=$B$9,344&lt;=$D$9),1,0)</f>
        <v/>
      </c>
      <c r="MJ35" s="17">
        <f>IF(AND(345&gt;=$B$9,345&lt;=$D$9),1,0)</f>
        <v/>
      </c>
      <c r="MK35" s="17">
        <f>IF(AND(346&gt;=$B$9,346&lt;=$D$9),1,0)</f>
        <v/>
      </c>
      <c r="ML35" s="17">
        <f>IF(AND(347&gt;=$B$9,347&lt;=$D$9),1,0)</f>
        <v/>
      </c>
      <c r="MM35" s="17">
        <f>IF(AND(348&gt;=$B$9,348&lt;=$D$9),1,0)</f>
        <v/>
      </c>
      <c r="MN35" s="17">
        <f>IF(AND(349&gt;=$B$9,349&lt;=$D$9),1,0)</f>
        <v/>
      </c>
      <c r="MO35" s="17">
        <f>IF(AND(350&gt;=$B$9,350&lt;=$D$9),1,0)</f>
        <v/>
      </c>
      <c r="MP35" s="17">
        <f>IF(AND(351&gt;=$B$9,351&lt;=$D$9),1,0)</f>
        <v/>
      </c>
      <c r="MQ35" s="17">
        <f>IF(AND(352&gt;=$B$9,352&lt;=$D$9),1,0)</f>
        <v/>
      </c>
      <c r="MR35" s="17">
        <f>IF(AND(353&gt;=$B$9,353&lt;=$D$9),1,0)</f>
        <v/>
      </c>
      <c r="MS35" s="17">
        <f>IF(AND(354&gt;=$B$9,354&lt;=$D$9),1,0)</f>
        <v/>
      </c>
      <c r="MT35" s="17">
        <f>IF(AND(355&gt;=$B$9,355&lt;=$D$9),1,0)</f>
        <v/>
      </c>
      <c r="MU35" s="17">
        <f>IF(AND(356&gt;=$B$9,356&lt;=$D$9),1,0)</f>
        <v/>
      </c>
      <c r="MV35" s="17">
        <f>IF(AND(357&gt;=$B$9,357&lt;=$D$9),1,0)</f>
        <v/>
      </c>
      <c r="MW35" s="17">
        <f>IF(AND(358&gt;=$B$9,358&lt;=$D$9),1,0)</f>
        <v/>
      </c>
      <c r="MX35" s="17">
        <f>IF(AND(359&gt;=$B$9,359&lt;=$D$9),1,0)</f>
        <v/>
      </c>
      <c r="MY35" s="17">
        <f>IF(AND(360&gt;=$B$9,360&lt;=$D$9),1,0)</f>
        <v/>
      </c>
      <c r="MZ35" s="17">
        <f>IF(AND(361&gt;=$B$9,361&lt;=$D$9),1,0)</f>
        <v/>
      </c>
      <c r="NA35" s="17">
        <f>IF(AND(362&gt;=$B$9,362&lt;=$D$9),1,0)</f>
        <v/>
      </c>
      <c r="NB35" s="17">
        <f>IF(AND(363&gt;=$B$9,363&lt;=$D$9),1,0)</f>
        <v/>
      </c>
      <c r="NC35" s="17">
        <f>IF(AND(364&gt;=$B$9,364&lt;=$D$9),1,0)</f>
        <v/>
      </c>
      <c r="ND35" s="17">
        <f>IF(AND(365&gt;=$B$9,365&lt;=$D$9),1,0)</f>
        <v/>
      </c>
      <c r="NE35" s="17">
        <f>IF(AND(366&gt;=$B$9,366&lt;=$D$9),1,0)</f>
        <v/>
      </c>
      <c r="NF35" s="17">
        <f>IF(AND(367&gt;=$B$9,367&lt;=$D$9),1,0)</f>
        <v/>
      </c>
      <c r="NG35" s="17">
        <f>IF(AND(368&gt;=$B$9,368&lt;=$D$9),1,0)</f>
        <v/>
      </c>
      <c r="NH35" s="17">
        <f>IF(AND(369&gt;=$B$9,369&lt;=$D$9),1,0)</f>
        <v/>
      </c>
      <c r="NI35" s="17">
        <f>IF(AND(370&gt;=$B$9,370&lt;=$D$9),1,0)</f>
        <v/>
      </c>
      <c r="NJ35" s="17">
        <f>IF(AND(371&gt;=$B$9,371&lt;=$D$9),1,0)</f>
        <v/>
      </c>
      <c r="NK35" s="17">
        <f>IF(AND(372&gt;=$B$9,372&lt;=$D$9),1,0)</f>
        <v/>
      </c>
    </row>
    <row r="36">
      <c r="A36" s="5" t="inlineStr">
        <is>
          <t>Flag: 1st Unit Delivery</t>
        </is>
      </c>
      <c r="C36" s="40" t="n"/>
      <c r="D36" s="17">
        <f>IF(AND(1&gt;=$B$10,1&lt;=$D$10),1,0)</f>
        <v/>
      </c>
      <c r="E36" s="17">
        <f>IF(AND(2&gt;=$B$10,2&lt;=$D$10),1,0)</f>
        <v/>
      </c>
      <c r="F36" s="17">
        <f>IF(AND(3&gt;=$B$10,3&lt;=$D$10),1,0)</f>
        <v/>
      </c>
      <c r="G36" s="17">
        <f>IF(AND(4&gt;=$B$10,4&lt;=$D$10),1,0)</f>
        <v/>
      </c>
      <c r="H36" s="17">
        <f>IF(AND(5&gt;=$B$10,5&lt;=$D$10),1,0)</f>
        <v/>
      </c>
      <c r="I36" s="17">
        <f>IF(AND(6&gt;=$B$10,6&lt;=$D$10),1,0)</f>
        <v/>
      </c>
      <c r="J36" s="17">
        <f>IF(AND(7&gt;=$B$10,7&lt;=$D$10),1,0)</f>
        <v/>
      </c>
      <c r="K36" s="17">
        <f>IF(AND(8&gt;=$B$10,8&lt;=$D$10),1,0)</f>
        <v/>
      </c>
      <c r="L36" s="17">
        <f>IF(AND(9&gt;=$B$10,9&lt;=$D$10),1,0)</f>
        <v/>
      </c>
      <c r="M36" s="17">
        <f>IF(AND(10&gt;=$B$10,10&lt;=$D$10),1,0)</f>
        <v/>
      </c>
      <c r="N36" s="17">
        <f>IF(AND(11&gt;=$B$10,11&lt;=$D$10),1,0)</f>
        <v/>
      </c>
      <c r="O36" s="17">
        <f>IF(AND(12&gt;=$B$10,12&lt;=$D$10),1,0)</f>
        <v/>
      </c>
      <c r="P36" s="17">
        <f>IF(AND(13&gt;=$B$10,13&lt;=$D$10),1,0)</f>
        <v/>
      </c>
      <c r="Q36" s="17">
        <f>IF(AND(14&gt;=$B$10,14&lt;=$D$10),1,0)</f>
        <v/>
      </c>
      <c r="R36" s="17">
        <f>IF(AND(15&gt;=$B$10,15&lt;=$D$10),1,0)</f>
        <v/>
      </c>
      <c r="S36" s="17">
        <f>IF(AND(16&gt;=$B$10,16&lt;=$D$10),1,0)</f>
        <v/>
      </c>
      <c r="T36" s="17">
        <f>IF(AND(17&gt;=$B$10,17&lt;=$D$10),1,0)</f>
        <v/>
      </c>
      <c r="U36" s="17">
        <f>IF(AND(18&gt;=$B$10,18&lt;=$D$10),1,0)</f>
        <v/>
      </c>
      <c r="V36" s="17">
        <f>IF(AND(19&gt;=$B$10,19&lt;=$D$10),1,0)</f>
        <v/>
      </c>
      <c r="W36" s="17">
        <f>IF(AND(20&gt;=$B$10,20&lt;=$D$10),1,0)</f>
        <v/>
      </c>
      <c r="X36" s="17">
        <f>IF(AND(21&gt;=$B$10,21&lt;=$D$10),1,0)</f>
        <v/>
      </c>
      <c r="Y36" s="17">
        <f>IF(AND(22&gt;=$B$10,22&lt;=$D$10),1,0)</f>
        <v/>
      </c>
      <c r="Z36" s="17">
        <f>IF(AND(23&gt;=$B$10,23&lt;=$D$10),1,0)</f>
        <v/>
      </c>
      <c r="AA36" s="17">
        <f>IF(AND(24&gt;=$B$10,24&lt;=$D$10),1,0)</f>
        <v/>
      </c>
      <c r="AB36" s="17">
        <f>IF(AND(25&gt;=$B$10,25&lt;=$D$10),1,0)</f>
        <v/>
      </c>
      <c r="AC36" s="17">
        <f>IF(AND(26&gt;=$B$10,26&lt;=$D$10),1,0)</f>
        <v/>
      </c>
      <c r="AD36" s="17">
        <f>IF(AND(27&gt;=$B$10,27&lt;=$D$10),1,0)</f>
        <v/>
      </c>
      <c r="AE36" s="17">
        <f>IF(AND(28&gt;=$B$10,28&lt;=$D$10),1,0)</f>
        <v/>
      </c>
      <c r="AF36" s="17">
        <f>IF(AND(29&gt;=$B$10,29&lt;=$D$10),1,0)</f>
        <v/>
      </c>
      <c r="AG36" s="17">
        <f>IF(AND(30&gt;=$B$10,30&lt;=$D$10),1,0)</f>
        <v/>
      </c>
      <c r="AH36" s="17">
        <f>IF(AND(31&gt;=$B$10,31&lt;=$D$10),1,0)</f>
        <v/>
      </c>
      <c r="AI36" s="17">
        <f>IF(AND(32&gt;=$B$10,32&lt;=$D$10),1,0)</f>
        <v/>
      </c>
      <c r="AJ36" s="17">
        <f>IF(AND(33&gt;=$B$10,33&lt;=$D$10),1,0)</f>
        <v/>
      </c>
      <c r="AK36" s="17">
        <f>IF(AND(34&gt;=$B$10,34&lt;=$D$10),1,0)</f>
        <v/>
      </c>
      <c r="AL36" s="17">
        <f>IF(AND(35&gt;=$B$10,35&lt;=$D$10),1,0)</f>
        <v/>
      </c>
      <c r="AM36" s="17">
        <f>IF(AND(36&gt;=$B$10,36&lt;=$D$10),1,0)</f>
        <v/>
      </c>
      <c r="AN36" s="17">
        <f>IF(AND(37&gt;=$B$10,37&lt;=$D$10),1,0)</f>
        <v/>
      </c>
      <c r="AO36" s="17">
        <f>IF(AND(38&gt;=$B$10,38&lt;=$D$10),1,0)</f>
        <v/>
      </c>
      <c r="AP36" s="17">
        <f>IF(AND(39&gt;=$B$10,39&lt;=$D$10),1,0)</f>
        <v/>
      </c>
      <c r="AQ36" s="17">
        <f>IF(AND(40&gt;=$B$10,40&lt;=$D$10),1,0)</f>
        <v/>
      </c>
      <c r="AR36" s="17">
        <f>IF(AND(41&gt;=$B$10,41&lt;=$D$10),1,0)</f>
        <v/>
      </c>
      <c r="AS36" s="17">
        <f>IF(AND(42&gt;=$B$10,42&lt;=$D$10),1,0)</f>
        <v/>
      </c>
      <c r="AT36" s="17">
        <f>IF(AND(43&gt;=$B$10,43&lt;=$D$10),1,0)</f>
        <v/>
      </c>
      <c r="AU36" s="17">
        <f>IF(AND(44&gt;=$B$10,44&lt;=$D$10),1,0)</f>
        <v/>
      </c>
      <c r="AV36" s="17">
        <f>IF(AND(45&gt;=$B$10,45&lt;=$D$10),1,0)</f>
        <v/>
      </c>
      <c r="AW36" s="17">
        <f>IF(AND(46&gt;=$B$10,46&lt;=$D$10),1,0)</f>
        <v/>
      </c>
      <c r="AX36" s="17">
        <f>IF(AND(47&gt;=$B$10,47&lt;=$D$10),1,0)</f>
        <v/>
      </c>
      <c r="AY36" s="17">
        <f>IF(AND(48&gt;=$B$10,48&lt;=$D$10),1,0)</f>
        <v/>
      </c>
      <c r="AZ36" s="17">
        <f>IF(AND(49&gt;=$B$10,49&lt;=$D$10),1,0)</f>
        <v/>
      </c>
      <c r="BA36" s="17">
        <f>IF(AND(50&gt;=$B$10,50&lt;=$D$10),1,0)</f>
        <v/>
      </c>
      <c r="BB36" s="17">
        <f>IF(AND(51&gt;=$B$10,51&lt;=$D$10),1,0)</f>
        <v/>
      </c>
      <c r="BC36" s="17">
        <f>IF(AND(52&gt;=$B$10,52&lt;=$D$10),1,0)</f>
        <v/>
      </c>
      <c r="BD36" s="17">
        <f>IF(AND(53&gt;=$B$10,53&lt;=$D$10),1,0)</f>
        <v/>
      </c>
      <c r="BE36" s="17">
        <f>IF(AND(54&gt;=$B$10,54&lt;=$D$10),1,0)</f>
        <v/>
      </c>
      <c r="BF36" s="17">
        <f>IF(AND(55&gt;=$B$10,55&lt;=$D$10),1,0)</f>
        <v/>
      </c>
      <c r="BG36" s="17">
        <f>IF(AND(56&gt;=$B$10,56&lt;=$D$10),1,0)</f>
        <v/>
      </c>
      <c r="BH36" s="17">
        <f>IF(AND(57&gt;=$B$10,57&lt;=$D$10),1,0)</f>
        <v/>
      </c>
      <c r="BI36" s="17">
        <f>IF(AND(58&gt;=$B$10,58&lt;=$D$10),1,0)</f>
        <v/>
      </c>
      <c r="BJ36" s="17">
        <f>IF(AND(59&gt;=$B$10,59&lt;=$D$10),1,0)</f>
        <v/>
      </c>
      <c r="BK36" s="17">
        <f>IF(AND(60&gt;=$B$10,60&lt;=$D$10),1,0)</f>
        <v/>
      </c>
      <c r="BL36" s="17">
        <f>IF(AND(61&gt;=$B$10,61&lt;=$D$10),1,0)</f>
        <v/>
      </c>
      <c r="BM36" s="17">
        <f>IF(AND(62&gt;=$B$10,62&lt;=$D$10),1,0)</f>
        <v/>
      </c>
      <c r="BN36" s="17">
        <f>IF(AND(63&gt;=$B$10,63&lt;=$D$10),1,0)</f>
        <v/>
      </c>
      <c r="BO36" s="17">
        <f>IF(AND(64&gt;=$B$10,64&lt;=$D$10),1,0)</f>
        <v/>
      </c>
      <c r="BP36" s="17">
        <f>IF(AND(65&gt;=$B$10,65&lt;=$D$10),1,0)</f>
        <v/>
      </c>
      <c r="BQ36" s="17">
        <f>IF(AND(66&gt;=$B$10,66&lt;=$D$10),1,0)</f>
        <v/>
      </c>
      <c r="BR36" s="17">
        <f>IF(AND(67&gt;=$B$10,67&lt;=$D$10),1,0)</f>
        <v/>
      </c>
      <c r="BS36" s="17">
        <f>IF(AND(68&gt;=$B$10,68&lt;=$D$10),1,0)</f>
        <v/>
      </c>
      <c r="BT36" s="17">
        <f>IF(AND(69&gt;=$B$10,69&lt;=$D$10),1,0)</f>
        <v/>
      </c>
      <c r="BU36" s="17">
        <f>IF(AND(70&gt;=$B$10,70&lt;=$D$10),1,0)</f>
        <v/>
      </c>
      <c r="BV36" s="17">
        <f>IF(AND(71&gt;=$B$10,71&lt;=$D$10),1,0)</f>
        <v/>
      </c>
      <c r="BW36" s="17">
        <f>IF(AND(72&gt;=$B$10,72&lt;=$D$10),1,0)</f>
        <v/>
      </c>
      <c r="BX36" s="17">
        <f>IF(AND(73&gt;=$B$10,73&lt;=$D$10),1,0)</f>
        <v/>
      </c>
      <c r="BY36" s="17">
        <f>IF(AND(74&gt;=$B$10,74&lt;=$D$10),1,0)</f>
        <v/>
      </c>
      <c r="BZ36" s="17">
        <f>IF(AND(75&gt;=$B$10,75&lt;=$D$10),1,0)</f>
        <v/>
      </c>
      <c r="CA36" s="17">
        <f>IF(AND(76&gt;=$B$10,76&lt;=$D$10),1,0)</f>
        <v/>
      </c>
      <c r="CB36" s="17">
        <f>IF(AND(77&gt;=$B$10,77&lt;=$D$10),1,0)</f>
        <v/>
      </c>
      <c r="CC36" s="17">
        <f>IF(AND(78&gt;=$B$10,78&lt;=$D$10),1,0)</f>
        <v/>
      </c>
      <c r="CD36" s="17">
        <f>IF(AND(79&gt;=$B$10,79&lt;=$D$10),1,0)</f>
        <v/>
      </c>
      <c r="CE36" s="17">
        <f>IF(AND(80&gt;=$B$10,80&lt;=$D$10),1,0)</f>
        <v/>
      </c>
      <c r="CF36" s="17">
        <f>IF(AND(81&gt;=$B$10,81&lt;=$D$10),1,0)</f>
        <v/>
      </c>
      <c r="CG36" s="17">
        <f>IF(AND(82&gt;=$B$10,82&lt;=$D$10),1,0)</f>
        <v/>
      </c>
      <c r="CH36" s="17">
        <f>IF(AND(83&gt;=$B$10,83&lt;=$D$10),1,0)</f>
        <v/>
      </c>
      <c r="CI36" s="17">
        <f>IF(AND(84&gt;=$B$10,84&lt;=$D$10),1,0)</f>
        <v/>
      </c>
      <c r="CJ36" s="17">
        <f>IF(AND(85&gt;=$B$10,85&lt;=$D$10),1,0)</f>
        <v/>
      </c>
      <c r="CK36" s="17">
        <f>IF(AND(86&gt;=$B$10,86&lt;=$D$10),1,0)</f>
        <v/>
      </c>
      <c r="CL36" s="17">
        <f>IF(AND(87&gt;=$B$10,87&lt;=$D$10),1,0)</f>
        <v/>
      </c>
      <c r="CM36" s="17">
        <f>IF(AND(88&gt;=$B$10,88&lt;=$D$10),1,0)</f>
        <v/>
      </c>
      <c r="CN36" s="17">
        <f>IF(AND(89&gt;=$B$10,89&lt;=$D$10),1,0)</f>
        <v/>
      </c>
      <c r="CO36" s="17">
        <f>IF(AND(90&gt;=$B$10,90&lt;=$D$10),1,0)</f>
        <v/>
      </c>
      <c r="CP36" s="17">
        <f>IF(AND(91&gt;=$B$10,91&lt;=$D$10),1,0)</f>
        <v/>
      </c>
      <c r="CQ36" s="17">
        <f>IF(AND(92&gt;=$B$10,92&lt;=$D$10),1,0)</f>
        <v/>
      </c>
      <c r="CR36" s="17">
        <f>IF(AND(93&gt;=$B$10,93&lt;=$D$10),1,0)</f>
        <v/>
      </c>
      <c r="CS36" s="17">
        <f>IF(AND(94&gt;=$B$10,94&lt;=$D$10),1,0)</f>
        <v/>
      </c>
      <c r="CT36" s="17">
        <f>IF(AND(95&gt;=$B$10,95&lt;=$D$10),1,0)</f>
        <v/>
      </c>
      <c r="CU36" s="17">
        <f>IF(AND(96&gt;=$B$10,96&lt;=$D$10),1,0)</f>
        <v/>
      </c>
      <c r="CV36" s="17">
        <f>IF(AND(97&gt;=$B$10,97&lt;=$D$10),1,0)</f>
        <v/>
      </c>
      <c r="CW36" s="17">
        <f>IF(AND(98&gt;=$B$10,98&lt;=$D$10),1,0)</f>
        <v/>
      </c>
      <c r="CX36" s="17">
        <f>IF(AND(99&gt;=$B$10,99&lt;=$D$10),1,0)</f>
        <v/>
      </c>
      <c r="CY36" s="17">
        <f>IF(AND(100&gt;=$B$10,100&lt;=$D$10),1,0)</f>
        <v/>
      </c>
      <c r="CZ36" s="17">
        <f>IF(AND(101&gt;=$B$10,101&lt;=$D$10),1,0)</f>
        <v/>
      </c>
      <c r="DA36" s="17">
        <f>IF(AND(102&gt;=$B$10,102&lt;=$D$10),1,0)</f>
        <v/>
      </c>
      <c r="DB36" s="17">
        <f>IF(AND(103&gt;=$B$10,103&lt;=$D$10),1,0)</f>
        <v/>
      </c>
      <c r="DC36" s="17">
        <f>IF(AND(104&gt;=$B$10,104&lt;=$D$10),1,0)</f>
        <v/>
      </c>
      <c r="DD36" s="17">
        <f>IF(AND(105&gt;=$B$10,105&lt;=$D$10),1,0)</f>
        <v/>
      </c>
      <c r="DE36" s="17">
        <f>IF(AND(106&gt;=$B$10,106&lt;=$D$10),1,0)</f>
        <v/>
      </c>
      <c r="DF36" s="17">
        <f>IF(AND(107&gt;=$B$10,107&lt;=$D$10),1,0)</f>
        <v/>
      </c>
      <c r="DG36" s="17">
        <f>IF(AND(108&gt;=$B$10,108&lt;=$D$10),1,0)</f>
        <v/>
      </c>
      <c r="DH36" s="17">
        <f>IF(AND(109&gt;=$B$10,109&lt;=$D$10),1,0)</f>
        <v/>
      </c>
      <c r="DI36" s="17">
        <f>IF(AND(110&gt;=$B$10,110&lt;=$D$10),1,0)</f>
        <v/>
      </c>
      <c r="DJ36" s="17">
        <f>IF(AND(111&gt;=$B$10,111&lt;=$D$10),1,0)</f>
        <v/>
      </c>
      <c r="DK36" s="17">
        <f>IF(AND(112&gt;=$B$10,112&lt;=$D$10),1,0)</f>
        <v/>
      </c>
      <c r="DL36" s="17">
        <f>IF(AND(113&gt;=$B$10,113&lt;=$D$10),1,0)</f>
        <v/>
      </c>
      <c r="DM36" s="17">
        <f>IF(AND(114&gt;=$B$10,114&lt;=$D$10),1,0)</f>
        <v/>
      </c>
      <c r="DN36" s="17">
        <f>IF(AND(115&gt;=$B$10,115&lt;=$D$10),1,0)</f>
        <v/>
      </c>
      <c r="DO36" s="17">
        <f>IF(AND(116&gt;=$B$10,116&lt;=$D$10),1,0)</f>
        <v/>
      </c>
      <c r="DP36" s="17">
        <f>IF(AND(117&gt;=$B$10,117&lt;=$D$10),1,0)</f>
        <v/>
      </c>
      <c r="DQ36" s="17">
        <f>IF(AND(118&gt;=$B$10,118&lt;=$D$10),1,0)</f>
        <v/>
      </c>
      <c r="DR36" s="17">
        <f>IF(AND(119&gt;=$B$10,119&lt;=$D$10),1,0)</f>
        <v/>
      </c>
      <c r="DS36" s="17">
        <f>IF(AND(120&gt;=$B$10,120&lt;=$D$10),1,0)</f>
        <v/>
      </c>
      <c r="DT36" s="17">
        <f>IF(AND(121&gt;=$B$10,121&lt;=$D$10),1,0)</f>
        <v/>
      </c>
      <c r="DU36" s="17">
        <f>IF(AND(122&gt;=$B$10,122&lt;=$D$10),1,0)</f>
        <v/>
      </c>
      <c r="DV36" s="17">
        <f>IF(AND(123&gt;=$B$10,123&lt;=$D$10),1,0)</f>
        <v/>
      </c>
      <c r="DW36" s="17">
        <f>IF(AND(124&gt;=$B$10,124&lt;=$D$10),1,0)</f>
        <v/>
      </c>
      <c r="DX36" s="17">
        <f>IF(AND(125&gt;=$B$10,125&lt;=$D$10),1,0)</f>
        <v/>
      </c>
      <c r="DY36" s="17">
        <f>IF(AND(126&gt;=$B$10,126&lt;=$D$10),1,0)</f>
        <v/>
      </c>
      <c r="DZ36" s="17">
        <f>IF(AND(127&gt;=$B$10,127&lt;=$D$10),1,0)</f>
        <v/>
      </c>
      <c r="EA36" s="17">
        <f>IF(AND(128&gt;=$B$10,128&lt;=$D$10),1,0)</f>
        <v/>
      </c>
      <c r="EB36" s="17">
        <f>IF(AND(129&gt;=$B$10,129&lt;=$D$10),1,0)</f>
        <v/>
      </c>
      <c r="EC36" s="17">
        <f>IF(AND(130&gt;=$B$10,130&lt;=$D$10),1,0)</f>
        <v/>
      </c>
      <c r="ED36" s="17">
        <f>IF(AND(131&gt;=$B$10,131&lt;=$D$10),1,0)</f>
        <v/>
      </c>
      <c r="EE36" s="17">
        <f>IF(AND(132&gt;=$B$10,132&lt;=$D$10),1,0)</f>
        <v/>
      </c>
      <c r="EF36" s="17">
        <f>IF(AND(133&gt;=$B$10,133&lt;=$D$10),1,0)</f>
        <v/>
      </c>
      <c r="EG36" s="17">
        <f>IF(AND(134&gt;=$B$10,134&lt;=$D$10),1,0)</f>
        <v/>
      </c>
      <c r="EH36" s="17">
        <f>IF(AND(135&gt;=$B$10,135&lt;=$D$10),1,0)</f>
        <v/>
      </c>
      <c r="EI36" s="17">
        <f>IF(AND(136&gt;=$B$10,136&lt;=$D$10),1,0)</f>
        <v/>
      </c>
      <c r="EJ36" s="17">
        <f>IF(AND(137&gt;=$B$10,137&lt;=$D$10),1,0)</f>
        <v/>
      </c>
      <c r="EK36" s="17">
        <f>IF(AND(138&gt;=$B$10,138&lt;=$D$10),1,0)</f>
        <v/>
      </c>
      <c r="EL36" s="17">
        <f>IF(AND(139&gt;=$B$10,139&lt;=$D$10),1,0)</f>
        <v/>
      </c>
      <c r="EM36" s="17">
        <f>IF(AND(140&gt;=$B$10,140&lt;=$D$10),1,0)</f>
        <v/>
      </c>
      <c r="EN36" s="17">
        <f>IF(AND(141&gt;=$B$10,141&lt;=$D$10),1,0)</f>
        <v/>
      </c>
      <c r="EO36" s="17">
        <f>IF(AND(142&gt;=$B$10,142&lt;=$D$10),1,0)</f>
        <v/>
      </c>
      <c r="EP36" s="17">
        <f>IF(AND(143&gt;=$B$10,143&lt;=$D$10),1,0)</f>
        <v/>
      </c>
      <c r="EQ36" s="17">
        <f>IF(AND(144&gt;=$B$10,144&lt;=$D$10),1,0)</f>
        <v/>
      </c>
      <c r="ER36" s="17">
        <f>IF(AND(145&gt;=$B$10,145&lt;=$D$10),1,0)</f>
        <v/>
      </c>
      <c r="ES36" s="17">
        <f>IF(AND(146&gt;=$B$10,146&lt;=$D$10),1,0)</f>
        <v/>
      </c>
      <c r="ET36" s="17">
        <f>IF(AND(147&gt;=$B$10,147&lt;=$D$10),1,0)</f>
        <v/>
      </c>
      <c r="EU36" s="17">
        <f>IF(AND(148&gt;=$B$10,148&lt;=$D$10),1,0)</f>
        <v/>
      </c>
      <c r="EV36" s="17">
        <f>IF(AND(149&gt;=$B$10,149&lt;=$D$10),1,0)</f>
        <v/>
      </c>
      <c r="EW36" s="17">
        <f>IF(AND(150&gt;=$B$10,150&lt;=$D$10),1,0)</f>
        <v/>
      </c>
      <c r="EX36" s="17">
        <f>IF(AND(151&gt;=$B$10,151&lt;=$D$10),1,0)</f>
        <v/>
      </c>
      <c r="EY36" s="17">
        <f>IF(AND(152&gt;=$B$10,152&lt;=$D$10),1,0)</f>
        <v/>
      </c>
      <c r="EZ36" s="17">
        <f>IF(AND(153&gt;=$B$10,153&lt;=$D$10),1,0)</f>
        <v/>
      </c>
      <c r="FA36" s="17">
        <f>IF(AND(154&gt;=$B$10,154&lt;=$D$10),1,0)</f>
        <v/>
      </c>
      <c r="FB36" s="17">
        <f>IF(AND(155&gt;=$B$10,155&lt;=$D$10),1,0)</f>
        <v/>
      </c>
      <c r="FC36" s="17">
        <f>IF(AND(156&gt;=$B$10,156&lt;=$D$10),1,0)</f>
        <v/>
      </c>
      <c r="FD36" s="17">
        <f>IF(AND(157&gt;=$B$10,157&lt;=$D$10),1,0)</f>
        <v/>
      </c>
      <c r="FE36" s="17">
        <f>IF(AND(158&gt;=$B$10,158&lt;=$D$10),1,0)</f>
        <v/>
      </c>
      <c r="FF36" s="17">
        <f>IF(AND(159&gt;=$B$10,159&lt;=$D$10),1,0)</f>
        <v/>
      </c>
      <c r="FG36" s="17">
        <f>IF(AND(160&gt;=$B$10,160&lt;=$D$10),1,0)</f>
        <v/>
      </c>
      <c r="FH36" s="17">
        <f>IF(AND(161&gt;=$B$10,161&lt;=$D$10),1,0)</f>
        <v/>
      </c>
      <c r="FI36" s="17">
        <f>IF(AND(162&gt;=$B$10,162&lt;=$D$10),1,0)</f>
        <v/>
      </c>
      <c r="FJ36" s="17">
        <f>IF(AND(163&gt;=$B$10,163&lt;=$D$10),1,0)</f>
        <v/>
      </c>
      <c r="FK36" s="17">
        <f>IF(AND(164&gt;=$B$10,164&lt;=$D$10),1,0)</f>
        <v/>
      </c>
      <c r="FL36" s="17">
        <f>IF(AND(165&gt;=$B$10,165&lt;=$D$10),1,0)</f>
        <v/>
      </c>
      <c r="FM36" s="17">
        <f>IF(AND(166&gt;=$B$10,166&lt;=$D$10),1,0)</f>
        <v/>
      </c>
      <c r="FN36" s="17">
        <f>IF(AND(167&gt;=$B$10,167&lt;=$D$10),1,0)</f>
        <v/>
      </c>
      <c r="FO36" s="17">
        <f>IF(AND(168&gt;=$B$10,168&lt;=$D$10),1,0)</f>
        <v/>
      </c>
      <c r="FP36" s="17">
        <f>IF(AND(169&gt;=$B$10,169&lt;=$D$10),1,0)</f>
        <v/>
      </c>
      <c r="FQ36" s="17">
        <f>IF(AND(170&gt;=$B$10,170&lt;=$D$10),1,0)</f>
        <v/>
      </c>
      <c r="FR36" s="17">
        <f>IF(AND(171&gt;=$B$10,171&lt;=$D$10),1,0)</f>
        <v/>
      </c>
      <c r="FS36" s="17">
        <f>IF(AND(172&gt;=$B$10,172&lt;=$D$10),1,0)</f>
        <v/>
      </c>
      <c r="FT36" s="17">
        <f>IF(AND(173&gt;=$B$10,173&lt;=$D$10),1,0)</f>
        <v/>
      </c>
      <c r="FU36" s="17">
        <f>IF(AND(174&gt;=$B$10,174&lt;=$D$10),1,0)</f>
        <v/>
      </c>
      <c r="FV36" s="17">
        <f>IF(AND(175&gt;=$B$10,175&lt;=$D$10),1,0)</f>
        <v/>
      </c>
      <c r="FW36" s="17">
        <f>IF(AND(176&gt;=$B$10,176&lt;=$D$10),1,0)</f>
        <v/>
      </c>
      <c r="FX36" s="17">
        <f>IF(AND(177&gt;=$B$10,177&lt;=$D$10),1,0)</f>
        <v/>
      </c>
      <c r="FY36" s="17">
        <f>IF(AND(178&gt;=$B$10,178&lt;=$D$10),1,0)</f>
        <v/>
      </c>
      <c r="FZ36" s="17">
        <f>IF(AND(179&gt;=$B$10,179&lt;=$D$10),1,0)</f>
        <v/>
      </c>
      <c r="GA36" s="17">
        <f>IF(AND(180&gt;=$B$10,180&lt;=$D$10),1,0)</f>
        <v/>
      </c>
      <c r="GB36" s="17">
        <f>IF(AND(181&gt;=$B$10,181&lt;=$D$10),1,0)</f>
        <v/>
      </c>
      <c r="GC36" s="17">
        <f>IF(AND(182&gt;=$B$10,182&lt;=$D$10),1,0)</f>
        <v/>
      </c>
      <c r="GD36" s="17">
        <f>IF(AND(183&gt;=$B$10,183&lt;=$D$10),1,0)</f>
        <v/>
      </c>
      <c r="GE36" s="17">
        <f>IF(AND(184&gt;=$B$10,184&lt;=$D$10),1,0)</f>
        <v/>
      </c>
      <c r="GF36" s="17">
        <f>IF(AND(185&gt;=$B$10,185&lt;=$D$10),1,0)</f>
        <v/>
      </c>
      <c r="GG36" s="17">
        <f>IF(AND(186&gt;=$B$10,186&lt;=$D$10),1,0)</f>
        <v/>
      </c>
      <c r="GH36" s="17">
        <f>IF(AND(187&gt;=$B$10,187&lt;=$D$10),1,0)</f>
        <v/>
      </c>
      <c r="GI36" s="17">
        <f>IF(AND(188&gt;=$B$10,188&lt;=$D$10),1,0)</f>
        <v/>
      </c>
      <c r="GJ36" s="17">
        <f>IF(AND(189&gt;=$B$10,189&lt;=$D$10),1,0)</f>
        <v/>
      </c>
      <c r="GK36" s="17">
        <f>IF(AND(190&gt;=$B$10,190&lt;=$D$10),1,0)</f>
        <v/>
      </c>
      <c r="GL36" s="17">
        <f>IF(AND(191&gt;=$B$10,191&lt;=$D$10),1,0)</f>
        <v/>
      </c>
      <c r="GM36" s="17">
        <f>IF(AND(192&gt;=$B$10,192&lt;=$D$10),1,0)</f>
        <v/>
      </c>
      <c r="GN36" s="17">
        <f>IF(AND(193&gt;=$B$10,193&lt;=$D$10),1,0)</f>
        <v/>
      </c>
      <c r="GO36" s="17">
        <f>IF(AND(194&gt;=$B$10,194&lt;=$D$10),1,0)</f>
        <v/>
      </c>
      <c r="GP36" s="17">
        <f>IF(AND(195&gt;=$B$10,195&lt;=$D$10),1,0)</f>
        <v/>
      </c>
      <c r="GQ36" s="17">
        <f>IF(AND(196&gt;=$B$10,196&lt;=$D$10),1,0)</f>
        <v/>
      </c>
      <c r="GR36" s="17">
        <f>IF(AND(197&gt;=$B$10,197&lt;=$D$10),1,0)</f>
        <v/>
      </c>
      <c r="GS36" s="17">
        <f>IF(AND(198&gt;=$B$10,198&lt;=$D$10),1,0)</f>
        <v/>
      </c>
      <c r="GT36" s="17">
        <f>IF(AND(199&gt;=$B$10,199&lt;=$D$10),1,0)</f>
        <v/>
      </c>
      <c r="GU36" s="17">
        <f>IF(AND(200&gt;=$B$10,200&lt;=$D$10),1,0)</f>
        <v/>
      </c>
      <c r="GV36" s="17">
        <f>IF(AND(201&gt;=$B$10,201&lt;=$D$10),1,0)</f>
        <v/>
      </c>
      <c r="GW36" s="17">
        <f>IF(AND(202&gt;=$B$10,202&lt;=$D$10),1,0)</f>
        <v/>
      </c>
      <c r="GX36" s="17">
        <f>IF(AND(203&gt;=$B$10,203&lt;=$D$10),1,0)</f>
        <v/>
      </c>
      <c r="GY36" s="17">
        <f>IF(AND(204&gt;=$B$10,204&lt;=$D$10),1,0)</f>
        <v/>
      </c>
      <c r="GZ36" s="17">
        <f>IF(AND(205&gt;=$B$10,205&lt;=$D$10),1,0)</f>
        <v/>
      </c>
      <c r="HA36" s="17">
        <f>IF(AND(206&gt;=$B$10,206&lt;=$D$10),1,0)</f>
        <v/>
      </c>
      <c r="HB36" s="17">
        <f>IF(AND(207&gt;=$B$10,207&lt;=$D$10),1,0)</f>
        <v/>
      </c>
      <c r="HC36" s="17">
        <f>IF(AND(208&gt;=$B$10,208&lt;=$D$10),1,0)</f>
        <v/>
      </c>
      <c r="HD36" s="17">
        <f>IF(AND(209&gt;=$B$10,209&lt;=$D$10),1,0)</f>
        <v/>
      </c>
      <c r="HE36" s="17">
        <f>IF(AND(210&gt;=$B$10,210&lt;=$D$10),1,0)</f>
        <v/>
      </c>
      <c r="HF36" s="17">
        <f>IF(AND(211&gt;=$B$10,211&lt;=$D$10),1,0)</f>
        <v/>
      </c>
      <c r="HG36" s="17">
        <f>IF(AND(212&gt;=$B$10,212&lt;=$D$10),1,0)</f>
        <v/>
      </c>
      <c r="HH36" s="17">
        <f>IF(AND(213&gt;=$B$10,213&lt;=$D$10),1,0)</f>
        <v/>
      </c>
      <c r="HI36" s="17">
        <f>IF(AND(214&gt;=$B$10,214&lt;=$D$10),1,0)</f>
        <v/>
      </c>
      <c r="HJ36" s="17">
        <f>IF(AND(215&gt;=$B$10,215&lt;=$D$10),1,0)</f>
        <v/>
      </c>
      <c r="HK36" s="17">
        <f>IF(AND(216&gt;=$B$10,216&lt;=$D$10),1,0)</f>
        <v/>
      </c>
      <c r="HL36" s="17">
        <f>IF(AND(217&gt;=$B$10,217&lt;=$D$10),1,0)</f>
        <v/>
      </c>
      <c r="HM36" s="17">
        <f>IF(AND(218&gt;=$B$10,218&lt;=$D$10),1,0)</f>
        <v/>
      </c>
      <c r="HN36" s="17">
        <f>IF(AND(219&gt;=$B$10,219&lt;=$D$10),1,0)</f>
        <v/>
      </c>
      <c r="HO36" s="17">
        <f>IF(AND(220&gt;=$B$10,220&lt;=$D$10),1,0)</f>
        <v/>
      </c>
      <c r="HP36" s="17">
        <f>IF(AND(221&gt;=$B$10,221&lt;=$D$10),1,0)</f>
        <v/>
      </c>
      <c r="HQ36" s="17">
        <f>IF(AND(222&gt;=$B$10,222&lt;=$D$10),1,0)</f>
        <v/>
      </c>
      <c r="HR36" s="17">
        <f>IF(AND(223&gt;=$B$10,223&lt;=$D$10),1,0)</f>
        <v/>
      </c>
      <c r="HS36" s="17">
        <f>IF(AND(224&gt;=$B$10,224&lt;=$D$10),1,0)</f>
        <v/>
      </c>
      <c r="HT36" s="17">
        <f>IF(AND(225&gt;=$B$10,225&lt;=$D$10),1,0)</f>
        <v/>
      </c>
      <c r="HU36" s="17">
        <f>IF(AND(226&gt;=$B$10,226&lt;=$D$10),1,0)</f>
        <v/>
      </c>
      <c r="HV36" s="17">
        <f>IF(AND(227&gt;=$B$10,227&lt;=$D$10),1,0)</f>
        <v/>
      </c>
      <c r="HW36" s="17">
        <f>IF(AND(228&gt;=$B$10,228&lt;=$D$10),1,0)</f>
        <v/>
      </c>
      <c r="HX36" s="17">
        <f>IF(AND(229&gt;=$B$10,229&lt;=$D$10),1,0)</f>
        <v/>
      </c>
      <c r="HY36" s="17">
        <f>IF(AND(230&gt;=$B$10,230&lt;=$D$10),1,0)</f>
        <v/>
      </c>
      <c r="HZ36" s="17">
        <f>IF(AND(231&gt;=$B$10,231&lt;=$D$10),1,0)</f>
        <v/>
      </c>
      <c r="IA36" s="17">
        <f>IF(AND(232&gt;=$B$10,232&lt;=$D$10),1,0)</f>
        <v/>
      </c>
      <c r="IB36" s="17">
        <f>IF(AND(233&gt;=$B$10,233&lt;=$D$10),1,0)</f>
        <v/>
      </c>
      <c r="IC36" s="17">
        <f>IF(AND(234&gt;=$B$10,234&lt;=$D$10),1,0)</f>
        <v/>
      </c>
      <c r="ID36" s="17">
        <f>IF(AND(235&gt;=$B$10,235&lt;=$D$10),1,0)</f>
        <v/>
      </c>
      <c r="IE36" s="17">
        <f>IF(AND(236&gt;=$B$10,236&lt;=$D$10),1,0)</f>
        <v/>
      </c>
      <c r="IF36" s="17">
        <f>IF(AND(237&gt;=$B$10,237&lt;=$D$10),1,0)</f>
        <v/>
      </c>
      <c r="IG36" s="17">
        <f>IF(AND(238&gt;=$B$10,238&lt;=$D$10),1,0)</f>
        <v/>
      </c>
      <c r="IH36" s="17">
        <f>IF(AND(239&gt;=$B$10,239&lt;=$D$10),1,0)</f>
        <v/>
      </c>
      <c r="II36" s="17">
        <f>IF(AND(240&gt;=$B$10,240&lt;=$D$10),1,0)</f>
        <v/>
      </c>
      <c r="IJ36" s="17">
        <f>IF(AND(241&gt;=$B$10,241&lt;=$D$10),1,0)</f>
        <v/>
      </c>
      <c r="IK36" s="17">
        <f>IF(AND(242&gt;=$B$10,242&lt;=$D$10),1,0)</f>
        <v/>
      </c>
      <c r="IL36" s="17">
        <f>IF(AND(243&gt;=$B$10,243&lt;=$D$10),1,0)</f>
        <v/>
      </c>
      <c r="IM36" s="17">
        <f>IF(AND(244&gt;=$B$10,244&lt;=$D$10),1,0)</f>
        <v/>
      </c>
      <c r="IN36" s="17">
        <f>IF(AND(245&gt;=$B$10,245&lt;=$D$10),1,0)</f>
        <v/>
      </c>
      <c r="IO36" s="17">
        <f>IF(AND(246&gt;=$B$10,246&lt;=$D$10),1,0)</f>
        <v/>
      </c>
      <c r="IP36" s="17">
        <f>IF(AND(247&gt;=$B$10,247&lt;=$D$10),1,0)</f>
        <v/>
      </c>
      <c r="IQ36" s="17">
        <f>IF(AND(248&gt;=$B$10,248&lt;=$D$10),1,0)</f>
        <v/>
      </c>
      <c r="IR36" s="17">
        <f>IF(AND(249&gt;=$B$10,249&lt;=$D$10),1,0)</f>
        <v/>
      </c>
      <c r="IS36" s="17">
        <f>IF(AND(250&gt;=$B$10,250&lt;=$D$10),1,0)</f>
        <v/>
      </c>
      <c r="IT36" s="17">
        <f>IF(AND(251&gt;=$B$10,251&lt;=$D$10),1,0)</f>
        <v/>
      </c>
      <c r="IU36" s="17">
        <f>IF(AND(252&gt;=$B$10,252&lt;=$D$10),1,0)</f>
        <v/>
      </c>
      <c r="IV36" s="17">
        <f>IF(AND(253&gt;=$B$10,253&lt;=$D$10),1,0)</f>
        <v/>
      </c>
      <c r="IW36" s="17">
        <f>IF(AND(254&gt;=$B$10,254&lt;=$D$10),1,0)</f>
        <v/>
      </c>
      <c r="IX36" s="17">
        <f>IF(AND(255&gt;=$B$10,255&lt;=$D$10),1,0)</f>
        <v/>
      </c>
      <c r="IY36" s="17">
        <f>IF(AND(256&gt;=$B$10,256&lt;=$D$10),1,0)</f>
        <v/>
      </c>
      <c r="IZ36" s="17">
        <f>IF(AND(257&gt;=$B$10,257&lt;=$D$10),1,0)</f>
        <v/>
      </c>
      <c r="JA36" s="17">
        <f>IF(AND(258&gt;=$B$10,258&lt;=$D$10),1,0)</f>
        <v/>
      </c>
      <c r="JB36" s="17">
        <f>IF(AND(259&gt;=$B$10,259&lt;=$D$10),1,0)</f>
        <v/>
      </c>
      <c r="JC36" s="17">
        <f>IF(AND(260&gt;=$B$10,260&lt;=$D$10),1,0)</f>
        <v/>
      </c>
      <c r="JD36" s="17">
        <f>IF(AND(261&gt;=$B$10,261&lt;=$D$10),1,0)</f>
        <v/>
      </c>
      <c r="JE36" s="17">
        <f>IF(AND(262&gt;=$B$10,262&lt;=$D$10),1,0)</f>
        <v/>
      </c>
      <c r="JF36" s="17">
        <f>IF(AND(263&gt;=$B$10,263&lt;=$D$10),1,0)</f>
        <v/>
      </c>
      <c r="JG36" s="17">
        <f>IF(AND(264&gt;=$B$10,264&lt;=$D$10),1,0)</f>
        <v/>
      </c>
      <c r="JH36" s="17">
        <f>IF(AND(265&gt;=$B$10,265&lt;=$D$10),1,0)</f>
        <v/>
      </c>
      <c r="JI36" s="17">
        <f>IF(AND(266&gt;=$B$10,266&lt;=$D$10),1,0)</f>
        <v/>
      </c>
      <c r="JJ36" s="17">
        <f>IF(AND(267&gt;=$B$10,267&lt;=$D$10),1,0)</f>
        <v/>
      </c>
      <c r="JK36" s="17">
        <f>IF(AND(268&gt;=$B$10,268&lt;=$D$10),1,0)</f>
        <v/>
      </c>
      <c r="JL36" s="17">
        <f>IF(AND(269&gt;=$B$10,269&lt;=$D$10),1,0)</f>
        <v/>
      </c>
      <c r="JM36" s="17">
        <f>IF(AND(270&gt;=$B$10,270&lt;=$D$10),1,0)</f>
        <v/>
      </c>
      <c r="JN36" s="17">
        <f>IF(AND(271&gt;=$B$10,271&lt;=$D$10),1,0)</f>
        <v/>
      </c>
      <c r="JO36" s="17">
        <f>IF(AND(272&gt;=$B$10,272&lt;=$D$10),1,0)</f>
        <v/>
      </c>
      <c r="JP36" s="17">
        <f>IF(AND(273&gt;=$B$10,273&lt;=$D$10),1,0)</f>
        <v/>
      </c>
      <c r="JQ36" s="17">
        <f>IF(AND(274&gt;=$B$10,274&lt;=$D$10),1,0)</f>
        <v/>
      </c>
      <c r="JR36" s="17">
        <f>IF(AND(275&gt;=$B$10,275&lt;=$D$10),1,0)</f>
        <v/>
      </c>
      <c r="JS36" s="17">
        <f>IF(AND(276&gt;=$B$10,276&lt;=$D$10),1,0)</f>
        <v/>
      </c>
      <c r="JT36" s="17">
        <f>IF(AND(277&gt;=$B$10,277&lt;=$D$10),1,0)</f>
        <v/>
      </c>
      <c r="JU36" s="17">
        <f>IF(AND(278&gt;=$B$10,278&lt;=$D$10),1,0)</f>
        <v/>
      </c>
      <c r="JV36" s="17">
        <f>IF(AND(279&gt;=$B$10,279&lt;=$D$10),1,0)</f>
        <v/>
      </c>
      <c r="JW36" s="17">
        <f>IF(AND(280&gt;=$B$10,280&lt;=$D$10),1,0)</f>
        <v/>
      </c>
      <c r="JX36" s="17">
        <f>IF(AND(281&gt;=$B$10,281&lt;=$D$10),1,0)</f>
        <v/>
      </c>
      <c r="JY36" s="17">
        <f>IF(AND(282&gt;=$B$10,282&lt;=$D$10),1,0)</f>
        <v/>
      </c>
      <c r="JZ36" s="17">
        <f>IF(AND(283&gt;=$B$10,283&lt;=$D$10),1,0)</f>
        <v/>
      </c>
      <c r="KA36" s="17">
        <f>IF(AND(284&gt;=$B$10,284&lt;=$D$10),1,0)</f>
        <v/>
      </c>
      <c r="KB36" s="17">
        <f>IF(AND(285&gt;=$B$10,285&lt;=$D$10),1,0)</f>
        <v/>
      </c>
      <c r="KC36" s="17">
        <f>IF(AND(286&gt;=$B$10,286&lt;=$D$10),1,0)</f>
        <v/>
      </c>
      <c r="KD36" s="17">
        <f>IF(AND(287&gt;=$B$10,287&lt;=$D$10),1,0)</f>
        <v/>
      </c>
      <c r="KE36" s="17">
        <f>IF(AND(288&gt;=$B$10,288&lt;=$D$10),1,0)</f>
        <v/>
      </c>
      <c r="KF36" s="17">
        <f>IF(AND(289&gt;=$B$10,289&lt;=$D$10),1,0)</f>
        <v/>
      </c>
      <c r="KG36" s="17">
        <f>IF(AND(290&gt;=$B$10,290&lt;=$D$10),1,0)</f>
        <v/>
      </c>
      <c r="KH36" s="17">
        <f>IF(AND(291&gt;=$B$10,291&lt;=$D$10),1,0)</f>
        <v/>
      </c>
      <c r="KI36" s="17">
        <f>IF(AND(292&gt;=$B$10,292&lt;=$D$10),1,0)</f>
        <v/>
      </c>
      <c r="KJ36" s="17">
        <f>IF(AND(293&gt;=$B$10,293&lt;=$D$10),1,0)</f>
        <v/>
      </c>
      <c r="KK36" s="17">
        <f>IF(AND(294&gt;=$B$10,294&lt;=$D$10),1,0)</f>
        <v/>
      </c>
      <c r="KL36" s="17">
        <f>IF(AND(295&gt;=$B$10,295&lt;=$D$10),1,0)</f>
        <v/>
      </c>
      <c r="KM36" s="17">
        <f>IF(AND(296&gt;=$B$10,296&lt;=$D$10),1,0)</f>
        <v/>
      </c>
      <c r="KN36" s="17">
        <f>IF(AND(297&gt;=$B$10,297&lt;=$D$10),1,0)</f>
        <v/>
      </c>
      <c r="KO36" s="17">
        <f>IF(AND(298&gt;=$B$10,298&lt;=$D$10),1,0)</f>
        <v/>
      </c>
      <c r="KP36" s="17">
        <f>IF(AND(299&gt;=$B$10,299&lt;=$D$10),1,0)</f>
        <v/>
      </c>
      <c r="KQ36" s="17">
        <f>IF(AND(300&gt;=$B$10,300&lt;=$D$10),1,0)</f>
        <v/>
      </c>
      <c r="KR36" s="17">
        <f>IF(AND(301&gt;=$B$10,301&lt;=$D$10),1,0)</f>
        <v/>
      </c>
      <c r="KS36" s="17">
        <f>IF(AND(302&gt;=$B$10,302&lt;=$D$10),1,0)</f>
        <v/>
      </c>
      <c r="KT36" s="17">
        <f>IF(AND(303&gt;=$B$10,303&lt;=$D$10),1,0)</f>
        <v/>
      </c>
      <c r="KU36" s="17">
        <f>IF(AND(304&gt;=$B$10,304&lt;=$D$10),1,0)</f>
        <v/>
      </c>
      <c r="KV36" s="17">
        <f>IF(AND(305&gt;=$B$10,305&lt;=$D$10),1,0)</f>
        <v/>
      </c>
      <c r="KW36" s="17">
        <f>IF(AND(306&gt;=$B$10,306&lt;=$D$10),1,0)</f>
        <v/>
      </c>
      <c r="KX36" s="17">
        <f>IF(AND(307&gt;=$B$10,307&lt;=$D$10),1,0)</f>
        <v/>
      </c>
      <c r="KY36" s="17">
        <f>IF(AND(308&gt;=$B$10,308&lt;=$D$10),1,0)</f>
        <v/>
      </c>
      <c r="KZ36" s="17">
        <f>IF(AND(309&gt;=$B$10,309&lt;=$D$10),1,0)</f>
        <v/>
      </c>
      <c r="LA36" s="17">
        <f>IF(AND(310&gt;=$B$10,310&lt;=$D$10),1,0)</f>
        <v/>
      </c>
      <c r="LB36" s="17">
        <f>IF(AND(311&gt;=$B$10,311&lt;=$D$10),1,0)</f>
        <v/>
      </c>
      <c r="LC36" s="17">
        <f>IF(AND(312&gt;=$B$10,312&lt;=$D$10),1,0)</f>
        <v/>
      </c>
      <c r="LD36" s="17">
        <f>IF(AND(313&gt;=$B$10,313&lt;=$D$10),1,0)</f>
        <v/>
      </c>
      <c r="LE36" s="17">
        <f>IF(AND(314&gt;=$B$10,314&lt;=$D$10),1,0)</f>
        <v/>
      </c>
      <c r="LF36" s="17">
        <f>IF(AND(315&gt;=$B$10,315&lt;=$D$10),1,0)</f>
        <v/>
      </c>
      <c r="LG36" s="17">
        <f>IF(AND(316&gt;=$B$10,316&lt;=$D$10),1,0)</f>
        <v/>
      </c>
      <c r="LH36" s="17">
        <f>IF(AND(317&gt;=$B$10,317&lt;=$D$10),1,0)</f>
        <v/>
      </c>
      <c r="LI36" s="17">
        <f>IF(AND(318&gt;=$B$10,318&lt;=$D$10),1,0)</f>
        <v/>
      </c>
      <c r="LJ36" s="17">
        <f>IF(AND(319&gt;=$B$10,319&lt;=$D$10),1,0)</f>
        <v/>
      </c>
      <c r="LK36" s="17">
        <f>IF(AND(320&gt;=$B$10,320&lt;=$D$10),1,0)</f>
        <v/>
      </c>
      <c r="LL36" s="17">
        <f>IF(AND(321&gt;=$B$10,321&lt;=$D$10),1,0)</f>
        <v/>
      </c>
      <c r="LM36" s="17">
        <f>IF(AND(322&gt;=$B$10,322&lt;=$D$10),1,0)</f>
        <v/>
      </c>
      <c r="LN36" s="17">
        <f>IF(AND(323&gt;=$B$10,323&lt;=$D$10),1,0)</f>
        <v/>
      </c>
      <c r="LO36" s="17">
        <f>IF(AND(324&gt;=$B$10,324&lt;=$D$10),1,0)</f>
        <v/>
      </c>
      <c r="LP36" s="17">
        <f>IF(AND(325&gt;=$B$10,325&lt;=$D$10),1,0)</f>
        <v/>
      </c>
      <c r="LQ36" s="17">
        <f>IF(AND(326&gt;=$B$10,326&lt;=$D$10),1,0)</f>
        <v/>
      </c>
      <c r="LR36" s="17">
        <f>IF(AND(327&gt;=$B$10,327&lt;=$D$10),1,0)</f>
        <v/>
      </c>
      <c r="LS36" s="17">
        <f>IF(AND(328&gt;=$B$10,328&lt;=$D$10),1,0)</f>
        <v/>
      </c>
      <c r="LT36" s="17">
        <f>IF(AND(329&gt;=$B$10,329&lt;=$D$10),1,0)</f>
        <v/>
      </c>
      <c r="LU36" s="17">
        <f>IF(AND(330&gt;=$B$10,330&lt;=$D$10),1,0)</f>
        <v/>
      </c>
      <c r="LV36" s="17">
        <f>IF(AND(331&gt;=$B$10,331&lt;=$D$10),1,0)</f>
        <v/>
      </c>
      <c r="LW36" s="17">
        <f>IF(AND(332&gt;=$B$10,332&lt;=$D$10),1,0)</f>
        <v/>
      </c>
      <c r="LX36" s="17">
        <f>IF(AND(333&gt;=$B$10,333&lt;=$D$10),1,0)</f>
        <v/>
      </c>
      <c r="LY36" s="17">
        <f>IF(AND(334&gt;=$B$10,334&lt;=$D$10),1,0)</f>
        <v/>
      </c>
      <c r="LZ36" s="17">
        <f>IF(AND(335&gt;=$B$10,335&lt;=$D$10),1,0)</f>
        <v/>
      </c>
      <c r="MA36" s="17">
        <f>IF(AND(336&gt;=$B$10,336&lt;=$D$10),1,0)</f>
        <v/>
      </c>
      <c r="MB36" s="17">
        <f>IF(AND(337&gt;=$B$10,337&lt;=$D$10),1,0)</f>
        <v/>
      </c>
      <c r="MC36" s="17">
        <f>IF(AND(338&gt;=$B$10,338&lt;=$D$10),1,0)</f>
        <v/>
      </c>
      <c r="MD36" s="17">
        <f>IF(AND(339&gt;=$B$10,339&lt;=$D$10),1,0)</f>
        <v/>
      </c>
      <c r="ME36" s="17">
        <f>IF(AND(340&gt;=$B$10,340&lt;=$D$10),1,0)</f>
        <v/>
      </c>
      <c r="MF36" s="17">
        <f>IF(AND(341&gt;=$B$10,341&lt;=$D$10),1,0)</f>
        <v/>
      </c>
      <c r="MG36" s="17">
        <f>IF(AND(342&gt;=$B$10,342&lt;=$D$10),1,0)</f>
        <v/>
      </c>
      <c r="MH36" s="17">
        <f>IF(AND(343&gt;=$B$10,343&lt;=$D$10),1,0)</f>
        <v/>
      </c>
      <c r="MI36" s="17">
        <f>IF(AND(344&gt;=$B$10,344&lt;=$D$10),1,0)</f>
        <v/>
      </c>
      <c r="MJ36" s="17">
        <f>IF(AND(345&gt;=$B$10,345&lt;=$D$10),1,0)</f>
        <v/>
      </c>
      <c r="MK36" s="17">
        <f>IF(AND(346&gt;=$B$10,346&lt;=$D$10),1,0)</f>
        <v/>
      </c>
      <c r="ML36" s="17">
        <f>IF(AND(347&gt;=$B$10,347&lt;=$D$10),1,0)</f>
        <v/>
      </c>
      <c r="MM36" s="17">
        <f>IF(AND(348&gt;=$B$10,348&lt;=$D$10),1,0)</f>
        <v/>
      </c>
      <c r="MN36" s="17">
        <f>IF(AND(349&gt;=$B$10,349&lt;=$D$10),1,0)</f>
        <v/>
      </c>
      <c r="MO36" s="17">
        <f>IF(AND(350&gt;=$B$10,350&lt;=$D$10),1,0)</f>
        <v/>
      </c>
      <c r="MP36" s="17">
        <f>IF(AND(351&gt;=$B$10,351&lt;=$D$10),1,0)</f>
        <v/>
      </c>
      <c r="MQ36" s="17">
        <f>IF(AND(352&gt;=$B$10,352&lt;=$D$10),1,0)</f>
        <v/>
      </c>
      <c r="MR36" s="17">
        <f>IF(AND(353&gt;=$B$10,353&lt;=$D$10),1,0)</f>
        <v/>
      </c>
      <c r="MS36" s="17">
        <f>IF(AND(354&gt;=$B$10,354&lt;=$D$10),1,0)</f>
        <v/>
      </c>
      <c r="MT36" s="17">
        <f>IF(AND(355&gt;=$B$10,355&lt;=$D$10),1,0)</f>
        <v/>
      </c>
      <c r="MU36" s="17">
        <f>IF(AND(356&gt;=$B$10,356&lt;=$D$10),1,0)</f>
        <v/>
      </c>
      <c r="MV36" s="17">
        <f>IF(AND(357&gt;=$B$10,357&lt;=$D$10),1,0)</f>
        <v/>
      </c>
      <c r="MW36" s="17">
        <f>IF(AND(358&gt;=$B$10,358&lt;=$D$10),1,0)</f>
        <v/>
      </c>
      <c r="MX36" s="17">
        <f>IF(AND(359&gt;=$B$10,359&lt;=$D$10),1,0)</f>
        <v/>
      </c>
      <c r="MY36" s="17">
        <f>IF(AND(360&gt;=$B$10,360&lt;=$D$10),1,0)</f>
        <v/>
      </c>
      <c r="MZ36" s="17">
        <f>IF(AND(361&gt;=$B$10,361&lt;=$D$10),1,0)</f>
        <v/>
      </c>
      <c r="NA36" s="17">
        <f>IF(AND(362&gt;=$B$10,362&lt;=$D$10),1,0)</f>
        <v/>
      </c>
      <c r="NB36" s="17">
        <f>IF(AND(363&gt;=$B$10,363&lt;=$D$10),1,0)</f>
        <v/>
      </c>
      <c r="NC36" s="17">
        <f>IF(AND(364&gt;=$B$10,364&lt;=$D$10),1,0)</f>
        <v/>
      </c>
      <c r="ND36" s="17">
        <f>IF(AND(365&gt;=$B$10,365&lt;=$D$10),1,0)</f>
        <v/>
      </c>
      <c r="NE36" s="17">
        <f>IF(AND(366&gt;=$B$10,366&lt;=$D$10),1,0)</f>
        <v/>
      </c>
      <c r="NF36" s="17">
        <f>IF(AND(367&gt;=$B$10,367&lt;=$D$10),1,0)</f>
        <v/>
      </c>
      <c r="NG36" s="17">
        <f>IF(AND(368&gt;=$B$10,368&lt;=$D$10),1,0)</f>
        <v/>
      </c>
      <c r="NH36" s="17">
        <f>IF(AND(369&gt;=$B$10,369&lt;=$D$10),1,0)</f>
        <v/>
      </c>
      <c r="NI36" s="17">
        <f>IF(AND(370&gt;=$B$10,370&lt;=$D$10),1,0)</f>
        <v/>
      </c>
      <c r="NJ36" s="17">
        <f>IF(AND(371&gt;=$B$10,371&lt;=$D$10),1,0)</f>
        <v/>
      </c>
      <c r="NK36" s="17">
        <f>IF(AND(372&gt;=$B$10,372&lt;=$D$10),1,0)</f>
        <v/>
      </c>
    </row>
    <row r="37">
      <c r="A37" s="5" t="inlineStr">
        <is>
          <t>Flag: Lease-Up</t>
        </is>
      </c>
      <c r="C37" s="40" t="n"/>
      <c r="D37" s="17">
        <f>IF(AND(1&gt;=$B$11,1&lt;=$D$11),1,0)</f>
        <v/>
      </c>
      <c r="E37" s="17">
        <f>IF(AND(2&gt;=$B$11,2&lt;=$D$11),1,0)</f>
        <v/>
      </c>
      <c r="F37" s="17">
        <f>IF(AND(3&gt;=$B$11,3&lt;=$D$11),1,0)</f>
        <v/>
      </c>
      <c r="G37" s="17">
        <f>IF(AND(4&gt;=$B$11,4&lt;=$D$11),1,0)</f>
        <v/>
      </c>
      <c r="H37" s="17">
        <f>IF(AND(5&gt;=$B$11,5&lt;=$D$11),1,0)</f>
        <v/>
      </c>
      <c r="I37" s="17">
        <f>IF(AND(6&gt;=$B$11,6&lt;=$D$11),1,0)</f>
        <v/>
      </c>
      <c r="J37" s="17">
        <f>IF(AND(7&gt;=$B$11,7&lt;=$D$11),1,0)</f>
        <v/>
      </c>
      <c r="K37" s="17">
        <f>IF(AND(8&gt;=$B$11,8&lt;=$D$11),1,0)</f>
        <v/>
      </c>
      <c r="L37" s="17">
        <f>IF(AND(9&gt;=$B$11,9&lt;=$D$11),1,0)</f>
        <v/>
      </c>
      <c r="M37" s="17">
        <f>IF(AND(10&gt;=$B$11,10&lt;=$D$11),1,0)</f>
        <v/>
      </c>
      <c r="N37" s="17">
        <f>IF(AND(11&gt;=$B$11,11&lt;=$D$11),1,0)</f>
        <v/>
      </c>
      <c r="O37" s="17">
        <f>IF(AND(12&gt;=$B$11,12&lt;=$D$11),1,0)</f>
        <v/>
      </c>
      <c r="P37" s="17">
        <f>IF(AND(13&gt;=$B$11,13&lt;=$D$11),1,0)</f>
        <v/>
      </c>
      <c r="Q37" s="17">
        <f>IF(AND(14&gt;=$B$11,14&lt;=$D$11),1,0)</f>
        <v/>
      </c>
      <c r="R37" s="17">
        <f>IF(AND(15&gt;=$B$11,15&lt;=$D$11),1,0)</f>
        <v/>
      </c>
      <c r="S37" s="17">
        <f>IF(AND(16&gt;=$B$11,16&lt;=$D$11),1,0)</f>
        <v/>
      </c>
      <c r="T37" s="17">
        <f>IF(AND(17&gt;=$B$11,17&lt;=$D$11),1,0)</f>
        <v/>
      </c>
      <c r="U37" s="17">
        <f>IF(AND(18&gt;=$B$11,18&lt;=$D$11),1,0)</f>
        <v/>
      </c>
      <c r="V37" s="17">
        <f>IF(AND(19&gt;=$B$11,19&lt;=$D$11),1,0)</f>
        <v/>
      </c>
      <c r="W37" s="17">
        <f>IF(AND(20&gt;=$B$11,20&lt;=$D$11),1,0)</f>
        <v/>
      </c>
      <c r="X37" s="17">
        <f>IF(AND(21&gt;=$B$11,21&lt;=$D$11),1,0)</f>
        <v/>
      </c>
      <c r="Y37" s="17">
        <f>IF(AND(22&gt;=$B$11,22&lt;=$D$11),1,0)</f>
        <v/>
      </c>
      <c r="Z37" s="17">
        <f>IF(AND(23&gt;=$B$11,23&lt;=$D$11),1,0)</f>
        <v/>
      </c>
      <c r="AA37" s="17">
        <f>IF(AND(24&gt;=$B$11,24&lt;=$D$11),1,0)</f>
        <v/>
      </c>
      <c r="AB37" s="17">
        <f>IF(AND(25&gt;=$B$11,25&lt;=$D$11),1,0)</f>
        <v/>
      </c>
      <c r="AC37" s="17">
        <f>IF(AND(26&gt;=$B$11,26&lt;=$D$11),1,0)</f>
        <v/>
      </c>
      <c r="AD37" s="17">
        <f>IF(AND(27&gt;=$B$11,27&lt;=$D$11),1,0)</f>
        <v/>
      </c>
      <c r="AE37" s="17">
        <f>IF(AND(28&gt;=$B$11,28&lt;=$D$11),1,0)</f>
        <v/>
      </c>
      <c r="AF37" s="17">
        <f>IF(AND(29&gt;=$B$11,29&lt;=$D$11),1,0)</f>
        <v/>
      </c>
      <c r="AG37" s="17">
        <f>IF(AND(30&gt;=$B$11,30&lt;=$D$11),1,0)</f>
        <v/>
      </c>
      <c r="AH37" s="17">
        <f>IF(AND(31&gt;=$B$11,31&lt;=$D$11),1,0)</f>
        <v/>
      </c>
      <c r="AI37" s="17">
        <f>IF(AND(32&gt;=$B$11,32&lt;=$D$11),1,0)</f>
        <v/>
      </c>
      <c r="AJ37" s="17">
        <f>IF(AND(33&gt;=$B$11,33&lt;=$D$11),1,0)</f>
        <v/>
      </c>
      <c r="AK37" s="17">
        <f>IF(AND(34&gt;=$B$11,34&lt;=$D$11),1,0)</f>
        <v/>
      </c>
      <c r="AL37" s="17">
        <f>IF(AND(35&gt;=$B$11,35&lt;=$D$11),1,0)</f>
        <v/>
      </c>
      <c r="AM37" s="17">
        <f>IF(AND(36&gt;=$B$11,36&lt;=$D$11),1,0)</f>
        <v/>
      </c>
      <c r="AN37" s="17">
        <f>IF(AND(37&gt;=$B$11,37&lt;=$D$11),1,0)</f>
        <v/>
      </c>
      <c r="AO37" s="17">
        <f>IF(AND(38&gt;=$B$11,38&lt;=$D$11),1,0)</f>
        <v/>
      </c>
      <c r="AP37" s="17">
        <f>IF(AND(39&gt;=$B$11,39&lt;=$D$11),1,0)</f>
        <v/>
      </c>
      <c r="AQ37" s="17">
        <f>IF(AND(40&gt;=$B$11,40&lt;=$D$11),1,0)</f>
        <v/>
      </c>
      <c r="AR37" s="17">
        <f>IF(AND(41&gt;=$B$11,41&lt;=$D$11),1,0)</f>
        <v/>
      </c>
      <c r="AS37" s="17">
        <f>IF(AND(42&gt;=$B$11,42&lt;=$D$11),1,0)</f>
        <v/>
      </c>
      <c r="AT37" s="17">
        <f>IF(AND(43&gt;=$B$11,43&lt;=$D$11),1,0)</f>
        <v/>
      </c>
      <c r="AU37" s="17">
        <f>IF(AND(44&gt;=$B$11,44&lt;=$D$11),1,0)</f>
        <v/>
      </c>
      <c r="AV37" s="17">
        <f>IF(AND(45&gt;=$B$11,45&lt;=$D$11),1,0)</f>
        <v/>
      </c>
      <c r="AW37" s="17">
        <f>IF(AND(46&gt;=$B$11,46&lt;=$D$11),1,0)</f>
        <v/>
      </c>
      <c r="AX37" s="17">
        <f>IF(AND(47&gt;=$B$11,47&lt;=$D$11),1,0)</f>
        <v/>
      </c>
      <c r="AY37" s="17">
        <f>IF(AND(48&gt;=$B$11,48&lt;=$D$11),1,0)</f>
        <v/>
      </c>
      <c r="AZ37" s="17">
        <f>IF(AND(49&gt;=$B$11,49&lt;=$D$11),1,0)</f>
        <v/>
      </c>
      <c r="BA37" s="17">
        <f>IF(AND(50&gt;=$B$11,50&lt;=$D$11),1,0)</f>
        <v/>
      </c>
      <c r="BB37" s="17">
        <f>IF(AND(51&gt;=$B$11,51&lt;=$D$11),1,0)</f>
        <v/>
      </c>
      <c r="BC37" s="17">
        <f>IF(AND(52&gt;=$B$11,52&lt;=$D$11),1,0)</f>
        <v/>
      </c>
      <c r="BD37" s="17">
        <f>IF(AND(53&gt;=$B$11,53&lt;=$D$11),1,0)</f>
        <v/>
      </c>
      <c r="BE37" s="17">
        <f>IF(AND(54&gt;=$B$11,54&lt;=$D$11),1,0)</f>
        <v/>
      </c>
      <c r="BF37" s="17">
        <f>IF(AND(55&gt;=$B$11,55&lt;=$D$11),1,0)</f>
        <v/>
      </c>
      <c r="BG37" s="17">
        <f>IF(AND(56&gt;=$B$11,56&lt;=$D$11),1,0)</f>
        <v/>
      </c>
      <c r="BH37" s="17">
        <f>IF(AND(57&gt;=$B$11,57&lt;=$D$11),1,0)</f>
        <v/>
      </c>
      <c r="BI37" s="17">
        <f>IF(AND(58&gt;=$B$11,58&lt;=$D$11),1,0)</f>
        <v/>
      </c>
      <c r="BJ37" s="17">
        <f>IF(AND(59&gt;=$B$11,59&lt;=$D$11),1,0)</f>
        <v/>
      </c>
      <c r="BK37" s="17">
        <f>IF(AND(60&gt;=$B$11,60&lt;=$D$11),1,0)</f>
        <v/>
      </c>
      <c r="BL37" s="17">
        <f>IF(AND(61&gt;=$B$11,61&lt;=$D$11),1,0)</f>
        <v/>
      </c>
      <c r="BM37" s="17">
        <f>IF(AND(62&gt;=$B$11,62&lt;=$D$11),1,0)</f>
        <v/>
      </c>
      <c r="BN37" s="17">
        <f>IF(AND(63&gt;=$B$11,63&lt;=$D$11),1,0)</f>
        <v/>
      </c>
      <c r="BO37" s="17">
        <f>IF(AND(64&gt;=$B$11,64&lt;=$D$11),1,0)</f>
        <v/>
      </c>
      <c r="BP37" s="17">
        <f>IF(AND(65&gt;=$B$11,65&lt;=$D$11),1,0)</f>
        <v/>
      </c>
      <c r="BQ37" s="17">
        <f>IF(AND(66&gt;=$B$11,66&lt;=$D$11),1,0)</f>
        <v/>
      </c>
      <c r="BR37" s="17">
        <f>IF(AND(67&gt;=$B$11,67&lt;=$D$11),1,0)</f>
        <v/>
      </c>
      <c r="BS37" s="17">
        <f>IF(AND(68&gt;=$B$11,68&lt;=$D$11),1,0)</f>
        <v/>
      </c>
      <c r="BT37" s="17">
        <f>IF(AND(69&gt;=$B$11,69&lt;=$D$11),1,0)</f>
        <v/>
      </c>
      <c r="BU37" s="17">
        <f>IF(AND(70&gt;=$B$11,70&lt;=$D$11),1,0)</f>
        <v/>
      </c>
      <c r="BV37" s="17">
        <f>IF(AND(71&gt;=$B$11,71&lt;=$D$11),1,0)</f>
        <v/>
      </c>
      <c r="BW37" s="17">
        <f>IF(AND(72&gt;=$B$11,72&lt;=$D$11),1,0)</f>
        <v/>
      </c>
      <c r="BX37" s="17">
        <f>IF(AND(73&gt;=$B$11,73&lt;=$D$11),1,0)</f>
        <v/>
      </c>
      <c r="BY37" s="17">
        <f>IF(AND(74&gt;=$B$11,74&lt;=$D$11),1,0)</f>
        <v/>
      </c>
      <c r="BZ37" s="17">
        <f>IF(AND(75&gt;=$B$11,75&lt;=$D$11),1,0)</f>
        <v/>
      </c>
      <c r="CA37" s="17">
        <f>IF(AND(76&gt;=$B$11,76&lt;=$D$11),1,0)</f>
        <v/>
      </c>
      <c r="CB37" s="17">
        <f>IF(AND(77&gt;=$B$11,77&lt;=$D$11),1,0)</f>
        <v/>
      </c>
      <c r="CC37" s="17">
        <f>IF(AND(78&gt;=$B$11,78&lt;=$D$11),1,0)</f>
        <v/>
      </c>
      <c r="CD37" s="17">
        <f>IF(AND(79&gt;=$B$11,79&lt;=$D$11),1,0)</f>
        <v/>
      </c>
      <c r="CE37" s="17">
        <f>IF(AND(80&gt;=$B$11,80&lt;=$D$11),1,0)</f>
        <v/>
      </c>
      <c r="CF37" s="17">
        <f>IF(AND(81&gt;=$B$11,81&lt;=$D$11),1,0)</f>
        <v/>
      </c>
      <c r="CG37" s="17">
        <f>IF(AND(82&gt;=$B$11,82&lt;=$D$11),1,0)</f>
        <v/>
      </c>
      <c r="CH37" s="17">
        <f>IF(AND(83&gt;=$B$11,83&lt;=$D$11),1,0)</f>
        <v/>
      </c>
      <c r="CI37" s="17">
        <f>IF(AND(84&gt;=$B$11,84&lt;=$D$11),1,0)</f>
        <v/>
      </c>
      <c r="CJ37" s="17">
        <f>IF(AND(85&gt;=$B$11,85&lt;=$D$11),1,0)</f>
        <v/>
      </c>
      <c r="CK37" s="17">
        <f>IF(AND(86&gt;=$B$11,86&lt;=$D$11),1,0)</f>
        <v/>
      </c>
      <c r="CL37" s="17">
        <f>IF(AND(87&gt;=$B$11,87&lt;=$D$11),1,0)</f>
        <v/>
      </c>
      <c r="CM37" s="17">
        <f>IF(AND(88&gt;=$B$11,88&lt;=$D$11),1,0)</f>
        <v/>
      </c>
      <c r="CN37" s="17">
        <f>IF(AND(89&gt;=$B$11,89&lt;=$D$11),1,0)</f>
        <v/>
      </c>
      <c r="CO37" s="17">
        <f>IF(AND(90&gt;=$B$11,90&lt;=$D$11),1,0)</f>
        <v/>
      </c>
      <c r="CP37" s="17">
        <f>IF(AND(91&gt;=$B$11,91&lt;=$D$11),1,0)</f>
        <v/>
      </c>
      <c r="CQ37" s="17">
        <f>IF(AND(92&gt;=$B$11,92&lt;=$D$11),1,0)</f>
        <v/>
      </c>
      <c r="CR37" s="17">
        <f>IF(AND(93&gt;=$B$11,93&lt;=$D$11),1,0)</f>
        <v/>
      </c>
      <c r="CS37" s="17">
        <f>IF(AND(94&gt;=$B$11,94&lt;=$D$11),1,0)</f>
        <v/>
      </c>
      <c r="CT37" s="17">
        <f>IF(AND(95&gt;=$B$11,95&lt;=$D$11),1,0)</f>
        <v/>
      </c>
      <c r="CU37" s="17">
        <f>IF(AND(96&gt;=$B$11,96&lt;=$D$11),1,0)</f>
        <v/>
      </c>
      <c r="CV37" s="17">
        <f>IF(AND(97&gt;=$B$11,97&lt;=$D$11),1,0)</f>
        <v/>
      </c>
      <c r="CW37" s="17">
        <f>IF(AND(98&gt;=$B$11,98&lt;=$D$11),1,0)</f>
        <v/>
      </c>
      <c r="CX37" s="17">
        <f>IF(AND(99&gt;=$B$11,99&lt;=$D$11),1,0)</f>
        <v/>
      </c>
      <c r="CY37" s="17">
        <f>IF(AND(100&gt;=$B$11,100&lt;=$D$11),1,0)</f>
        <v/>
      </c>
      <c r="CZ37" s="17">
        <f>IF(AND(101&gt;=$B$11,101&lt;=$D$11),1,0)</f>
        <v/>
      </c>
      <c r="DA37" s="17">
        <f>IF(AND(102&gt;=$B$11,102&lt;=$D$11),1,0)</f>
        <v/>
      </c>
      <c r="DB37" s="17">
        <f>IF(AND(103&gt;=$B$11,103&lt;=$D$11),1,0)</f>
        <v/>
      </c>
      <c r="DC37" s="17">
        <f>IF(AND(104&gt;=$B$11,104&lt;=$D$11),1,0)</f>
        <v/>
      </c>
      <c r="DD37" s="17">
        <f>IF(AND(105&gt;=$B$11,105&lt;=$D$11),1,0)</f>
        <v/>
      </c>
      <c r="DE37" s="17">
        <f>IF(AND(106&gt;=$B$11,106&lt;=$D$11),1,0)</f>
        <v/>
      </c>
      <c r="DF37" s="17">
        <f>IF(AND(107&gt;=$B$11,107&lt;=$D$11),1,0)</f>
        <v/>
      </c>
      <c r="DG37" s="17">
        <f>IF(AND(108&gt;=$B$11,108&lt;=$D$11),1,0)</f>
        <v/>
      </c>
      <c r="DH37" s="17">
        <f>IF(AND(109&gt;=$B$11,109&lt;=$D$11),1,0)</f>
        <v/>
      </c>
      <c r="DI37" s="17">
        <f>IF(AND(110&gt;=$B$11,110&lt;=$D$11),1,0)</f>
        <v/>
      </c>
      <c r="DJ37" s="17">
        <f>IF(AND(111&gt;=$B$11,111&lt;=$D$11),1,0)</f>
        <v/>
      </c>
      <c r="DK37" s="17">
        <f>IF(AND(112&gt;=$B$11,112&lt;=$D$11),1,0)</f>
        <v/>
      </c>
      <c r="DL37" s="17">
        <f>IF(AND(113&gt;=$B$11,113&lt;=$D$11),1,0)</f>
        <v/>
      </c>
      <c r="DM37" s="17">
        <f>IF(AND(114&gt;=$B$11,114&lt;=$D$11),1,0)</f>
        <v/>
      </c>
      <c r="DN37" s="17">
        <f>IF(AND(115&gt;=$B$11,115&lt;=$D$11),1,0)</f>
        <v/>
      </c>
      <c r="DO37" s="17">
        <f>IF(AND(116&gt;=$B$11,116&lt;=$D$11),1,0)</f>
        <v/>
      </c>
      <c r="DP37" s="17">
        <f>IF(AND(117&gt;=$B$11,117&lt;=$D$11),1,0)</f>
        <v/>
      </c>
      <c r="DQ37" s="17">
        <f>IF(AND(118&gt;=$B$11,118&lt;=$D$11),1,0)</f>
        <v/>
      </c>
      <c r="DR37" s="17">
        <f>IF(AND(119&gt;=$B$11,119&lt;=$D$11),1,0)</f>
        <v/>
      </c>
      <c r="DS37" s="17">
        <f>IF(AND(120&gt;=$B$11,120&lt;=$D$11),1,0)</f>
        <v/>
      </c>
      <c r="DT37" s="17">
        <f>IF(AND(121&gt;=$B$11,121&lt;=$D$11),1,0)</f>
        <v/>
      </c>
      <c r="DU37" s="17">
        <f>IF(AND(122&gt;=$B$11,122&lt;=$D$11),1,0)</f>
        <v/>
      </c>
      <c r="DV37" s="17">
        <f>IF(AND(123&gt;=$B$11,123&lt;=$D$11),1,0)</f>
        <v/>
      </c>
      <c r="DW37" s="17">
        <f>IF(AND(124&gt;=$B$11,124&lt;=$D$11),1,0)</f>
        <v/>
      </c>
      <c r="DX37" s="17">
        <f>IF(AND(125&gt;=$B$11,125&lt;=$D$11),1,0)</f>
        <v/>
      </c>
      <c r="DY37" s="17">
        <f>IF(AND(126&gt;=$B$11,126&lt;=$D$11),1,0)</f>
        <v/>
      </c>
      <c r="DZ37" s="17">
        <f>IF(AND(127&gt;=$B$11,127&lt;=$D$11),1,0)</f>
        <v/>
      </c>
      <c r="EA37" s="17">
        <f>IF(AND(128&gt;=$B$11,128&lt;=$D$11),1,0)</f>
        <v/>
      </c>
      <c r="EB37" s="17">
        <f>IF(AND(129&gt;=$B$11,129&lt;=$D$11),1,0)</f>
        <v/>
      </c>
      <c r="EC37" s="17">
        <f>IF(AND(130&gt;=$B$11,130&lt;=$D$11),1,0)</f>
        <v/>
      </c>
      <c r="ED37" s="17">
        <f>IF(AND(131&gt;=$B$11,131&lt;=$D$11),1,0)</f>
        <v/>
      </c>
      <c r="EE37" s="17">
        <f>IF(AND(132&gt;=$B$11,132&lt;=$D$11),1,0)</f>
        <v/>
      </c>
      <c r="EF37" s="17">
        <f>IF(AND(133&gt;=$B$11,133&lt;=$D$11),1,0)</f>
        <v/>
      </c>
      <c r="EG37" s="17">
        <f>IF(AND(134&gt;=$B$11,134&lt;=$D$11),1,0)</f>
        <v/>
      </c>
      <c r="EH37" s="17">
        <f>IF(AND(135&gt;=$B$11,135&lt;=$D$11),1,0)</f>
        <v/>
      </c>
      <c r="EI37" s="17">
        <f>IF(AND(136&gt;=$B$11,136&lt;=$D$11),1,0)</f>
        <v/>
      </c>
      <c r="EJ37" s="17">
        <f>IF(AND(137&gt;=$B$11,137&lt;=$D$11),1,0)</f>
        <v/>
      </c>
      <c r="EK37" s="17">
        <f>IF(AND(138&gt;=$B$11,138&lt;=$D$11),1,0)</f>
        <v/>
      </c>
      <c r="EL37" s="17">
        <f>IF(AND(139&gt;=$B$11,139&lt;=$D$11),1,0)</f>
        <v/>
      </c>
      <c r="EM37" s="17">
        <f>IF(AND(140&gt;=$B$11,140&lt;=$D$11),1,0)</f>
        <v/>
      </c>
      <c r="EN37" s="17">
        <f>IF(AND(141&gt;=$B$11,141&lt;=$D$11),1,0)</f>
        <v/>
      </c>
      <c r="EO37" s="17">
        <f>IF(AND(142&gt;=$B$11,142&lt;=$D$11),1,0)</f>
        <v/>
      </c>
      <c r="EP37" s="17">
        <f>IF(AND(143&gt;=$B$11,143&lt;=$D$11),1,0)</f>
        <v/>
      </c>
      <c r="EQ37" s="17">
        <f>IF(AND(144&gt;=$B$11,144&lt;=$D$11),1,0)</f>
        <v/>
      </c>
      <c r="ER37" s="17">
        <f>IF(AND(145&gt;=$B$11,145&lt;=$D$11),1,0)</f>
        <v/>
      </c>
      <c r="ES37" s="17">
        <f>IF(AND(146&gt;=$B$11,146&lt;=$D$11),1,0)</f>
        <v/>
      </c>
      <c r="ET37" s="17">
        <f>IF(AND(147&gt;=$B$11,147&lt;=$D$11),1,0)</f>
        <v/>
      </c>
      <c r="EU37" s="17">
        <f>IF(AND(148&gt;=$B$11,148&lt;=$D$11),1,0)</f>
        <v/>
      </c>
      <c r="EV37" s="17">
        <f>IF(AND(149&gt;=$B$11,149&lt;=$D$11),1,0)</f>
        <v/>
      </c>
      <c r="EW37" s="17">
        <f>IF(AND(150&gt;=$B$11,150&lt;=$D$11),1,0)</f>
        <v/>
      </c>
      <c r="EX37" s="17">
        <f>IF(AND(151&gt;=$B$11,151&lt;=$D$11),1,0)</f>
        <v/>
      </c>
      <c r="EY37" s="17">
        <f>IF(AND(152&gt;=$B$11,152&lt;=$D$11),1,0)</f>
        <v/>
      </c>
      <c r="EZ37" s="17">
        <f>IF(AND(153&gt;=$B$11,153&lt;=$D$11),1,0)</f>
        <v/>
      </c>
      <c r="FA37" s="17">
        <f>IF(AND(154&gt;=$B$11,154&lt;=$D$11),1,0)</f>
        <v/>
      </c>
      <c r="FB37" s="17">
        <f>IF(AND(155&gt;=$B$11,155&lt;=$D$11),1,0)</f>
        <v/>
      </c>
      <c r="FC37" s="17">
        <f>IF(AND(156&gt;=$B$11,156&lt;=$D$11),1,0)</f>
        <v/>
      </c>
      <c r="FD37" s="17">
        <f>IF(AND(157&gt;=$B$11,157&lt;=$D$11),1,0)</f>
        <v/>
      </c>
      <c r="FE37" s="17">
        <f>IF(AND(158&gt;=$B$11,158&lt;=$D$11),1,0)</f>
        <v/>
      </c>
      <c r="FF37" s="17">
        <f>IF(AND(159&gt;=$B$11,159&lt;=$D$11),1,0)</f>
        <v/>
      </c>
      <c r="FG37" s="17">
        <f>IF(AND(160&gt;=$B$11,160&lt;=$D$11),1,0)</f>
        <v/>
      </c>
      <c r="FH37" s="17">
        <f>IF(AND(161&gt;=$B$11,161&lt;=$D$11),1,0)</f>
        <v/>
      </c>
      <c r="FI37" s="17">
        <f>IF(AND(162&gt;=$B$11,162&lt;=$D$11),1,0)</f>
        <v/>
      </c>
      <c r="FJ37" s="17">
        <f>IF(AND(163&gt;=$B$11,163&lt;=$D$11),1,0)</f>
        <v/>
      </c>
      <c r="FK37" s="17">
        <f>IF(AND(164&gt;=$B$11,164&lt;=$D$11),1,0)</f>
        <v/>
      </c>
      <c r="FL37" s="17">
        <f>IF(AND(165&gt;=$B$11,165&lt;=$D$11),1,0)</f>
        <v/>
      </c>
      <c r="FM37" s="17">
        <f>IF(AND(166&gt;=$B$11,166&lt;=$D$11),1,0)</f>
        <v/>
      </c>
      <c r="FN37" s="17">
        <f>IF(AND(167&gt;=$B$11,167&lt;=$D$11),1,0)</f>
        <v/>
      </c>
      <c r="FO37" s="17">
        <f>IF(AND(168&gt;=$B$11,168&lt;=$D$11),1,0)</f>
        <v/>
      </c>
      <c r="FP37" s="17">
        <f>IF(AND(169&gt;=$B$11,169&lt;=$D$11),1,0)</f>
        <v/>
      </c>
      <c r="FQ37" s="17">
        <f>IF(AND(170&gt;=$B$11,170&lt;=$D$11),1,0)</f>
        <v/>
      </c>
      <c r="FR37" s="17">
        <f>IF(AND(171&gt;=$B$11,171&lt;=$D$11),1,0)</f>
        <v/>
      </c>
      <c r="FS37" s="17">
        <f>IF(AND(172&gt;=$B$11,172&lt;=$D$11),1,0)</f>
        <v/>
      </c>
      <c r="FT37" s="17">
        <f>IF(AND(173&gt;=$B$11,173&lt;=$D$11),1,0)</f>
        <v/>
      </c>
      <c r="FU37" s="17">
        <f>IF(AND(174&gt;=$B$11,174&lt;=$D$11),1,0)</f>
        <v/>
      </c>
      <c r="FV37" s="17">
        <f>IF(AND(175&gt;=$B$11,175&lt;=$D$11),1,0)</f>
        <v/>
      </c>
      <c r="FW37" s="17">
        <f>IF(AND(176&gt;=$B$11,176&lt;=$D$11),1,0)</f>
        <v/>
      </c>
      <c r="FX37" s="17">
        <f>IF(AND(177&gt;=$B$11,177&lt;=$D$11),1,0)</f>
        <v/>
      </c>
      <c r="FY37" s="17">
        <f>IF(AND(178&gt;=$B$11,178&lt;=$D$11),1,0)</f>
        <v/>
      </c>
      <c r="FZ37" s="17">
        <f>IF(AND(179&gt;=$B$11,179&lt;=$D$11),1,0)</f>
        <v/>
      </c>
      <c r="GA37" s="17">
        <f>IF(AND(180&gt;=$B$11,180&lt;=$D$11),1,0)</f>
        <v/>
      </c>
      <c r="GB37" s="17">
        <f>IF(AND(181&gt;=$B$11,181&lt;=$D$11),1,0)</f>
        <v/>
      </c>
      <c r="GC37" s="17">
        <f>IF(AND(182&gt;=$B$11,182&lt;=$D$11),1,0)</f>
        <v/>
      </c>
      <c r="GD37" s="17">
        <f>IF(AND(183&gt;=$B$11,183&lt;=$D$11),1,0)</f>
        <v/>
      </c>
      <c r="GE37" s="17">
        <f>IF(AND(184&gt;=$B$11,184&lt;=$D$11),1,0)</f>
        <v/>
      </c>
      <c r="GF37" s="17">
        <f>IF(AND(185&gt;=$B$11,185&lt;=$D$11),1,0)</f>
        <v/>
      </c>
      <c r="GG37" s="17">
        <f>IF(AND(186&gt;=$B$11,186&lt;=$D$11),1,0)</f>
        <v/>
      </c>
      <c r="GH37" s="17">
        <f>IF(AND(187&gt;=$B$11,187&lt;=$D$11),1,0)</f>
        <v/>
      </c>
      <c r="GI37" s="17">
        <f>IF(AND(188&gt;=$B$11,188&lt;=$D$11),1,0)</f>
        <v/>
      </c>
      <c r="GJ37" s="17">
        <f>IF(AND(189&gt;=$B$11,189&lt;=$D$11),1,0)</f>
        <v/>
      </c>
      <c r="GK37" s="17">
        <f>IF(AND(190&gt;=$B$11,190&lt;=$D$11),1,0)</f>
        <v/>
      </c>
      <c r="GL37" s="17">
        <f>IF(AND(191&gt;=$B$11,191&lt;=$D$11),1,0)</f>
        <v/>
      </c>
      <c r="GM37" s="17">
        <f>IF(AND(192&gt;=$B$11,192&lt;=$D$11),1,0)</f>
        <v/>
      </c>
      <c r="GN37" s="17">
        <f>IF(AND(193&gt;=$B$11,193&lt;=$D$11),1,0)</f>
        <v/>
      </c>
      <c r="GO37" s="17">
        <f>IF(AND(194&gt;=$B$11,194&lt;=$D$11),1,0)</f>
        <v/>
      </c>
      <c r="GP37" s="17">
        <f>IF(AND(195&gt;=$B$11,195&lt;=$D$11),1,0)</f>
        <v/>
      </c>
      <c r="GQ37" s="17">
        <f>IF(AND(196&gt;=$B$11,196&lt;=$D$11),1,0)</f>
        <v/>
      </c>
      <c r="GR37" s="17">
        <f>IF(AND(197&gt;=$B$11,197&lt;=$D$11),1,0)</f>
        <v/>
      </c>
      <c r="GS37" s="17">
        <f>IF(AND(198&gt;=$B$11,198&lt;=$D$11),1,0)</f>
        <v/>
      </c>
      <c r="GT37" s="17">
        <f>IF(AND(199&gt;=$B$11,199&lt;=$D$11),1,0)</f>
        <v/>
      </c>
      <c r="GU37" s="17">
        <f>IF(AND(200&gt;=$B$11,200&lt;=$D$11),1,0)</f>
        <v/>
      </c>
      <c r="GV37" s="17">
        <f>IF(AND(201&gt;=$B$11,201&lt;=$D$11),1,0)</f>
        <v/>
      </c>
      <c r="GW37" s="17">
        <f>IF(AND(202&gt;=$B$11,202&lt;=$D$11),1,0)</f>
        <v/>
      </c>
      <c r="GX37" s="17">
        <f>IF(AND(203&gt;=$B$11,203&lt;=$D$11),1,0)</f>
        <v/>
      </c>
      <c r="GY37" s="17">
        <f>IF(AND(204&gt;=$B$11,204&lt;=$D$11),1,0)</f>
        <v/>
      </c>
      <c r="GZ37" s="17">
        <f>IF(AND(205&gt;=$B$11,205&lt;=$D$11),1,0)</f>
        <v/>
      </c>
      <c r="HA37" s="17">
        <f>IF(AND(206&gt;=$B$11,206&lt;=$D$11),1,0)</f>
        <v/>
      </c>
      <c r="HB37" s="17">
        <f>IF(AND(207&gt;=$B$11,207&lt;=$D$11),1,0)</f>
        <v/>
      </c>
      <c r="HC37" s="17">
        <f>IF(AND(208&gt;=$B$11,208&lt;=$D$11),1,0)</f>
        <v/>
      </c>
      <c r="HD37" s="17">
        <f>IF(AND(209&gt;=$B$11,209&lt;=$D$11),1,0)</f>
        <v/>
      </c>
      <c r="HE37" s="17">
        <f>IF(AND(210&gt;=$B$11,210&lt;=$D$11),1,0)</f>
        <v/>
      </c>
      <c r="HF37" s="17">
        <f>IF(AND(211&gt;=$B$11,211&lt;=$D$11),1,0)</f>
        <v/>
      </c>
      <c r="HG37" s="17">
        <f>IF(AND(212&gt;=$B$11,212&lt;=$D$11),1,0)</f>
        <v/>
      </c>
      <c r="HH37" s="17">
        <f>IF(AND(213&gt;=$B$11,213&lt;=$D$11),1,0)</f>
        <v/>
      </c>
      <c r="HI37" s="17">
        <f>IF(AND(214&gt;=$B$11,214&lt;=$D$11),1,0)</f>
        <v/>
      </c>
      <c r="HJ37" s="17">
        <f>IF(AND(215&gt;=$B$11,215&lt;=$D$11),1,0)</f>
        <v/>
      </c>
      <c r="HK37" s="17">
        <f>IF(AND(216&gt;=$B$11,216&lt;=$D$11),1,0)</f>
        <v/>
      </c>
      <c r="HL37" s="17">
        <f>IF(AND(217&gt;=$B$11,217&lt;=$D$11),1,0)</f>
        <v/>
      </c>
      <c r="HM37" s="17">
        <f>IF(AND(218&gt;=$B$11,218&lt;=$D$11),1,0)</f>
        <v/>
      </c>
      <c r="HN37" s="17">
        <f>IF(AND(219&gt;=$B$11,219&lt;=$D$11),1,0)</f>
        <v/>
      </c>
      <c r="HO37" s="17">
        <f>IF(AND(220&gt;=$B$11,220&lt;=$D$11),1,0)</f>
        <v/>
      </c>
      <c r="HP37" s="17">
        <f>IF(AND(221&gt;=$B$11,221&lt;=$D$11),1,0)</f>
        <v/>
      </c>
      <c r="HQ37" s="17">
        <f>IF(AND(222&gt;=$B$11,222&lt;=$D$11),1,0)</f>
        <v/>
      </c>
      <c r="HR37" s="17">
        <f>IF(AND(223&gt;=$B$11,223&lt;=$D$11),1,0)</f>
        <v/>
      </c>
      <c r="HS37" s="17">
        <f>IF(AND(224&gt;=$B$11,224&lt;=$D$11),1,0)</f>
        <v/>
      </c>
      <c r="HT37" s="17">
        <f>IF(AND(225&gt;=$B$11,225&lt;=$D$11),1,0)</f>
        <v/>
      </c>
      <c r="HU37" s="17">
        <f>IF(AND(226&gt;=$B$11,226&lt;=$D$11),1,0)</f>
        <v/>
      </c>
      <c r="HV37" s="17">
        <f>IF(AND(227&gt;=$B$11,227&lt;=$D$11),1,0)</f>
        <v/>
      </c>
      <c r="HW37" s="17">
        <f>IF(AND(228&gt;=$B$11,228&lt;=$D$11),1,0)</f>
        <v/>
      </c>
      <c r="HX37" s="17">
        <f>IF(AND(229&gt;=$B$11,229&lt;=$D$11),1,0)</f>
        <v/>
      </c>
      <c r="HY37" s="17">
        <f>IF(AND(230&gt;=$B$11,230&lt;=$D$11),1,0)</f>
        <v/>
      </c>
      <c r="HZ37" s="17">
        <f>IF(AND(231&gt;=$B$11,231&lt;=$D$11),1,0)</f>
        <v/>
      </c>
      <c r="IA37" s="17">
        <f>IF(AND(232&gt;=$B$11,232&lt;=$D$11),1,0)</f>
        <v/>
      </c>
      <c r="IB37" s="17">
        <f>IF(AND(233&gt;=$B$11,233&lt;=$D$11),1,0)</f>
        <v/>
      </c>
      <c r="IC37" s="17">
        <f>IF(AND(234&gt;=$B$11,234&lt;=$D$11),1,0)</f>
        <v/>
      </c>
      <c r="ID37" s="17">
        <f>IF(AND(235&gt;=$B$11,235&lt;=$D$11),1,0)</f>
        <v/>
      </c>
      <c r="IE37" s="17">
        <f>IF(AND(236&gt;=$B$11,236&lt;=$D$11),1,0)</f>
        <v/>
      </c>
      <c r="IF37" s="17">
        <f>IF(AND(237&gt;=$B$11,237&lt;=$D$11),1,0)</f>
        <v/>
      </c>
      <c r="IG37" s="17">
        <f>IF(AND(238&gt;=$B$11,238&lt;=$D$11),1,0)</f>
        <v/>
      </c>
      <c r="IH37" s="17">
        <f>IF(AND(239&gt;=$B$11,239&lt;=$D$11),1,0)</f>
        <v/>
      </c>
      <c r="II37" s="17">
        <f>IF(AND(240&gt;=$B$11,240&lt;=$D$11),1,0)</f>
        <v/>
      </c>
      <c r="IJ37" s="17">
        <f>IF(AND(241&gt;=$B$11,241&lt;=$D$11),1,0)</f>
        <v/>
      </c>
      <c r="IK37" s="17">
        <f>IF(AND(242&gt;=$B$11,242&lt;=$D$11),1,0)</f>
        <v/>
      </c>
      <c r="IL37" s="17">
        <f>IF(AND(243&gt;=$B$11,243&lt;=$D$11),1,0)</f>
        <v/>
      </c>
      <c r="IM37" s="17">
        <f>IF(AND(244&gt;=$B$11,244&lt;=$D$11),1,0)</f>
        <v/>
      </c>
      <c r="IN37" s="17">
        <f>IF(AND(245&gt;=$B$11,245&lt;=$D$11),1,0)</f>
        <v/>
      </c>
      <c r="IO37" s="17">
        <f>IF(AND(246&gt;=$B$11,246&lt;=$D$11),1,0)</f>
        <v/>
      </c>
      <c r="IP37" s="17">
        <f>IF(AND(247&gt;=$B$11,247&lt;=$D$11),1,0)</f>
        <v/>
      </c>
      <c r="IQ37" s="17">
        <f>IF(AND(248&gt;=$B$11,248&lt;=$D$11),1,0)</f>
        <v/>
      </c>
      <c r="IR37" s="17">
        <f>IF(AND(249&gt;=$B$11,249&lt;=$D$11),1,0)</f>
        <v/>
      </c>
      <c r="IS37" s="17">
        <f>IF(AND(250&gt;=$B$11,250&lt;=$D$11),1,0)</f>
        <v/>
      </c>
      <c r="IT37" s="17">
        <f>IF(AND(251&gt;=$B$11,251&lt;=$D$11),1,0)</f>
        <v/>
      </c>
      <c r="IU37" s="17">
        <f>IF(AND(252&gt;=$B$11,252&lt;=$D$11),1,0)</f>
        <v/>
      </c>
      <c r="IV37" s="17">
        <f>IF(AND(253&gt;=$B$11,253&lt;=$D$11),1,0)</f>
        <v/>
      </c>
      <c r="IW37" s="17">
        <f>IF(AND(254&gt;=$B$11,254&lt;=$D$11),1,0)</f>
        <v/>
      </c>
      <c r="IX37" s="17">
        <f>IF(AND(255&gt;=$B$11,255&lt;=$D$11),1,0)</f>
        <v/>
      </c>
      <c r="IY37" s="17">
        <f>IF(AND(256&gt;=$B$11,256&lt;=$D$11),1,0)</f>
        <v/>
      </c>
      <c r="IZ37" s="17">
        <f>IF(AND(257&gt;=$B$11,257&lt;=$D$11),1,0)</f>
        <v/>
      </c>
      <c r="JA37" s="17">
        <f>IF(AND(258&gt;=$B$11,258&lt;=$D$11),1,0)</f>
        <v/>
      </c>
      <c r="JB37" s="17">
        <f>IF(AND(259&gt;=$B$11,259&lt;=$D$11),1,0)</f>
        <v/>
      </c>
      <c r="JC37" s="17">
        <f>IF(AND(260&gt;=$B$11,260&lt;=$D$11),1,0)</f>
        <v/>
      </c>
      <c r="JD37" s="17">
        <f>IF(AND(261&gt;=$B$11,261&lt;=$D$11),1,0)</f>
        <v/>
      </c>
      <c r="JE37" s="17">
        <f>IF(AND(262&gt;=$B$11,262&lt;=$D$11),1,0)</f>
        <v/>
      </c>
      <c r="JF37" s="17">
        <f>IF(AND(263&gt;=$B$11,263&lt;=$D$11),1,0)</f>
        <v/>
      </c>
      <c r="JG37" s="17">
        <f>IF(AND(264&gt;=$B$11,264&lt;=$D$11),1,0)</f>
        <v/>
      </c>
      <c r="JH37" s="17">
        <f>IF(AND(265&gt;=$B$11,265&lt;=$D$11),1,0)</f>
        <v/>
      </c>
      <c r="JI37" s="17">
        <f>IF(AND(266&gt;=$B$11,266&lt;=$D$11),1,0)</f>
        <v/>
      </c>
      <c r="JJ37" s="17">
        <f>IF(AND(267&gt;=$B$11,267&lt;=$D$11),1,0)</f>
        <v/>
      </c>
      <c r="JK37" s="17">
        <f>IF(AND(268&gt;=$B$11,268&lt;=$D$11),1,0)</f>
        <v/>
      </c>
      <c r="JL37" s="17">
        <f>IF(AND(269&gt;=$B$11,269&lt;=$D$11),1,0)</f>
        <v/>
      </c>
      <c r="JM37" s="17">
        <f>IF(AND(270&gt;=$B$11,270&lt;=$D$11),1,0)</f>
        <v/>
      </c>
      <c r="JN37" s="17">
        <f>IF(AND(271&gt;=$B$11,271&lt;=$D$11),1,0)</f>
        <v/>
      </c>
      <c r="JO37" s="17">
        <f>IF(AND(272&gt;=$B$11,272&lt;=$D$11),1,0)</f>
        <v/>
      </c>
      <c r="JP37" s="17">
        <f>IF(AND(273&gt;=$B$11,273&lt;=$D$11),1,0)</f>
        <v/>
      </c>
      <c r="JQ37" s="17">
        <f>IF(AND(274&gt;=$B$11,274&lt;=$D$11),1,0)</f>
        <v/>
      </c>
      <c r="JR37" s="17">
        <f>IF(AND(275&gt;=$B$11,275&lt;=$D$11),1,0)</f>
        <v/>
      </c>
      <c r="JS37" s="17">
        <f>IF(AND(276&gt;=$B$11,276&lt;=$D$11),1,0)</f>
        <v/>
      </c>
      <c r="JT37" s="17">
        <f>IF(AND(277&gt;=$B$11,277&lt;=$D$11),1,0)</f>
        <v/>
      </c>
      <c r="JU37" s="17">
        <f>IF(AND(278&gt;=$B$11,278&lt;=$D$11),1,0)</f>
        <v/>
      </c>
      <c r="JV37" s="17">
        <f>IF(AND(279&gt;=$B$11,279&lt;=$D$11),1,0)</f>
        <v/>
      </c>
      <c r="JW37" s="17">
        <f>IF(AND(280&gt;=$B$11,280&lt;=$D$11),1,0)</f>
        <v/>
      </c>
      <c r="JX37" s="17">
        <f>IF(AND(281&gt;=$B$11,281&lt;=$D$11),1,0)</f>
        <v/>
      </c>
      <c r="JY37" s="17">
        <f>IF(AND(282&gt;=$B$11,282&lt;=$D$11),1,0)</f>
        <v/>
      </c>
      <c r="JZ37" s="17">
        <f>IF(AND(283&gt;=$B$11,283&lt;=$D$11),1,0)</f>
        <v/>
      </c>
      <c r="KA37" s="17">
        <f>IF(AND(284&gt;=$B$11,284&lt;=$D$11),1,0)</f>
        <v/>
      </c>
      <c r="KB37" s="17">
        <f>IF(AND(285&gt;=$B$11,285&lt;=$D$11),1,0)</f>
        <v/>
      </c>
      <c r="KC37" s="17">
        <f>IF(AND(286&gt;=$B$11,286&lt;=$D$11),1,0)</f>
        <v/>
      </c>
      <c r="KD37" s="17">
        <f>IF(AND(287&gt;=$B$11,287&lt;=$D$11),1,0)</f>
        <v/>
      </c>
      <c r="KE37" s="17">
        <f>IF(AND(288&gt;=$B$11,288&lt;=$D$11),1,0)</f>
        <v/>
      </c>
      <c r="KF37" s="17">
        <f>IF(AND(289&gt;=$B$11,289&lt;=$D$11),1,0)</f>
        <v/>
      </c>
      <c r="KG37" s="17">
        <f>IF(AND(290&gt;=$B$11,290&lt;=$D$11),1,0)</f>
        <v/>
      </c>
      <c r="KH37" s="17">
        <f>IF(AND(291&gt;=$B$11,291&lt;=$D$11),1,0)</f>
        <v/>
      </c>
      <c r="KI37" s="17">
        <f>IF(AND(292&gt;=$B$11,292&lt;=$D$11),1,0)</f>
        <v/>
      </c>
      <c r="KJ37" s="17">
        <f>IF(AND(293&gt;=$B$11,293&lt;=$D$11),1,0)</f>
        <v/>
      </c>
      <c r="KK37" s="17">
        <f>IF(AND(294&gt;=$B$11,294&lt;=$D$11),1,0)</f>
        <v/>
      </c>
      <c r="KL37" s="17">
        <f>IF(AND(295&gt;=$B$11,295&lt;=$D$11),1,0)</f>
        <v/>
      </c>
      <c r="KM37" s="17">
        <f>IF(AND(296&gt;=$B$11,296&lt;=$D$11),1,0)</f>
        <v/>
      </c>
      <c r="KN37" s="17">
        <f>IF(AND(297&gt;=$B$11,297&lt;=$D$11),1,0)</f>
        <v/>
      </c>
      <c r="KO37" s="17">
        <f>IF(AND(298&gt;=$B$11,298&lt;=$D$11),1,0)</f>
        <v/>
      </c>
      <c r="KP37" s="17">
        <f>IF(AND(299&gt;=$B$11,299&lt;=$D$11),1,0)</f>
        <v/>
      </c>
      <c r="KQ37" s="17">
        <f>IF(AND(300&gt;=$B$11,300&lt;=$D$11),1,0)</f>
        <v/>
      </c>
      <c r="KR37" s="17">
        <f>IF(AND(301&gt;=$B$11,301&lt;=$D$11),1,0)</f>
        <v/>
      </c>
      <c r="KS37" s="17">
        <f>IF(AND(302&gt;=$B$11,302&lt;=$D$11),1,0)</f>
        <v/>
      </c>
      <c r="KT37" s="17">
        <f>IF(AND(303&gt;=$B$11,303&lt;=$D$11),1,0)</f>
        <v/>
      </c>
      <c r="KU37" s="17">
        <f>IF(AND(304&gt;=$B$11,304&lt;=$D$11),1,0)</f>
        <v/>
      </c>
      <c r="KV37" s="17">
        <f>IF(AND(305&gt;=$B$11,305&lt;=$D$11),1,0)</f>
        <v/>
      </c>
      <c r="KW37" s="17">
        <f>IF(AND(306&gt;=$B$11,306&lt;=$D$11),1,0)</f>
        <v/>
      </c>
      <c r="KX37" s="17">
        <f>IF(AND(307&gt;=$B$11,307&lt;=$D$11),1,0)</f>
        <v/>
      </c>
      <c r="KY37" s="17">
        <f>IF(AND(308&gt;=$B$11,308&lt;=$D$11),1,0)</f>
        <v/>
      </c>
      <c r="KZ37" s="17">
        <f>IF(AND(309&gt;=$B$11,309&lt;=$D$11),1,0)</f>
        <v/>
      </c>
      <c r="LA37" s="17">
        <f>IF(AND(310&gt;=$B$11,310&lt;=$D$11),1,0)</f>
        <v/>
      </c>
      <c r="LB37" s="17">
        <f>IF(AND(311&gt;=$B$11,311&lt;=$D$11),1,0)</f>
        <v/>
      </c>
      <c r="LC37" s="17">
        <f>IF(AND(312&gt;=$B$11,312&lt;=$D$11),1,0)</f>
        <v/>
      </c>
      <c r="LD37" s="17">
        <f>IF(AND(313&gt;=$B$11,313&lt;=$D$11),1,0)</f>
        <v/>
      </c>
      <c r="LE37" s="17">
        <f>IF(AND(314&gt;=$B$11,314&lt;=$D$11),1,0)</f>
        <v/>
      </c>
      <c r="LF37" s="17">
        <f>IF(AND(315&gt;=$B$11,315&lt;=$D$11),1,0)</f>
        <v/>
      </c>
      <c r="LG37" s="17">
        <f>IF(AND(316&gt;=$B$11,316&lt;=$D$11),1,0)</f>
        <v/>
      </c>
      <c r="LH37" s="17">
        <f>IF(AND(317&gt;=$B$11,317&lt;=$D$11),1,0)</f>
        <v/>
      </c>
      <c r="LI37" s="17">
        <f>IF(AND(318&gt;=$B$11,318&lt;=$D$11),1,0)</f>
        <v/>
      </c>
      <c r="LJ37" s="17">
        <f>IF(AND(319&gt;=$B$11,319&lt;=$D$11),1,0)</f>
        <v/>
      </c>
      <c r="LK37" s="17">
        <f>IF(AND(320&gt;=$B$11,320&lt;=$D$11),1,0)</f>
        <v/>
      </c>
      <c r="LL37" s="17">
        <f>IF(AND(321&gt;=$B$11,321&lt;=$D$11),1,0)</f>
        <v/>
      </c>
      <c r="LM37" s="17">
        <f>IF(AND(322&gt;=$B$11,322&lt;=$D$11),1,0)</f>
        <v/>
      </c>
      <c r="LN37" s="17">
        <f>IF(AND(323&gt;=$B$11,323&lt;=$D$11),1,0)</f>
        <v/>
      </c>
      <c r="LO37" s="17">
        <f>IF(AND(324&gt;=$B$11,324&lt;=$D$11),1,0)</f>
        <v/>
      </c>
      <c r="LP37" s="17">
        <f>IF(AND(325&gt;=$B$11,325&lt;=$D$11),1,0)</f>
        <v/>
      </c>
      <c r="LQ37" s="17">
        <f>IF(AND(326&gt;=$B$11,326&lt;=$D$11),1,0)</f>
        <v/>
      </c>
      <c r="LR37" s="17">
        <f>IF(AND(327&gt;=$B$11,327&lt;=$D$11),1,0)</f>
        <v/>
      </c>
      <c r="LS37" s="17">
        <f>IF(AND(328&gt;=$B$11,328&lt;=$D$11),1,0)</f>
        <v/>
      </c>
      <c r="LT37" s="17">
        <f>IF(AND(329&gt;=$B$11,329&lt;=$D$11),1,0)</f>
        <v/>
      </c>
      <c r="LU37" s="17">
        <f>IF(AND(330&gt;=$B$11,330&lt;=$D$11),1,0)</f>
        <v/>
      </c>
      <c r="LV37" s="17">
        <f>IF(AND(331&gt;=$B$11,331&lt;=$D$11),1,0)</f>
        <v/>
      </c>
      <c r="LW37" s="17">
        <f>IF(AND(332&gt;=$B$11,332&lt;=$D$11),1,0)</f>
        <v/>
      </c>
      <c r="LX37" s="17">
        <f>IF(AND(333&gt;=$B$11,333&lt;=$D$11),1,0)</f>
        <v/>
      </c>
      <c r="LY37" s="17">
        <f>IF(AND(334&gt;=$B$11,334&lt;=$D$11),1,0)</f>
        <v/>
      </c>
      <c r="LZ37" s="17">
        <f>IF(AND(335&gt;=$B$11,335&lt;=$D$11),1,0)</f>
        <v/>
      </c>
      <c r="MA37" s="17">
        <f>IF(AND(336&gt;=$B$11,336&lt;=$D$11),1,0)</f>
        <v/>
      </c>
      <c r="MB37" s="17">
        <f>IF(AND(337&gt;=$B$11,337&lt;=$D$11),1,0)</f>
        <v/>
      </c>
      <c r="MC37" s="17">
        <f>IF(AND(338&gt;=$B$11,338&lt;=$D$11),1,0)</f>
        <v/>
      </c>
      <c r="MD37" s="17">
        <f>IF(AND(339&gt;=$B$11,339&lt;=$D$11),1,0)</f>
        <v/>
      </c>
      <c r="ME37" s="17">
        <f>IF(AND(340&gt;=$B$11,340&lt;=$D$11),1,0)</f>
        <v/>
      </c>
      <c r="MF37" s="17">
        <f>IF(AND(341&gt;=$B$11,341&lt;=$D$11),1,0)</f>
        <v/>
      </c>
      <c r="MG37" s="17">
        <f>IF(AND(342&gt;=$B$11,342&lt;=$D$11),1,0)</f>
        <v/>
      </c>
      <c r="MH37" s="17">
        <f>IF(AND(343&gt;=$B$11,343&lt;=$D$11),1,0)</f>
        <v/>
      </c>
      <c r="MI37" s="17">
        <f>IF(AND(344&gt;=$B$11,344&lt;=$D$11),1,0)</f>
        <v/>
      </c>
      <c r="MJ37" s="17">
        <f>IF(AND(345&gt;=$B$11,345&lt;=$D$11),1,0)</f>
        <v/>
      </c>
      <c r="MK37" s="17">
        <f>IF(AND(346&gt;=$B$11,346&lt;=$D$11),1,0)</f>
        <v/>
      </c>
      <c r="ML37" s="17">
        <f>IF(AND(347&gt;=$B$11,347&lt;=$D$11),1,0)</f>
        <v/>
      </c>
      <c r="MM37" s="17">
        <f>IF(AND(348&gt;=$B$11,348&lt;=$D$11),1,0)</f>
        <v/>
      </c>
      <c r="MN37" s="17">
        <f>IF(AND(349&gt;=$B$11,349&lt;=$D$11),1,0)</f>
        <v/>
      </c>
      <c r="MO37" s="17">
        <f>IF(AND(350&gt;=$B$11,350&lt;=$D$11),1,0)</f>
        <v/>
      </c>
      <c r="MP37" s="17">
        <f>IF(AND(351&gt;=$B$11,351&lt;=$D$11),1,0)</f>
        <v/>
      </c>
      <c r="MQ37" s="17">
        <f>IF(AND(352&gt;=$B$11,352&lt;=$D$11),1,0)</f>
        <v/>
      </c>
      <c r="MR37" s="17">
        <f>IF(AND(353&gt;=$B$11,353&lt;=$D$11),1,0)</f>
        <v/>
      </c>
      <c r="MS37" s="17">
        <f>IF(AND(354&gt;=$B$11,354&lt;=$D$11),1,0)</f>
        <v/>
      </c>
      <c r="MT37" s="17">
        <f>IF(AND(355&gt;=$B$11,355&lt;=$D$11),1,0)</f>
        <v/>
      </c>
      <c r="MU37" s="17">
        <f>IF(AND(356&gt;=$B$11,356&lt;=$D$11),1,0)</f>
        <v/>
      </c>
      <c r="MV37" s="17">
        <f>IF(AND(357&gt;=$B$11,357&lt;=$D$11),1,0)</f>
        <v/>
      </c>
      <c r="MW37" s="17">
        <f>IF(AND(358&gt;=$B$11,358&lt;=$D$11),1,0)</f>
        <v/>
      </c>
      <c r="MX37" s="17">
        <f>IF(AND(359&gt;=$B$11,359&lt;=$D$11),1,0)</f>
        <v/>
      </c>
      <c r="MY37" s="17">
        <f>IF(AND(360&gt;=$B$11,360&lt;=$D$11),1,0)</f>
        <v/>
      </c>
      <c r="MZ37" s="17">
        <f>IF(AND(361&gt;=$B$11,361&lt;=$D$11),1,0)</f>
        <v/>
      </c>
      <c r="NA37" s="17">
        <f>IF(AND(362&gt;=$B$11,362&lt;=$D$11),1,0)</f>
        <v/>
      </c>
      <c r="NB37" s="17">
        <f>IF(AND(363&gt;=$B$11,363&lt;=$D$11),1,0)</f>
        <v/>
      </c>
      <c r="NC37" s="17">
        <f>IF(AND(364&gt;=$B$11,364&lt;=$D$11),1,0)</f>
        <v/>
      </c>
      <c r="ND37" s="17">
        <f>IF(AND(365&gt;=$B$11,365&lt;=$D$11),1,0)</f>
        <v/>
      </c>
      <c r="NE37" s="17">
        <f>IF(AND(366&gt;=$B$11,366&lt;=$D$11),1,0)</f>
        <v/>
      </c>
      <c r="NF37" s="17">
        <f>IF(AND(367&gt;=$B$11,367&lt;=$D$11),1,0)</f>
        <v/>
      </c>
      <c r="NG37" s="17">
        <f>IF(AND(368&gt;=$B$11,368&lt;=$D$11),1,0)</f>
        <v/>
      </c>
      <c r="NH37" s="17">
        <f>IF(AND(369&gt;=$B$11,369&lt;=$D$11),1,0)</f>
        <v/>
      </c>
      <c r="NI37" s="17">
        <f>IF(AND(370&gt;=$B$11,370&lt;=$D$11),1,0)</f>
        <v/>
      </c>
      <c r="NJ37" s="17">
        <f>IF(AND(371&gt;=$B$11,371&lt;=$D$11),1,0)</f>
        <v/>
      </c>
      <c r="NK37" s="17">
        <f>IF(AND(372&gt;=$B$11,372&lt;=$D$11),1,0)</f>
        <v/>
      </c>
    </row>
    <row r="38">
      <c r="A38" s="5" t="inlineStr">
        <is>
          <t>Flag: Stabilization</t>
        </is>
      </c>
      <c r="C38" s="40" t="n"/>
      <c r="D38" s="17">
        <f>IF(AND(1&gt;=$B$12,1&lt;=$D$12),1,0)</f>
        <v/>
      </c>
      <c r="E38" s="17">
        <f>IF(AND(2&gt;=$B$12,2&lt;=$D$12),1,0)</f>
        <v/>
      </c>
      <c r="F38" s="17">
        <f>IF(AND(3&gt;=$B$12,3&lt;=$D$12),1,0)</f>
        <v/>
      </c>
      <c r="G38" s="17">
        <f>IF(AND(4&gt;=$B$12,4&lt;=$D$12),1,0)</f>
        <v/>
      </c>
      <c r="H38" s="17">
        <f>IF(AND(5&gt;=$B$12,5&lt;=$D$12),1,0)</f>
        <v/>
      </c>
      <c r="I38" s="17">
        <f>IF(AND(6&gt;=$B$12,6&lt;=$D$12),1,0)</f>
        <v/>
      </c>
      <c r="J38" s="17">
        <f>IF(AND(7&gt;=$B$12,7&lt;=$D$12),1,0)</f>
        <v/>
      </c>
      <c r="K38" s="17">
        <f>IF(AND(8&gt;=$B$12,8&lt;=$D$12),1,0)</f>
        <v/>
      </c>
      <c r="L38" s="17">
        <f>IF(AND(9&gt;=$B$12,9&lt;=$D$12),1,0)</f>
        <v/>
      </c>
      <c r="M38" s="17">
        <f>IF(AND(10&gt;=$B$12,10&lt;=$D$12),1,0)</f>
        <v/>
      </c>
      <c r="N38" s="17">
        <f>IF(AND(11&gt;=$B$12,11&lt;=$D$12),1,0)</f>
        <v/>
      </c>
      <c r="O38" s="17">
        <f>IF(AND(12&gt;=$B$12,12&lt;=$D$12),1,0)</f>
        <v/>
      </c>
      <c r="P38" s="17">
        <f>IF(AND(13&gt;=$B$12,13&lt;=$D$12),1,0)</f>
        <v/>
      </c>
      <c r="Q38" s="17">
        <f>IF(AND(14&gt;=$B$12,14&lt;=$D$12),1,0)</f>
        <v/>
      </c>
      <c r="R38" s="17">
        <f>IF(AND(15&gt;=$B$12,15&lt;=$D$12),1,0)</f>
        <v/>
      </c>
      <c r="S38" s="17">
        <f>IF(AND(16&gt;=$B$12,16&lt;=$D$12),1,0)</f>
        <v/>
      </c>
      <c r="T38" s="17">
        <f>IF(AND(17&gt;=$B$12,17&lt;=$D$12),1,0)</f>
        <v/>
      </c>
      <c r="U38" s="17">
        <f>IF(AND(18&gt;=$B$12,18&lt;=$D$12),1,0)</f>
        <v/>
      </c>
      <c r="V38" s="17">
        <f>IF(AND(19&gt;=$B$12,19&lt;=$D$12),1,0)</f>
        <v/>
      </c>
      <c r="W38" s="17">
        <f>IF(AND(20&gt;=$B$12,20&lt;=$D$12),1,0)</f>
        <v/>
      </c>
      <c r="X38" s="17">
        <f>IF(AND(21&gt;=$B$12,21&lt;=$D$12),1,0)</f>
        <v/>
      </c>
      <c r="Y38" s="17">
        <f>IF(AND(22&gt;=$B$12,22&lt;=$D$12),1,0)</f>
        <v/>
      </c>
      <c r="Z38" s="17">
        <f>IF(AND(23&gt;=$B$12,23&lt;=$D$12),1,0)</f>
        <v/>
      </c>
      <c r="AA38" s="17">
        <f>IF(AND(24&gt;=$B$12,24&lt;=$D$12),1,0)</f>
        <v/>
      </c>
      <c r="AB38" s="17">
        <f>IF(AND(25&gt;=$B$12,25&lt;=$D$12),1,0)</f>
        <v/>
      </c>
      <c r="AC38" s="17">
        <f>IF(AND(26&gt;=$B$12,26&lt;=$D$12),1,0)</f>
        <v/>
      </c>
      <c r="AD38" s="17">
        <f>IF(AND(27&gt;=$B$12,27&lt;=$D$12),1,0)</f>
        <v/>
      </c>
      <c r="AE38" s="17">
        <f>IF(AND(28&gt;=$B$12,28&lt;=$D$12),1,0)</f>
        <v/>
      </c>
      <c r="AF38" s="17">
        <f>IF(AND(29&gt;=$B$12,29&lt;=$D$12),1,0)</f>
        <v/>
      </c>
      <c r="AG38" s="17">
        <f>IF(AND(30&gt;=$B$12,30&lt;=$D$12),1,0)</f>
        <v/>
      </c>
      <c r="AH38" s="17">
        <f>IF(AND(31&gt;=$B$12,31&lt;=$D$12),1,0)</f>
        <v/>
      </c>
      <c r="AI38" s="17">
        <f>IF(AND(32&gt;=$B$12,32&lt;=$D$12),1,0)</f>
        <v/>
      </c>
      <c r="AJ38" s="17">
        <f>IF(AND(33&gt;=$B$12,33&lt;=$D$12),1,0)</f>
        <v/>
      </c>
      <c r="AK38" s="17">
        <f>IF(AND(34&gt;=$B$12,34&lt;=$D$12),1,0)</f>
        <v/>
      </c>
      <c r="AL38" s="17">
        <f>IF(AND(35&gt;=$B$12,35&lt;=$D$12),1,0)</f>
        <v/>
      </c>
      <c r="AM38" s="17">
        <f>IF(AND(36&gt;=$B$12,36&lt;=$D$12),1,0)</f>
        <v/>
      </c>
      <c r="AN38" s="17">
        <f>IF(AND(37&gt;=$B$12,37&lt;=$D$12),1,0)</f>
        <v/>
      </c>
      <c r="AO38" s="17">
        <f>IF(AND(38&gt;=$B$12,38&lt;=$D$12),1,0)</f>
        <v/>
      </c>
      <c r="AP38" s="17">
        <f>IF(AND(39&gt;=$B$12,39&lt;=$D$12),1,0)</f>
        <v/>
      </c>
      <c r="AQ38" s="17">
        <f>IF(AND(40&gt;=$B$12,40&lt;=$D$12),1,0)</f>
        <v/>
      </c>
      <c r="AR38" s="17">
        <f>IF(AND(41&gt;=$B$12,41&lt;=$D$12),1,0)</f>
        <v/>
      </c>
      <c r="AS38" s="17">
        <f>IF(AND(42&gt;=$B$12,42&lt;=$D$12),1,0)</f>
        <v/>
      </c>
      <c r="AT38" s="17">
        <f>IF(AND(43&gt;=$B$12,43&lt;=$D$12),1,0)</f>
        <v/>
      </c>
      <c r="AU38" s="17">
        <f>IF(AND(44&gt;=$B$12,44&lt;=$D$12),1,0)</f>
        <v/>
      </c>
      <c r="AV38" s="17">
        <f>IF(AND(45&gt;=$B$12,45&lt;=$D$12),1,0)</f>
        <v/>
      </c>
      <c r="AW38" s="17">
        <f>IF(AND(46&gt;=$B$12,46&lt;=$D$12),1,0)</f>
        <v/>
      </c>
      <c r="AX38" s="17">
        <f>IF(AND(47&gt;=$B$12,47&lt;=$D$12),1,0)</f>
        <v/>
      </c>
      <c r="AY38" s="17">
        <f>IF(AND(48&gt;=$B$12,48&lt;=$D$12),1,0)</f>
        <v/>
      </c>
      <c r="AZ38" s="17">
        <f>IF(AND(49&gt;=$B$12,49&lt;=$D$12),1,0)</f>
        <v/>
      </c>
      <c r="BA38" s="17">
        <f>IF(AND(50&gt;=$B$12,50&lt;=$D$12),1,0)</f>
        <v/>
      </c>
      <c r="BB38" s="17">
        <f>IF(AND(51&gt;=$B$12,51&lt;=$D$12),1,0)</f>
        <v/>
      </c>
      <c r="BC38" s="17">
        <f>IF(AND(52&gt;=$B$12,52&lt;=$D$12),1,0)</f>
        <v/>
      </c>
      <c r="BD38" s="17">
        <f>IF(AND(53&gt;=$B$12,53&lt;=$D$12),1,0)</f>
        <v/>
      </c>
      <c r="BE38" s="17">
        <f>IF(AND(54&gt;=$B$12,54&lt;=$D$12),1,0)</f>
        <v/>
      </c>
      <c r="BF38" s="17">
        <f>IF(AND(55&gt;=$B$12,55&lt;=$D$12),1,0)</f>
        <v/>
      </c>
      <c r="BG38" s="17">
        <f>IF(AND(56&gt;=$B$12,56&lt;=$D$12),1,0)</f>
        <v/>
      </c>
      <c r="BH38" s="17">
        <f>IF(AND(57&gt;=$B$12,57&lt;=$D$12),1,0)</f>
        <v/>
      </c>
      <c r="BI38" s="17">
        <f>IF(AND(58&gt;=$B$12,58&lt;=$D$12),1,0)</f>
        <v/>
      </c>
      <c r="BJ38" s="17">
        <f>IF(AND(59&gt;=$B$12,59&lt;=$D$12),1,0)</f>
        <v/>
      </c>
      <c r="BK38" s="17">
        <f>IF(AND(60&gt;=$B$12,60&lt;=$D$12),1,0)</f>
        <v/>
      </c>
      <c r="BL38" s="17">
        <f>IF(AND(61&gt;=$B$12,61&lt;=$D$12),1,0)</f>
        <v/>
      </c>
      <c r="BM38" s="17">
        <f>IF(AND(62&gt;=$B$12,62&lt;=$D$12),1,0)</f>
        <v/>
      </c>
      <c r="BN38" s="17">
        <f>IF(AND(63&gt;=$B$12,63&lt;=$D$12),1,0)</f>
        <v/>
      </c>
      <c r="BO38" s="17">
        <f>IF(AND(64&gt;=$B$12,64&lt;=$D$12),1,0)</f>
        <v/>
      </c>
      <c r="BP38" s="17">
        <f>IF(AND(65&gt;=$B$12,65&lt;=$D$12),1,0)</f>
        <v/>
      </c>
      <c r="BQ38" s="17">
        <f>IF(AND(66&gt;=$B$12,66&lt;=$D$12),1,0)</f>
        <v/>
      </c>
      <c r="BR38" s="17">
        <f>IF(AND(67&gt;=$B$12,67&lt;=$D$12),1,0)</f>
        <v/>
      </c>
      <c r="BS38" s="17">
        <f>IF(AND(68&gt;=$B$12,68&lt;=$D$12),1,0)</f>
        <v/>
      </c>
      <c r="BT38" s="17">
        <f>IF(AND(69&gt;=$B$12,69&lt;=$D$12),1,0)</f>
        <v/>
      </c>
      <c r="BU38" s="17">
        <f>IF(AND(70&gt;=$B$12,70&lt;=$D$12),1,0)</f>
        <v/>
      </c>
      <c r="BV38" s="17">
        <f>IF(AND(71&gt;=$B$12,71&lt;=$D$12),1,0)</f>
        <v/>
      </c>
      <c r="BW38" s="17">
        <f>IF(AND(72&gt;=$B$12,72&lt;=$D$12),1,0)</f>
        <v/>
      </c>
      <c r="BX38" s="17">
        <f>IF(AND(73&gt;=$B$12,73&lt;=$D$12),1,0)</f>
        <v/>
      </c>
      <c r="BY38" s="17">
        <f>IF(AND(74&gt;=$B$12,74&lt;=$D$12),1,0)</f>
        <v/>
      </c>
      <c r="BZ38" s="17">
        <f>IF(AND(75&gt;=$B$12,75&lt;=$D$12),1,0)</f>
        <v/>
      </c>
      <c r="CA38" s="17">
        <f>IF(AND(76&gt;=$B$12,76&lt;=$D$12),1,0)</f>
        <v/>
      </c>
      <c r="CB38" s="17">
        <f>IF(AND(77&gt;=$B$12,77&lt;=$D$12),1,0)</f>
        <v/>
      </c>
      <c r="CC38" s="17">
        <f>IF(AND(78&gt;=$B$12,78&lt;=$D$12),1,0)</f>
        <v/>
      </c>
      <c r="CD38" s="17">
        <f>IF(AND(79&gt;=$B$12,79&lt;=$D$12),1,0)</f>
        <v/>
      </c>
      <c r="CE38" s="17">
        <f>IF(AND(80&gt;=$B$12,80&lt;=$D$12),1,0)</f>
        <v/>
      </c>
      <c r="CF38" s="17">
        <f>IF(AND(81&gt;=$B$12,81&lt;=$D$12),1,0)</f>
        <v/>
      </c>
      <c r="CG38" s="17">
        <f>IF(AND(82&gt;=$B$12,82&lt;=$D$12),1,0)</f>
        <v/>
      </c>
      <c r="CH38" s="17">
        <f>IF(AND(83&gt;=$B$12,83&lt;=$D$12),1,0)</f>
        <v/>
      </c>
      <c r="CI38" s="17">
        <f>IF(AND(84&gt;=$B$12,84&lt;=$D$12),1,0)</f>
        <v/>
      </c>
      <c r="CJ38" s="17">
        <f>IF(AND(85&gt;=$B$12,85&lt;=$D$12),1,0)</f>
        <v/>
      </c>
      <c r="CK38" s="17">
        <f>IF(AND(86&gt;=$B$12,86&lt;=$D$12),1,0)</f>
        <v/>
      </c>
      <c r="CL38" s="17">
        <f>IF(AND(87&gt;=$B$12,87&lt;=$D$12),1,0)</f>
        <v/>
      </c>
      <c r="CM38" s="17">
        <f>IF(AND(88&gt;=$B$12,88&lt;=$D$12),1,0)</f>
        <v/>
      </c>
      <c r="CN38" s="17">
        <f>IF(AND(89&gt;=$B$12,89&lt;=$D$12),1,0)</f>
        <v/>
      </c>
      <c r="CO38" s="17">
        <f>IF(AND(90&gt;=$B$12,90&lt;=$D$12),1,0)</f>
        <v/>
      </c>
      <c r="CP38" s="17">
        <f>IF(AND(91&gt;=$B$12,91&lt;=$D$12),1,0)</f>
        <v/>
      </c>
      <c r="CQ38" s="17">
        <f>IF(AND(92&gt;=$B$12,92&lt;=$D$12),1,0)</f>
        <v/>
      </c>
      <c r="CR38" s="17">
        <f>IF(AND(93&gt;=$B$12,93&lt;=$D$12),1,0)</f>
        <v/>
      </c>
      <c r="CS38" s="17">
        <f>IF(AND(94&gt;=$B$12,94&lt;=$D$12),1,0)</f>
        <v/>
      </c>
      <c r="CT38" s="17">
        <f>IF(AND(95&gt;=$B$12,95&lt;=$D$12),1,0)</f>
        <v/>
      </c>
      <c r="CU38" s="17">
        <f>IF(AND(96&gt;=$B$12,96&lt;=$D$12),1,0)</f>
        <v/>
      </c>
      <c r="CV38" s="17">
        <f>IF(AND(97&gt;=$B$12,97&lt;=$D$12),1,0)</f>
        <v/>
      </c>
      <c r="CW38" s="17">
        <f>IF(AND(98&gt;=$B$12,98&lt;=$D$12),1,0)</f>
        <v/>
      </c>
      <c r="CX38" s="17">
        <f>IF(AND(99&gt;=$B$12,99&lt;=$D$12),1,0)</f>
        <v/>
      </c>
      <c r="CY38" s="17">
        <f>IF(AND(100&gt;=$B$12,100&lt;=$D$12),1,0)</f>
        <v/>
      </c>
      <c r="CZ38" s="17">
        <f>IF(AND(101&gt;=$B$12,101&lt;=$D$12),1,0)</f>
        <v/>
      </c>
      <c r="DA38" s="17">
        <f>IF(AND(102&gt;=$B$12,102&lt;=$D$12),1,0)</f>
        <v/>
      </c>
      <c r="DB38" s="17">
        <f>IF(AND(103&gt;=$B$12,103&lt;=$D$12),1,0)</f>
        <v/>
      </c>
      <c r="DC38" s="17">
        <f>IF(AND(104&gt;=$B$12,104&lt;=$D$12),1,0)</f>
        <v/>
      </c>
      <c r="DD38" s="17">
        <f>IF(AND(105&gt;=$B$12,105&lt;=$D$12),1,0)</f>
        <v/>
      </c>
      <c r="DE38" s="17">
        <f>IF(AND(106&gt;=$B$12,106&lt;=$D$12),1,0)</f>
        <v/>
      </c>
      <c r="DF38" s="17">
        <f>IF(AND(107&gt;=$B$12,107&lt;=$D$12),1,0)</f>
        <v/>
      </c>
      <c r="DG38" s="17">
        <f>IF(AND(108&gt;=$B$12,108&lt;=$D$12),1,0)</f>
        <v/>
      </c>
      <c r="DH38" s="17">
        <f>IF(AND(109&gt;=$B$12,109&lt;=$D$12),1,0)</f>
        <v/>
      </c>
      <c r="DI38" s="17">
        <f>IF(AND(110&gt;=$B$12,110&lt;=$D$12),1,0)</f>
        <v/>
      </c>
      <c r="DJ38" s="17">
        <f>IF(AND(111&gt;=$B$12,111&lt;=$D$12),1,0)</f>
        <v/>
      </c>
      <c r="DK38" s="17">
        <f>IF(AND(112&gt;=$B$12,112&lt;=$D$12),1,0)</f>
        <v/>
      </c>
      <c r="DL38" s="17">
        <f>IF(AND(113&gt;=$B$12,113&lt;=$D$12),1,0)</f>
        <v/>
      </c>
      <c r="DM38" s="17">
        <f>IF(AND(114&gt;=$B$12,114&lt;=$D$12),1,0)</f>
        <v/>
      </c>
      <c r="DN38" s="17">
        <f>IF(AND(115&gt;=$B$12,115&lt;=$D$12),1,0)</f>
        <v/>
      </c>
      <c r="DO38" s="17">
        <f>IF(AND(116&gt;=$B$12,116&lt;=$D$12),1,0)</f>
        <v/>
      </c>
      <c r="DP38" s="17">
        <f>IF(AND(117&gt;=$B$12,117&lt;=$D$12),1,0)</f>
        <v/>
      </c>
      <c r="DQ38" s="17">
        <f>IF(AND(118&gt;=$B$12,118&lt;=$D$12),1,0)</f>
        <v/>
      </c>
      <c r="DR38" s="17">
        <f>IF(AND(119&gt;=$B$12,119&lt;=$D$12),1,0)</f>
        <v/>
      </c>
      <c r="DS38" s="17">
        <f>IF(AND(120&gt;=$B$12,120&lt;=$D$12),1,0)</f>
        <v/>
      </c>
      <c r="DT38" s="17">
        <f>IF(AND(121&gt;=$B$12,121&lt;=$D$12),1,0)</f>
        <v/>
      </c>
      <c r="DU38" s="17">
        <f>IF(AND(122&gt;=$B$12,122&lt;=$D$12),1,0)</f>
        <v/>
      </c>
      <c r="DV38" s="17">
        <f>IF(AND(123&gt;=$B$12,123&lt;=$D$12),1,0)</f>
        <v/>
      </c>
      <c r="DW38" s="17">
        <f>IF(AND(124&gt;=$B$12,124&lt;=$D$12),1,0)</f>
        <v/>
      </c>
      <c r="DX38" s="17">
        <f>IF(AND(125&gt;=$B$12,125&lt;=$D$12),1,0)</f>
        <v/>
      </c>
      <c r="DY38" s="17">
        <f>IF(AND(126&gt;=$B$12,126&lt;=$D$12),1,0)</f>
        <v/>
      </c>
      <c r="DZ38" s="17">
        <f>IF(AND(127&gt;=$B$12,127&lt;=$D$12),1,0)</f>
        <v/>
      </c>
      <c r="EA38" s="17">
        <f>IF(AND(128&gt;=$B$12,128&lt;=$D$12),1,0)</f>
        <v/>
      </c>
      <c r="EB38" s="17">
        <f>IF(AND(129&gt;=$B$12,129&lt;=$D$12),1,0)</f>
        <v/>
      </c>
      <c r="EC38" s="17">
        <f>IF(AND(130&gt;=$B$12,130&lt;=$D$12),1,0)</f>
        <v/>
      </c>
      <c r="ED38" s="17">
        <f>IF(AND(131&gt;=$B$12,131&lt;=$D$12),1,0)</f>
        <v/>
      </c>
      <c r="EE38" s="17">
        <f>IF(AND(132&gt;=$B$12,132&lt;=$D$12),1,0)</f>
        <v/>
      </c>
      <c r="EF38" s="17">
        <f>IF(AND(133&gt;=$B$12,133&lt;=$D$12),1,0)</f>
        <v/>
      </c>
      <c r="EG38" s="17">
        <f>IF(AND(134&gt;=$B$12,134&lt;=$D$12),1,0)</f>
        <v/>
      </c>
      <c r="EH38" s="17">
        <f>IF(AND(135&gt;=$B$12,135&lt;=$D$12),1,0)</f>
        <v/>
      </c>
      <c r="EI38" s="17">
        <f>IF(AND(136&gt;=$B$12,136&lt;=$D$12),1,0)</f>
        <v/>
      </c>
      <c r="EJ38" s="17">
        <f>IF(AND(137&gt;=$B$12,137&lt;=$D$12),1,0)</f>
        <v/>
      </c>
      <c r="EK38" s="17">
        <f>IF(AND(138&gt;=$B$12,138&lt;=$D$12),1,0)</f>
        <v/>
      </c>
      <c r="EL38" s="17">
        <f>IF(AND(139&gt;=$B$12,139&lt;=$D$12),1,0)</f>
        <v/>
      </c>
      <c r="EM38" s="17">
        <f>IF(AND(140&gt;=$B$12,140&lt;=$D$12),1,0)</f>
        <v/>
      </c>
      <c r="EN38" s="17">
        <f>IF(AND(141&gt;=$B$12,141&lt;=$D$12),1,0)</f>
        <v/>
      </c>
      <c r="EO38" s="17">
        <f>IF(AND(142&gt;=$B$12,142&lt;=$D$12),1,0)</f>
        <v/>
      </c>
      <c r="EP38" s="17">
        <f>IF(AND(143&gt;=$B$12,143&lt;=$D$12),1,0)</f>
        <v/>
      </c>
      <c r="EQ38" s="17">
        <f>IF(AND(144&gt;=$B$12,144&lt;=$D$12),1,0)</f>
        <v/>
      </c>
      <c r="ER38" s="17">
        <f>IF(AND(145&gt;=$B$12,145&lt;=$D$12),1,0)</f>
        <v/>
      </c>
      <c r="ES38" s="17">
        <f>IF(AND(146&gt;=$B$12,146&lt;=$D$12),1,0)</f>
        <v/>
      </c>
      <c r="ET38" s="17">
        <f>IF(AND(147&gt;=$B$12,147&lt;=$D$12),1,0)</f>
        <v/>
      </c>
      <c r="EU38" s="17">
        <f>IF(AND(148&gt;=$B$12,148&lt;=$D$12),1,0)</f>
        <v/>
      </c>
      <c r="EV38" s="17">
        <f>IF(AND(149&gt;=$B$12,149&lt;=$D$12),1,0)</f>
        <v/>
      </c>
      <c r="EW38" s="17">
        <f>IF(AND(150&gt;=$B$12,150&lt;=$D$12),1,0)</f>
        <v/>
      </c>
      <c r="EX38" s="17">
        <f>IF(AND(151&gt;=$B$12,151&lt;=$D$12),1,0)</f>
        <v/>
      </c>
      <c r="EY38" s="17">
        <f>IF(AND(152&gt;=$B$12,152&lt;=$D$12),1,0)</f>
        <v/>
      </c>
      <c r="EZ38" s="17">
        <f>IF(AND(153&gt;=$B$12,153&lt;=$D$12),1,0)</f>
        <v/>
      </c>
      <c r="FA38" s="17">
        <f>IF(AND(154&gt;=$B$12,154&lt;=$D$12),1,0)</f>
        <v/>
      </c>
      <c r="FB38" s="17">
        <f>IF(AND(155&gt;=$B$12,155&lt;=$D$12),1,0)</f>
        <v/>
      </c>
      <c r="FC38" s="17">
        <f>IF(AND(156&gt;=$B$12,156&lt;=$D$12),1,0)</f>
        <v/>
      </c>
      <c r="FD38" s="17">
        <f>IF(AND(157&gt;=$B$12,157&lt;=$D$12),1,0)</f>
        <v/>
      </c>
      <c r="FE38" s="17">
        <f>IF(AND(158&gt;=$B$12,158&lt;=$D$12),1,0)</f>
        <v/>
      </c>
      <c r="FF38" s="17">
        <f>IF(AND(159&gt;=$B$12,159&lt;=$D$12),1,0)</f>
        <v/>
      </c>
      <c r="FG38" s="17">
        <f>IF(AND(160&gt;=$B$12,160&lt;=$D$12),1,0)</f>
        <v/>
      </c>
      <c r="FH38" s="17">
        <f>IF(AND(161&gt;=$B$12,161&lt;=$D$12),1,0)</f>
        <v/>
      </c>
      <c r="FI38" s="17">
        <f>IF(AND(162&gt;=$B$12,162&lt;=$D$12),1,0)</f>
        <v/>
      </c>
      <c r="FJ38" s="17">
        <f>IF(AND(163&gt;=$B$12,163&lt;=$D$12),1,0)</f>
        <v/>
      </c>
      <c r="FK38" s="17">
        <f>IF(AND(164&gt;=$B$12,164&lt;=$D$12),1,0)</f>
        <v/>
      </c>
      <c r="FL38" s="17">
        <f>IF(AND(165&gt;=$B$12,165&lt;=$D$12),1,0)</f>
        <v/>
      </c>
      <c r="FM38" s="17">
        <f>IF(AND(166&gt;=$B$12,166&lt;=$D$12),1,0)</f>
        <v/>
      </c>
      <c r="FN38" s="17">
        <f>IF(AND(167&gt;=$B$12,167&lt;=$D$12),1,0)</f>
        <v/>
      </c>
      <c r="FO38" s="17">
        <f>IF(AND(168&gt;=$B$12,168&lt;=$D$12),1,0)</f>
        <v/>
      </c>
      <c r="FP38" s="17">
        <f>IF(AND(169&gt;=$B$12,169&lt;=$D$12),1,0)</f>
        <v/>
      </c>
      <c r="FQ38" s="17">
        <f>IF(AND(170&gt;=$B$12,170&lt;=$D$12),1,0)</f>
        <v/>
      </c>
      <c r="FR38" s="17">
        <f>IF(AND(171&gt;=$B$12,171&lt;=$D$12),1,0)</f>
        <v/>
      </c>
      <c r="FS38" s="17">
        <f>IF(AND(172&gt;=$B$12,172&lt;=$D$12),1,0)</f>
        <v/>
      </c>
      <c r="FT38" s="17">
        <f>IF(AND(173&gt;=$B$12,173&lt;=$D$12),1,0)</f>
        <v/>
      </c>
      <c r="FU38" s="17">
        <f>IF(AND(174&gt;=$B$12,174&lt;=$D$12),1,0)</f>
        <v/>
      </c>
      <c r="FV38" s="17">
        <f>IF(AND(175&gt;=$B$12,175&lt;=$D$12),1,0)</f>
        <v/>
      </c>
      <c r="FW38" s="17">
        <f>IF(AND(176&gt;=$B$12,176&lt;=$D$12),1,0)</f>
        <v/>
      </c>
      <c r="FX38" s="17">
        <f>IF(AND(177&gt;=$B$12,177&lt;=$D$12),1,0)</f>
        <v/>
      </c>
      <c r="FY38" s="17">
        <f>IF(AND(178&gt;=$B$12,178&lt;=$D$12),1,0)</f>
        <v/>
      </c>
      <c r="FZ38" s="17">
        <f>IF(AND(179&gt;=$B$12,179&lt;=$D$12),1,0)</f>
        <v/>
      </c>
      <c r="GA38" s="17">
        <f>IF(AND(180&gt;=$B$12,180&lt;=$D$12),1,0)</f>
        <v/>
      </c>
      <c r="GB38" s="17">
        <f>IF(AND(181&gt;=$B$12,181&lt;=$D$12),1,0)</f>
        <v/>
      </c>
      <c r="GC38" s="17">
        <f>IF(AND(182&gt;=$B$12,182&lt;=$D$12),1,0)</f>
        <v/>
      </c>
      <c r="GD38" s="17">
        <f>IF(AND(183&gt;=$B$12,183&lt;=$D$12),1,0)</f>
        <v/>
      </c>
      <c r="GE38" s="17">
        <f>IF(AND(184&gt;=$B$12,184&lt;=$D$12),1,0)</f>
        <v/>
      </c>
      <c r="GF38" s="17">
        <f>IF(AND(185&gt;=$B$12,185&lt;=$D$12),1,0)</f>
        <v/>
      </c>
      <c r="GG38" s="17">
        <f>IF(AND(186&gt;=$B$12,186&lt;=$D$12),1,0)</f>
        <v/>
      </c>
      <c r="GH38" s="17">
        <f>IF(AND(187&gt;=$B$12,187&lt;=$D$12),1,0)</f>
        <v/>
      </c>
      <c r="GI38" s="17">
        <f>IF(AND(188&gt;=$B$12,188&lt;=$D$12),1,0)</f>
        <v/>
      </c>
      <c r="GJ38" s="17">
        <f>IF(AND(189&gt;=$B$12,189&lt;=$D$12),1,0)</f>
        <v/>
      </c>
      <c r="GK38" s="17">
        <f>IF(AND(190&gt;=$B$12,190&lt;=$D$12),1,0)</f>
        <v/>
      </c>
      <c r="GL38" s="17">
        <f>IF(AND(191&gt;=$B$12,191&lt;=$D$12),1,0)</f>
        <v/>
      </c>
      <c r="GM38" s="17">
        <f>IF(AND(192&gt;=$B$12,192&lt;=$D$12),1,0)</f>
        <v/>
      </c>
      <c r="GN38" s="17">
        <f>IF(AND(193&gt;=$B$12,193&lt;=$D$12),1,0)</f>
        <v/>
      </c>
      <c r="GO38" s="17">
        <f>IF(AND(194&gt;=$B$12,194&lt;=$D$12),1,0)</f>
        <v/>
      </c>
      <c r="GP38" s="17">
        <f>IF(AND(195&gt;=$B$12,195&lt;=$D$12),1,0)</f>
        <v/>
      </c>
      <c r="GQ38" s="17">
        <f>IF(AND(196&gt;=$B$12,196&lt;=$D$12),1,0)</f>
        <v/>
      </c>
      <c r="GR38" s="17">
        <f>IF(AND(197&gt;=$B$12,197&lt;=$D$12),1,0)</f>
        <v/>
      </c>
      <c r="GS38" s="17">
        <f>IF(AND(198&gt;=$B$12,198&lt;=$D$12),1,0)</f>
        <v/>
      </c>
      <c r="GT38" s="17">
        <f>IF(AND(199&gt;=$B$12,199&lt;=$D$12),1,0)</f>
        <v/>
      </c>
      <c r="GU38" s="17">
        <f>IF(AND(200&gt;=$B$12,200&lt;=$D$12),1,0)</f>
        <v/>
      </c>
      <c r="GV38" s="17">
        <f>IF(AND(201&gt;=$B$12,201&lt;=$D$12),1,0)</f>
        <v/>
      </c>
      <c r="GW38" s="17">
        <f>IF(AND(202&gt;=$B$12,202&lt;=$D$12),1,0)</f>
        <v/>
      </c>
      <c r="GX38" s="17">
        <f>IF(AND(203&gt;=$B$12,203&lt;=$D$12),1,0)</f>
        <v/>
      </c>
      <c r="GY38" s="17">
        <f>IF(AND(204&gt;=$B$12,204&lt;=$D$12),1,0)</f>
        <v/>
      </c>
      <c r="GZ38" s="17">
        <f>IF(AND(205&gt;=$B$12,205&lt;=$D$12),1,0)</f>
        <v/>
      </c>
      <c r="HA38" s="17">
        <f>IF(AND(206&gt;=$B$12,206&lt;=$D$12),1,0)</f>
        <v/>
      </c>
      <c r="HB38" s="17">
        <f>IF(AND(207&gt;=$B$12,207&lt;=$D$12),1,0)</f>
        <v/>
      </c>
      <c r="HC38" s="17">
        <f>IF(AND(208&gt;=$B$12,208&lt;=$D$12),1,0)</f>
        <v/>
      </c>
      <c r="HD38" s="17">
        <f>IF(AND(209&gt;=$B$12,209&lt;=$D$12),1,0)</f>
        <v/>
      </c>
      <c r="HE38" s="17">
        <f>IF(AND(210&gt;=$B$12,210&lt;=$D$12),1,0)</f>
        <v/>
      </c>
      <c r="HF38" s="17">
        <f>IF(AND(211&gt;=$B$12,211&lt;=$D$12),1,0)</f>
        <v/>
      </c>
      <c r="HG38" s="17">
        <f>IF(AND(212&gt;=$B$12,212&lt;=$D$12),1,0)</f>
        <v/>
      </c>
      <c r="HH38" s="17">
        <f>IF(AND(213&gt;=$B$12,213&lt;=$D$12),1,0)</f>
        <v/>
      </c>
      <c r="HI38" s="17">
        <f>IF(AND(214&gt;=$B$12,214&lt;=$D$12),1,0)</f>
        <v/>
      </c>
      <c r="HJ38" s="17">
        <f>IF(AND(215&gt;=$B$12,215&lt;=$D$12),1,0)</f>
        <v/>
      </c>
      <c r="HK38" s="17">
        <f>IF(AND(216&gt;=$B$12,216&lt;=$D$12),1,0)</f>
        <v/>
      </c>
      <c r="HL38" s="17">
        <f>IF(AND(217&gt;=$B$12,217&lt;=$D$12),1,0)</f>
        <v/>
      </c>
      <c r="HM38" s="17">
        <f>IF(AND(218&gt;=$B$12,218&lt;=$D$12),1,0)</f>
        <v/>
      </c>
      <c r="HN38" s="17">
        <f>IF(AND(219&gt;=$B$12,219&lt;=$D$12),1,0)</f>
        <v/>
      </c>
      <c r="HO38" s="17">
        <f>IF(AND(220&gt;=$B$12,220&lt;=$D$12),1,0)</f>
        <v/>
      </c>
      <c r="HP38" s="17">
        <f>IF(AND(221&gt;=$B$12,221&lt;=$D$12),1,0)</f>
        <v/>
      </c>
      <c r="HQ38" s="17">
        <f>IF(AND(222&gt;=$B$12,222&lt;=$D$12),1,0)</f>
        <v/>
      </c>
      <c r="HR38" s="17">
        <f>IF(AND(223&gt;=$B$12,223&lt;=$D$12),1,0)</f>
        <v/>
      </c>
      <c r="HS38" s="17">
        <f>IF(AND(224&gt;=$B$12,224&lt;=$D$12),1,0)</f>
        <v/>
      </c>
      <c r="HT38" s="17">
        <f>IF(AND(225&gt;=$B$12,225&lt;=$D$12),1,0)</f>
        <v/>
      </c>
      <c r="HU38" s="17">
        <f>IF(AND(226&gt;=$B$12,226&lt;=$D$12),1,0)</f>
        <v/>
      </c>
      <c r="HV38" s="17">
        <f>IF(AND(227&gt;=$B$12,227&lt;=$D$12),1,0)</f>
        <v/>
      </c>
      <c r="HW38" s="17">
        <f>IF(AND(228&gt;=$B$12,228&lt;=$D$12),1,0)</f>
        <v/>
      </c>
      <c r="HX38" s="17">
        <f>IF(AND(229&gt;=$B$12,229&lt;=$D$12),1,0)</f>
        <v/>
      </c>
      <c r="HY38" s="17">
        <f>IF(AND(230&gt;=$B$12,230&lt;=$D$12),1,0)</f>
        <v/>
      </c>
      <c r="HZ38" s="17">
        <f>IF(AND(231&gt;=$B$12,231&lt;=$D$12),1,0)</f>
        <v/>
      </c>
      <c r="IA38" s="17">
        <f>IF(AND(232&gt;=$B$12,232&lt;=$D$12),1,0)</f>
        <v/>
      </c>
      <c r="IB38" s="17">
        <f>IF(AND(233&gt;=$B$12,233&lt;=$D$12),1,0)</f>
        <v/>
      </c>
      <c r="IC38" s="17">
        <f>IF(AND(234&gt;=$B$12,234&lt;=$D$12),1,0)</f>
        <v/>
      </c>
      <c r="ID38" s="17">
        <f>IF(AND(235&gt;=$B$12,235&lt;=$D$12),1,0)</f>
        <v/>
      </c>
      <c r="IE38" s="17">
        <f>IF(AND(236&gt;=$B$12,236&lt;=$D$12),1,0)</f>
        <v/>
      </c>
      <c r="IF38" s="17">
        <f>IF(AND(237&gt;=$B$12,237&lt;=$D$12),1,0)</f>
        <v/>
      </c>
      <c r="IG38" s="17">
        <f>IF(AND(238&gt;=$B$12,238&lt;=$D$12),1,0)</f>
        <v/>
      </c>
      <c r="IH38" s="17">
        <f>IF(AND(239&gt;=$B$12,239&lt;=$D$12),1,0)</f>
        <v/>
      </c>
      <c r="II38" s="17">
        <f>IF(AND(240&gt;=$B$12,240&lt;=$D$12),1,0)</f>
        <v/>
      </c>
      <c r="IJ38" s="17">
        <f>IF(AND(241&gt;=$B$12,241&lt;=$D$12),1,0)</f>
        <v/>
      </c>
      <c r="IK38" s="17">
        <f>IF(AND(242&gt;=$B$12,242&lt;=$D$12),1,0)</f>
        <v/>
      </c>
      <c r="IL38" s="17">
        <f>IF(AND(243&gt;=$B$12,243&lt;=$D$12),1,0)</f>
        <v/>
      </c>
      <c r="IM38" s="17">
        <f>IF(AND(244&gt;=$B$12,244&lt;=$D$12),1,0)</f>
        <v/>
      </c>
      <c r="IN38" s="17">
        <f>IF(AND(245&gt;=$B$12,245&lt;=$D$12),1,0)</f>
        <v/>
      </c>
      <c r="IO38" s="17">
        <f>IF(AND(246&gt;=$B$12,246&lt;=$D$12),1,0)</f>
        <v/>
      </c>
      <c r="IP38" s="17">
        <f>IF(AND(247&gt;=$B$12,247&lt;=$D$12),1,0)</f>
        <v/>
      </c>
      <c r="IQ38" s="17">
        <f>IF(AND(248&gt;=$B$12,248&lt;=$D$12),1,0)</f>
        <v/>
      </c>
      <c r="IR38" s="17">
        <f>IF(AND(249&gt;=$B$12,249&lt;=$D$12),1,0)</f>
        <v/>
      </c>
      <c r="IS38" s="17">
        <f>IF(AND(250&gt;=$B$12,250&lt;=$D$12),1,0)</f>
        <v/>
      </c>
      <c r="IT38" s="17">
        <f>IF(AND(251&gt;=$B$12,251&lt;=$D$12),1,0)</f>
        <v/>
      </c>
      <c r="IU38" s="17">
        <f>IF(AND(252&gt;=$B$12,252&lt;=$D$12),1,0)</f>
        <v/>
      </c>
      <c r="IV38" s="17">
        <f>IF(AND(253&gt;=$B$12,253&lt;=$D$12),1,0)</f>
        <v/>
      </c>
      <c r="IW38" s="17">
        <f>IF(AND(254&gt;=$B$12,254&lt;=$D$12),1,0)</f>
        <v/>
      </c>
      <c r="IX38" s="17">
        <f>IF(AND(255&gt;=$B$12,255&lt;=$D$12),1,0)</f>
        <v/>
      </c>
      <c r="IY38" s="17">
        <f>IF(AND(256&gt;=$B$12,256&lt;=$D$12),1,0)</f>
        <v/>
      </c>
      <c r="IZ38" s="17">
        <f>IF(AND(257&gt;=$B$12,257&lt;=$D$12),1,0)</f>
        <v/>
      </c>
      <c r="JA38" s="17">
        <f>IF(AND(258&gt;=$B$12,258&lt;=$D$12),1,0)</f>
        <v/>
      </c>
      <c r="JB38" s="17">
        <f>IF(AND(259&gt;=$B$12,259&lt;=$D$12),1,0)</f>
        <v/>
      </c>
      <c r="JC38" s="17">
        <f>IF(AND(260&gt;=$B$12,260&lt;=$D$12),1,0)</f>
        <v/>
      </c>
      <c r="JD38" s="17">
        <f>IF(AND(261&gt;=$B$12,261&lt;=$D$12),1,0)</f>
        <v/>
      </c>
      <c r="JE38" s="17">
        <f>IF(AND(262&gt;=$B$12,262&lt;=$D$12),1,0)</f>
        <v/>
      </c>
      <c r="JF38" s="17">
        <f>IF(AND(263&gt;=$B$12,263&lt;=$D$12),1,0)</f>
        <v/>
      </c>
      <c r="JG38" s="17">
        <f>IF(AND(264&gt;=$B$12,264&lt;=$D$12),1,0)</f>
        <v/>
      </c>
      <c r="JH38" s="17">
        <f>IF(AND(265&gt;=$B$12,265&lt;=$D$12),1,0)</f>
        <v/>
      </c>
      <c r="JI38" s="17">
        <f>IF(AND(266&gt;=$B$12,266&lt;=$D$12),1,0)</f>
        <v/>
      </c>
      <c r="JJ38" s="17">
        <f>IF(AND(267&gt;=$B$12,267&lt;=$D$12),1,0)</f>
        <v/>
      </c>
      <c r="JK38" s="17">
        <f>IF(AND(268&gt;=$B$12,268&lt;=$D$12),1,0)</f>
        <v/>
      </c>
      <c r="JL38" s="17">
        <f>IF(AND(269&gt;=$B$12,269&lt;=$D$12),1,0)</f>
        <v/>
      </c>
      <c r="JM38" s="17">
        <f>IF(AND(270&gt;=$B$12,270&lt;=$D$12),1,0)</f>
        <v/>
      </c>
      <c r="JN38" s="17">
        <f>IF(AND(271&gt;=$B$12,271&lt;=$D$12),1,0)</f>
        <v/>
      </c>
      <c r="JO38" s="17">
        <f>IF(AND(272&gt;=$B$12,272&lt;=$D$12),1,0)</f>
        <v/>
      </c>
      <c r="JP38" s="17">
        <f>IF(AND(273&gt;=$B$12,273&lt;=$D$12),1,0)</f>
        <v/>
      </c>
      <c r="JQ38" s="17">
        <f>IF(AND(274&gt;=$B$12,274&lt;=$D$12),1,0)</f>
        <v/>
      </c>
      <c r="JR38" s="17">
        <f>IF(AND(275&gt;=$B$12,275&lt;=$D$12),1,0)</f>
        <v/>
      </c>
      <c r="JS38" s="17">
        <f>IF(AND(276&gt;=$B$12,276&lt;=$D$12),1,0)</f>
        <v/>
      </c>
      <c r="JT38" s="17">
        <f>IF(AND(277&gt;=$B$12,277&lt;=$D$12),1,0)</f>
        <v/>
      </c>
      <c r="JU38" s="17">
        <f>IF(AND(278&gt;=$B$12,278&lt;=$D$12),1,0)</f>
        <v/>
      </c>
      <c r="JV38" s="17">
        <f>IF(AND(279&gt;=$B$12,279&lt;=$D$12),1,0)</f>
        <v/>
      </c>
      <c r="JW38" s="17">
        <f>IF(AND(280&gt;=$B$12,280&lt;=$D$12),1,0)</f>
        <v/>
      </c>
      <c r="JX38" s="17">
        <f>IF(AND(281&gt;=$B$12,281&lt;=$D$12),1,0)</f>
        <v/>
      </c>
      <c r="JY38" s="17">
        <f>IF(AND(282&gt;=$B$12,282&lt;=$D$12),1,0)</f>
        <v/>
      </c>
      <c r="JZ38" s="17">
        <f>IF(AND(283&gt;=$B$12,283&lt;=$D$12),1,0)</f>
        <v/>
      </c>
      <c r="KA38" s="17">
        <f>IF(AND(284&gt;=$B$12,284&lt;=$D$12),1,0)</f>
        <v/>
      </c>
      <c r="KB38" s="17">
        <f>IF(AND(285&gt;=$B$12,285&lt;=$D$12),1,0)</f>
        <v/>
      </c>
      <c r="KC38" s="17">
        <f>IF(AND(286&gt;=$B$12,286&lt;=$D$12),1,0)</f>
        <v/>
      </c>
      <c r="KD38" s="17">
        <f>IF(AND(287&gt;=$B$12,287&lt;=$D$12),1,0)</f>
        <v/>
      </c>
      <c r="KE38" s="17">
        <f>IF(AND(288&gt;=$B$12,288&lt;=$D$12),1,0)</f>
        <v/>
      </c>
      <c r="KF38" s="17">
        <f>IF(AND(289&gt;=$B$12,289&lt;=$D$12),1,0)</f>
        <v/>
      </c>
      <c r="KG38" s="17">
        <f>IF(AND(290&gt;=$B$12,290&lt;=$D$12),1,0)</f>
        <v/>
      </c>
      <c r="KH38" s="17">
        <f>IF(AND(291&gt;=$B$12,291&lt;=$D$12),1,0)</f>
        <v/>
      </c>
      <c r="KI38" s="17">
        <f>IF(AND(292&gt;=$B$12,292&lt;=$D$12),1,0)</f>
        <v/>
      </c>
      <c r="KJ38" s="17">
        <f>IF(AND(293&gt;=$B$12,293&lt;=$D$12),1,0)</f>
        <v/>
      </c>
      <c r="KK38" s="17">
        <f>IF(AND(294&gt;=$B$12,294&lt;=$D$12),1,0)</f>
        <v/>
      </c>
      <c r="KL38" s="17">
        <f>IF(AND(295&gt;=$B$12,295&lt;=$D$12),1,0)</f>
        <v/>
      </c>
      <c r="KM38" s="17">
        <f>IF(AND(296&gt;=$B$12,296&lt;=$D$12),1,0)</f>
        <v/>
      </c>
      <c r="KN38" s="17">
        <f>IF(AND(297&gt;=$B$12,297&lt;=$D$12),1,0)</f>
        <v/>
      </c>
      <c r="KO38" s="17">
        <f>IF(AND(298&gt;=$B$12,298&lt;=$D$12),1,0)</f>
        <v/>
      </c>
      <c r="KP38" s="17">
        <f>IF(AND(299&gt;=$B$12,299&lt;=$D$12),1,0)</f>
        <v/>
      </c>
      <c r="KQ38" s="17">
        <f>IF(AND(300&gt;=$B$12,300&lt;=$D$12),1,0)</f>
        <v/>
      </c>
      <c r="KR38" s="17">
        <f>IF(AND(301&gt;=$B$12,301&lt;=$D$12),1,0)</f>
        <v/>
      </c>
      <c r="KS38" s="17">
        <f>IF(AND(302&gt;=$B$12,302&lt;=$D$12),1,0)</f>
        <v/>
      </c>
      <c r="KT38" s="17">
        <f>IF(AND(303&gt;=$B$12,303&lt;=$D$12),1,0)</f>
        <v/>
      </c>
      <c r="KU38" s="17">
        <f>IF(AND(304&gt;=$B$12,304&lt;=$D$12),1,0)</f>
        <v/>
      </c>
      <c r="KV38" s="17">
        <f>IF(AND(305&gt;=$B$12,305&lt;=$D$12),1,0)</f>
        <v/>
      </c>
      <c r="KW38" s="17">
        <f>IF(AND(306&gt;=$B$12,306&lt;=$D$12),1,0)</f>
        <v/>
      </c>
      <c r="KX38" s="17">
        <f>IF(AND(307&gt;=$B$12,307&lt;=$D$12),1,0)</f>
        <v/>
      </c>
      <c r="KY38" s="17">
        <f>IF(AND(308&gt;=$B$12,308&lt;=$D$12),1,0)</f>
        <v/>
      </c>
      <c r="KZ38" s="17">
        <f>IF(AND(309&gt;=$B$12,309&lt;=$D$12),1,0)</f>
        <v/>
      </c>
      <c r="LA38" s="17">
        <f>IF(AND(310&gt;=$B$12,310&lt;=$D$12),1,0)</f>
        <v/>
      </c>
      <c r="LB38" s="17">
        <f>IF(AND(311&gt;=$B$12,311&lt;=$D$12),1,0)</f>
        <v/>
      </c>
      <c r="LC38" s="17">
        <f>IF(AND(312&gt;=$B$12,312&lt;=$D$12),1,0)</f>
        <v/>
      </c>
      <c r="LD38" s="17">
        <f>IF(AND(313&gt;=$B$12,313&lt;=$D$12),1,0)</f>
        <v/>
      </c>
      <c r="LE38" s="17">
        <f>IF(AND(314&gt;=$B$12,314&lt;=$D$12),1,0)</f>
        <v/>
      </c>
      <c r="LF38" s="17">
        <f>IF(AND(315&gt;=$B$12,315&lt;=$D$12),1,0)</f>
        <v/>
      </c>
      <c r="LG38" s="17">
        <f>IF(AND(316&gt;=$B$12,316&lt;=$D$12),1,0)</f>
        <v/>
      </c>
      <c r="LH38" s="17">
        <f>IF(AND(317&gt;=$B$12,317&lt;=$D$12),1,0)</f>
        <v/>
      </c>
      <c r="LI38" s="17">
        <f>IF(AND(318&gt;=$B$12,318&lt;=$D$12),1,0)</f>
        <v/>
      </c>
      <c r="LJ38" s="17">
        <f>IF(AND(319&gt;=$B$12,319&lt;=$D$12),1,0)</f>
        <v/>
      </c>
      <c r="LK38" s="17">
        <f>IF(AND(320&gt;=$B$12,320&lt;=$D$12),1,0)</f>
        <v/>
      </c>
      <c r="LL38" s="17">
        <f>IF(AND(321&gt;=$B$12,321&lt;=$D$12),1,0)</f>
        <v/>
      </c>
      <c r="LM38" s="17">
        <f>IF(AND(322&gt;=$B$12,322&lt;=$D$12),1,0)</f>
        <v/>
      </c>
      <c r="LN38" s="17">
        <f>IF(AND(323&gt;=$B$12,323&lt;=$D$12),1,0)</f>
        <v/>
      </c>
      <c r="LO38" s="17">
        <f>IF(AND(324&gt;=$B$12,324&lt;=$D$12),1,0)</f>
        <v/>
      </c>
      <c r="LP38" s="17">
        <f>IF(AND(325&gt;=$B$12,325&lt;=$D$12),1,0)</f>
        <v/>
      </c>
      <c r="LQ38" s="17">
        <f>IF(AND(326&gt;=$B$12,326&lt;=$D$12),1,0)</f>
        <v/>
      </c>
      <c r="LR38" s="17">
        <f>IF(AND(327&gt;=$B$12,327&lt;=$D$12),1,0)</f>
        <v/>
      </c>
      <c r="LS38" s="17">
        <f>IF(AND(328&gt;=$B$12,328&lt;=$D$12),1,0)</f>
        <v/>
      </c>
      <c r="LT38" s="17">
        <f>IF(AND(329&gt;=$B$12,329&lt;=$D$12),1,0)</f>
        <v/>
      </c>
      <c r="LU38" s="17">
        <f>IF(AND(330&gt;=$B$12,330&lt;=$D$12),1,0)</f>
        <v/>
      </c>
      <c r="LV38" s="17">
        <f>IF(AND(331&gt;=$B$12,331&lt;=$D$12),1,0)</f>
        <v/>
      </c>
      <c r="LW38" s="17">
        <f>IF(AND(332&gt;=$B$12,332&lt;=$D$12),1,0)</f>
        <v/>
      </c>
      <c r="LX38" s="17">
        <f>IF(AND(333&gt;=$B$12,333&lt;=$D$12),1,0)</f>
        <v/>
      </c>
      <c r="LY38" s="17">
        <f>IF(AND(334&gt;=$B$12,334&lt;=$D$12),1,0)</f>
        <v/>
      </c>
      <c r="LZ38" s="17">
        <f>IF(AND(335&gt;=$B$12,335&lt;=$D$12),1,0)</f>
        <v/>
      </c>
      <c r="MA38" s="17">
        <f>IF(AND(336&gt;=$B$12,336&lt;=$D$12),1,0)</f>
        <v/>
      </c>
      <c r="MB38" s="17">
        <f>IF(AND(337&gt;=$B$12,337&lt;=$D$12),1,0)</f>
        <v/>
      </c>
      <c r="MC38" s="17">
        <f>IF(AND(338&gt;=$B$12,338&lt;=$D$12),1,0)</f>
        <v/>
      </c>
      <c r="MD38" s="17">
        <f>IF(AND(339&gt;=$B$12,339&lt;=$D$12),1,0)</f>
        <v/>
      </c>
      <c r="ME38" s="17">
        <f>IF(AND(340&gt;=$B$12,340&lt;=$D$12),1,0)</f>
        <v/>
      </c>
      <c r="MF38" s="17">
        <f>IF(AND(341&gt;=$B$12,341&lt;=$D$12),1,0)</f>
        <v/>
      </c>
      <c r="MG38" s="17">
        <f>IF(AND(342&gt;=$B$12,342&lt;=$D$12),1,0)</f>
        <v/>
      </c>
      <c r="MH38" s="17">
        <f>IF(AND(343&gt;=$B$12,343&lt;=$D$12),1,0)</f>
        <v/>
      </c>
      <c r="MI38" s="17">
        <f>IF(AND(344&gt;=$B$12,344&lt;=$D$12),1,0)</f>
        <v/>
      </c>
      <c r="MJ38" s="17">
        <f>IF(AND(345&gt;=$B$12,345&lt;=$D$12),1,0)</f>
        <v/>
      </c>
      <c r="MK38" s="17">
        <f>IF(AND(346&gt;=$B$12,346&lt;=$D$12),1,0)</f>
        <v/>
      </c>
      <c r="ML38" s="17">
        <f>IF(AND(347&gt;=$B$12,347&lt;=$D$12),1,0)</f>
        <v/>
      </c>
      <c r="MM38" s="17">
        <f>IF(AND(348&gt;=$B$12,348&lt;=$D$12),1,0)</f>
        <v/>
      </c>
      <c r="MN38" s="17">
        <f>IF(AND(349&gt;=$B$12,349&lt;=$D$12),1,0)</f>
        <v/>
      </c>
      <c r="MO38" s="17">
        <f>IF(AND(350&gt;=$B$12,350&lt;=$D$12),1,0)</f>
        <v/>
      </c>
      <c r="MP38" s="17">
        <f>IF(AND(351&gt;=$B$12,351&lt;=$D$12),1,0)</f>
        <v/>
      </c>
      <c r="MQ38" s="17">
        <f>IF(AND(352&gt;=$B$12,352&lt;=$D$12),1,0)</f>
        <v/>
      </c>
      <c r="MR38" s="17">
        <f>IF(AND(353&gt;=$B$12,353&lt;=$D$12),1,0)</f>
        <v/>
      </c>
      <c r="MS38" s="17">
        <f>IF(AND(354&gt;=$B$12,354&lt;=$D$12),1,0)</f>
        <v/>
      </c>
      <c r="MT38" s="17">
        <f>IF(AND(355&gt;=$B$12,355&lt;=$D$12),1,0)</f>
        <v/>
      </c>
      <c r="MU38" s="17">
        <f>IF(AND(356&gt;=$B$12,356&lt;=$D$12),1,0)</f>
        <v/>
      </c>
      <c r="MV38" s="17">
        <f>IF(AND(357&gt;=$B$12,357&lt;=$D$12),1,0)</f>
        <v/>
      </c>
      <c r="MW38" s="17">
        <f>IF(AND(358&gt;=$B$12,358&lt;=$D$12),1,0)</f>
        <v/>
      </c>
      <c r="MX38" s="17">
        <f>IF(AND(359&gt;=$B$12,359&lt;=$D$12),1,0)</f>
        <v/>
      </c>
      <c r="MY38" s="17">
        <f>IF(AND(360&gt;=$B$12,360&lt;=$D$12),1,0)</f>
        <v/>
      </c>
      <c r="MZ38" s="17">
        <f>IF(AND(361&gt;=$B$12,361&lt;=$D$12),1,0)</f>
        <v/>
      </c>
      <c r="NA38" s="17">
        <f>IF(AND(362&gt;=$B$12,362&lt;=$D$12),1,0)</f>
        <v/>
      </c>
      <c r="NB38" s="17">
        <f>IF(AND(363&gt;=$B$12,363&lt;=$D$12),1,0)</f>
        <v/>
      </c>
      <c r="NC38" s="17">
        <f>IF(AND(364&gt;=$B$12,364&lt;=$D$12),1,0)</f>
        <v/>
      </c>
      <c r="ND38" s="17">
        <f>IF(AND(365&gt;=$B$12,365&lt;=$D$12),1,0)</f>
        <v/>
      </c>
      <c r="NE38" s="17">
        <f>IF(AND(366&gt;=$B$12,366&lt;=$D$12),1,0)</f>
        <v/>
      </c>
      <c r="NF38" s="17">
        <f>IF(AND(367&gt;=$B$12,367&lt;=$D$12),1,0)</f>
        <v/>
      </c>
      <c r="NG38" s="17">
        <f>IF(AND(368&gt;=$B$12,368&lt;=$D$12),1,0)</f>
        <v/>
      </c>
      <c r="NH38" s="17">
        <f>IF(AND(369&gt;=$B$12,369&lt;=$D$12),1,0)</f>
        <v/>
      </c>
      <c r="NI38" s="17">
        <f>IF(AND(370&gt;=$B$12,370&lt;=$D$12),1,0)</f>
        <v/>
      </c>
      <c r="NJ38" s="17">
        <f>IF(AND(371&gt;=$B$12,371&lt;=$D$12),1,0)</f>
        <v/>
      </c>
      <c r="NK38" s="17">
        <f>IF(AND(372&gt;=$B$12,372&lt;=$D$12),1,0)</f>
        <v/>
      </c>
    </row>
    <row r="39">
      <c r="A39" s="5" t="inlineStr">
        <is>
          <t>Flag: Recapitalization/Refinance</t>
        </is>
      </c>
      <c r="C39" s="40" t="n"/>
      <c r="D39" s="17">
        <f>IF(AND(1&gt;=$B$13,1&lt;=$D$13),1,0)</f>
        <v/>
      </c>
      <c r="E39" s="17">
        <f>IF(AND(2&gt;=$B$13,2&lt;=$D$13),1,0)</f>
        <v/>
      </c>
      <c r="F39" s="17">
        <f>IF(AND(3&gt;=$B$13,3&lt;=$D$13),1,0)</f>
        <v/>
      </c>
      <c r="G39" s="17">
        <f>IF(AND(4&gt;=$B$13,4&lt;=$D$13),1,0)</f>
        <v/>
      </c>
      <c r="H39" s="17">
        <f>IF(AND(5&gt;=$B$13,5&lt;=$D$13),1,0)</f>
        <v/>
      </c>
      <c r="I39" s="17">
        <f>IF(AND(6&gt;=$B$13,6&lt;=$D$13),1,0)</f>
        <v/>
      </c>
      <c r="J39" s="17">
        <f>IF(AND(7&gt;=$B$13,7&lt;=$D$13),1,0)</f>
        <v/>
      </c>
      <c r="K39" s="17">
        <f>IF(AND(8&gt;=$B$13,8&lt;=$D$13),1,0)</f>
        <v/>
      </c>
      <c r="L39" s="17">
        <f>IF(AND(9&gt;=$B$13,9&lt;=$D$13),1,0)</f>
        <v/>
      </c>
      <c r="M39" s="17">
        <f>IF(AND(10&gt;=$B$13,10&lt;=$D$13),1,0)</f>
        <v/>
      </c>
      <c r="N39" s="17">
        <f>IF(AND(11&gt;=$B$13,11&lt;=$D$13),1,0)</f>
        <v/>
      </c>
      <c r="O39" s="17">
        <f>IF(AND(12&gt;=$B$13,12&lt;=$D$13),1,0)</f>
        <v/>
      </c>
      <c r="P39" s="17">
        <f>IF(AND(13&gt;=$B$13,13&lt;=$D$13),1,0)</f>
        <v/>
      </c>
      <c r="Q39" s="17">
        <f>IF(AND(14&gt;=$B$13,14&lt;=$D$13),1,0)</f>
        <v/>
      </c>
      <c r="R39" s="17">
        <f>IF(AND(15&gt;=$B$13,15&lt;=$D$13),1,0)</f>
        <v/>
      </c>
      <c r="S39" s="17">
        <f>IF(AND(16&gt;=$B$13,16&lt;=$D$13),1,0)</f>
        <v/>
      </c>
      <c r="T39" s="17">
        <f>IF(AND(17&gt;=$B$13,17&lt;=$D$13),1,0)</f>
        <v/>
      </c>
      <c r="U39" s="17">
        <f>IF(AND(18&gt;=$B$13,18&lt;=$D$13),1,0)</f>
        <v/>
      </c>
      <c r="V39" s="17">
        <f>IF(AND(19&gt;=$B$13,19&lt;=$D$13),1,0)</f>
        <v/>
      </c>
      <c r="W39" s="17">
        <f>IF(AND(20&gt;=$B$13,20&lt;=$D$13),1,0)</f>
        <v/>
      </c>
      <c r="X39" s="17">
        <f>IF(AND(21&gt;=$B$13,21&lt;=$D$13),1,0)</f>
        <v/>
      </c>
      <c r="Y39" s="17">
        <f>IF(AND(22&gt;=$B$13,22&lt;=$D$13),1,0)</f>
        <v/>
      </c>
      <c r="Z39" s="17">
        <f>IF(AND(23&gt;=$B$13,23&lt;=$D$13),1,0)</f>
        <v/>
      </c>
      <c r="AA39" s="17">
        <f>IF(AND(24&gt;=$B$13,24&lt;=$D$13),1,0)</f>
        <v/>
      </c>
      <c r="AB39" s="17">
        <f>IF(AND(25&gt;=$B$13,25&lt;=$D$13),1,0)</f>
        <v/>
      </c>
      <c r="AC39" s="17">
        <f>IF(AND(26&gt;=$B$13,26&lt;=$D$13),1,0)</f>
        <v/>
      </c>
      <c r="AD39" s="17">
        <f>IF(AND(27&gt;=$B$13,27&lt;=$D$13),1,0)</f>
        <v/>
      </c>
      <c r="AE39" s="17">
        <f>IF(AND(28&gt;=$B$13,28&lt;=$D$13),1,0)</f>
        <v/>
      </c>
      <c r="AF39" s="17">
        <f>IF(AND(29&gt;=$B$13,29&lt;=$D$13),1,0)</f>
        <v/>
      </c>
      <c r="AG39" s="17">
        <f>IF(AND(30&gt;=$B$13,30&lt;=$D$13),1,0)</f>
        <v/>
      </c>
      <c r="AH39" s="17">
        <f>IF(AND(31&gt;=$B$13,31&lt;=$D$13),1,0)</f>
        <v/>
      </c>
      <c r="AI39" s="17">
        <f>IF(AND(32&gt;=$B$13,32&lt;=$D$13),1,0)</f>
        <v/>
      </c>
      <c r="AJ39" s="17">
        <f>IF(AND(33&gt;=$B$13,33&lt;=$D$13),1,0)</f>
        <v/>
      </c>
      <c r="AK39" s="17">
        <f>IF(AND(34&gt;=$B$13,34&lt;=$D$13),1,0)</f>
        <v/>
      </c>
      <c r="AL39" s="17">
        <f>IF(AND(35&gt;=$B$13,35&lt;=$D$13),1,0)</f>
        <v/>
      </c>
      <c r="AM39" s="17">
        <f>IF(AND(36&gt;=$B$13,36&lt;=$D$13),1,0)</f>
        <v/>
      </c>
      <c r="AN39" s="17">
        <f>IF(AND(37&gt;=$B$13,37&lt;=$D$13),1,0)</f>
        <v/>
      </c>
      <c r="AO39" s="17">
        <f>IF(AND(38&gt;=$B$13,38&lt;=$D$13),1,0)</f>
        <v/>
      </c>
      <c r="AP39" s="17">
        <f>IF(AND(39&gt;=$B$13,39&lt;=$D$13),1,0)</f>
        <v/>
      </c>
      <c r="AQ39" s="17">
        <f>IF(AND(40&gt;=$B$13,40&lt;=$D$13),1,0)</f>
        <v/>
      </c>
      <c r="AR39" s="17">
        <f>IF(AND(41&gt;=$B$13,41&lt;=$D$13),1,0)</f>
        <v/>
      </c>
      <c r="AS39" s="17">
        <f>IF(AND(42&gt;=$B$13,42&lt;=$D$13),1,0)</f>
        <v/>
      </c>
      <c r="AT39" s="17">
        <f>IF(AND(43&gt;=$B$13,43&lt;=$D$13),1,0)</f>
        <v/>
      </c>
      <c r="AU39" s="17">
        <f>IF(AND(44&gt;=$B$13,44&lt;=$D$13),1,0)</f>
        <v/>
      </c>
      <c r="AV39" s="17">
        <f>IF(AND(45&gt;=$B$13,45&lt;=$D$13),1,0)</f>
        <v/>
      </c>
      <c r="AW39" s="17">
        <f>IF(AND(46&gt;=$B$13,46&lt;=$D$13),1,0)</f>
        <v/>
      </c>
      <c r="AX39" s="17">
        <f>IF(AND(47&gt;=$B$13,47&lt;=$D$13),1,0)</f>
        <v/>
      </c>
      <c r="AY39" s="17">
        <f>IF(AND(48&gt;=$B$13,48&lt;=$D$13),1,0)</f>
        <v/>
      </c>
      <c r="AZ39" s="17">
        <f>IF(AND(49&gt;=$B$13,49&lt;=$D$13),1,0)</f>
        <v/>
      </c>
      <c r="BA39" s="17">
        <f>IF(AND(50&gt;=$B$13,50&lt;=$D$13),1,0)</f>
        <v/>
      </c>
      <c r="BB39" s="17">
        <f>IF(AND(51&gt;=$B$13,51&lt;=$D$13),1,0)</f>
        <v/>
      </c>
      <c r="BC39" s="17">
        <f>IF(AND(52&gt;=$B$13,52&lt;=$D$13),1,0)</f>
        <v/>
      </c>
      <c r="BD39" s="17">
        <f>IF(AND(53&gt;=$B$13,53&lt;=$D$13),1,0)</f>
        <v/>
      </c>
      <c r="BE39" s="17">
        <f>IF(AND(54&gt;=$B$13,54&lt;=$D$13),1,0)</f>
        <v/>
      </c>
      <c r="BF39" s="17">
        <f>IF(AND(55&gt;=$B$13,55&lt;=$D$13),1,0)</f>
        <v/>
      </c>
      <c r="BG39" s="17">
        <f>IF(AND(56&gt;=$B$13,56&lt;=$D$13),1,0)</f>
        <v/>
      </c>
      <c r="BH39" s="17">
        <f>IF(AND(57&gt;=$B$13,57&lt;=$D$13),1,0)</f>
        <v/>
      </c>
      <c r="BI39" s="17">
        <f>IF(AND(58&gt;=$B$13,58&lt;=$D$13),1,0)</f>
        <v/>
      </c>
      <c r="BJ39" s="17">
        <f>IF(AND(59&gt;=$B$13,59&lt;=$D$13),1,0)</f>
        <v/>
      </c>
      <c r="BK39" s="17">
        <f>IF(AND(60&gt;=$B$13,60&lt;=$D$13),1,0)</f>
        <v/>
      </c>
      <c r="BL39" s="17">
        <f>IF(AND(61&gt;=$B$13,61&lt;=$D$13),1,0)</f>
        <v/>
      </c>
      <c r="BM39" s="17">
        <f>IF(AND(62&gt;=$B$13,62&lt;=$D$13),1,0)</f>
        <v/>
      </c>
      <c r="BN39" s="17">
        <f>IF(AND(63&gt;=$B$13,63&lt;=$D$13),1,0)</f>
        <v/>
      </c>
      <c r="BO39" s="17">
        <f>IF(AND(64&gt;=$B$13,64&lt;=$D$13),1,0)</f>
        <v/>
      </c>
      <c r="BP39" s="17">
        <f>IF(AND(65&gt;=$B$13,65&lt;=$D$13),1,0)</f>
        <v/>
      </c>
      <c r="BQ39" s="17">
        <f>IF(AND(66&gt;=$B$13,66&lt;=$D$13),1,0)</f>
        <v/>
      </c>
      <c r="BR39" s="17">
        <f>IF(AND(67&gt;=$B$13,67&lt;=$D$13),1,0)</f>
        <v/>
      </c>
      <c r="BS39" s="17">
        <f>IF(AND(68&gt;=$B$13,68&lt;=$D$13),1,0)</f>
        <v/>
      </c>
      <c r="BT39" s="17">
        <f>IF(AND(69&gt;=$B$13,69&lt;=$D$13),1,0)</f>
        <v/>
      </c>
      <c r="BU39" s="17">
        <f>IF(AND(70&gt;=$B$13,70&lt;=$D$13),1,0)</f>
        <v/>
      </c>
      <c r="BV39" s="17">
        <f>IF(AND(71&gt;=$B$13,71&lt;=$D$13),1,0)</f>
        <v/>
      </c>
      <c r="BW39" s="17">
        <f>IF(AND(72&gt;=$B$13,72&lt;=$D$13),1,0)</f>
        <v/>
      </c>
      <c r="BX39" s="17">
        <f>IF(AND(73&gt;=$B$13,73&lt;=$D$13),1,0)</f>
        <v/>
      </c>
      <c r="BY39" s="17">
        <f>IF(AND(74&gt;=$B$13,74&lt;=$D$13),1,0)</f>
        <v/>
      </c>
      <c r="BZ39" s="17">
        <f>IF(AND(75&gt;=$B$13,75&lt;=$D$13),1,0)</f>
        <v/>
      </c>
      <c r="CA39" s="17">
        <f>IF(AND(76&gt;=$B$13,76&lt;=$D$13),1,0)</f>
        <v/>
      </c>
      <c r="CB39" s="17">
        <f>IF(AND(77&gt;=$B$13,77&lt;=$D$13),1,0)</f>
        <v/>
      </c>
      <c r="CC39" s="17">
        <f>IF(AND(78&gt;=$B$13,78&lt;=$D$13),1,0)</f>
        <v/>
      </c>
      <c r="CD39" s="17">
        <f>IF(AND(79&gt;=$B$13,79&lt;=$D$13),1,0)</f>
        <v/>
      </c>
      <c r="CE39" s="17">
        <f>IF(AND(80&gt;=$B$13,80&lt;=$D$13),1,0)</f>
        <v/>
      </c>
      <c r="CF39" s="17">
        <f>IF(AND(81&gt;=$B$13,81&lt;=$D$13),1,0)</f>
        <v/>
      </c>
      <c r="CG39" s="17">
        <f>IF(AND(82&gt;=$B$13,82&lt;=$D$13),1,0)</f>
        <v/>
      </c>
      <c r="CH39" s="17">
        <f>IF(AND(83&gt;=$B$13,83&lt;=$D$13),1,0)</f>
        <v/>
      </c>
      <c r="CI39" s="17">
        <f>IF(AND(84&gt;=$B$13,84&lt;=$D$13),1,0)</f>
        <v/>
      </c>
      <c r="CJ39" s="17">
        <f>IF(AND(85&gt;=$B$13,85&lt;=$D$13),1,0)</f>
        <v/>
      </c>
      <c r="CK39" s="17">
        <f>IF(AND(86&gt;=$B$13,86&lt;=$D$13),1,0)</f>
        <v/>
      </c>
      <c r="CL39" s="17">
        <f>IF(AND(87&gt;=$B$13,87&lt;=$D$13),1,0)</f>
        <v/>
      </c>
      <c r="CM39" s="17">
        <f>IF(AND(88&gt;=$B$13,88&lt;=$D$13),1,0)</f>
        <v/>
      </c>
      <c r="CN39" s="17">
        <f>IF(AND(89&gt;=$B$13,89&lt;=$D$13),1,0)</f>
        <v/>
      </c>
      <c r="CO39" s="17">
        <f>IF(AND(90&gt;=$B$13,90&lt;=$D$13),1,0)</f>
        <v/>
      </c>
      <c r="CP39" s="17">
        <f>IF(AND(91&gt;=$B$13,91&lt;=$D$13),1,0)</f>
        <v/>
      </c>
      <c r="CQ39" s="17">
        <f>IF(AND(92&gt;=$B$13,92&lt;=$D$13),1,0)</f>
        <v/>
      </c>
      <c r="CR39" s="17">
        <f>IF(AND(93&gt;=$B$13,93&lt;=$D$13),1,0)</f>
        <v/>
      </c>
      <c r="CS39" s="17">
        <f>IF(AND(94&gt;=$B$13,94&lt;=$D$13),1,0)</f>
        <v/>
      </c>
      <c r="CT39" s="17">
        <f>IF(AND(95&gt;=$B$13,95&lt;=$D$13),1,0)</f>
        <v/>
      </c>
      <c r="CU39" s="17">
        <f>IF(AND(96&gt;=$B$13,96&lt;=$D$13),1,0)</f>
        <v/>
      </c>
      <c r="CV39" s="17">
        <f>IF(AND(97&gt;=$B$13,97&lt;=$D$13),1,0)</f>
        <v/>
      </c>
      <c r="CW39" s="17">
        <f>IF(AND(98&gt;=$B$13,98&lt;=$D$13),1,0)</f>
        <v/>
      </c>
      <c r="CX39" s="17">
        <f>IF(AND(99&gt;=$B$13,99&lt;=$D$13),1,0)</f>
        <v/>
      </c>
      <c r="CY39" s="17">
        <f>IF(AND(100&gt;=$B$13,100&lt;=$D$13),1,0)</f>
        <v/>
      </c>
      <c r="CZ39" s="17">
        <f>IF(AND(101&gt;=$B$13,101&lt;=$D$13),1,0)</f>
        <v/>
      </c>
      <c r="DA39" s="17">
        <f>IF(AND(102&gt;=$B$13,102&lt;=$D$13),1,0)</f>
        <v/>
      </c>
      <c r="DB39" s="17">
        <f>IF(AND(103&gt;=$B$13,103&lt;=$D$13),1,0)</f>
        <v/>
      </c>
      <c r="DC39" s="17">
        <f>IF(AND(104&gt;=$B$13,104&lt;=$D$13),1,0)</f>
        <v/>
      </c>
      <c r="DD39" s="17">
        <f>IF(AND(105&gt;=$B$13,105&lt;=$D$13),1,0)</f>
        <v/>
      </c>
      <c r="DE39" s="17">
        <f>IF(AND(106&gt;=$B$13,106&lt;=$D$13),1,0)</f>
        <v/>
      </c>
      <c r="DF39" s="17">
        <f>IF(AND(107&gt;=$B$13,107&lt;=$D$13),1,0)</f>
        <v/>
      </c>
      <c r="DG39" s="17">
        <f>IF(AND(108&gt;=$B$13,108&lt;=$D$13),1,0)</f>
        <v/>
      </c>
      <c r="DH39" s="17">
        <f>IF(AND(109&gt;=$B$13,109&lt;=$D$13),1,0)</f>
        <v/>
      </c>
      <c r="DI39" s="17">
        <f>IF(AND(110&gt;=$B$13,110&lt;=$D$13),1,0)</f>
        <v/>
      </c>
      <c r="DJ39" s="17">
        <f>IF(AND(111&gt;=$B$13,111&lt;=$D$13),1,0)</f>
        <v/>
      </c>
      <c r="DK39" s="17">
        <f>IF(AND(112&gt;=$B$13,112&lt;=$D$13),1,0)</f>
        <v/>
      </c>
      <c r="DL39" s="17">
        <f>IF(AND(113&gt;=$B$13,113&lt;=$D$13),1,0)</f>
        <v/>
      </c>
      <c r="DM39" s="17">
        <f>IF(AND(114&gt;=$B$13,114&lt;=$D$13),1,0)</f>
        <v/>
      </c>
      <c r="DN39" s="17">
        <f>IF(AND(115&gt;=$B$13,115&lt;=$D$13),1,0)</f>
        <v/>
      </c>
      <c r="DO39" s="17">
        <f>IF(AND(116&gt;=$B$13,116&lt;=$D$13),1,0)</f>
        <v/>
      </c>
      <c r="DP39" s="17">
        <f>IF(AND(117&gt;=$B$13,117&lt;=$D$13),1,0)</f>
        <v/>
      </c>
      <c r="DQ39" s="17">
        <f>IF(AND(118&gt;=$B$13,118&lt;=$D$13),1,0)</f>
        <v/>
      </c>
      <c r="DR39" s="17">
        <f>IF(AND(119&gt;=$B$13,119&lt;=$D$13),1,0)</f>
        <v/>
      </c>
      <c r="DS39" s="17">
        <f>IF(AND(120&gt;=$B$13,120&lt;=$D$13),1,0)</f>
        <v/>
      </c>
      <c r="DT39" s="17">
        <f>IF(AND(121&gt;=$B$13,121&lt;=$D$13),1,0)</f>
        <v/>
      </c>
      <c r="DU39" s="17">
        <f>IF(AND(122&gt;=$B$13,122&lt;=$D$13),1,0)</f>
        <v/>
      </c>
      <c r="DV39" s="17">
        <f>IF(AND(123&gt;=$B$13,123&lt;=$D$13),1,0)</f>
        <v/>
      </c>
      <c r="DW39" s="17">
        <f>IF(AND(124&gt;=$B$13,124&lt;=$D$13),1,0)</f>
        <v/>
      </c>
      <c r="DX39" s="17">
        <f>IF(AND(125&gt;=$B$13,125&lt;=$D$13),1,0)</f>
        <v/>
      </c>
      <c r="DY39" s="17">
        <f>IF(AND(126&gt;=$B$13,126&lt;=$D$13),1,0)</f>
        <v/>
      </c>
      <c r="DZ39" s="17">
        <f>IF(AND(127&gt;=$B$13,127&lt;=$D$13),1,0)</f>
        <v/>
      </c>
      <c r="EA39" s="17">
        <f>IF(AND(128&gt;=$B$13,128&lt;=$D$13),1,0)</f>
        <v/>
      </c>
      <c r="EB39" s="17">
        <f>IF(AND(129&gt;=$B$13,129&lt;=$D$13),1,0)</f>
        <v/>
      </c>
      <c r="EC39" s="17">
        <f>IF(AND(130&gt;=$B$13,130&lt;=$D$13),1,0)</f>
        <v/>
      </c>
      <c r="ED39" s="17">
        <f>IF(AND(131&gt;=$B$13,131&lt;=$D$13),1,0)</f>
        <v/>
      </c>
      <c r="EE39" s="17">
        <f>IF(AND(132&gt;=$B$13,132&lt;=$D$13),1,0)</f>
        <v/>
      </c>
      <c r="EF39" s="17">
        <f>IF(AND(133&gt;=$B$13,133&lt;=$D$13),1,0)</f>
        <v/>
      </c>
      <c r="EG39" s="17">
        <f>IF(AND(134&gt;=$B$13,134&lt;=$D$13),1,0)</f>
        <v/>
      </c>
      <c r="EH39" s="17">
        <f>IF(AND(135&gt;=$B$13,135&lt;=$D$13),1,0)</f>
        <v/>
      </c>
      <c r="EI39" s="17">
        <f>IF(AND(136&gt;=$B$13,136&lt;=$D$13),1,0)</f>
        <v/>
      </c>
      <c r="EJ39" s="17">
        <f>IF(AND(137&gt;=$B$13,137&lt;=$D$13),1,0)</f>
        <v/>
      </c>
      <c r="EK39" s="17">
        <f>IF(AND(138&gt;=$B$13,138&lt;=$D$13),1,0)</f>
        <v/>
      </c>
      <c r="EL39" s="17">
        <f>IF(AND(139&gt;=$B$13,139&lt;=$D$13),1,0)</f>
        <v/>
      </c>
      <c r="EM39" s="17">
        <f>IF(AND(140&gt;=$B$13,140&lt;=$D$13),1,0)</f>
        <v/>
      </c>
      <c r="EN39" s="17">
        <f>IF(AND(141&gt;=$B$13,141&lt;=$D$13),1,0)</f>
        <v/>
      </c>
      <c r="EO39" s="17">
        <f>IF(AND(142&gt;=$B$13,142&lt;=$D$13),1,0)</f>
        <v/>
      </c>
      <c r="EP39" s="17">
        <f>IF(AND(143&gt;=$B$13,143&lt;=$D$13),1,0)</f>
        <v/>
      </c>
      <c r="EQ39" s="17">
        <f>IF(AND(144&gt;=$B$13,144&lt;=$D$13),1,0)</f>
        <v/>
      </c>
      <c r="ER39" s="17">
        <f>IF(AND(145&gt;=$B$13,145&lt;=$D$13),1,0)</f>
        <v/>
      </c>
      <c r="ES39" s="17">
        <f>IF(AND(146&gt;=$B$13,146&lt;=$D$13),1,0)</f>
        <v/>
      </c>
      <c r="ET39" s="17">
        <f>IF(AND(147&gt;=$B$13,147&lt;=$D$13),1,0)</f>
        <v/>
      </c>
      <c r="EU39" s="17">
        <f>IF(AND(148&gt;=$B$13,148&lt;=$D$13),1,0)</f>
        <v/>
      </c>
      <c r="EV39" s="17">
        <f>IF(AND(149&gt;=$B$13,149&lt;=$D$13),1,0)</f>
        <v/>
      </c>
      <c r="EW39" s="17">
        <f>IF(AND(150&gt;=$B$13,150&lt;=$D$13),1,0)</f>
        <v/>
      </c>
      <c r="EX39" s="17">
        <f>IF(AND(151&gt;=$B$13,151&lt;=$D$13),1,0)</f>
        <v/>
      </c>
      <c r="EY39" s="17">
        <f>IF(AND(152&gt;=$B$13,152&lt;=$D$13),1,0)</f>
        <v/>
      </c>
      <c r="EZ39" s="17">
        <f>IF(AND(153&gt;=$B$13,153&lt;=$D$13),1,0)</f>
        <v/>
      </c>
      <c r="FA39" s="17">
        <f>IF(AND(154&gt;=$B$13,154&lt;=$D$13),1,0)</f>
        <v/>
      </c>
      <c r="FB39" s="17">
        <f>IF(AND(155&gt;=$B$13,155&lt;=$D$13),1,0)</f>
        <v/>
      </c>
      <c r="FC39" s="17">
        <f>IF(AND(156&gt;=$B$13,156&lt;=$D$13),1,0)</f>
        <v/>
      </c>
      <c r="FD39" s="17">
        <f>IF(AND(157&gt;=$B$13,157&lt;=$D$13),1,0)</f>
        <v/>
      </c>
      <c r="FE39" s="17">
        <f>IF(AND(158&gt;=$B$13,158&lt;=$D$13),1,0)</f>
        <v/>
      </c>
      <c r="FF39" s="17">
        <f>IF(AND(159&gt;=$B$13,159&lt;=$D$13),1,0)</f>
        <v/>
      </c>
      <c r="FG39" s="17">
        <f>IF(AND(160&gt;=$B$13,160&lt;=$D$13),1,0)</f>
        <v/>
      </c>
      <c r="FH39" s="17">
        <f>IF(AND(161&gt;=$B$13,161&lt;=$D$13),1,0)</f>
        <v/>
      </c>
      <c r="FI39" s="17">
        <f>IF(AND(162&gt;=$B$13,162&lt;=$D$13),1,0)</f>
        <v/>
      </c>
      <c r="FJ39" s="17">
        <f>IF(AND(163&gt;=$B$13,163&lt;=$D$13),1,0)</f>
        <v/>
      </c>
      <c r="FK39" s="17">
        <f>IF(AND(164&gt;=$B$13,164&lt;=$D$13),1,0)</f>
        <v/>
      </c>
      <c r="FL39" s="17">
        <f>IF(AND(165&gt;=$B$13,165&lt;=$D$13),1,0)</f>
        <v/>
      </c>
      <c r="FM39" s="17">
        <f>IF(AND(166&gt;=$B$13,166&lt;=$D$13),1,0)</f>
        <v/>
      </c>
      <c r="FN39" s="17">
        <f>IF(AND(167&gt;=$B$13,167&lt;=$D$13),1,0)</f>
        <v/>
      </c>
      <c r="FO39" s="17">
        <f>IF(AND(168&gt;=$B$13,168&lt;=$D$13),1,0)</f>
        <v/>
      </c>
      <c r="FP39" s="17">
        <f>IF(AND(169&gt;=$B$13,169&lt;=$D$13),1,0)</f>
        <v/>
      </c>
      <c r="FQ39" s="17">
        <f>IF(AND(170&gt;=$B$13,170&lt;=$D$13),1,0)</f>
        <v/>
      </c>
      <c r="FR39" s="17">
        <f>IF(AND(171&gt;=$B$13,171&lt;=$D$13),1,0)</f>
        <v/>
      </c>
      <c r="FS39" s="17">
        <f>IF(AND(172&gt;=$B$13,172&lt;=$D$13),1,0)</f>
        <v/>
      </c>
      <c r="FT39" s="17">
        <f>IF(AND(173&gt;=$B$13,173&lt;=$D$13),1,0)</f>
        <v/>
      </c>
      <c r="FU39" s="17">
        <f>IF(AND(174&gt;=$B$13,174&lt;=$D$13),1,0)</f>
        <v/>
      </c>
      <c r="FV39" s="17">
        <f>IF(AND(175&gt;=$B$13,175&lt;=$D$13),1,0)</f>
        <v/>
      </c>
      <c r="FW39" s="17">
        <f>IF(AND(176&gt;=$B$13,176&lt;=$D$13),1,0)</f>
        <v/>
      </c>
      <c r="FX39" s="17">
        <f>IF(AND(177&gt;=$B$13,177&lt;=$D$13),1,0)</f>
        <v/>
      </c>
      <c r="FY39" s="17">
        <f>IF(AND(178&gt;=$B$13,178&lt;=$D$13),1,0)</f>
        <v/>
      </c>
      <c r="FZ39" s="17">
        <f>IF(AND(179&gt;=$B$13,179&lt;=$D$13),1,0)</f>
        <v/>
      </c>
      <c r="GA39" s="17">
        <f>IF(AND(180&gt;=$B$13,180&lt;=$D$13),1,0)</f>
        <v/>
      </c>
      <c r="GB39" s="17">
        <f>IF(AND(181&gt;=$B$13,181&lt;=$D$13),1,0)</f>
        <v/>
      </c>
      <c r="GC39" s="17">
        <f>IF(AND(182&gt;=$B$13,182&lt;=$D$13),1,0)</f>
        <v/>
      </c>
      <c r="GD39" s="17">
        <f>IF(AND(183&gt;=$B$13,183&lt;=$D$13),1,0)</f>
        <v/>
      </c>
      <c r="GE39" s="17">
        <f>IF(AND(184&gt;=$B$13,184&lt;=$D$13),1,0)</f>
        <v/>
      </c>
      <c r="GF39" s="17">
        <f>IF(AND(185&gt;=$B$13,185&lt;=$D$13),1,0)</f>
        <v/>
      </c>
      <c r="GG39" s="17">
        <f>IF(AND(186&gt;=$B$13,186&lt;=$D$13),1,0)</f>
        <v/>
      </c>
      <c r="GH39" s="17">
        <f>IF(AND(187&gt;=$B$13,187&lt;=$D$13),1,0)</f>
        <v/>
      </c>
      <c r="GI39" s="17">
        <f>IF(AND(188&gt;=$B$13,188&lt;=$D$13),1,0)</f>
        <v/>
      </c>
      <c r="GJ39" s="17">
        <f>IF(AND(189&gt;=$B$13,189&lt;=$D$13),1,0)</f>
        <v/>
      </c>
      <c r="GK39" s="17">
        <f>IF(AND(190&gt;=$B$13,190&lt;=$D$13),1,0)</f>
        <v/>
      </c>
      <c r="GL39" s="17">
        <f>IF(AND(191&gt;=$B$13,191&lt;=$D$13),1,0)</f>
        <v/>
      </c>
      <c r="GM39" s="17">
        <f>IF(AND(192&gt;=$B$13,192&lt;=$D$13),1,0)</f>
        <v/>
      </c>
      <c r="GN39" s="17">
        <f>IF(AND(193&gt;=$B$13,193&lt;=$D$13),1,0)</f>
        <v/>
      </c>
      <c r="GO39" s="17">
        <f>IF(AND(194&gt;=$B$13,194&lt;=$D$13),1,0)</f>
        <v/>
      </c>
      <c r="GP39" s="17">
        <f>IF(AND(195&gt;=$B$13,195&lt;=$D$13),1,0)</f>
        <v/>
      </c>
      <c r="GQ39" s="17">
        <f>IF(AND(196&gt;=$B$13,196&lt;=$D$13),1,0)</f>
        <v/>
      </c>
      <c r="GR39" s="17">
        <f>IF(AND(197&gt;=$B$13,197&lt;=$D$13),1,0)</f>
        <v/>
      </c>
      <c r="GS39" s="17">
        <f>IF(AND(198&gt;=$B$13,198&lt;=$D$13),1,0)</f>
        <v/>
      </c>
      <c r="GT39" s="17">
        <f>IF(AND(199&gt;=$B$13,199&lt;=$D$13),1,0)</f>
        <v/>
      </c>
      <c r="GU39" s="17">
        <f>IF(AND(200&gt;=$B$13,200&lt;=$D$13),1,0)</f>
        <v/>
      </c>
      <c r="GV39" s="17">
        <f>IF(AND(201&gt;=$B$13,201&lt;=$D$13),1,0)</f>
        <v/>
      </c>
      <c r="GW39" s="17">
        <f>IF(AND(202&gt;=$B$13,202&lt;=$D$13),1,0)</f>
        <v/>
      </c>
      <c r="GX39" s="17">
        <f>IF(AND(203&gt;=$B$13,203&lt;=$D$13),1,0)</f>
        <v/>
      </c>
      <c r="GY39" s="17">
        <f>IF(AND(204&gt;=$B$13,204&lt;=$D$13),1,0)</f>
        <v/>
      </c>
      <c r="GZ39" s="17">
        <f>IF(AND(205&gt;=$B$13,205&lt;=$D$13),1,0)</f>
        <v/>
      </c>
      <c r="HA39" s="17">
        <f>IF(AND(206&gt;=$B$13,206&lt;=$D$13),1,0)</f>
        <v/>
      </c>
      <c r="HB39" s="17">
        <f>IF(AND(207&gt;=$B$13,207&lt;=$D$13),1,0)</f>
        <v/>
      </c>
      <c r="HC39" s="17">
        <f>IF(AND(208&gt;=$B$13,208&lt;=$D$13),1,0)</f>
        <v/>
      </c>
      <c r="HD39" s="17">
        <f>IF(AND(209&gt;=$B$13,209&lt;=$D$13),1,0)</f>
        <v/>
      </c>
      <c r="HE39" s="17">
        <f>IF(AND(210&gt;=$B$13,210&lt;=$D$13),1,0)</f>
        <v/>
      </c>
      <c r="HF39" s="17">
        <f>IF(AND(211&gt;=$B$13,211&lt;=$D$13),1,0)</f>
        <v/>
      </c>
      <c r="HG39" s="17">
        <f>IF(AND(212&gt;=$B$13,212&lt;=$D$13),1,0)</f>
        <v/>
      </c>
      <c r="HH39" s="17">
        <f>IF(AND(213&gt;=$B$13,213&lt;=$D$13),1,0)</f>
        <v/>
      </c>
      <c r="HI39" s="17">
        <f>IF(AND(214&gt;=$B$13,214&lt;=$D$13),1,0)</f>
        <v/>
      </c>
      <c r="HJ39" s="17">
        <f>IF(AND(215&gt;=$B$13,215&lt;=$D$13),1,0)</f>
        <v/>
      </c>
      <c r="HK39" s="17">
        <f>IF(AND(216&gt;=$B$13,216&lt;=$D$13),1,0)</f>
        <v/>
      </c>
      <c r="HL39" s="17">
        <f>IF(AND(217&gt;=$B$13,217&lt;=$D$13),1,0)</f>
        <v/>
      </c>
      <c r="HM39" s="17">
        <f>IF(AND(218&gt;=$B$13,218&lt;=$D$13),1,0)</f>
        <v/>
      </c>
      <c r="HN39" s="17">
        <f>IF(AND(219&gt;=$B$13,219&lt;=$D$13),1,0)</f>
        <v/>
      </c>
      <c r="HO39" s="17">
        <f>IF(AND(220&gt;=$B$13,220&lt;=$D$13),1,0)</f>
        <v/>
      </c>
      <c r="HP39" s="17">
        <f>IF(AND(221&gt;=$B$13,221&lt;=$D$13),1,0)</f>
        <v/>
      </c>
      <c r="HQ39" s="17">
        <f>IF(AND(222&gt;=$B$13,222&lt;=$D$13),1,0)</f>
        <v/>
      </c>
      <c r="HR39" s="17">
        <f>IF(AND(223&gt;=$B$13,223&lt;=$D$13),1,0)</f>
        <v/>
      </c>
      <c r="HS39" s="17">
        <f>IF(AND(224&gt;=$B$13,224&lt;=$D$13),1,0)</f>
        <v/>
      </c>
      <c r="HT39" s="17">
        <f>IF(AND(225&gt;=$B$13,225&lt;=$D$13),1,0)</f>
        <v/>
      </c>
      <c r="HU39" s="17">
        <f>IF(AND(226&gt;=$B$13,226&lt;=$D$13),1,0)</f>
        <v/>
      </c>
      <c r="HV39" s="17">
        <f>IF(AND(227&gt;=$B$13,227&lt;=$D$13),1,0)</f>
        <v/>
      </c>
      <c r="HW39" s="17">
        <f>IF(AND(228&gt;=$B$13,228&lt;=$D$13),1,0)</f>
        <v/>
      </c>
      <c r="HX39" s="17">
        <f>IF(AND(229&gt;=$B$13,229&lt;=$D$13),1,0)</f>
        <v/>
      </c>
      <c r="HY39" s="17">
        <f>IF(AND(230&gt;=$B$13,230&lt;=$D$13),1,0)</f>
        <v/>
      </c>
      <c r="HZ39" s="17">
        <f>IF(AND(231&gt;=$B$13,231&lt;=$D$13),1,0)</f>
        <v/>
      </c>
      <c r="IA39" s="17">
        <f>IF(AND(232&gt;=$B$13,232&lt;=$D$13),1,0)</f>
        <v/>
      </c>
      <c r="IB39" s="17">
        <f>IF(AND(233&gt;=$B$13,233&lt;=$D$13),1,0)</f>
        <v/>
      </c>
      <c r="IC39" s="17">
        <f>IF(AND(234&gt;=$B$13,234&lt;=$D$13),1,0)</f>
        <v/>
      </c>
      <c r="ID39" s="17">
        <f>IF(AND(235&gt;=$B$13,235&lt;=$D$13),1,0)</f>
        <v/>
      </c>
      <c r="IE39" s="17">
        <f>IF(AND(236&gt;=$B$13,236&lt;=$D$13),1,0)</f>
        <v/>
      </c>
      <c r="IF39" s="17">
        <f>IF(AND(237&gt;=$B$13,237&lt;=$D$13),1,0)</f>
        <v/>
      </c>
      <c r="IG39" s="17">
        <f>IF(AND(238&gt;=$B$13,238&lt;=$D$13),1,0)</f>
        <v/>
      </c>
      <c r="IH39" s="17">
        <f>IF(AND(239&gt;=$B$13,239&lt;=$D$13),1,0)</f>
        <v/>
      </c>
      <c r="II39" s="17">
        <f>IF(AND(240&gt;=$B$13,240&lt;=$D$13),1,0)</f>
        <v/>
      </c>
      <c r="IJ39" s="17">
        <f>IF(AND(241&gt;=$B$13,241&lt;=$D$13),1,0)</f>
        <v/>
      </c>
      <c r="IK39" s="17">
        <f>IF(AND(242&gt;=$B$13,242&lt;=$D$13),1,0)</f>
        <v/>
      </c>
      <c r="IL39" s="17">
        <f>IF(AND(243&gt;=$B$13,243&lt;=$D$13),1,0)</f>
        <v/>
      </c>
      <c r="IM39" s="17">
        <f>IF(AND(244&gt;=$B$13,244&lt;=$D$13),1,0)</f>
        <v/>
      </c>
      <c r="IN39" s="17">
        <f>IF(AND(245&gt;=$B$13,245&lt;=$D$13),1,0)</f>
        <v/>
      </c>
      <c r="IO39" s="17">
        <f>IF(AND(246&gt;=$B$13,246&lt;=$D$13),1,0)</f>
        <v/>
      </c>
      <c r="IP39" s="17">
        <f>IF(AND(247&gt;=$B$13,247&lt;=$D$13),1,0)</f>
        <v/>
      </c>
      <c r="IQ39" s="17">
        <f>IF(AND(248&gt;=$B$13,248&lt;=$D$13),1,0)</f>
        <v/>
      </c>
      <c r="IR39" s="17">
        <f>IF(AND(249&gt;=$B$13,249&lt;=$D$13),1,0)</f>
        <v/>
      </c>
      <c r="IS39" s="17">
        <f>IF(AND(250&gt;=$B$13,250&lt;=$D$13),1,0)</f>
        <v/>
      </c>
      <c r="IT39" s="17">
        <f>IF(AND(251&gt;=$B$13,251&lt;=$D$13),1,0)</f>
        <v/>
      </c>
      <c r="IU39" s="17">
        <f>IF(AND(252&gt;=$B$13,252&lt;=$D$13),1,0)</f>
        <v/>
      </c>
      <c r="IV39" s="17">
        <f>IF(AND(253&gt;=$B$13,253&lt;=$D$13),1,0)</f>
        <v/>
      </c>
      <c r="IW39" s="17">
        <f>IF(AND(254&gt;=$B$13,254&lt;=$D$13),1,0)</f>
        <v/>
      </c>
      <c r="IX39" s="17">
        <f>IF(AND(255&gt;=$B$13,255&lt;=$D$13),1,0)</f>
        <v/>
      </c>
      <c r="IY39" s="17">
        <f>IF(AND(256&gt;=$B$13,256&lt;=$D$13),1,0)</f>
        <v/>
      </c>
      <c r="IZ39" s="17">
        <f>IF(AND(257&gt;=$B$13,257&lt;=$D$13),1,0)</f>
        <v/>
      </c>
      <c r="JA39" s="17">
        <f>IF(AND(258&gt;=$B$13,258&lt;=$D$13),1,0)</f>
        <v/>
      </c>
      <c r="JB39" s="17">
        <f>IF(AND(259&gt;=$B$13,259&lt;=$D$13),1,0)</f>
        <v/>
      </c>
      <c r="JC39" s="17">
        <f>IF(AND(260&gt;=$B$13,260&lt;=$D$13),1,0)</f>
        <v/>
      </c>
      <c r="JD39" s="17">
        <f>IF(AND(261&gt;=$B$13,261&lt;=$D$13),1,0)</f>
        <v/>
      </c>
      <c r="JE39" s="17">
        <f>IF(AND(262&gt;=$B$13,262&lt;=$D$13),1,0)</f>
        <v/>
      </c>
      <c r="JF39" s="17">
        <f>IF(AND(263&gt;=$B$13,263&lt;=$D$13),1,0)</f>
        <v/>
      </c>
      <c r="JG39" s="17">
        <f>IF(AND(264&gt;=$B$13,264&lt;=$D$13),1,0)</f>
        <v/>
      </c>
      <c r="JH39" s="17">
        <f>IF(AND(265&gt;=$B$13,265&lt;=$D$13),1,0)</f>
        <v/>
      </c>
      <c r="JI39" s="17">
        <f>IF(AND(266&gt;=$B$13,266&lt;=$D$13),1,0)</f>
        <v/>
      </c>
      <c r="JJ39" s="17">
        <f>IF(AND(267&gt;=$B$13,267&lt;=$D$13),1,0)</f>
        <v/>
      </c>
      <c r="JK39" s="17">
        <f>IF(AND(268&gt;=$B$13,268&lt;=$D$13),1,0)</f>
        <v/>
      </c>
      <c r="JL39" s="17">
        <f>IF(AND(269&gt;=$B$13,269&lt;=$D$13),1,0)</f>
        <v/>
      </c>
      <c r="JM39" s="17">
        <f>IF(AND(270&gt;=$B$13,270&lt;=$D$13),1,0)</f>
        <v/>
      </c>
      <c r="JN39" s="17">
        <f>IF(AND(271&gt;=$B$13,271&lt;=$D$13),1,0)</f>
        <v/>
      </c>
      <c r="JO39" s="17">
        <f>IF(AND(272&gt;=$B$13,272&lt;=$D$13),1,0)</f>
        <v/>
      </c>
      <c r="JP39" s="17">
        <f>IF(AND(273&gt;=$B$13,273&lt;=$D$13),1,0)</f>
        <v/>
      </c>
      <c r="JQ39" s="17">
        <f>IF(AND(274&gt;=$B$13,274&lt;=$D$13),1,0)</f>
        <v/>
      </c>
      <c r="JR39" s="17">
        <f>IF(AND(275&gt;=$B$13,275&lt;=$D$13),1,0)</f>
        <v/>
      </c>
      <c r="JS39" s="17">
        <f>IF(AND(276&gt;=$B$13,276&lt;=$D$13),1,0)</f>
        <v/>
      </c>
      <c r="JT39" s="17">
        <f>IF(AND(277&gt;=$B$13,277&lt;=$D$13),1,0)</f>
        <v/>
      </c>
      <c r="JU39" s="17">
        <f>IF(AND(278&gt;=$B$13,278&lt;=$D$13),1,0)</f>
        <v/>
      </c>
      <c r="JV39" s="17">
        <f>IF(AND(279&gt;=$B$13,279&lt;=$D$13),1,0)</f>
        <v/>
      </c>
      <c r="JW39" s="17">
        <f>IF(AND(280&gt;=$B$13,280&lt;=$D$13),1,0)</f>
        <v/>
      </c>
      <c r="JX39" s="17">
        <f>IF(AND(281&gt;=$B$13,281&lt;=$D$13),1,0)</f>
        <v/>
      </c>
      <c r="JY39" s="17">
        <f>IF(AND(282&gt;=$B$13,282&lt;=$D$13),1,0)</f>
        <v/>
      </c>
      <c r="JZ39" s="17">
        <f>IF(AND(283&gt;=$B$13,283&lt;=$D$13),1,0)</f>
        <v/>
      </c>
      <c r="KA39" s="17">
        <f>IF(AND(284&gt;=$B$13,284&lt;=$D$13),1,0)</f>
        <v/>
      </c>
      <c r="KB39" s="17">
        <f>IF(AND(285&gt;=$B$13,285&lt;=$D$13),1,0)</f>
        <v/>
      </c>
      <c r="KC39" s="17">
        <f>IF(AND(286&gt;=$B$13,286&lt;=$D$13),1,0)</f>
        <v/>
      </c>
      <c r="KD39" s="17">
        <f>IF(AND(287&gt;=$B$13,287&lt;=$D$13),1,0)</f>
        <v/>
      </c>
      <c r="KE39" s="17">
        <f>IF(AND(288&gt;=$B$13,288&lt;=$D$13),1,0)</f>
        <v/>
      </c>
      <c r="KF39" s="17">
        <f>IF(AND(289&gt;=$B$13,289&lt;=$D$13),1,0)</f>
        <v/>
      </c>
      <c r="KG39" s="17">
        <f>IF(AND(290&gt;=$B$13,290&lt;=$D$13),1,0)</f>
        <v/>
      </c>
      <c r="KH39" s="17">
        <f>IF(AND(291&gt;=$B$13,291&lt;=$D$13),1,0)</f>
        <v/>
      </c>
      <c r="KI39" s="17">
        <f>IF(AND(292&gt;=$B$13,292&lt;=$D$13),1,0)</f>
        <v/>
      </c>
      <c r="KJ39" s="17">
        <f>IF(AND(293&gt;=$B$13,293&lt;=$D$13),1,0)</f>
        <v/>
      </c>
      <c r="KK39" s="17">
        <f>IF(AND(294&gt;=$B$13,294&lt;=$D$13),1,0)</f>
        <v/>
      </c>
      <c r="KL39" s="17">
        <f>IF(AND(295&gt;=$B$13,295&lt;=$D$13),1,0)</f>
        <v/>
      </c>
      <c r="KM39" s="17">
        <f>IF(AND(296&gt;=$B$13,296&lt;=$D$13),1,0)</f>
        <v/>
      </c>
      <c r="KN39" s="17">
        <f>IF(AND(297&gt;=$B$13,297&lt;=$D$13),1,0)</f>
        <v/>
      </c>
      <c r="KO39" s="17">
        <f>IF(AND(298&gt;=$B$13,298&lt;=$D$13),1,0)</f>
        <v/>
      </c>
      <c r="KP39" s="17">
        <f>IF(AND(299&gt;=$B$13,299&lt;=$D$13),1,0)</f>
        <v/>
      </c>
      <c r="KQ39" s="17">
        <f>IF(AND(300&gt;=$B$13,300&lt;=$D$13),1,0)</f>
        <v/>
      </c>
      <c r="KR39" s="17">
        <f>IF(AND(301&gt;=$B$13,301&lt;=$D$13),1,0)</f>
        <v/>
      </c>
      <c r="KS39" s="17">
        <f>IF(AND(302&gt;=$B$13,302&lt;=$D$13),1,0)</f>
        <v/>
      </c>
      <c r="KT39" s="17">
        <f>IF(AND(303&gt;=$B$13,303&lt;=$D$13),1,0)</f>
        <v/>
      </c>
      <c r="KU39" s="17">
        <f>IF(AND(304&gt;=$B$13,304&lt;=$D$13),1,0)</f>
        <v/>
      </c>
      <c r="KV39" s="17">
        <f>IF(AND(305&gt;=$B$13,305&lt;=$D$13),1,0)</f>
        <v/>
      </c>
      <c r="KW39" s="17">
        <f>IF(AND(306&gt;=$B$13,306&lt;=$D$13),1,0)</f>
        <v/>
      </c>
      <c r="KX39" s="17">
        <f>IF(AND(307&gt;=$B$13,307&lt;=$D$13),1,0)</f>
        <v/>
      </c>
      <c r="KY39" s="17">
        <f>IF(AND(308&gt;=$B$13,308&lt;=$D$13),1,0)</f>
        <v/>
      </c>
      <c r="KZ39" s="17">
        <f>IF(AND(309&gt;=$B$13,309&lt;=$D$13),1,0)</f>
        <v/>
      </c>
      <c r="LA39" s="17">
        <f>IF(AND(310&gt;=$B$13,310&lt;=$D$13),1,0)</f>
        <v/>
      </c>
      <c r="LB39" s="17">
        <f>IF(AND(311&gt;=$B$13,311&lt;=$D$13),1,0)</f>
        <v/>
      </c>
      <c r="LC39" s="17">
        <f>IF(AND(312&gt;=$B$13,312&lt;=$D$13),1,0)</f>
        <v/>
      </c>
      <c r="LD39" s="17">
        <f>IF(AND(313&gt;=$B$13,313&lt;=$D$13),1,0)</f>
        <v/>
      </c>
      <c r="LE39" s="17">
        <f>IF(AND(314&gt;=$B$13,314&lt;=$D$13),1,0)</f>
        <v/>
      </c>
      <c r="LF39" s="17">
        <f>IF(AND(315&gt;=$B$13,315&lt;=$D$13),1,0)</f>
        <v/>
      </c>
      <c r="LG39" s="17">
        <f>IF(AND(316&gt;=$B$13,316&lt;=$D$13),1,0)</f>
        <v/>
      </c>
      <c r="LH39" s="17">
        <f>IF(AND(317&gt;=$B$13,317&lt;=$D$13),1,0)</f>
        <v/>
      </c>
      <c r="LI39" s="17">
        <f>IF(AND(318&gt;=$B$13,318&lt;=$D$13),1,0)</f>
        <v/>
      </c>
      <c r="LJ39" s="17">
        <f>IF(AND(319&gt;=$B$13,319&lt;=$D$13),1,0)</f>
        <v/>
      </c>
      <c r="LK39" s="17">
        <f>IF(AND(320&gt;=$B$13,320&lt;=$D$13),1,0)</f>
        <v/>
      </c>
      <c r="LL39" s="17">
        <f>IF(AND(321&gt;=$B$13,321&lt;=$D$13),1,0)</f>
        <v/>
      </c>
      <c r="LM39" s="17">
        <f>IF(AND(322&gt;=$B$13,322&lt;=$D$13),1,0)</f>
        <v/>
      </c>
      <c r="LN39" s="17">
        <f>IF(AND(323&gt;=$B$13,323&lt;=$D$13),1,0)</f>
        <v/>
      </c>
      <c r="LO39" s="17">
        <f>IF(AND(324&gt;=$B$13,324&lt;=$D$13),1,0)</f>
        <v/>
      </c>
      <c r="LP39" s="17">
        <f>IF(AND(325&gt;=$B$13,325&lt;=$D$13),1,0)</f>
        <v/>
      </c>
      <c r="LQ39" s="17">
        <f>IF(AND(326&gt;=$B$13,326&lt;=$D$13),1,0)</f>
        <v/>
      </c>
      <c r="LR39" s="17">
        <f>IF(AND(327&gt;=$B$13,327&lt;=$D$13),1,0)</f>
        <v/>
      </c>
      <c r="LS39" s="17">
        <f>IF(AND(328&gt;=$B$13,328&lt;=$D$13),1,0)</f>
        <v/>
      </c>
      <c r="LT39" s="17">
        <f>IF(AND(329&gt;=$B$13,329&lt;=$D$13),1,0)</f>
        <v/>
      </c>
      <c r="LU39" s="17">
        <f>IF(AND(330&gt;=$B$13,330&lt;=$D$13),1,0)</f>
        <v/>
      </c>
      <c r="LV39" s="17">
        <f>IF(AND(331&gt;=$B$13,331&lt;=$D$13),1,0)</f>
        <v/>
      </c>
      <c r="LW39" s="17">
        <f>IF(AND(332&gt;=$B$13,332&lt;=$D$13),1,0)</f>
        <v/>
      </c>
      <c r="LX39" s="17">
        <f>IF(AND(333&gt;=$B$13,333&lt;=$D$13),1,0)</f>
        <v/>
      </c>
      <c r="LY39" s="17">
        <f>IF(AND(334&gt;=$B$13,334&lt;=$D$13),1,0)</f>
        <v/>
      </c>
      <c r="LZ39" s="17">
        <f>IF(AND(335&gt;=$B$13,335&lt;=$D$13),1,0)</f>
        <v/>
      </c>
      <c r="MA39" s="17">
        <f>IF(AND(336&gt;=$B$13,336&lt;=$D$13),1,0)</f>
        <v/>
      </c>
      <c r="MB39" s="17">
        <f>IF(AND(337&gt;=$B$13,337&lt;=$D$13),1,0)</f>
        <v/>
      </c>
      <c r="MC39" s="17">
        <f>IF(AND(338&gt;=$B$13,338&lt;=$D$13),1,0)</f>
        <v/>
      </c>
      <c r="MD39" s="17">
        <f>IF(AND(339&gt;=$B$13,339&lt;=$D$13),1,0)</f>
        <v/>
      </c>
      <c r="ME39" s="17">
        <f>IF(AND(340&gt;=$B$13,340&lt;=$D$13),1,0)</f>
        <v/>
      </c>
      <c r="MF39" s="17">
        <f>IF(AND(341&gt;=$B$13,341&lt;=$D$13),1,0)</f>
        <v/>
      </c>
      <c r="MG39" s="17">
        <f>IF(AND(342&gt;=$B$13,342&lt;=$D$13),1,0)</f>
        <v/>
      </c>
      <c r="MH39" s="17">
        <f>IF(AND(343&gt;=$B$13,343&lt;=$D$13),1,0)</f>
        <v/>
      </c>
      <c r="MI39" s="17">
        <f>IF(AND(344&gt;=$B$13,344&lt;=$D$13),1,0)</f>
        <v/>
      </c>
      <c r="MJ39" s="17">
        <f>IF(AND(345&gt;=$B$13,345&lt;=$D$13),1,0)</f>
        <v/>
      </c>
      <c r="MK39" s="17">
        <f>IF(AND(346&gt;=$B$13,346&lt;=$D$13),1,0)</f>
        <v/>
      </c>
      <c r="ML39" s="17">
        <f>IF(AND(347&gt;=$B$13,347&lt;=$D$13),1,0)</f>
        <v/>
      </c>
      <c r="MM39" s="17">
        <f>IF(AND(348&gt;=$B$13,348&lt;=$D$13),1,0)</f>
        <v/>
      </c>
      <c r="MN39" s="17">
        <f>IF(AND(349&gt;=$B$13,349&lt;=$D$13),1,0)</f>
        <v/>
      </c>
      <c r="MO39" s="17">
        <f>IF(AND(350&gt;=$B$13,350&lt;=$D$13),1,0)</f>
        <v/>
      </c>
      <c r="MP39" s="17">
        <f>IF(AND(351&gt;=$B$13,351&lt;=$D$13),1,0)</f>
        <v/>
      </c>
      <c r="MQ39" s="17">
        <f>IF(AND(352&gt;=$B$13,352&lt;=$D$13),1,0)</f>
        <v/>
      </c>
      <c r="MR39" s="17">
        <f>IF(AND(353&gt;=$B$13,353&lt;=$D$13),1,0)</f>
        <v/>
      </c>
      <c r="MS39" s="17">
        <f>IF(AND(354&gt;=$B$13,354&lt;=$D$13),1,0)</f>
        <v/>
      </c>
      <c r="MT39" s="17">
        <f>IF(AND(355&gt;=$B$13,355&lt;=$D$13),1,0)</f>
        <v/>
      </c>
      <c r="MU39" s="17">
        <f>IF(AND(356&gt;=$B$13,356&lt;=$D$13),1,0)</f>
        <v/>
      </c>
      <c r="MV39" s="17">
        <f>IF(AND(357&gt;=$B$13,357&lt;=$D$13),1,0)</f>
        <v/>
      </c>
      <c r="MW39" s="17">
        <f>IF(AND(358&gt;=$B$13,358&lt;=$D$13),1,0)</f>
        <v/>
      </c>
      <c r="MX39" s="17">
        <f>IF(AND(359&gt;=$B$13,359&lt;=$D$13),1,0)</f>
        <v/>
      </c>
      <c r="MY39" s="17">
        <f>IF(AND(360&gt;=$B$13,360&lt;=$D$13),1,0)</f>
        <v/>
      </c>
      <c r="MZ39" s="17">
        <f>IF(AND(361&gt;=$B$13,361&lt;=$D$13),1,0)</f>
        <v/>
      </c>
      <c r="NA39" s="17">
        <f>IF(AND(362&gt;=$B$13,362&lt;=$D$13),1,0)</f>
        <v/>
      </c>
      <c r="NB39" s="17">
        <f>IF(AND(363&gt;=$B$13,363&lt;=$D$13),1,0)</f>
        <v/>
      </c>
      <c r="NC39" s="17">
        <f>IF(AND(364&gt;=$B$13,364&lt;=$D$13),1,0)</f>
        <v/>
      </c>
      <c r="ND39" s="17">
        <f>IF(AND(365&gt;=$B$13,365&lt;=$D$13),1,0)</f>
        <v/>
      </c>
      <c r="NE39" s="17">
        <f>IF(AND(366&gt;=$B$13,366&lt;=$D$13),1,0)</f>
        <v/>
      </c>
      <c r="NF39" s="17">
        <f>IF(AND(367&gt;=$B$13,367&lt;=$D$13),1,0)</f>
        <v/>
      </c>
      <c r="NG39" s="17">
        <f>IF(AND(368&gt;=$B$13,368&lt;=$D$13),1,0)</f>
        <v/>
      </c>
      <c r="NH39" s="17">
        <f>IF(AND(369&gt;=$B$13,369&lt;=$D$13),1,0)</f>
        <v/>
      </c>
      <c r="NI39" s="17">
        <f>IF(AND(370&gt;=$B$13,370&lt;=$D$13),1,0)</f>
        <v/>
      </c>
      <c r="NJ39" s="17">
        <f>IF(AND(371&gt;=$B$13,371&lt;=$D$13),1,0)</f>
        <v/>
      </c>
      <c r="NK39" s="17">
        <f>IF(AND(372&gt;=$B$13,372&lt;=$D$13),1,0)</f>
        <v/>
      </c>
    </row>
    <row r="40">
      <c r="A40" s="5" t="inlineStr">
        <is>
          <t>Flag: Disposition</t>
        </is>
      </c>
      <c r="C40" s="40" t="n"/>
      <c r="D40" s="17">
        <f>IF(AND(1&gt;=$B$14,1&lt;=$D$14),1,0)</f>
        <v/>
      </c>
      <c r="E40" s="17">
        <f>IF(AND(2&gt;=$B$14,2&lt;=$D$14),1,0)</f>
        <v/>
      </c>
      <c r="F40" s="17">
        <f>IF(AND(3&gt;=$B$14,3&lt;=$D$14),1,0)</f>
        <v/>
      </c>
      <c r="G40" s="17">
        <f>IF(AND(4&gt;=$B$14,4&lt;=$D$14),1,0)</f>
        <v/>
      </c>
      <c r="H40" s="17">
        <f>IF(AND(5&gt;=$B$14,5&lt;=$D$14),1,0)</f>
        <v/>
      </c>
      <c r="I40" s="17">
        <f>IF(AND(6&gt;=$B$14,6&lt;=$D$14),1,0)</f>
        <v/>
      </c>
      <c r="J40" s="17">
        <f>IF(AND(7&gt;=$B$14,7&lt;=$D$14),1,0)</f>
        <v/>
      </c>
      <c r="K40" s="17">
        <f>IF(AND(8&gt;=$B$14,8&lt;=$D$14),1,0)</f>
        <v/>
      </c>
      <c r="L40" s="17">
        <f>IF(AND(9&gt;=$B$14,9&lt;=$D$14),1,0)</f>
        <v/>
      </c>
      <c r="M40" s="17">
        <f>IF(AND(10&gt;=$B$14,10&lt;=$D$14),1,0)</f>
        <v/>
      </c>
      <c r="N40" s="17">
        <f>IF(AND(11&gt;=$B$14,11&lt;=$D$14),1,0)</f>
        <v/>
      </c>
      <c r="O40" s="17">
        <f>IF(AND(12&gt;=$B$14,12&lt;=$D$14),1,0)</f>
        <v/>
      </c>
      <c r="P40" s="17">
        <f>IF(AND(13&gt;=$B$14,13&lt;=$D$14),1,0)</f>
        <v/>
      </c>
      <c r="Q40" s="17">
        <f>IF(AND(14&gt;=$B$14,14&lt;=$D$14),1,0)</f>
        <v/>
      </c>
      <c r="R40" s="17">
        <f>IF(AND(15&gt;=$B$14,15&lt;=$D$14),1,0)</f>
        <v/>
      </c>
      <c r="S40" s="17">
        <f>IF(AND(16&gt;=$B$14,16&lt;=$D$14),1,0)</f>
        <v/>
      </c>
      <c r="T40" s="17">
        <f>IF(AND(17&gt;=$B$14,17&lt;=$D$14),1,0)</f>
        <v/>
      </c>
      <c r="U40" s="17">
        <f>IF(AND(18&gt;=$B$14,18&lt;=$D$14),1,0)</f>
        <v/>
      </c>
      <c r="V40" s="17">
        <f>IF(AND(19&gt;=$B$14,19&lt;=$D$14),1,0)</f>
        <v/>
      </c>
      <c r="W40" s="17">
        <f>IF(AND(20&gt;=$B$14,20&lt;=$D$14),1,0)</f>
        <v/>
      </c>
      <c r="X40" s="17">
        <f>IF(AND(21&gt;=$B$14,21&lt;=$D$14),1,0)</f>
        <v/>
      </c>
      <c r="Y40" s="17">
        <f>IF(AND(22&gt;=$B$14,22&lt;=$D$14),1,0)</f>
        <v/>
      </c>
      <c r="Z40" s="17">
        <f>IF(AND(23&gt;=$B$14,23&lt;=$D$14),1,0)</f>
        <v/>
      </c>
      <c r="AA40" s="17">
        <f>IF(AND(24&gt;=$B$14,24&lt;=$D$14),1,0)</f>
        <v/>
      </c>
      <c r="AB40" s="17">
        <f>IF(AND(25&gt;=$B$14,25&lt;=$D$14),1,0)</f>
        <v/>
      </c>
      <c r="AC40" s="17">
        <f>IF(AND(26&gt;=$B$14,26&lt;=$D$14),1,0)</f>
        <v/>
      </c>
      <c r="AD40" s="17">
        <f>IF(AND(27&gt;=$B$14,27&lt;=$D$14),1,0)</f>
        <v/>
      </c>
      <c r="AE40" s="17">
        <f>IF(AND(28&gt;=$B$14,28&lt;=$D$14),1,0)</f>
        <v/>
      </c>
      <c r="AF40" s="17">
        <f>IF(AND(29&gt;=$B$14,29&lt;=$D$14),1,0)</f>
        <v/>
      </c>
      <c r="AG40" s="17">
        <f>IF(AND(30&gt;=$B$14,30&lt;=$D$14),1,0)</f>
        <v/>
      </c>
      <c r="AH40" s="17">
        <f>IF(AND(31&gt;=$B$14,31&lt;=$D$14),1,0)</f>
        <v/>
      </c>
      <c r="AI40" s="17">
        <f>IF(AND(32&gt;=$B$14,32&lt;=$D$14),1,0)</f>
        <v/>
      </c>
      <c r="AJ40" s="17">
        <f>IF(AND(33&gt;=$B$14,33&lt;=$D$14),1,0)</f>
        <v/>
      </c>
      <c r="AK40" s="17">
        <f>IF(AND(34&gt;=$B$14,34&lt;=$D$14),1,0)</f>
        <v/>
      </c>
      <c r="AL40" s="17">
        <f>IF(AND(35&gt;=$B$14,35&lt;=$D$14),1,0)</f>
        <v/>
      </c>
      <c r="AM40" s="17">
        <f>IF(AND(36&gt;=$B$14,36&lt;=$D$14),1,0)</f>
        <v/>
      </c>
      <c r="AN40" s="17">
        <f>IF(AND(37&gt;=$B$14,37&lt;=$D$14),1,0)</f>
        <v/>
      </c>
      <c r="AO40" s="17">
        <f>IF(AND(38&gt;=$B$14,38&lt;=$D$14),1,0)</f>
        <v/>
      </c>
      <c r="AP40" s="17">
        <f>IF(AND(39&gt;=$B$14,39&lt;=$D$14),1,0)</f>
        <v/>
      </c>
      <c r="AQ40" s="17">
        <f>IF(AND(40&gt;=$B$14,40&lt;=$D$14),1,0)</f>
        <v/>
      </c>
      <c r="AR40" s="17">
        <f>IF(AND(41&gt;=$B$14,41&lt;=$D$14),1,0)</f>
        <v/>
      </c>
      <c r="AS40" s="17">
        <f>IF(AND(42&gt;=$B$14,42&lt;=$D$14),1,0)</f>
        <v/>
      </c>
      <c r="AT40" s="17">
        <f>IF(AND(43&gt;=$B$14,43&lt;=$D$14),1,0)</f>
        <v/>
      </c>
      <c r="AU40" s="17">
        <f>IF(AND(44&gt;=$B$14,44&lt;=$D$14),1,0)</f>
        <v/>
      </c>
      <c r="AV40" s="17">
        <f>IF(AND(45&gt;=$B$14,45&lt;=$D$14),1,0)</f>
        <v/>
      </c>
      <c r="AW40" s="17">
        <f>IF(AND(46&gt;=$B$14,46&lt;=$D$14),1,0)</f>
        <v/>
      </c>
      <c r="AX40" s="17">
        <f>IF(AND(47&gt;=$B$14,47&lt;=$D$14),1,0)</f>
        <v/>
      </c>
      <c r="AY40" s="17">
        <f>IF(AND(48&gt;=$B$14,48&lt;=$D$14),1,0)</f>
        <v/>
      </c>
      <c r="AZ40" s="17">
        <f>IF(AND(49&gt;=$B$14,49&lt;=$D$14),1,0)</f>
        <v/>
      </c>
      <c r="BA40" s="17">
        <f>IF(AND(50&gt;=$B$14,50&lt;=$D$14),1,0)</f>
        <v/>
      </c>
      <c r="BB40" s="17">
        <f>IF(AND(51&gt;=$B$14,51&lt;=$D$14),1,0)</f>
        <v/>
      </c>
      <c r="BC40" s="17">
        <f>IF(AND(52&gt;=$B$14,52&lt;=$D$14),1,0)</f>
        <v/>
      </c>
      <c r="BD40" s="17">
        <f>IF(AND(53&gt;=$B$14,53&lt;=$D$14),1,0)</f>
        <v/>
      </c>
      <c r="BE40" s="17">
        <f>IF(AND(54&gt;=$B$14,54&lt;=$D$14),1,0)</f>
        <v/>
      </c>
      <c r="BF40" s="17">
        <f>IF(AND(55&gt;=$B$14,55&lt;=$D$14),1,0)</f>
        <v/>
      </c>
      <c r="BG40" s="17">
        <f>IF(AND(56&gt;=$B$14,56&lt;=$D$14),1,0)</f>
        <v/>
      </c>
      <c r="BH40" s="17">
        <f>IF(AND(57&gt;=$B$14,57&lt;=$D$14),1,0)</f>
        <v/>
      </c>
      <c r="BI40" s="17">
        <f>IF(AND(58&gt;=$B$14,58&lt;=$D$14),1,0)</f>
        <v/>
      </c>
      <c r="BJ40" s="17">
        <f>IF(AND(59&gt;=$B$14,59&lt;=$D$14),1,0)</f>
        <v/>
      </c>
      <c r="BK40" s="17">
        <f>IF(AND(60&gt;=$B$14,60&lt;=$D$14),1,0)</f>
        <v/>
      </c>
      <c r="BL40" s="17">
        <f>IF(AND(61&gt;=$B$14,61&lt;=$D$14),1,0)</f>
        <v/>
      </c>
      <c r="BM40" s="17">
        <f>IF(AND(62&gt;=$B$14,62&lt;=$D$14),1,0)</f>
        <v/>
      </c>
      <c r="BN40" s="17">
        <f>IF(AND(63&gt;=$B$14,63&lt;=$D$14),1,0)</f>
        <v/>
      </c>
      <c r="BO40" s="17">
        <f>IF(AND(64&gt;=$B$14,64&lt;=$D$14),1,0)</f>
        <v/>
      </c>
      <c r="BP40" s="17">
        <f>IF(AND(65&gt;=$B$14,65&lt;=$D$14),1,0)</f>
        <v/>
      </c>
      <c r="BQ40" s="17">
        <f>IF(AND(66&gt;=$B$14,66&lt;=$D$14),1,0)</f>
        <v/>
      </c>
      <c r="BR40" s="17">
        <f>IF(AND(67&gt;=$B$14,67&lt;=$D$14),1,0)</f>
        <v/>
      </c>
      <c r="BS40" s="17">
        <f>IF(AND(68&gt;=$B$14,68&lt;=$D$14),1,0)</f>
        <v/>
      </c>
      <c r="BT40" s="17">
        <f>IF(AND(69&gt;=$B$14,69&lt;=$D$14),1,0)</f>
        <v/>
      </c>
      <c r="BU40" s="17">
        <f>IF(AND(70&gt;=$B$14,70&lt;=$D$14),1,0)</f>
        <v/>
      </c>
      <c r="BV40" s="17">
        <f>IF(AND(71&gt;=$B$14,71&lt;=$D$14),1,0)</f>
        <v/>
      </c>
      <c r="BW40" s="17">
        <f>IF(AND(72&gt;=$B$14,72&lt;=$D$14),1,0)</f>
        <v/>
      </c>
      <c r="BX40" s="17">
        <f>IF(AND(73&gt;=$B$14,73&lt;=$D$14),1,0)</f>
        <v/>
      </c>
      <c r="BY40" s="17">
        <f>IF(AND(74&gt;=$B$14,74&lt;=$D$14),1,0)</f>
        <v/>
      </c>
      <c r="BZ40" s="17">
        <f>IF(AND(75&gt;=$B$14,75&lt;=$D$14),1,0)</f>
        <v/>
      </c>
      <c r="CA40" s="17">
        <f>IF(AND(76&gt;=$B$14,76&lt;=$D$14),1,0)</f>
        <v/>
      </c>
      <c r="CB40" s="17">
        <f>IF(AND(77&gt;=$B$14,77&lt;=$D$14),1,0)</f>
        <v/>
      </c>
      <c r="CC40" s="17">
        <f>IF(AND(78&gt;=$B$14,78&lt;=$D$14),1,0)</f>
        <v/>
      </c>
      <c r="CD40" s="17">
        <f>IF(AND(79&gt;=$B$14,79&lt;=$D$14),1,0)</f>
        <v/>
      </c>
      <c r="CE40" s="17">
        <f>IF(AND(80&gt;=$B$14,80&lt;=$D$14),1,0)</f>
        <v/>
      </c>
      <c r="CF40" s="17">
        <f>IF(AND(81&gt;=$B$14,81&lt;=$D$14),1,0)</f>
        <v/>
      </c>
      <c r="CG40" s="17">
        <f>IF(AND(82&gt;=$B$14,82&lt;=$D$14),1,0)</f>
        <v/>
      </c>
      <c r="CH40" s="17">
        <f>IF(AND(83&gt;=$B$14,83&lt;=$D$14),1,0)</f>
        <v/>
      </c>
      <c r="CI40" s="17">
        <f>IF(AND(84&gt;=$B$14,84&lt;=$D$14),1,0)</f>
        <v/>
      </c>
      <c r="CJ40" s="17">
        <f>IF(AND(85&gt;=$B$14,85&lt;=$D$14),1,0)</f>
        <v/>
      </c>
      <c r="CK40" s="17">
        <f>IF(AND(86&gt;=$B$14,86&lt;=$D$14),1,0)</f>
        <v/>
      </c>
      <c r="CL40" s="17">
        <f>IF(AND(87&gt;=$B$14,87&lt;=$D$14),1,0)</f>
        <v/>
      </c>
      <c r="CM40" s="17">
        <f>IF(AND(88&gt;=$B$14,88&lt;=$D$14),1,0)</f>
        <v/>
      </c>
      <c r="CN40" s="17">
        <f>IF(AND(89&gt;=$B$14,89&lt;=$D$14),1,0)</f>
        <v/>
      </c>
      <c r="CO40" s="17">
        <f>IF(AND(90&gt;=$B$14,90&lt;=$D$14),1,0)</f>
        <v/>
      </c>
      <c r="CP40" s="17">
        <f>IF(AND(91&gt;=$B$14,91&lt;=$D$14),1,0)</f>
        <v/>
      </c>
      <c r="CQ40" s="17">
        <f>IF(AND(92&gt;=$B$14,92&lt;=$D$14),1,0)</f>
        <v/>
      </c>
      <c r="CR40" s="17">
        <f>IF(AND(93&gt;=$B$14,93&lt;=$D$14),1,0)</f>
        <v/>
      </c>
      <c r="CS40" s="17">
        <f>IF(AND(94&gt;=$B$14,94&lt;=$D$14),1,0)</f>
        <v/>
      </c>
      <c r="CT40" s="17">
        <f>IF(AND(95&gt;=$B$14,95&lt;=$D$14),1,0)</f>
        <v/>
      </c>
      <c r="CU40" s="17">
        <f>IF(AND(96&gt;=$B$14,96&lt;=$D$14),1,0)</f>
        <v/>
      </c>
      <c r="CV40" s="17">
        <f>IF(AND(97&gt;=$B$14,97&lt;=$D$14),1,0)</f>
        <v/>
      </c>
      <c r="CW40" s="17">
        <f>IF(AND(98&gt;=$B$14,98&lt;=$D$14),1,0)</f>
        <v/>
      </c>
      <c r="CX40" s="17">
        <f>IF(AND(99&gt;=$B$14,99&lt;=$D$14),1,0)</f>
        <v/>
      </c>
      <c r="CY40" s="17">
        <f>IF(AND(100&gt;=$B$14,100&lt;=$D$14),1,0)</f>
        <v/>
      </c>
      <c r="CZ40" s="17">
        <f>IF(AND(101&gt;=$B$14,101&lt;=$D$14),1,0)</f>
        <v/>
      </c>
      <c r="DA40" s="17">
        <f>IF(AND(102&gt;=$B$14,102&lt;=$D$14),1,0)</f>
        <v/>
      </c>
      <c r="DB40" s="17">
        <f>IF(AND(103&gt;=$B$14,103&lt;=$D$14),1,0)</f>
        <v/>
      </c>
      <c r="DC40" s="17">
        <f>IF(AND(104&gt;=$B$14,104&lt;=$D$14),1,0)</f>
        <v/>
      </c>
      <c r="DD40" s="17">
        <f>IF(AND(105&gt;=$B$14,105&lt;=$D$14),1,0)</f>
        <v/>
      </c>
      <c r="DE40" s="17">
        <f>IF(AND(106&gt;=$B$14,106&lt;=$D$14),1,0)</f>
        <v/>
      </c>
      <c r="DF40" s="17">
        <f>IF(AND(107&gt;=$B$14,107&lt;=$D$14),1,0)</f>
        <v/>
      </c>
      <c r="DG40" s="17">
        <f>IF(AND(108&gt;=$B$14,108&lt;=$D$14),1,0)</f>
        <v/>
      </c>
      <c r="DH40" s="17">
        <f>IF(AND(109&gt;=$B$14,109&lt;=$D$14),1,0)</f>
        <v/>
      </c>
      <c r="DI40" s="17">
        <f>IF(AND(110&gt;=$B$14,110&lt;=$D$14),1,0)</f>
        <v/>
      </c>
      <c r="DJ40" s="17">
        <f>IF(AND(111&gt;=$B$14,111&lt;=$D$14),1,0)</f>
        <v/>
      </c>
      <c r="DK40" s="17">
        <f>IF(AND(112&gt;=$B$14,112&lt;=$D$14),1,0)</f>
        <v/>
      </c>
      <c r="DL40" s="17">
        <f>IF(AND(113&gt;=$B$14,113&lt;=$D$14),1,0)</f>
        <v/>
      </c>
      <c r="DM40" s="17">
        <f>IF(AND(114&gt;=$B$14,114&lt;=$D$14),1,0)</f>
        <v/>
      </c>
      <c r="DN40" s="17">
        <f>IF(AND(115&gt;=$B$14,115&lt;=$D$14),1,0)</f>
        <v/>
      </c>
      <c r="DO40" s="17">
        <f>IF(AND(116&gt;=$B$14,116&lt;=$D$14),1,0)</f>
        <v/>
      </c>
      <c r="DP40" s="17">
        <f>IF(AND(117&gt;=$B$14,117&lt;=$D$14),1,0)</f>
        <v/>
      </c>
      <c r="DQ40" s="17">
        <f>IF(AND(118&gt;=$B$14,118&lt;=$D$14),1,0)</f>
        <v/>
      </c>
      <c r="DR40" s="17">
        <f>IF(AND(119&gt;=$B$14,119&lt;=$D$14),1,0)</f>
        <v/>
      </c>
      <c r="DS40" s="17">
        <f>IF(AND(120&gt;=$B$14,120&lt;=$D$14),1,0)</f>
        <v/>
      </c>
      <c r="DT40" s="17">
        <f>IF(AND(121&gt;=$B$14,121&lt;=$D$14),1,0)</f>
        <v/>
      </c>
      <c r="DU40" s="17">
        <f>IF(AND(122&gt;=$B$14,122&lt;=$D$14),1,0)</f>
        <v/>
      </c>
      <c r="DV40" s="17">
        <f>IF(AND(123&gt;=$B$14,123&lt;=$D$14),1,0)</f>
        <v/>
      </c>
      <c r="DW40" s="17">
        <f>IF(AND(124&gt;=$B$14,124&lt;=$D$14),1,0)</f>
        <v/>
      </c>
      <c r="DX40" s="17">
        <f>IF(AND(125&gt;=$B$14,125&lt;=$D$14),1,0)</f>
        <v/>
      </c>
      <c r="DY40" s="17">
        <f>IF(AND(126&gt;=$B$14,126&lt;=$D$14),1,0)</f>
        <v/>
      </c>
      <c r="DZ40" s="17">
        <f>IF(AND(127&gt;=$B$14,127&lt;=$D$14),1,0)</f>
        <v/>
      </c>
      <c r="EA40" s="17">
        <f>IF(AND(128&gt;=$B$14,128&lt;=$D$14),1,0)</f>
        <v/>
      </c>
      <c r="EB40" s="17">
        <f>IF(AND(129&gt;=$B$14,129&lt;=$D$14),1,0)</f>
        <v/>
      </c>
      <c r="EC40" s="17">
        <f>IF(AND(130&gt;=$B$14,130&lt;=$D$14),1,0)</f>
        <v/>
      </c>
      <c r="ED40" s="17">
        <f>IF(AND(131&gt;=$B$14,131&lt;=$D$14),1,0)</f>
        <v/>
      </c>
      <c r="EE40" s="17">
        <f>IF(AND(132&gt;=$B$14,132&lt;=$D$14),1,0)</f>
        <v/>
      </c>
      <c r="EF40" s="17">
        <f>IF(AND(133&gt;=$B$14,133&lt;=$D$14),1,0)</f>
        <v/>
      </c>
      <c r="EG40" s="17">
        <f>IF(AND(134&gt;=$B$14,134&lt;=$D$14),1,0)</f>
        <v/>
      </c>
      <c r="EH40" s="17">
        <f>IF(AND(135&gt;=$B$14,135&lt;=$D$14),1,0)</f>
        <v/>
      </c>
      <c r="EI40" s="17">
        <f>IF(AND(136&gt;=$B$14,136&lt;=$D$14),1,0)</f>
        <v/>
      </c>
      <c r="EJ40" s="17">
        <f>IF(AND(137&gt;=$B$14,137&lt;=$D$14),1,0)</f>
        <v/>
      </c>
      <c r="EK40" s="17">
        <f>IF(AND(138&gt;=$B$14,138&lt;=$D$14),1,0)</f>
        <v/>
      </c>
      <c r="EL40" s="17">
        <f>IF(AND(139&gt;=$B$14,139&lt;=$D$14),1,0)</f>
        <v/>
      </c>
      <c r="EM40" s="17">
        <f>IF(AND(140&gt;=$B$14,140&lt;=$D$14),1,0)</f>
        <v/>
      </c>
      <c r="EN40" s="17">
        <f>IF(AND(141&gt;=$B$14,141&lt;=$D$14),1,0)</f>
        <v/>
      </c>
      <c r="EO40" s="17">
        <f>IF(AND(142&gt;=$B$14,142&lt;=$D$14),1,0)</f>
        <v/>
      </c>
      <c r="EP40" s="17">
        <f>IF(AND(143&gt;=$B$14,143&lt;=$D$14),1,0)</f>
        <v/>
      </c>
      <c r="EQ40" s="17">
        <f>IF(AND(144&gt;=$B$14,144&lt;=$D$14),1,0)</f>
        <v/>
      </c>
      <c r="ER40" s="17">
        <f>IF(AND(145&gt;=$B$14,145&lt;=$D$14),1,0)</f>
        <v/>
      </c>
      <c r="ES40" s="17">
        <f>IF(AND(146&gt;=$B$14,146&lt;=$D$14),1,0)</f>
        <v/>
      </c>
      <c r="ET40" s="17">
        <f>IF(AND(147&gt;=$B$14,147&lt;=$D$14),1,0)</f>
        <v/>
      </c>
      <c r="EU40" s="17">
        <f>IF(AND(148&gt;=$B$14,148&lt;=$D$14),1,0)</f>
        <v/>
      </c>
      <c r="EV40" s="17">
        <f>IF(AND(149&gt;=$B$14,149&lt;=$D$14),1,0)</f>
        <v/>
      </c>
      <c r="EW40" s="17">
        <f>IF(AND(150&gt;=$B$14,150&lt;=$D$14),1,0)</f>
        <v/>
      </c>
      <c r="EX40" s="17">
        <f>IF(AND(151&gt;=$B$14,151&lt;=$D$14),1,0)</f>
        <v/>
      </c>
      <c r="EY40" s="17">
        <f>IF(AND(152&gt;=$B$14,152&lt;=$D$14),1,0)</f>
        <v/>
      </c>
      <c r="EZ40" s="17">
        <f>IF(AND(153&gt;=$B$14,153&lt;=$D$14),1,0)</f>
        <v/>
      </c>
      <c r="FA40" s="17">
        <f>IF(AND(154&gt;=$B$14,154&lt;=$D$14),1,0)</f>
        <v/>
      </c>
      <c r="FB40" s="17">
        <f>IF(AND(155&gt;=$B$14,155&lt;=$D$14),1,0)</f>
        <v/>
      </c>
      <c r="FC40" s="17">
        <f>IF(AND(156&gt;=$B$14,156&lt;=$D$14),1,0)</f>
        <v/>
      </c>
      <c r="FD40" s="17">
        <f>IF(AND(157&gt;=$B$14,157&lt;=$D$14),1,0)</f>
        <v/>
      </c>
      <c r="FE40" s="17">
        <f>IF(AND(158&gt;=$B$14,158&lt;=$D$14),1,0)</f>
        <v/>
      </c>
      <c r="FF40" s="17">
        <f>IF(AND(159&gt;=$B$14,159&lt;=$D$14),1,0)</f>
        <v/>
      </c>
      <c r="FG40" s="17">
        <f>IF(AND(160&gt;=$B$14,160&lt;=$D$14),1,0)</f>
        <v/>
      </c>
      <c r="FH40" s="17">
        <f>IF(AND(161&gt;=$B$14,161&lt;=$D$14),1,0)</f>
        <v/>
      </c>
      <c r="FI40" s="17">
        <f>IF(AND(162&gt;=$B$14,162&lt;=$D$14),1,0)</f>
        <v/>
      </c>
      <c r="FJ40" s="17">
        <f>IF(AND(163&gt;=$B$14,163&lt;=$D$14),1,0)</f>
        <v/>
      </c>
      <c r="FK40" s="17">
        <f>IF(AND(164&gt;=$B$14,164&lt;=$D$14),1,0)</f>
        <v/>
      </c>
      <c r="FL40" s="17">
        <f>IF(AND(165&gt;=$B$14,165&lt;=$D$14),1,0)</f>
        <v/>
      </c>
      <c r="FM40" s="17">
        <f>IF(AND(166&gt;=$B$14,166&lt;=$D$14),1,0)</f>
        <v/>
      </c>
      <c r="FN40" s="17">
        <f>IF(AND(167&gt;=$B$14,167&lt;=$D$14),1,0)</f>
        <v/>
      </c>
      <c r="FO40" s="17">
        <f>IF(AND(168&gt;=$B$14,168&lt;=$D$14),1,0)</f>
        <v/>
      </c>
      <c r="FP40" s="17">
        <f>IF(AND(169&gt;=$B$14,169&lt;=$D$14),1,0)</f>
        <v/>
      </c>
      <c r="FQ40" s="17">
        <f>IF(AND(170&gt;=$B$14,170&lt;=$D$14),1,0)</f>
        <v/>
      </c>
      <c r="FR40" s="17">
        <f>IF(AND(171&gt;=$B$14,171&lt;=$D$14),1,0)</f>
        <v/>
      </c>
      <c r="FS40" s="17">
        <f>IF(AND(172&gt;=$B$14,172&lt;=$D$14),1,0)</f>
        <v/>
      </c>
      <c r="FT40" s="17">
        <f>IF(AND(173&gt;=$B$14,173&lt;=$D$14),1,0)</f>
        <v/>
      </c>
      <c r="FU40" s="17">
        <f>IF(AND(174&gt;=$B$14,174&lt;=$D$14),1,0)</f>
        <v/>
      </c>
      <c r="FV40" s="17">
        <f>IF(AND(175&gt;=$B$14,175&lt;=$D$14),1,0)</f>
        <v/>
      </c>
      <c r="FW40" s="17">
        <f>IF(AND(176&gt;=$B$14,176&lt;=$D$14),1,0)</f>
        <v/>
      </c>
      <c r="FX40" s="17">
        <f>IF(AND(177&gt;=$B$14,177&lt;=$D$14),1,0)</f>
        <v/>
      </c>
      <c r="FY40" s="17">
        <f>IF(AND(178&gt;=$B$14,178&lt;=$D$14),1,0)</f>
        <v/>
      </c>
      <c r="FZ40" s="17">
        <f>IF(AND(179&gt;=$B$14,179&lt;=$D$14),1,0)</f>
        <v/>
      </c>
      <c r="GA40" s="17">
        <f>IF(AND(180&gt;=$B$14,180&lt;=$D$14),1,0)</f>
        <v/>
      </c>
      <c r="GB40" s="17">
        <f>IF(AND(181&gt;=$B$14,181&lt;=$D$14),1,0)</f>
        <v/>
      </c>
      <c r="GC40" s="17">
        <f>IF(AND(182&gt;=$B$14,182&lt;=$D$14),1,0)</f>
        <v/>
      </c>
      <c r="GD40" s="17">
        <f>IF(AND(183&gt;=$B$14,183&lt;=$D$14),1,0)</f>
        <v/>
      </c>
      <c r="GE40" s="17">
        <f>IF(AND(184&gt;=$B$14,184&lt;=$D$14),1,0)</f>
        <v/>
      </c>
      <c r="GF40" s="17">
        <f>IF(AND(185&gt;=$B$14,185&lt;=$D$14),1,0)</f>
        <v/>
      </c>
      <c r="GG40" s="17">
        <f>IF(AND(186&gt;=$B$14,186&lt;=$D$14),1,0)</f>
        <v/>
      </c>
      <c r="GH40" s="17">
        <f>IF(AND(187&gt;=$B$14,187&lt;=$D$14),1,0)</f>
        <v/>
      </c>
      <c r="GI40" s="17">
        <f>IF(AND(188&gt;=$B$14,188&lt;=$D$14),1,0)</f>
        <v/>
      </c>
      <c r="GJ40" s="17">
        <f>IF(AND(189&gt;=$B$14,189&lt;=$D$14),1,0)</f>
        <v/>
      </c>
      <c r="GK40" s="17">
        <f>IF(AND(190&gt;=$B$14,190&lt;=$D$14),1,0)</f>
        <v/>
      </c>
      <c r="GL40" s="17">
        <f>IF(AND(191&gt;=$B$14,191&lt;=$D$14),1,0)</f>
        <v/>
      </c>
      <c r="GM40" s="17">
        <f>IF(AND(192&gt;=$B$14,192&lt;=$D$14),1,0)</f>
        <v/>
      </c>
      <c r="GN40" s="17">
        <f>IF(AND(193&gt;=$B$14,193&lt;=$D$14),1,0)</f>
        <v/>
      </c>
      <c r="GO40" s="17">
        <f>IF(AND(194&gt;=$B$14,194&lt;=$D$14),1,0)</f>
        <v/>
      </c>
      <c r="GP40" s="17">
        <f>IF(AND(195&gt;=$B$14,195&lt;=$D$14),1,0)</f>
        <v/>
      </c>
      <c r="GQ40" s="17">
        <f>IF(AND(196&gt;=$B$14,196&lt;=$D$14),1,0)</f>
        <v/>
      </c>
      <c r="GR40" s="17">
        <f>IF(AND(197&gt;=$B$14,197&lt;=$D$14),1,0)</f>
        <v/>
      </c>
      <c r="GS40" s="17">
        <f>IF(AND(198&gt;=$B$14,198&lt;=$D$14),1,0)</f>
        <v/>
      </c>
      <c r="GT40" s="17">
        <f>IF(AND(199&gt;=$B$14,199&lt;=$D$14),1,0)</f>
        <v/>
      </c>
      <c r="GU40" s="17">
        <f>IF(AND(200&gt;=$B$14,200&lt;=$D$14),1,0)</f>
        <v/>
      </c>
      <c r="GV40" s="17">
        <f>IF(AND(201&gt;=$B$14,201&lt;=$D$14),1,0)</f>
        <v/>
      </c>
      <c r="GW40" s="17">
        <f>IF(AND(202&gt;=$B$14,202&lt;=$D$14),1,0)</f>
        <v/>
      </c>
      <c r="GX40" s="17">
        <f>IF(AND(203&gt;=$B$14,203&lt;=$D$14),1,0)</f>
        <v/>
      </c>
      <c r="GY40" s="17">
        <f>IF(AND(204&gt;=$B$14,204&lt;=$D$14),1,0)</f>
        <v/>
      </c>
      <c r="GZ40" s="17">
        <f>IF(AND(205&gt;=$B$14,205&lt;=$D$14),1,0)</f>
        <v/>
      </c>
      <c r="HA40" s="17">
        <f>IF(AND(206&gt;=$B$14,206&lt;=$D$14),1,0)</f>
        <v/>
      </c>
      <c r="HB40" s="17">
        <f>IF(AND(207&gt;=$B$14,207&lt;=$D$14),1,0)</f>
        <v/>
      </c>
      <c r="HC40" s="17">
        <f>IF(AND(208&gt;=$B$14,208&lt;=$D$14),1,0)</f>
        <v/>
      </c>
      <c r="HD40" s="17">
        <f>IF(AND(209&gt;=$B$14,209&lt;=$D$14),1,0)</f>
        <v/>
      </c>
      <c r="HE40" s="17">
        <f>IF(AND(210&gt;=$B$14,210&lt;=$D$14),1,0)</f>
        <v/>
      </c>
      <c r="HF40" s="17">
        <f>IF(AND(211&gt;=$B$14,211&lt;=$D$14),1,0)</f>
        <v/>
      </c>
      <c r="HG40" s="17">
        <f>IF(AND(212&gt;=$B$14,212&lt;=$D$14),1,0)</f>
        <v/>
      </c>
      <c r="HH40" s="17">
        <f>IF(AND(213&gt;=$B$14,213&lt;=$D$14),1,0)</f>
        <v/>
      </c>
      <c r="HI40" s="17">
        <f>IF(AND(214&gt;=$B$14,214&lt;=$D$14),1,0)</f>
        <v/>
      </c>
      <c r="HJ40" s="17">
        <f>IF(AND(215&gt;=$B$14,215&lt;=$D$14),1,0)</f>
        <v/>
      </c>
      <c r="HK40" s="17">
        <f>IF(AND(216&gt;=$B$14,216&lt;=$D$14),1,0)</f>
        <v/>
      </c>
      <c r="HL40" s="17">
        <f>IF(AND(217&gt;=$B$14,217&lt;=$D$14),1,0)</f>
        <v/>
      </c>
      <c r="HM40" s="17">
        <f>IF(AND(218&gt;=$B$14,218&lt;=$D$14),1,0)</f>
        <v/>
      </c>
      <c r="HN40" s="17">
        <f>IF(AND(219&gt;=$B$14,219&lt;=$D$14),1,0)</f>
        <v/>
      </c>
      <c r="HO40" s="17">
        <f>IF(AND(220&gt;=$B$14,220&lt;=$D$14),1,0)</f>
        <v/>
      </c>
      <c r="HP40" s="17">
        <f>IF(AND(221&gt;=$B$14,221&lt;=$D$14),1,0)</f>
        <v/>
      </c>
      <c r="HQ40" s="17">
        <f>IF(AND(222&gt;=$B$14,222&lt;=$D$14),1,0)</f>
        <v/>
      </c>
      <c r="HR40" s="17">
        <f>IF(AND(223&gt;=$B$14,223&lt;=$D$14),1,0)</f>
        <v/>
      </c>
      <c r="HS40" s="17">
        <f>IF(AND(224&gt;=$B$14,224&lt;=$D$14),1,0)</f>
        <v/>
      </c>
      <c r="HT40" s="17">
        <f>IF(AND(225&gt;=$B$14,225&lt;=$D$14),1,0)</f>
        <v/>
      </c>
      <c r="HU40" s="17">
        <f>IF(AND(226&gt;=$B$14,226&lt;=$D$14),1,0)</f>
        <v/>
      </c>
      <c r="HV40" s="17">
        <f>IF(AND(227&gt;=$B$14,227&lt;=$D$14),1,0)</f>
        <v/>
      </c>
      <c r="HW40" s="17">
        <f>IF(AND(228&gt;=$B$14,228&lt;=$D$14),1,0)</f>
        <v/>
      </c>
      <c r="HX40" s="17">
        <f>IF(AND(229&gt;=$B$14,229&lt;=$D$14),1,0)</f>
        <v/>
      </c>
      <c r="HY40" s="17">
        <f>IF(AND(230&gt;=$B$14,230&lt;=$D$14),1,0)</f>
        <v/>
      </c>
      <c r="HZ40" s="17">
        <f>IF(AND(231&gt;=$B$14,231&lt;=$D$14),1,0)</f>
        <v/>
      </c>
      <c r="IA40" s="17">
        <f>IF(AND(232&gt;=$B$14,232&lt;=$D$14),1,0)</f>
        <v/>
      </c>
      <c r="IB40" s="17">
        <f>IF(AND(233&gt;=$B$14,233&lt;=$D$14),1,0)</f>
        <v/>
      </c>
      <c r="IC40" s="17">
        <f>IF(AND(234&gt;=$B$14,234&lt;=$D$14),1,0)</f>
        <v/>
      </c>
      <c r="ID40" s="17">
        <f>IF(AND(235&gt;=$B$14,235&lt;=$D$14),1,0)</f>
        <v/>
      </c>
      <c r="IE40" s="17">
        <f>IF(AND(236&gt;=$B$14,236&lt;=$D$14),1,0)</f>
        <v/>
      </c>
      <c r="IF40" s="17">
        <f>IF(AND(237&gt;=$B$14,237&lt;=$D$14),1,0)</f>
        <v/>
      </c>
      <c r="IG40" s="17">
        <f>IF(AND(238&gt;=$B$14,238&lt;=$D$14),1,0)</f>
        <v/>
      </c>
      <c r="IH40" s="17">
        <f>IF(AND(239&gt;=$B$14,239&lt;=$D$14),1,0)</f>
        <v/>
      </c>
      <c r="II40" s="17">
        <f>IF(AND(240&gt;=$B$14,240&lt;=$D$14),1,0)</f>
        <v/>
      </c>
      <c r="IJ40" s="17">
        <f>IF(AND(241&gt;=$B$14,241&lt;=$D$14),1,0)</f>
        <v/>
      </c>
      <c r="IK40" s="17">
        <f>IF(AND(242&gt;=$B$14,242&lt;=$D$14),1,0)</f>
        <v/>
      </c>
      <c r="IL40" s="17">
        <f>IF(AND(243&gt;=$B$14,243&lt;=$D$14),1,0)</f>
        <v/>
      </c>
      <c r="IM40" s="17">
        <f>IF(AND(244&gt;=$B$14,244&lt;=$D$14),1,0)</f>
        <v/>
      </c>
      <c r="IN40" s="17">
        <f>IF(AND(245&gt;=$B$14,245&lt;=$D$14),1,0)</f>
        <v/>
      </c>
      <c r="IO40" s="17">
        <f>IF(AND(246&gt;=$B$14,246&lt;=$D$14),1,0)</f>
        <v/>
      </c>
      <c r="IP40" s="17">
        <f>IF(AND(247&gt;=$B$14,247&lt;=$D$14),1,0)</f>
        <v/>
      </c>
      <c r="IQ40" s="17">
        <f>IF(AND(248&gt;=$B$14,248&lt;=$D$14),1,0)</f>
        <v/>
      </c>
      <c r="IR40" s="17">
        <f>IF(AND(249&gt;=$B$14,249&lt;=$D$14),1,0)</f>
        <v/>
      </c>
      <c r="IS40" s="17">
        <f>IF(AND(250&gt;=$B$14,250&lt;=$D$14),1,0)</f>
        <v/>
      </c>
      <c r="IT40" s="17">
        <f>IF(AND(251&gt;=$B$14,251&lt;=$D$14),1,0)</f>
        <v/>
      </c>
      <c r="IU40" s="17">
        <f>IF(AND(252&gt;=$B$14,252&lt;=$D$14),1,0)</f>
        <v/>
      </c>
      <c r="IV40" s="17">
        <f>IF(AND(253&gt;=$B$14,253&lt;=$D$14),1,0)</f>
        <v/>
      </c>
      <c r="IW40" s="17">
        <f>IF(AND(254&gt;=$B$14,254&lt;=$D$14),1,0)</f>
        <v/>
      </c>
      <c r="IX40" s="17">
        <f>IF(AND(255&gt;=$B$14,255&lt;=$D$14),1,0)</f>
        <v/>
      </c>
      <c r="IY40" s="17">
        <f>IF(AND(256&gt;=$B$14,256&lt;=$D$14),1,0)</f>
        <v/>
      </c>
      <c r="IZ40" s="17">
        <f>IF(AND(257&gt;=$B$14,257&lt;=$D$14),1,0)</f>
        <v/>
      </c>
      <c r="JA40" s="17">
        <f>IF(AND(258&gt;=$B$14,258&lt;=$D$14),1,0)</f>
        <v/>
      </c>
      <c r="JB40" s="17">
        <f>IF(AND(259&gt;=$B$14,259&lt;=$D$14),1,0)</f>
        <v/>
      </c>
      <c r="JC40" s="17">
        <f>IF(AND(260&gt;=$B$14,260&lt;=$D$14),1,0)</f>
        <v/>
      </c>
      <c r="JD40" s="17">
        <f>IF(AND(261&gt;=$B$14,261&lt;=$D$14),1,0)</f>
        <v/>
      </c>
      <c r="JE40" s="17">
        <f>IF(AND(262&gt;=$B$14,262&lt;=$D$14),1,0)</f>
        <v/>
      </c>
      <c r="JF40" s="17">
        <f>IF(AND(263&gt;=$B$14,263&lt;=$D$14),1,0)</f>
        <v/>
      </c>
      <c r="JG40" s="17">
        <f>IF(AND(264&gt;=$B$14,264&lt;=$D$14),1,0)</f>
        <v/>
      </c>
      <c r="JH40" s="17">
        <f>IF(AND(265&gt;=$B$14,265&lt;=$D$14),1,0)</f>
        <v/>
      </c>
      <c r="JI40" s="17">
        <f>IF(AND(266&gt;=$B$14,266&lt;=$D$14),1,0)</f>
        <v/>
      </c>
      <c r="JJ40" s="17">
        <f>IF(AND(267&gt;=$B$14,267&lt;=$D$14),1,0)</f>
        <v/>
      </c>
      <c r="JK40" s="17">
        <f>IF(AND(268&gt;=$B$14,268&lt;=$D$14),1,0)</f>
        <v/>
      </c>
      <c r="JL40" s="17">
        <f>IF(AND(269&gt;=$B$14,269&lt;=$D$14),1,0)</f>
        <v/>
      </c>
      <c r="JM40" s="17">
        <f>IF(AND(270&gt;=$B$14,270&lt;=$D$14),1,0)</f>
        <v/>
      </c>
      <c r="JN40" s="17">
        <f>IF(AND(271&gt;=$B$14,271&lt;=$D$14),1,0)</f>
        <v/>
      </c>
      <c r="JO40" s="17">
        <f>IF(AND(272&gt;=$B$14,272&lt;=$D$14),1,0)</f>
        <v/>
      </c>
      <c r="JP40" s="17">
        <f>IF(AND(273&gt;=$B$14,273&lt;=$D$14),1,0)</f>
        <v/>
      </c>
      <c r="JQ40" s="17">
        <f>IF(AND(274&gt;=$B$14,274&lt;=$D$14),1,0)</f>
        <v/>
      </c>
      <c r="JR40" s="17">
        <f>IF(AND(275&gt;=$B$14,275&lt;=$D$14),1,0)</f>
        <v/>
      </c>
      <c r="JS40" s="17">
        <f>IF(AND(276&gt;=$B$14,276&lt;=$D$14),1,0)</f>
        <v/>
      </c>
      <c r="JT40" s="17">
        <f>IF(AND(277&gt;=$B$14,277&lt;=$D$14),1,0)</f>
        <v/>
      </c>
      <c r="JU40" s="17">
        <f>IF(AND(278&gt;=$B$14,278&lt;=$D$14),1,0)</f>
        <v/>
      </c>
      <c r="JV40" s="17">
        <f>IF(AND(279&gt;=$B$14,279&lt;=$D$14),1,0)</f>
        <v/>
      </c>
      <c r="JW40" s="17">
        <f>IF(AND(280&gt;=$B$14,280&lt;=$D$14),1,0)</f>
        <v/>
      </c>
      <c r="JX40" s="17">
        <f>IF(AND(281&gt;=$B$14,281&lt;=$D$14),1,0)</f>
        <v/>
      </c>
      <c r="JY40" s="17">
        <f>IF(AND(282&gt;=$B$14,282&lt;=$D$14),1,0)</f>
        <v/>
      </c>
      <c r="JZ40" s="17">
        <f>IF(AND(283&gt;=$B$14,283&lt;=$D$14),1,0)</f>
        <v/>
      </c>
      <c r="KA40" s="17">
        <f>IF(AND(284&gt;=$B$14,284&lt;=$D$14),1,0)</f>
        <v/>
      </c>
      <c r="KB40" s="17">
        <f>IF(AND(285&gt;=$B$14,285&lt;=$D$14),1,0)</f>
        <v/>
      </c>
      <c r="KC40" s="17">
        <f>IF(AND(286&gt;=$B$14,286&lt;=$D$14),1,0)</f>
        <v/>
      </c>
      <c r="KD40" s="17">
        <f>IF(AND(287&gt;=$B$14,287&lt;=$D$14),1,0)</f>
        <v/>
      </c>
      <c r="KE40" s="17">
        <f>IF(AND(288&gt;=$B$14,288&lt;=$D$14),1,0)</f>
        <v/>
      </c>
      <c r="KF40" s="17">
        <f>IF(AND(289&gt;=$B$14,289&lt;=$D$14),1,0)</f>
        <v/>
      </c>
      <c r="KG40" s="17">
        <f>IF(AND(290&gt;=$B$14,290&lt;=$D$14),1,0)</f>
        <v/>
      </c>
      <c r="KH40" s="17">
        <f>IF(AND(291&gt;=$B$14,291&lt;=$D$14),1,0)</f>
        <v/>
      </c>
      <c r="KI40" s="17">
        <f>IF(AND(292&gt;=$B$14,292&lt;=$D$14),1,0)</f>
        <v/>
      </c>
      <c r="KJ40" s="17">
        <f>IF(AND(293&gt;=$B$14,293&lt;=$D$14),1,0)</f>
        <v/>
      </c>
      <c r="KK40" s="17">
        <f>IF(AND(294&gt;=$B$14,294&lt;=$D$14),1,0)</f>
        <v/>
      </c>
      <c r="KL40" s="17">
        <f>IF(AND(295&gt;=$B$14,295&lt;=$D$14),1,0)</f>
        <v/>
      </c>
      <c r="KM40" s="17">
        <f>IF(AND(296&gt;=$B$14,296&lt;=$D$14),1,0)</f>
        <v/>
      </c>
      <c r="KN40" s="17">
        <f>IF(AND(297&gt;=$B$14,297&lt;=$D$14),1,0)</f>
        <v/>
      </c>
      <c r="KO40" s="17">
        <f>IF(AND(298&gt;=$B$14,298&lt;=$D$14),1,0)</f>
        <v/>
      </c>
      <c r="KP40" s="17">
        <f>IF(AND(299&gt;=$B$14,299&lt;=$D$14),1,0)</f>
        <v/>
      </c>
      <c r="KQ40" s="17">
        <f>IF(AND(300&gt;=$B$14,300&lt;=$D$14),1,0)</f>
        <v/>
      </c>
      <c r="KR40" s="17">
        <f>IF(AND(301&gt;=$B$14,301&lt;=$D$14),1,0)</f>
        <v/>
      </c>
      <c r="KS40" s="17">
        <f>IF(AND(302&gt;=$B$14,302&lt;=$D$14),1,0)</f>
        <v/>
      </c>
      <c r="KT40" s="17">
        <f>IF(AND(303&gt;=$B$14,303&lt;=$D$14),1,0)</f>
        <v/>
      </c>
      <c r="KU40" s="17">
        <f>IF(AND(304&gt;=$B$14,304&lt;=$D$14),1,0)</f>
        <v/>
      </c>
      <c r="KV40" s="17">
        <f>IF(AND(305&gt;=$B$14,305&lt;=$D$14),1,0)</f>
        <v/>
      </c>
      <c r="KW40" s="17">
        <f>IF(AND(306&gt;=$B$14,306&lt;=$D$14),1,0)</f>
        <v/>
      </c>
      <c r="KX40" s="17">
        <f>IF(AND(307&gt;=$B$14,307&lt;=$D$14),1,0)</f>
        <v/>
      </c>
      <c r="KY40" s="17">
        <f>IF(AND(308&gt;=$B$14,308&lt;=$D$14),1,0)</f>
        <v/>
      </c>
      <c r="KZ40" s="17">
        <f>IF(AND(309&gt;=$B$14,309&lt;=$D$14),1,0)</f>
        <v/>
      </c>
      <c r="LA40" s="17">
        <f>IF(AND(310&gt;=$B$14,310&lt;=$D$14),1,0)</f>
        <v/>
      </c>
      <c r="LB40" s="17">
        <f>IF(AND(311&gt;=$B$14,311&lt;=$D$14),1,0)</f>
        <v/>
      </c>
      <c r="LC40" s="17">
        <f>IF(AND(312&gt;=$B$14,312&lt;=$D$14),1,0)</f>
        <v/>
      </c>
      <c r="LD40" s="17">
        <f>IF(AND(313&gt;=$B$14,313&lt;=$D$14),1,0)</f>
        <v/>
      </c>
      <c r="LE40" s="17">
        <f>IF(AND(314&gt;=$B$14,314&lt;=$D$14),1,0)</f>
        <v/>
      </c>
      <c r="LF40" s="17">
        <f>IF(AND(315&gt;=$B$14,315&lt;=$D$14),1,0)</f>
        <v/>
      </c>
      <c r="LG40" s="17">
        <f>IF(AND(316&gt;=$B$14,316&lt;=$D$14),1,0)</f>
        <v/>
      </c>
      <c r="LH40" s="17">
        <f>IF(AND(317&gt;=$B$14,317&lt;=$D$14),1,0)</f>
        <v/>
      </c>
      <c r="LI40" s="17">
        <f>IF(AND(318&gt;=$B$14,318&lt;=$D$14),1,0)</f>
        <v/>
      </c>
      <c r="LJ40" s="17">
        <f>IF(AND(319&gt;=$B$14,319&lt;=$D$14),1,0)</f>
        <v/>
      </c>
      <c r="LK40" s="17">
        <f>IF(AND(320&gt;=$B$14,320&lt;=$D$14),1,0)</f>
        <v/>
      </c>
      <c r="LL40" s="17">
        <f>IF(AND(321&gt;=$B$14,321&lt;=$D$14),1,0)</f>
        <v/>
      </c>
      <c r="LM40" s="17">
        <f>IF(AND(322&gt;=$B$14,322&lt;=$D$14),1,0)</f>
        <v/>
      </c>
      <c r="LN40" s="17">
        <f>IF(AND(323&gt;=$B$14,323&lt;=$D$14),1,0)</f>
        <v/>
      </c>
      <c r="LO40" s="17">
        <f>IF(AND(324&gt;=$B$14,324&lt;=$D$14),1,0)</f>
        <v/>
      </c>
      <c r="LP40" s="17">
        <f>IF(AND(325&gt;=$B$14,325&lt;=$D$14),1,0)</f>
        <v/>
      </c>
      <c r="LQ40" s="17">
        <f>IF(AND(326&gt;=$B$14,326&lt;=$D$14),1,0)</f>
        <v/>
      </c>
      <c r="LR40" s="17">
        <f>IF(AND(327&gt;=$B$14,327&lt;=$D$14),1,0)</f>
        <v/>
      </c>
      <c r="LS40" s="17">
        <f>IF(AND(328&gt;=$B$14,328&lt;=$D$14),1,0)</f>
        <v/>
      </c>
      <c r="LT40" s="17">
        <f>IF(AND(329&gt;=$B$14,329&lt;=$D$14),1,0)</f>
        <v/>
      </c>
      <c r="LU40" s="17">
        <f>IF(AND(330&gt;=$B$14,330&lt;=$D$14),1,0)</f>
        <v/>
      </c>
      <c r="LV40" s="17">
        <f>IF(AND(331&gt;=$B$14,331&lt;=$D$14),1,0)</f>
        <v/>
      </c>
      <c r="LW40" s="17">
        <f>IF(AND(332&gt;=$B$14,332&lt;=$D$14),1,0)</f>
        <v/>
      </c>
      <c r="LX40" s="17">
        <f>IF(AND(333&gt;=$B$14,333&lt;=$D$14),1,0)</f>
        <v/>
      </c>
      <c r="LY40" s="17">
        <f>IF(AND(334&gt;=$B$14,334&lt;=$D$14),1,0)</f>
        <v/>
      </c>
      <c r="LZ40" s="17">
        <f>IF(AND(335&gt;=$B$14,335&lt;=$D$14),1,0)</f>
        <v/>
      </c>
      <c r="MA40" s="17">
        <f>IF(AND(336&gt;=$B$14,336&lt;=$D$14),1,0)</f>
        <v/>
      </c>
      <c r="MB40" s="17">
        <f>IF(AND(337&gt;=$B$14,337&lt;=$D$14),1,0)</f>
        <v/>
      </c>
      <c r="MC40" s="17">
        <f>IF(AND(338&gt;=$B$14,338&lt;=$D$14),1,0)</f>
        <v/>
      </c>
      <c r="MD40" s="17">
        <f>IF(AND(339&gt;=$B$14,339&lt;=$D$14),1,0)</f>
        <v/>
      </c>
      <c r="ME40" s="17">
        <f>IF(AND(340&gt;=$B$14,340&lt;=$D$14),1,0)</f>
        <v/>
      </c>
      <c r="MF40" s="17">
        <f>IF(AND(341&gt;=$B$14,341&lt;=$D$14),1,0)</f>
        <v/>
      </c>
      <c r="MG40" s="17">
        <f>IF(AND(342&gt;=$B$14,342&lt;=$D$14),1,0)</f>
        <v/>
      </c>
      <c r="MH40" s="17">
        <f>IF(AND(343&gt;=$B$14,343&lt;=$D$14),1,0)</f>
        <v/>
      </c>
      <c r="MI40" s="17">
        <f>IF(AND(344&gt;=$B$14,344&lt;=$D$14),1,0)</f>
        <v/>
      </c>
      <c r="MJ40" s="17">
        <f>IF(AND(345&gt;=$B$14,345&lt;=$D$14),1,0)</f>
        <v/>
      </c>
      <c r="MK40" s="17">
        <f>IF(AND(346&gt;=$B$14,346&lt;=$D$14),1,0)</f>
        <v/>
      </c>
      <c r="ML40" s="17">
        <f>IF(AND(347&gt;=$B$14,347&lt;=$D$14),1,0)</f>
        <v/>
      </c>
      <c r="MM40" s="17">
        <f>IF(AND(348&gt;=$B$14,348&lt;=$D$14),1,0)</f>
        <v/>
      </c>
      <c r="MN40" s="17">
        <f>IF(AND(349&gt;=$B$14,349&lt;=$D$14),1,0)</f>
        <v/>
      </c>
      <c r="MO40" s="17">
        <f>IF(AND(350&gt;=$B$14,350&lt;=$D$14),1,0)</f>
        <v/>
      </c>
      <c r="MP40" s="17">
        <f>IF(AND(351&gt;=$B$14,351&lt;=$D$14),1,0)</f>
        <v/>
      </c>
      <c r="MQ40" s="17">
        <f>IF(AND(352&gt;=$B$14,352&lt;=$D$14),1,0)</f>
        <v/>
      </c>
      <c r="MR40" s="17">
        <f>IF(AND(353&gt;=$B$14,353&lt;=$D$14),1,0)</f>
        <v/>
      </c>
      <c r="MS40" s="17">
        <f>IF(AND(354&gt;=$B$14,354&lt;=$D$14),1,0)</f>
        <v/>
      </c>
      <c r="MT40" s="17">
        <f>IF(AND(355&gt;=$B$14,355&lt;=$D$14),1,0)</f>
        <v/>
      </c>
      <c r="MU40" s="17">
        <f>IF(AND(356&gt;=$B$14,356&lt;=$D$14),1,0)</f>
        <v/>
      </c>
      <c r="MV40" s="17">
        <f>IF(AND(357&gt;=$B$14,357&lt;=$D$14),1,0)</f>
        <v/>
      </c>
      <c r="MW40" s="17">
        <f>IF(AND(358&gt;=$B$14,358&lt;=$D$14),1,0)</f>
        <v/>
      </c>
      <c r="MX40" s="17">
        <f>IF(AND(359&gt;=$B$14,359&lt;=$D$14),1,0)</f>
        <v/>
      </c>
      <c r="MY40" s="17">
        <f>IF(AND(360&gt;=$B$14,360&lt;=$D$14),1,0)</f>
        <v/>
      </c>
      <c r="MZ40" s="17">
        <f>IF(AND(361&gt;=$B$14,361&lt;=$D$14),1,0)</f>
        <v/>
      </c>
      <c r="NA40" s="17">
        <f>IF(AND(362&gt;=$B$14,362&lt;=$D$14),1,0)</f>
        <v/>
      </c>
      <c r="NB40" s="17">
        <f>IF(AND(363&gt;=$B$14,363&lt;=$D$14),1,0)</f>
        <v/>
      </c>
      <c r="NC40" s="17">
        <f>IF(AND(364&gt;=$B$14,364&lt;=$D$14),1,0)</f>
        <v/>
      </c>
      <c r="ND40" s="17">
        <f>IF(AND(365&gt;=$B$14,365&lt;=$D$14),1,0)</f>
        <v/>
      </c>
      <c r="NE40" s="17">
        <f>IF(AND(366&gt;=$B$14,366&lt;=$D$14),1,0)</f>
        <v/>
      </c>
      <c r="NF40" s="17">
        <f>IF(AND(367&gt;=$B$14,367&lt;=$D$14),1,0)</f>
        <v/>
      </c>
      <c r="NG40" s="17">
        <f>IF(AND(368&gt;=$B$14,368&lt;=$D$14),1,0)</f>
        <v/>
      </c>
      <c r="NH40" s="17">
        <f>IF(AND(369&gt;=$B$14,369&lt;=$D$14),1,0)</f>
        <v/>
      </c>
      <c r="NI40" s="17">
        <f>IF(AND(370&gt;=$B$14,370&lt;=$D$14),1,0)</f>
        <v/>
      </c>
      <c r="NJ40" s="17">
        <f>IF(AND(371&gt;=$B$14,371&lt;=$D$14),1,0)</f>
        <v/>
      </c>
      <c r="NK40" s="17">
        <f>IF(AND(372&gt;=$B$14,372&lt;=$D$14),1,0)</f>
        <v/>
      </c>
    </row>
    <row r="41">
      <c r="A41" s="5" t="inlineStr">
        <is>
          <t>Flag: Operations Active</t>
        </is>
      </c>
      <c r="C41" s="40" t="n"/>
      <c r="D41" s="17">
        <f>IF(AND(1&gt;=DeliverStart,1&lt;=DispoMonth),1,0)</f>
        <v/>
      </c>
      <c r="E41" s="17">
        <f>IF(AND(2&gt;=DeliverStart,2&lt;=DispoMonth),1,0)</f>
        <v/>
      </c>
      <c r="F41" s="17">
        <f>IF(AND(3&gt;=DeliverStart,3&lt;=DispoMonth),1,0)</f>
        <v/>
      </c>
      <c r="G41" s="17">
        <f>IF(AND(4&gt;=DeliverStart,4&lt;=DispoMonth),1,0)</f>
        <v/>
      </c>
      <c r="H41" s="17">
        <f>IF(AND(5&gt;=DeliverStart,5&lt;=DispoMonth),1,0)</f>
        <v/>
      </c>
      <c r="I41" s="17">
        <f>IF(AND(6&gt;=DeliverStart,6&lt;=DispoMonth),1,0)</f>
        <v/>
      </c>
      <c r="J41" s="17">
        <f>IF(AND(7&gt;=DeliverStart,7&lt;=DispoMonth),1,0)</f>
        <v/>
      </c>
      <c r="K41" s="17">
        <f>IF(AND(8&gt;=DeliverStart,8&lt;=DispoMonth),1,0)</f>
        <v/>
      </c>
      <c r="L41" s="17">
        <f>IF(AND(9&gt;=DeliverStart,9&lt;=DispoMonth),1,0)</f>
        <v/>
      </c>
      <c r="M41" s="17">
        <f>IF(AND(10&gt;=DeliverStart,10&lt;=DispoMonth),1,0)</f>
        <v/>
      </c>
      <c r="N41" s="17">
        <f>IF(AND(11&gt;=DeliverStart,11&lt;=DispoMonth),1,0)</f>
        <v/>
      </c>
      <c r="O41" s="17">
        <f>IF(AND(12&gt;=DeliverStart,12&lt;=DispoMonth),1,0)</f>
        <v/>
      </c>
      <c r="P41" s="17">
        <f>IF(AND(13&gt;=DeliverStart,13&lt;=DispoMonth),1,0)</f>
        <v/>
      </c>
      <c r="Q41" s="17">
        <f>IF(AND(14&gt;=DeliverStart,14&lt;=DispoMonth),1,0)</f>
        <v/>
      </c>
      <c r="R41" s="17">
        <f>IF(AND(15&gt;=DeliverStart,15&lt;=DispoMonth),1,0)</f>
        <v/>
      </c>
      <c r="S41" s="17">
        <f>IF(AND(16&gt;=DeliverStart,16&lt;=DispoMonth),1,0)</f>
        <v/>
      </c>
      <c r="T41" s="17">
        <f>IF(AND(17&gt;=DeliverStart,17&lt;=DispoMonth),1,0)</f>
        <v/>
      </c>
      <c r="U41" s="17">
        <f>IF(AND(18&gt;=DeliverStart,18&lt;=DispoMonth),1,0)</f>
        <v/>
      </c>
      <c r="V41" s="17">
        <f>IF(AND(19&gt;=DeliverStart,19&lt;=DispoMonth),1,0)</f>
        <v/>
      </c>
      <c r="W41" s="17">
        <f>IF(AND(20&gt;=DeliverStart,20&lt;=DispoMonth),1,0)</f>
        <v/>
      </c>
      <c r="X41" s="17">
        <f>IF(AND(21&gt;=DeliverStart,21&lt;=DispoMonth),1,0)</f>
        <v/>
      </c>
      <c r="Y41" s="17">
        <f>IF(AND(22&gt;=DeliverStart,22&lt;=DispoMonth),1,0)</f>
        <v/>
      </c>
      <c r="Z41" s="17">
        <f>IF(AND(23&gt;=DeliverStart,23&lt;=DispoMonth),1,0)</f>
        <v/>
      </c>
      <c r="AA41" s="17">
        <f>IF(AND(24&gt;=DeliverStart,24&lt;=DispoMonth),1,0)</f>
        <v/>
      </c>
      <c r="AB41" s="17">
        <f>IF(AND(25&gt;=DeliverStart,25&lt;=DispoMonth),1,0)</f>
        <v/>
      </c>
      <c r="AC41" s="17">
        <f>IF(AND(26&gt;=DeliverStart,26&lt;=DispoMonth),1,0)</f>
        <v/>
      </c>
      <c r="AD41" s="17">
        <f>IF(AND(27&gt;=DeliverStart,27&lt;=DispoMonth),1,0)</f>
        <v/>
      </c>
      <c r="AE41" s="17">
        <f>IF(AND(28&gt;=DeliverStart,28&lt;=DispoMonth),1,0)</f>
        <v/>
      </c>
      <c r="AF41" s="17">
        <f>IF(AND(29&gt;=DeliverStart,29&lt;=DispoMonth),1,0)</f>
        <v/>
      </c>
      <c r="AG41" s="17">
        <f>IF(AND(30&gt;=DeliverStart,30&lt;=DispoMonth),1,0)</f>
        <v/>
      </c>
      <c r="AH41" s="17">
        <f>IF(AND(31&gt;=DeliverStart,31&lt;=DispoMonth),1,0)</f>
        <v/>
      </c>
      <c r="AI41" s="17">
        <f>IF(AND(32&gt;=DeliverStart,32&lt;=DispoMonth),1,0)</f>
        <v/>
      </c>
      <c r="AJ41" s="17">
        <f>IF(AND(33&gt;=DeliverStart,33&lt;=DispoMonth),1,0)</f>
        <v/>
      </c>
      <c r="AK41" s="17">
        <f>IF(AND(34&gt;=DeliverStart,34&lt;=DispoMonth),1,0)</f>
        <v/>
      </c>
      <c r="AL41" s="17">
        <f>IF(AND(35&gt;=DeliverStart,35&lt;=DispoMonth),1,0)</f>
        <v/>
      </c>
      <c r="AM41" s="17">
        <f>IF(AND(36&gt;=DeliverStart,36&lt;=DispoMonth),1,0)</f>
        <v/>
      </c>
      <c r="AN41" s="17">
        <f>IF(AND(37&gt;=DeliverStart,37&lt;=DispoMonth),1,0)</f>
        <v/>
      </c>
      <c r="AO41" s="17">
        <f>IF(AND(38&gt;=DeliverStart,38&lt;=DispoMonth),1,0)</f>
        <v/>
      </c>
      <c r="AP41" s="17">
        <f>IF(AND(39&gt;=DeliverStart,39&lt;=DispoMonth),1,0)</f>
        <v/>
      </c>
      <c r="AQ41" s="17">
        <f>IF(AND(40&gt;=DeliverStart,40&lt;=DispoMonth),1,0)</f>
        <v/>
      </c>
      <c r="AR41" s="17">
        <f>IF(AND(41&gt;=DeliverStart,41&lt;=DispoMonth),1,0)</f>
        <v/>
      </c>
      <c r="AS41" s="17">
        <f>IF(AND(42&gt;=DeliverStart,42&lt;=DispoMonth),1,0)</f>
        <v/>
      </c>
      <c r="AT41" s="17">
        <f>IF(AND(43&gt;=DeliverStart,43&lt;=DispoMonth),1,0)</f>
        <v/>
      </c>
      <c r="AU41" s="17">
        <f>IF(AND(44&gt;=DeliverStart,44&lt;=DispoMonth),1,0)</f>
        <v/>
      </c>
      <c r="AV41" s="17">
        <f>IF(AND(45&gt;=DeliverStart,45&lt;=DispoMonth),1,0)</f>
        <v/>
      </c>
      <c r="AW41" s="17">
        <f>IF(AND(46&gt;=DeliverStart,46&lt;=DispoMonth),1,0)</f>
        <v/>
      </c>
      <c r="AX41" s="17">
        <f>IF(AND(47&gt;=DeliverStart,47&lt;=DispoMonth),1,0)</f>
        <v/>
      </c>
      <c r="AY41" s="17">
        <f>IF(AND(48&gt;=DeliverStart,48&lt;=DispoMonth),1,0)</f>
        <v/>
      </c>
      <c r="AZ41" s="17">
        <f>IF(AND(49&gt;=DeliverStart,49&lt;=DispoMonth),1,0)</f>
        <v/>
      </c>
      <c r="BA41" s="17">
        <f>IF(AND(50&gt;=DeliverStart,50&lt;=DispoMonth),1,0)</f>
        <v/>
      </c>
      <c r="BB41" s="17">
        <f>IF(AND(51&gt;=DeliverStart,51&lt;=DispoMonth),1,0)</f>
        <v/>
      </c>
      <c r="BC41" s="17">
        <f>IF(AND(52&gt;=DeliverStart,52&lt;=DispoMonth),1,0)</f>
        <v/>
      </c>
      <c r="BD41" s="17">
        <f>IF(AND(53&gt;=DeliverStart,53&lt;=DispoMonth),1,0)</f>
        <v/>
      </c>
      <c r="BE41" s="17">
        <f>IF(AND(54&gt;=DeliverStart,54&lt;=DispoMonth),1,0)</f>
        <v/>
      </c>
      <c r="BF41" s="17">
        <f>IF(AND(55&gt;=DeliverStart,55&lt;=DispoMonth),1,0)</f>
        <v/>
      </c>
      <c r="BG41" s="17">
        <f>IF(AND(56&gt;=DeliverStart,56&lt;=DispoMonth),1,0)</f>
        <v/>
      </c>
      <c r="BH41" s="17">
        <f>IF(AND(57&gt;=DeliverStart,57&lt;=DispoMonth),1,0)</f>
        <v/>
      </c>
      <c r="BI41" s="17">
        <f>IF(AND(58&gt;=DeliverStart,58&lt;=DispoMonth),1,0)</f>
        <v/>
      </c>
      <c r="BJ41" s="17">
        <f>IF(AND(59&gt;=DeliverStart,59&lt;=DispoMonth),1,0)</f>
        <v/>
      </c>
      <c r="BK41" s="17">
        <f>IF(AND(60&gt;=DeliverStart,60&lt;=DispoMonth),1,0)</f>
        <v/>
      </c>
      <c r="BL41" s="17">
        <f>IF(AND(61&gt;=DeliverStart,61&lt;=DispoMonth),1,0)</f>
        <v/>
      </c>
      <c r="BM41" s="17">
        <f>IF(AND(62&gt;=DeliverStart,62&lt;=DispoMonth),1,0)</f>
        <v/>
      </c>
      <c r="BN41" s="17">
        <f>IF(AND(63&gt;=DeliverStart,63&lt;=DispoMonth),1,0)</f>
        <v/>
      </c>
      <c r="BO41" s="17">
        <f>IF(AND(64&gt;=DeliverStart,64&lt;=DispoMonth),1,0)</f>
        <v/>
      </c>
      <c r="BP41" s="17">
        <f>IF(AND(65&gt;=DeliverStart,65&lt;=DispoMonth),1,0)</f>
        <v/>
      </c>
      <c r="BQ41" s="17">
        <f>IF(AND(66&gt;=DeliverStart,66&lt;=DispoMonth),1,0)</f>
        <v/>
      </c>
      <c r="BR41" s="17">
        <f>IF(AND(67&gt;=DeliverStart,67&lt;=DispoMonth),1,0)</f>
        <v/>
      </c>
      <c r="BS41" s="17">
        <f>IF(AND(68&gt;=DeliverStart,68&lt;=DispoMonth),1,0)</f>
        <v/>
      </c>
      <c r="BT41" s="17">
        <f>IF(AND(69&gt;=DeliverStart,69&lt;=DispoMonth),1,0)</f>
        <v/>
      </c>
      <c r="BU41" s="17">
        <f>IF(AND(70&gt;=DeliverStart,70&lt;=DispoMonth),1,0)</f>
        <v/>
      </c>
      <c r="BV41" s="17">
        <f>IF(AND(71&gt;=DeliverStart,71&lt;=DispoMonth),1,0)</f>
        <v/>
      </c>
      <c r="BW41" s="17">
        <f>IF(AND(72&gt;=DeliverStart,72&lt;=DispoMonth),1,0)</f>
        <v/>
      </c>
      <c r="BX41" s="17">
        <f>IF(AND(73&gt;=DeliverStart,73&lt;=DispoMonth),1,0)</f>
        <v/>
      </c>
      <c r="BY41" s="17">
        <f>IF(AND(74&gt;=DeliverStart,74&lt;=DispoMonth),1,0)</f>
        <v/>
      </c>
      <c r="BZ41" s="17">
        <f>IF(AND(75&gt;=DeliverStart,75&lt;=DispoMonth),1,0)</f>
        <v/>
      </c>
      <c r="CA41" s="17">
        <f>IF(AND(76&gt;=DeliverStart,76&lt;=DispoMonth),1,0)</f>
        <v/>
      </c>
      <c r="CB41" s="17">
        <f>IF(AND(77&gt;=DeliverStart,77&lt;=DispoMonth),1,0)</f>
        <v/>
      </c>
      <c r="CC41" s="17">
        <f>IF(AND(78&gt;=DeliverStart,78&lt;=DispoMonth),1,0)</f>
        <v/>
      </c>
      <c r="CD41" s="17">
        <f>IF(AND(79&gt;=DeliverStart,79&lt;=DispoMonth),1,0)</f>
        <v/>
      </c>
      <c r="CE41" s="17">
        <f>IF(AND(80&gt;=DeliverStart,80&lt;=DispoMonth),1,0)</f>
        <v/>
      </c>
      <c r="CF41" s="17">
        <f>IF(AND(81&gt;=DeliverStart,81&lt;=DispoMonth),1,0)</f>
        <v/>
      </c>
      <c r="CG41" s="17">
        <f>IF(AND(82&gt;=DeliverStart,82&lt;=DispoMonth),1,0)</f>
        <v/>
      </c>
      <c r="CH41" s="17">
        <f>IF(AND(83&gt;=DeliverStart,83&lt;=DispoMonth),1,0)</f>
        <v/>
      </c>
      <c r="CI41" s="17">
        <f>IF(AND(84&gt;=DeliverStart,84&lt;=DispoMonth),1,0)</f>
        <v/>
      </c>
      <c r="CJ41" s="17">
        <f>IF(AND(85&gt;=DeliverStart,85&lt;=DispoMonth),1,0)</f>
        <v/>
      </c>
      <c r="CK41" s="17">
        <f>IF(AND(86&gt;=DeliverStart,86&lt;=DispoMonth),1,0)</f>
        <v/>
      </c>
      <c r="CL41" s="17">
        <f>IF(AND(87&gt;=DeliverStart,87&lt;=DispoMonth),1,0)</f>
        <v/>
      </c>
      <c r="CM41" s="17">
        <f>IF(AND(88&gt;=DeliverStart,88&lt;=DispoMonth),1,0)</f>
        <v/>
      </c>
      <c r="CN41" s="17">
        <f>IF(AND(89&gt;=DeliverStart,89&lt;=DispoMonth),1,0)</f>
        <v/>
      </c>
      <c r="CO41" s="17">
        <f>IF(AND(90&gt;=DeliverStart,90&lt;=DispoMonth),1,0)</f>
        <v/>
      </c>
      <c r="CP41" s="17">
        <f>IF(AND(91&gt;=DeliverStart,91&lt;=DispoMonth),1,0)</f>
        <v/>
      </c>
      <c r="CQ41" s="17">
        <f>IF(AND(92&gt;=DeliverStart,92&lt;=DispoMonth),1,0)</f>
        <v/>
      </c>
      <c r="CR41" s="17">
        <f>IF(AND(93&gt;=DeliverStart,93&lt;=DispoMonth),1,0)</f>
        <v/>
      </c>
      <c r="CS41" s="17">
        <f>IF(AND(94&gt;=DeliverStart,94&lt;=DispoMonth),1,0)</f>
        <v/>
      </c>
      <c r="CT41" s="17">
        <f>IF(AND(95&gt;=DeliverStart,95&lt;=DispoMonth),1,0)</f>
        <v/>
      </c>
      <c r="CU41" s="17">
        <f>IF(AND(96&gt;=DeliverStart,96&lt;=DispoMonth),1,0)</f>
        <v/>
      </c>
      <c r="CV41" s="17">
        <f>IF(AND(97&gt;=DeliverStart,97&lt;=DispoMonth),1,0)</f>
        <v/>
      </c>
      <c r="CW41" s="17">
        <f>IF(AND(98&gt;=DeliverStart,98&lt;=DispoMonth),1,0)</f>
        <v/>
      </c>
      <c r="CX41" s="17">
        <f>IF(AND(99&gt;=DeliverStart,99&lt;=DispoMonth),1,0)</f>
        <v/>
      </c>
      <c r="CY41" s="17">
        <f>IF(AND(100&gt;=DeliverStart,100&lt;=DispoMonth),1,0)</f>
        <v/>
      </c>
      <c r="CZ41" s="17">
        <f>IF(AND(101&gt;=DeliverStart,101&lt;=DispoMonth),1,0)</f>
        <v/>
      </c>
      <c r="DA41" s="17">
        <f>IF(AND(102&gt;=DeliverStart,102&lt;=DispoMonth),1,0)</f>
        <v/>
      </c>
      <c r="DB41" s="17">
        <f>IF(AND(103&gt;=DeliverStart,103&lt;=DispoMonth),1,0)</f>
        <v/>
      </c>
      <c r="DC41" s="17">
        <f>IF(AND(104&gt;=DeliverStart,104&lt;=DispoMonth),1,0)</f>
        <v/>
      </c>
      <c r="DD41" s="17">
        <f>IF(AND(105&gt;=DeliverStart,105&lt;=DispoMonth),1,0)</f>
        <v/>
      </c>
      <c r="DE41" s="17">
        <f>IF(AND(106&gt;=DeliverStart,106&lt;=DispoMonth),1,0)</f>
        <v/>
      </c>
      <c r="DF41" s="17">
        <f>IF(AND(107&gt;=DeliverStart,107&lt;=DispoMonth),1,0)</f>
        <v/>
      </c>
      <c r="DG41" s="17">
        <f>IF(AND(108&gt;=DeliverStart,108&lt;=DispoMonth),1,0)</f>
        <v/>
      </c>
      <c r="DH41" s="17">
        <f>IF(AND(109&gt;=DeliverStart,109&lt;=DispoMonth),1,0)</f>
        <v/>
      </c>
      <c r="DI41" s="17">
        <f>IF(AND(110&gt;=DeliverStart,110&lt;=DispoMonth),1,0)</f>
        <v/>
      </c>
      <c r="DJ41" s="17">
        <f>IF(AND(111&gt;=DeliverStart,111&lt;=DispoMonth),1,0)</f>
        <v/>
      </c>
      <c r="DK41" s="17">
        <f>IF(AND(112&gt;=DeliverStart,112&lt;=DispoMonth),1,0)</f>
        <v/>
      </c>
      <c r="DL41" s="17">
        <f>IF(AND(113&gt;=DeliverStart,113&lt;=DispoMonth),1,0)</f>
        <v/>
      </c>
      <c r="DM41" s="17">
        <f>IF(AND(114&gt;=DeliverStart,114&lt;=DispoMonth),1,0)</f>
        <v/>
      </c>
      <c r="DN41" s="17">
        <f>IF(AND(115&gt;=DeliverStart,115&lt;=DispoMonth),1,0)</f>
        <v/>
      </c>
      <c r="DO41" s="17">
        <f>IF(AND(116&gt;=DeliverStart,116&lt;=DispoMonth),1,0)</f>
        <v/>
      </c>
      <c r="DP41" s="17">
        <f>IF(AND(117&gt;=DeliverStart,117&lt;=DispoMonth),1,0)</f>
        <v/>
      </c>
      <c r="DQ41" s="17">
        <f>IF(AND(118&gt;=DeliverStart,118&lt;=DispoMonth),1,0)</f>
        <v/>
      </c>
      <c r="DR41" s="17">
        <f>IF(AND(119&gt;=DeliverStart,119&lt;=DispoMonth),1,0)</f>
        <v/>
      </c>
      <c r="DS41" s="17">
        <f>IF(AND(120&gt;=DeliverStart,120&lt;=DispoMonth),1,0)</f>
        <v/>
      </c>
      <c r="DT41" s="17">
        <f>IF(AND(121&gt;=DeliverStart,121&lt;=DispoMonth),1,0)</f>
        <v/>
      </c>
      <c r="DU41" s="17">
        <f>IF(AND(122&gt;=DeliverStart,122&lt;=DispoMonth),1,0)</f>
        <v/>
      </c>
      <c r="DV41" s="17">
        <f>IF(AND(123&gt;=DeliverStart,123&lt;=DispoMonth),1,0)</f>
        <v/>
      </c>
      <c r="DW41" s="17">
        <f>IF(AND(124&gt;=DeliverStart,124&lt;=DispoMonth),1,0)</f>
        <v/>
      </c>
      <c r="DX41" s="17">
        <f>IF(AND(125&gt;=DeliverStart,125&lt;=DispoMonth),1,0)</f>
        <v/>
      </c>
      <c r="DY41" s="17">
        <f>IF(AND(126&gt;=DeliverStart,126&lt;=DispoMonth),1,0)</f>
        <v/>
      </c>
      <c r="DZ41" s="17">
        <f>IF(AND(127&gt;=DeliverStart,127&lt;=DispoMonth),1,0)</f>
        <v/>
      </c>
      <c r="EA41" s="17">
        <f>IF(AND(128&gt;=DeliverStart,128&lt;=DispoMonth),1,0)</f>
        <v/>
      </c>
      <c r="EB41" s="17">
        <f>IF(AND(129&gt;=DeliverStart,129&lt;=DispoMonth),1,0)</f>
        <v/>
      </c>
      <c r="EC41" s="17">
        <f>IF(AND(130&gt;=DeliverStart,130&lt;=DispoMonth),1,0)</f>
        <v/>
      </c>
      <c r="ED41" s="17">
        <f>IF(AND(131&gt;=DeliverStart,131&lt;=DispoMonth),1,0)</f>
        <v/>
      </c>
      <c r="EE41" s="17">
        <f>IF(AND(132&gt;=DeliverStart,132&lt;=DispoMonth),1,0)</f>
        <v/>
      </c>
      <c r="EF41" s="17">
        <f>IF(AND(133&gt;=DeliverStart,133&lt;=DispoMonth),1,0)</f>
        <v/>
      </c>
      <c r="EG41" s="17">
        <f>IF(AND(134&gt;=DeliverStart,134&lt;=DispoMonth),1,0)</f>
        <v/>
      </c>
      <c r="EH41" s="17">
        <f>IF(AND(135&gt;=DeliverStart,135&lt;=DispoMonth),1,0)</f>
        <v/>
      </c>
      <c r="EI41" s="17">
        <f>IF(AND(136&gt;=DeliverStart,136&lt;=DispoMonth),1,0)</f>
        <v/>
      </c>
      <c r="EJ41" s="17">
        <f>IF(AND(137&gt;=DeliverStart,137&lt;=DispoMonth),1,0)</f>
        <v/>
      </c>
      <c r="EK41" s="17">
        <f>IF(AND(138&gt;=DeliverStart,138&lt;=DispoMonth),1,0)</f>
        <v/>
      </c>
      <c r="EL41" s="17">
        <f>IF(AND(139&gt;=DeliverStart,139&lt;=DispoMonth),1,0)</f>
        <v/>
      </c>
      <c r="EM41" s="17">
        <f>IF(AND(140&gt;=DeliverStart,140&lt;=DispoMonth),1,0)</f>
        <v/>
      </c>
      <c r="EN41" s="17">
        <f>IF(AND(141&gt;=DeliverStart,141&lt;=DispoMonth),1,0)</f>
        <v/>
      </c>
      <c r="EO41" s="17">
        <f>IF(AND(142&gt;=DeliverStart,142&lt;=DispoMonth),1,0)</f>
        <v/>
      </c>
      <c r="EP41" s="17">
        <f>IF(AND(143&gt;=DeliverStart,143&lt;=DispoMonth),1,0)</f>
        <v/>
      </c>
      <c r="EQ41" s="17">
        <f>IF(AND(144&gt;=DeliverStart,144&lt;=DispoMonth),1,0)</f>
        <v/>
      </c>
      <c r="ER41" s="17">
        <f>IF(AND(145&gt;=DeliverStart,145&lt;=DispoMonth),1,0)</f>
        <v/>
      </c>
      <c r="ES41" s="17">
        <f>IF(AND(146&gt;=DeliverStart,146&lt;=DispoMonth),1,0)</f>
        <v/>
      </c>
      <c r="ET41" s="17">
        <f>IF(AND(147&gt;=DeliverStart,147&lt;=DispoMonth),1,0)</f>
        <v/>
      </c>
      <c r="EU41" s="17">
        <f>IF(AND(148&gt;=DeliverStart,148&lt;=DispoMonth),1,0)</f>
        <v/>
      </c>
      <c r="EV41" s="17">
        <f>IF(AND(149&gt;=DeliverStart,149&lt;=DispoMonth),1,0)</f>
        <v/>
      </c>
      <c r="EW41" s="17">
        <f>IF(AND(150&gt;=DeliverStart,150&lt;=DispoMonth),1,0)</f>
        <v/>
      </c>
      <c r="EX41" s="17">
        <f>IF(AND(151&gt;=DeliverStart,151&lt;=DispoMonth),1,0)</f>
        <v/>
      </c>
      <c r="EY41" s="17">
        <f>IF(AND(152&gt;=DeliverStart,152&lt;=DispoMonth),1,0)</f>
        <v/>
      </c>
      <c r="EZ41" s="17">
        <f>IF(AND(153&gt;=DeliverStart,153&lt;=DispoMonth),1,0)</f>
        <v/>
      </c>
      <c r="FA41" s="17">
        <f>IF(AND(154&gt;=DeliverStart,154&lt;=DispoMonth),1,0)</f>
        <v/>
      </c>
      <c r="FB41" s="17">
        <f>IF(AND(155&gt;=DeliverStart,155&lt;=DispoMonth),1,0)</f>
        <v/>
      </c>
      <c r="FC41" s="17">
        <f>IF(AND(156&gt;=DeliverStart,156&lt;=DispoMonth),1,0)</f>
        <v/>
      </c>
      <c r="FD41" s="17">
        <f>IF(AND(157&gt;=DeliverStart,157&lt;=DispoMonth),1,0)</f>
        <v/>
      </c>
      <c r="FE41" s="17">
        <f>IF(AND(158&gt;=DeliverStart,158&lt;=DispoMonth),1,0)</f>
        <v/>
      </c>
      <c r="FF41" s="17">
        <f>IF(AND(159&gt;=DeliverStart,159&lt;=DispoMonth),1,0)</f>
        <v/>
      </c>
      <c r="FG41" s="17">
        <f>IF(AND(160&gt;=DeliverStart,160&lt;=DispoMonth),1,0)</f>
        <v/>
      </c>
      <c r="FH41" s="17">
        <f>IF(AND(161&gt;=DeliverStart,161&lt;=DispoMonth),1,0)</f>
        <v/>
      </c>
      <c r="FI41" s="17">
        <f>IF(AND(162&gt;=DeliverStart,162&lt;=DispoMonth),1,0)</f>
        <v/>
      </c>
      <c r="FJ41" s="17">
        <f>IF(AND(163&gt;=DeliverStart,163&lt;=DispoMonth),1,0)</f>
        <v/>
      </c>
      <c r="FK41" s="17">
        <f>IF(AND(164&gt;=DeliverStart,164&lt;=DispoMonth),1,0)</f>
        <v/>
      </c>
      <c r="FL41" s="17">
        <f>IF(AND(165&gt;=DeliverStart,165&lt;=DispoMonth),1,0)</f>
        <v/>
      </c>
      <c r="FM41" s="17">
        <f>IF(AND(166&gt;=DeliverStart,166&lt;=DispoMonth),1,0)</f>
        <v/>
      </c>
      <c r="FN41" s="17">
        <f>IF(AND(167&gt;=DeliverStart,167&lt;=DispoMonth),1,0)</f>
        <v/>
      </c>
      <c r="FO41" s="17">
        <f>IF(AND(168&gt;=DeliverStart,168&lt;=DispoMonth),1,0)</f>
        <v/>
      </c>
      <c r="FP41" s="17">
        <f>IF(AND(169&gt;=DeliverStart,169&lt;=DispoMonth),1,0)</f>
        <v/>
      </c>
      <c r="FQ41" s="17">
        <f>IF(AND(170&gt;=DeliverStart,170&lt;=DispoMonth),1,0)</f>
        <v/>
      </c>
      <c r="FR41" s="17">
        <f>IF(AND(171&gt;=DeliverStart,171&lt;=DispoMonth),1,0)</f>
        <v/>
      </c>
      <c r="FS41" s="17">
        <f>IF(AND(172&gt;=DeliverStart,172&lt;=DispoMonth),1,0)</f>
        <v/>
      </c>
      <c r="FT41" s="17">
        <f>IF(AND(173&gt;=DeliverStart,173&lt;=DispoMonth),1,0)</f>
        <v/>
      </c>
      <c r="FU41" s="17">
        <f>IF(AND(174&gt;=DeliverStart,174&lt;=DispoMonth),1,0)</f>
        <v/>
      </c>
      <c r="FV41" s="17">
        <f>IF(AND(175&gt;=DeliverStart,175&lt;=DispoMonth),1,0)</f>
        <v/>
      </c>
      <c r="FW41" s="17">
        <f>IF(AND(176&gt;=DeliverStart,176&lt;=DispoMonth),1,0)</f>
        <v/>
      </c>
      <c r="FX41" s="17">
        <f>IF(AND(177&gt;=DeliverStart,177&lt;=DispoMonth),1,0)</f>
        <v/>
      </c>
      <c r="FY41" s="17">
        <f>IF(AND(178&gt;=DeliverStart,178&lt;=DispoMonth),1,0)</f>
        <v/>
      </c>
      <c r="FZ41" s="17">
        <f>IF(AND(179&gt;=DeliverStart,179&lt;=DispoMonth),1,0)</f>
        <v/>
      </c>
      <c r="GA41" s="17">
        <f>IF(AND(180&gt;=DeliverStart,180&lt;=DispoMonth),1,0)</f>
        <v/>
      </c>
      <c r="GB41" s="17">
        <f>IF(AND(181&gt;=DeliverStart,181&lt;=DispoMonth),1,0)</f>
        <v/>
      </c>
      <c r="GC41" s="17">
        <f>IF(AND(182&gt;=DeliverStart,182&lt;=DispoMonth),1,0)</f>
        <v/>
      </c>
      <c r="GD41" s="17">
        <f>IF(AND(183&gt;=DeliverStart,183&lt;=DispoMonth),1,0)</f>
        <v/>
      </c>
      <c r="GE41" s="17">
        <f>IF(AND(184&gt;=DeliverStart,184&lt;=DispoMonth),1,0)</f>
        <v/>
      </c>
      <c r="GF41" s="17">
        <f>IF(AND(185&gt;=DeliverStart,185&lt;=DispoMonth),1,0)</f>
        <v/>
      </c>
      <c r="GG41" s="17">
        <f>IF(AND(186&gt;=DeliverStart,186&lt;=DispoMonth),1,0)</f>
        <v/>
      </c>
      <c r="GH41" s="17">
        <f>IF(AND(187&gt;=DeliverStart,187&lt;=DispoMonth),1,0)</f>
        <v/>
      </c>
      <c r="GI41" s="17">
        <f>IF(AND(188&gt;=DeliverStart,188&lt;=DispoMonth),1,0)</f>
        <v/>
      </c>
      <c r="GJ41" s="17">
        <f>IF(AND(189&gt;=DeliverStart,189&lt;=DispoMonth),1,0)</f>
        <v/>
      </c>
      <c r="GK41" s="17">
        <f>IF(AND(190&gt;=DeliverStart,190&lt;=DispoMonth),1,0)</f>
        <v/>
      </c>
      <c r="GL41" s="17">
        <f>IF(AND(191&gt;=DeliverStart,191&lt;=DispoMonth),1,0)</f>
        <v/>
      </c>
      <c r="GM41" s="17">
        <f>IF(AND(192&gt;=DeliverStart,192&lt;=DispoMonth),1,0)</f>
        <v/>
      </c>
      <c r="GN41" s="17">
        <f>IF(AND(193&gt;=DeliverStart,193&lt;=DispoMonth),1,0)</f>
        <v/>
      </c>
      <c r="GO41" s="17">
        <f>IF(AND(194&gt;=DeliverStart,194&lt;=DispoMonth),1,0)</f>
        <v/>
      </c>
      <c r="GP41" s="17">
        <f>IF(AND(195&gt;=DeliverStart,195&lt;=DispoMonth),1,0)</f>
        <v/>
      </c>
      <c r="GQ41" s="17">
        <f>IF(AND(196&gt;=DeliverStart,196&lt;=DispoMonth),1,0)</f>
        <v/>
      </c>
      <c r="GR41" s="17">
        <f>IF(AND(197&gt;=DeliverStart,197&lt;=DispoMonth),1,0)</f>
        <v/>
      </c>
      <c r="GS41" s="17">
        <f>IF(AND(198&gt;=DeliverStart,198&lt;=DispoMonth),1,0)</f>
        <v/>
      </c>
      <c r="GT41" s="17">
        <f>IF(AND(199&gt;=DeliverStart,199&lt;=DispoMonth),1,0)</f>
        <v/>
      </c>
      <c r="GU41" s="17">
        <f>IF(AND(200&gt;=DeliverStart,200&lt;=DispoMonth),1,0)</f>
        <v/>
      </c>
      <c r="GV41" s="17">
        <f>IF(AND(201&gt;=DeliverStart,201&lt;=DispoMonth),1,0)</f>
        <v/>
      </c>
      <c r="GW41" s="17">
        <f>IF(AND(202&gt;=DeliverStart,202&lt;=DispoMonth),1,0)</f>
        <v/>
      </c>
      <c r="GX41" s="17">
        <f>IF(AND(203&gt;=DeliverStart,203&lt;=DispoMonth),1,0)</f>
        <v/>
      </c>
      <c r="GY41" s="17">
        <f>IF(AND(204&gt;=DeliverStart,204&lt;=DispoMonth),1,0)</f>
        <v/>
      </c>
      <c r="GZ41" s="17">
        <f>IF(AND(205&gt;=DeliverStart,205&lt;=DispoMonth),1,0)</f>
        <v/>
      </c>
      <c r="HA41" s="17">
        <f>IF(AND(206&gt;=DeliverStart,206&lt;=DispoMonth),1,0)</f>
        <v/>
      </c>
      <c r="HB41" s="17">
        <f>IF(AND(207&gt;=DeliverStart,207&lt;=DispoMonth),1,0)</f>
        <v/>
      </c>
      <c r="HC41" s="17">
        <f>IF(AND(208&gt;=DeliverStart,208&lt;=DispoMonth),1,0)</f>
        <v/>
      </c>
      <c r="HD41" s="17">
        <f>IF(AND(209&gt;=DeliverStart,209&lt;=DispoMonth),1,0)</f>
        <v/>
      </c>
      <c r="HE41" s="17">
        <f>IF(AND(210&gt;=DeliverStart,210&lt;=DispoMonth),1,0)</f>
        <v/>
      </c>
      <c r="HF41" s="17">
        <f>IF(AND(211&gt;=DeliverStart,211&lt;=DispoMonth),1,0)</f>
        <v/>
      </c>
      <c r="HG41" s="17">
        <f>IF(AND(212&gt;=DeliverStart,212&lt;=DispoMonth),1,0)</f>
        <v/>
      </c>
      <c r="HH41" s="17">
        <f>IF(AND(213&gt;=DeliverStart,213&lt;=DispoMonth),1,0)</f>
        <v/>
      </c>
      <c r="HI41" s="17">
        <f>IF(AND(214&gt;=DeliverStart,214&lt;=DispoMonth),1,0)</f>
        <v/>
      </c>
      <c r="HJ41" s="17">
        <f>IF(AND(215&gt;=DeliverStart,215&lt;=DispoMonth),1,0)</f>
        <v/>
      </c>
      <c r="HK41" s="17">
        <f>IF(AND(216&gt;=DeliverStart,216&lt;=DispoMonth),1,0)</f>
        <v/>
      </c>
      <c r="HL41" s="17">
        <f>IF(AND(217&gt;=DeliverStart,217&lt;=DispoMonth),1,0)</f>
        <v/>
      </c>
      <c r="HM41" s="17">
        <f>IF(AND(218&gt;=DeliverStart,218&lt;=DispoMonth),1,0)</f>
        <v/>
      </c>
      <c r="HN41" s="17">
        <f>IF(AND(219&gt;=DeliverStart,219&lt;=DispoMonth),1,0)</f>
        <v/>
      </c>
      <c r="HO41" s="17">
        <f>IF(AND(220&gt;=DeliverStart,220&lt;=DispoMonth),1,0)</f>
        <v/>
      </c>
      <c r="HP41" s="17">
        <f>IF(AND(221&gt;=DeliverStart,221&lt;=DispoMonth),1,0)</f>
        <v/>
      </c>
      <c r="HQ41" s="17">
        <f>IF(AND(222&gt;=DeliverStart,222&lt;=DispoMonth),1,0)</f>
        <v/>
      </c>
      <c r="HR41" s="17">
        <f>IF(AND(223&gt;=DeliverStart,223&lt;=DispoMonth),1,0)</f>
        <v/>
      </c>
      <c r="HS41" s="17">
        <f>IF(AND(224&gt;=DeliverStart,224&lt;=DispoMonth),1,0)</f>
        <v/>
      </c>
      <c r="HT41" s="17">
        <f>IF(AND(225&gt;=DeliverStart,225&lt;=DispoMonth),1,0)</f>
        <v/>
      </c>
      <c r="HU41" s="17">
        <f>IF(AND(226&gt;=DeliverStart,226&lt;=DispoMonth),1,0)</f>
        <v/>
      </c>
      <c r="HV41" s="17">
        <f>IF(AND(227&gt;=DeliverStart,227&lt;=DispoMonth),1,0)</f>
        <v/>
      </c>
      <c r="HW41" s="17">
        <f>IF(AND(228&gt;=DeliverStart,228&lt;=DispoMonth),1,0)</f>
        <v/>
      </c>
      <c r="HX41" s="17">
        <f>IF(AND(229&gt;=DeliverStart,229&lt;=DispoMonth),1,0)</f>
        <v/>
      </c>
      <c r="HY41" s="17">
        <f>IF(AND(230&gt;=DeliverStart,230&lt;=DispoMonth),1,0)</f>
        <v/>
      </c>
      <c r="HZ41" s="17">
        <f>IF(AND(231&gt;=DeliverStart,231&lt;=DispoMonth),1,0)</f>
        <v/>
      </c>
      <c r="IA41" s="17">
        <f>IF(AND(232&gt;=DeliverStart,232&lt;=DispoMonth),1,0)</f>
        <v/>
      </c>
      <c r="IB41" s="17">
        <f>IF(AND(233&gt;=DeliverStart,233&lt;=DispoMonth),1,0)</f>
        <v/>
      </c>
      <c r="IC41" s="17">
        <f>IF(AND(234&gt;=DeliverStart,234&lt;=DispoMonth),1,0)</f>
        <v/>
      </c>
      <c r="ID41" s="17">
        <f>IF(AND(235&gt;=DeliverStart,235&lt;=DispoMonth),1,0)</f>
        <v/>
      </c>
      <c r="IE41" s="17">
        <f>IF(AND(236&gt;=DeliverStart,236&lt;=DispoMonth),1,0)</f>
        <v/>
      </c>
      <c r="IF41" s="17">
        <f>IF(AND(237&gt;=DeliverStart,237&lt;=DispoMonth),1,0)</f>
        <v/>
      </c>
      <c r="IG41" s="17">
        <f>IF(AND(238&gt;=DeliverStart,238&lt;=DispoMonth),1,0)</f>
        <v/>
      </c>
      <c r="IH41" s="17">
        <f>IF(AND(239&gt;=DeliverStart,239&lt;=DispoMonth),1,0)</f>
        <v/>
      </c>
      <c r="II41" s="17">
        <f>IF(AND(240&gt;=DeliverStart,240&lt;=DispoMonth),1,0)</f>
        <v/>
      </c>
      <c r="IJ41" s="17">
        <f>IF(AND(241&gt;=DeliverStart,241&lt;=DispoMonth),1,0)</f>
        <v/>
      </c>
      <c r="IK41" s="17">
        <f>IF(AND(242&gt;=DeliverStart,242&lt;=DispoMonth),1,0)</f>
        <v/>
      </c>
      <c r="IL41" s="17">
        <f>IF(AND(243&gt;=DeliverStart,243&lt;=DispoMonth),1,0)</f>
        <v/>
      </c>
      <c r="IM41" s="17">
        <f>IF(AND(244&gt;=DeliverStart,244&lt;=DispoMonth),1,0)</f>
        <v/>
      </c>
      <c r="IN41" s="17">
        <f>IF(AND(245&gt;=DeliverStart,245&lt;=DispoMonth),1,0)</f>
        <v/>
      </c>
      <c r="IO41" s="17">
        <f>IF(AND(246&gt;=DeliverStart,246&lt;=DispoMonth),1,0)</f>
        <v/>
      </c>
      <c r="IP41" s="17">
        <f>IF(AND(247&gt;=DeliverStart,247&lt;=DispoMonth),1,0)</f>
        <v/>
      </c>
      <c r="IQ41" s="17">
        <f>IF(AND(248&gt;=DeliverStart,248&lt;=DispoMonth),1,0)</f>
        <v/>
      </c>
      <c r="IR41" s="17">
        <f>IF(AND(249&gt;=DeliverStart,249&lt;=DispoMonth),1,0)</f>
        <v/>
      </c>
      <c r="IS41" s="17">
        <f>IF(AND(250&gt;=DeliverStart,250&lt;=DispoMonth),1,0)</f>
        <v/>
      </c>
      <c r="IT41" s="17">
        <f>IF(AND(251&gt;=DeliverStart,251&lt;=DispoMonth),1,0)</f>
        <v/>
      </c>
      <c r="IU41" s="17">
        <f>IF(AND(252&gt;=DeliverStart,252&lt;=DispoMonth),1,0)</f>
        <v/>
      </c>
      <c r="IV41" s="17">
        <f>IF(AND(253&gt;=DeliverStart,253&lt;=DispoMonth),1,0)</f>
        <v/>
      </c>
      <c r="IW41" s="17">
        <f>IF(AND(254&gt;=DeliverStart,254&lt;=DispoMonth),1,0)</f>
        <v/>
      </c>
      <c r="IX41" s="17">
        <f>IF(AND(255&gt;=DeliverStart,255&lt;=DispoMonth),1,0)</f>
        <v/>
      </c>
      <c r="IY41" s="17">
        <f>IF(AND(256&gt;=DeliverStart,256&lt;=DispoMonth),1,0)</f>
        <v/>
      </c>
      <c r="IZ41" s="17">
        <f>IF(AND(257&gt;=DeliverStart,257&lt;=DispoMonth),1,0)</f>
        <v/>
      </c>
      <c r="JA41" s="17">
        <f>IF(AND(258&gt;=DeliverStart,258&lt;=DispoMonth),1,0)</f>
        <v/>
      </c>
      <c r="JB41" s="17">
        <f>IF(AND(259&gt;=DeliverStart,259&lt;=DispoMonth),1,0)</f>
        <v/>
      </c>
      <c r="JC41" s="17">
        <f>IF(AND(260&gt;=DeliverStart,260&lt;=DispoMonth),1,0)</f>
        <v/>
      </c>
      <c r="JD41" s="17">
        <f>IF(AND(261&gt;=DeliverStart,261&lt;=DispoMonth),1,0)</f>
        <v/>
      </c>
      <c r="JE41" s="17">
        <f>IF(AND(262&gt;=DeliverStart,262&lt;=DispoMonth),1,0)</f>
        <v/>
      </c>
      <c r="JF41" s="17">
        <f>IF(AND(263&gt;=DeliverStart,263&lt;=DispoMonth),1,0)</f>
        <v/>
      </c>
      <c r="JG41" s="17">
        <f>IF(AND(264&gt;=DeliverStart,264&lt;=DispoMonth),1,0)</f>
        <v/>
      </c>
      <c r="JH41" s="17">
        <f>IF(AND(265&gt;=DeliverStart,265&lt;=DispoMonth),1,0)</f>
        <v/>
      </c>
      <c r="JI41" s="17">
        <f>IF(AND(266&gt;=DeliverStart,266&lt;=DispoMonth),1,0)</f>
        <v/>
      </c>
      <c r="JJ41" s="17">
        <f>IF(AND(267&gt;=DeliverStart,267&lt;=DispoMonth),1,0)</f>
        <v/>
      </c>
      <c r="JK41" s="17">
        <f>IF(AND(268&gt;=DeliverStart,268&lt;=DispoMonth),1,0)</f>
        <v/>
      </c>
      <c r="JL41" s="17">
        <f>IF(AND(269&gt;=DeliverStart,269&lt;=DispoMonth),1,0)</f>
        <v/>
      </c>
      <c r="JM41" s="17">
        <f>IF(AND(270&gt;=DeliverStart,270&lt;=DispoMonth),1,0)</f>
        <v/>
      </c>
      <c r="JN41" s="17">
        <f>IF(AND(271&gt;=DeliverStart,271&lt;=DispoMonth),1,0)</f>
        <v/>
      </c>
      <c r="JO41" s="17">
        <f>IF(AND(272&gt;=DeliverStart,272&lt;=DispoMonth),1,0)</f>
        <v/>
      </c>
      <c r="JP41" s="17">
        <f>IF(AND(273&gt;=DeliverStart,273&lt;=DispoMonth),1,0)</f>
        <v/>
      </c>
      <c r="JQ41" s="17">
        <f>IF(AND(274&gt;=DeliverStart,274&lt;=DispoMonth),1,0)</f>
        <v/>
      </c>
      <c r="JR41" s="17">
        <f>IF(AND(275&gt;=DeliverStart,275&lt;=DispoMonth),1,0)</f>
        <v/>
      </c>
      <c r="JS41" s="17">
        <f>IF(AND(276&gt;=DeliverStart,276&lt;=DispoMonth),1,0)</f>
        <v/>
      </c>
      <c r="JT41" s="17">
        <f>IF(AND(277&gt;=DeliverStart,277&lt;=DispoMonth),1,0)</f>
        <v/>
      </c>
      <c r="JU41" s="17">
        <f>IF(AND(278&gt;=DeliverStart,278&lt;=DispoMonth),1,0)</f>
        <v/>
      </c>
      <c r="JV41" s="17">
        <f>IF(AND(279&gt;=DeliverStart,279&lt;=DispoMonth),1,0)</f>
        <v/>
      </c>
      <c r="JW41" s="17">
        <f>IF(AND(280&gt;=DeliverStart,280&lt;=DispoMonth),1,0)</f>
        <v/>
      </c>
      <c r="JX41" s="17">
        <f>IF(AND(281&gt;=DeliverStart,281&lt;=DispoMonth),1,0)</f>
        <v/>
      </c>
      <c r="JY41" s="17">
        <f>IF(AND(282&gt;=DeliverStart,282&lt;=DispoMonth),1,0)</f>
        <v/>
      </c>
      <c r="JZ41" s="17">
        <f>IF(AND(283&gt;=DeliverStart,283&lt;=DispoMonth),1,0)</f>
        <v/>
      </c>
      <c r="KA41" s="17">
        <f>IF(AND(284&gt;=DeliverStart,284&lt;=DispoMonth),1,0)</f>
        <v/>
      </c>
      <c r="KB41" s="17">
        <f>IF(AND(285&gt;=DeliverStart,285&lt;=DispoMonth),1,0)</f>
        <v/>
      </c>
      <c r="KC41" s="17">
        <f>IF(AND(286&gt;=DeliverStart,286&lt;=DispoMonth),1,0)</f>
        <v/>
      </c>
      <c r="KD41" s="17">
        <f>IF(AND(287&gt;=DeliverStart,287&lt;=DispoMonth),1,0)</f>
        <v/>
      </c>
      <c r="KE41" s="17">
        <f>IF(AND(288&gt;=DeliverStart,288&lt;=DispoMonth),1,0)</f>
        <v/>
      </c>
      <c r="KF41" s="17">
        <f>IF(AND(289&gt;=DeliverStart,289&lt;=DispoMonth),1,0)</f>
        <v/>
      </c>
      <c r="KG41" s="17">
        <f>IF(AND(290&gt;=DeliverStart,290&lt;=DispoMonth),1,0)</f>
        <v/>
      </c>
      <c r="KH41" s="17">
        <f>IF(AND(291&gt;=DeliverStart,291&lt;=DispoMonth),1,0)</f>
        <v/>
      </c>
      <c r="KI41" s="17">
        <f>IF(AND(292&gt;=DeliverStart,292&lt;=DispoMonth),1,0)</f>
        <v/>
      </c>
      <c r="KJ41" s="17">
        <f>IF(AND(293&gt;=DeliverStart,293&lt;=DispoMonth),1,0)</f>
        <v/>
      </c>
      <c r="KK41" s="17">
        <f>IF(AND(294&gt;=DeliverStart,294&lt;=DispoMonth),1,0)</f>
        <v/>
      </c>
      <c r="KL41" s="17">
        <f>IF(AND(295&gt;=DeliverStart,295&lt;=DispoMonth),1,0)</f>
        <v/>
      </c>
      <c r="KM41" s="17">
        <f>IF(AND(296&gt;=DeliverStart,296&lt;=DispoMonth),1,0)</f>
        <v/>
      </c>
      <c r="KN41" s="17">
        <f>IF(AND(297&gt;=DeliverStart,297&lt;=DispoMonth),1,0)</f>
        <v/>
      </c>
      <c r="KO41" s="17">
        <f>IF(AND(298&gt;=DeliverStart,298&lt;=DispoMonth),1,0)</f>
        <v/>
      </c>
      <c r="KP41" s="17">
        <f>IF(AND(299&gt;=DeliverStart,299&lt;=DispoMonth),1,0)</f>
        <v/>
      </c>
      <c r="KQ41" s="17">
        <f>IF(AND(300&gt;=DeliverStart,300&lt;=DispoMonth),1,0)</f>
        <v/>
      </c>
      <c r="KR41" s="17">
        <f>IF(AND(301&gt;=DeliverStart,301&lt;=DispoMonth),1,0)</f>
        <v/>
      </c>
      <c r="KS41" s="17">
        <f>IF(AND(302&gt;=DeliverStart,302&lt;=DispoMonth),1,0)</f>
        <v/>
      </c>
      <c r="KT41" s="17">
        <f>IF(AND(303&gt;=DeliverStart,303&lt;=DispoMonth),1,0)</f>
        <v/>
      </c>
      <c r="KU41" s="17">
        <f>IF(AND(304&gt;=DeliverStart,304&lt;=DispoMonth),1,0)</f>
        <v/>
      </c>
      <c r="KV41" s="17">
        <f>IF(AND(305&gt;=DeliverStart,305&lt;=DispoMonth),1,0)</f>
        <v/>
      </c>
      <c r="KW41" s="17">
        <f>IF(AND(306&gt;=DeliverStart,306&lt;=DispoMonth),1,0)</f>
        <v/>
      </c>
      <c r="KX41" s="17">
        <f>IF(AND(307&gt;=DeliverStart,307&lt;=DispoMonth),1,0)</f>
        <v/>
      </c>
      <c r="KY41" s="17">
        <f>IF(AND(308&gt;=DeliverStart,308&lt;=DispoMonth),1,0)</f>
        <v/>
      </c>
      <c r="KZ41" s="17">
        <f>IF(AND(309&gt;=DeliverStart,309&lt;=DispoMonth),1,0)</f>
        <v/>
      </c>
      <c r="LA41" s="17">
        <f>IF(AND(310&gt;=DeliverStart,310&lt;=DispoMonth),1,0)</f>
        <v/>
      </c>
      <c r="LB41" s="17">
        <f>IF(AND(311&gt;=DeliverStart,311&lt;=DispoMonth),1,0)</f>
        <v/>
      </c>
      <c r="LC41" s="17">
        <f>IF(AND(312&gt;=DeliverStart,312&lt;=DispoMonth),1,0)</f>
        <v/>
      </c>
      <c r="LD41" s="17">
        <f>IF(AND(313&gt;=DeliverStart,313&lt;=DispoMonth),1,0)</f>
        <v/>
      </c>
      <c r="LE41" s="17">
        <f>IF(AND(314&gt;=DeliverStart,314&lt;=DispoMonth),1,0)</f>
        <v/>
      </c>
      <c r="LF41" s="17">
        <f>IF(AND(315&gt;=DeliverStart,315&lt;=DispoMonth),1,0)</f>
        <v/>
      </c>
      <c r="LG41" s="17">
        <f>IF(AND(316&gt;=DeliverStart,316&lt;=DispoMonth),1,0)</f>
        <v/>
      </c>
      <c r="LH41" s="17">
        <f>IF(AND(317&gt;=DeliverStart,317&lt;=DispoMonth),1,0)</f>
        <v/>
      </c>
      <c r="LI41" s="17">
        <f>IF(AND(318&gt;=DeliverStart,318&lt;=DispoMonth),1,0)</f>
        <v/>
      </c>
      <c r="LJ41" s="17">
        <f>IF(AND(319&gt;=DeliverStart,319&lt;=DispoMonth),1,0)</f>
        <v/>
      </c>
      <c r="LK41" s="17">
        <f>IF(AND(320&gt;=DeliverStart,320&lt;=DispoMonth),1,0)</f>
        <v/>
      </c>
      <c r="LL41" s="17">
        <f>IF(AND(321&gt;=DeliverStart,321&lt;=DispoMonth),1,0)</f>
        <v/>
      </c>
      <c r="LM41" s="17">
        <f>IF(AND(322&gt;=DeliverStart,322&lt;=DispoMonth),1,0)</f>
        <v/>
      </c>
      <c r="LN41" s="17">
        <f>IF(AND(323&gt;=DeliverStart,323&lt;=DispoMonth),1,0)</f>
        <v/>
      </c>
      <c r="LO41" s="17">
        <f>IF(AND(324&gt;=DeliverStart,324&lt;=DispoMonth),1,0)</f>
        <v/>
      </c>
      <c r="LP41" s="17">
        <f>IF(AND(325&gt;=DeliverStart,325&lt;=DispoMonth),1,0)</f>
        <v/>
      </c>
      <c r="LQ41" s="17">
        <f>IF(AND(326&gt;=DeliverStart,326&lt;=DispoMonth),1,0)</f>
        <v/>
      </c>
      <c r="LR41" s="17">
        <f>IF(AND(327&gt;=DeliverStart,327&lt;=DispoMonth),1,0)</f>
        <v/>
      </c>
      <c r="LS41" s="17">
        <f>IF(AND(328&gt;=DeliverStart,328&lt;=DispoMonth),1,0)</f>
        <v/>
      </c>
      <c r="LT41" s="17">
        <f>IF(AND(329&gt;=DeliverStart,329&lt;=DispoMonth),1,0)</f>
        <v/>
      </c>
      <c r="LU41" s="17">
        <f>IF(AND(330&gt;=DeliverStart,330&lt;=DispoMonth),1,0)</f>
        <v/>
      </c>
      <c r="LV41" s="17">
        <f>IF(AND(331&gt;=DeliverStart,331&lt;=DispoMonth),1,0)</f>
        <v/>
      </c>
      <c r="LW41" s="17">
        <f>IF(AND(332&gt;=DeliverStart,332&lt;=DispoMonth),1,0)</f>
        <v/>
      </c>
      <c r="LX41" s="17">
        <f>IF(AND(333&gt;=DeliverStart,333&lt;=DispoMonth),1,0)</f>
        <v/>
      </c>
      <c r="LY41" s="17">
        <f>IF(AND(334&gt;=DeliverStart,334&lt;=DispoMonth),1,0)</f>
        <v/>
      </c>
      <c r="LZ41" s="17">
        <f>IF(AND(335&gt;=DeliverStart,335&lt;=DispoMonth),1,0)</f>
        <v/>
      </c>
      <c r="MA41" s="17">
        <f>IF(AND(336&gt;=DeliverStart,336&lt;=DispoMonth),1,0)</f>
        <v/>
      </c>
      <c r="MB41" s="17">
        <f>IF(AND(337&gt;=DeliverStart,337&lt;=DispoMonth),1,0)</f>
        <v/>
      </c>
      <c r="MC41" s="17">
        <f>IF(AND(338&gt;=DeliverStart,338&lt;=DispoMonth),1,0)</f>
        <v/>
      </c>
      <c r="MD41" s="17">
        <f>IF(AND(339&gt;=DeliverStart,339&lt;=DispoMonth),1,0)</f>
        <v/>
      </c>
      <c r="ME41" s="17">
        <f>IF(AND(340&gt;=DeliverStart,340&lt;=DispoMonth),1,0)</f>
        <v/>
      </c>
      <c r="MF41" s="17">
        <f>IF(AND(341&gt;=DeliverStart,341&lt;=DispoMonth),1,0)</f>
        <v/>
      </c>
      <c r="MG41" s="17">
        <f>IF(AND(342&gt;=DeliverStart,342&lt;=DispoMonth),1,0)</f>
        <v/>
      </c>
      <c r="MH41" s="17">
        <f>IF(AND(343&gt;=DeliverStart,343&lt;=DispoMonth),1,0)</f>
        <v/>
      </c>
      <c r="MI41" s="17">
        <f>IF(AND(344&gt;=DeliverStart,344&lt;=DispoMonth),1,0)</f>
        <v/>
      </c>
      <c r="MJ41" s="17">
        <f>IF(AND(345&gt;=DeliverStart,345&lt;=DispoMonth),1,0)</f>
        <v/>
      </c>
      <c r="MK41" s="17">
        <f>IF(AND(346&gt;=DeliverStart,346&lt;=DispoMonth),1,0)</f>
        <v/>
      </c>
      <c r="ML41" s="17">
        <f>IF(AND(347&gt;=DeliverStart,347&lt;=DispoMonth),1,0)</f>
        <v/>
      </c>
      <c r="MM41" s="17">
        <f>IF(AND(348&gt;=DeliverStart,348&lt;=DispoMonth),1,0)</f>
        <v/>
      </c>
      <c r="MN41" s="17">
        <f>IF(AND(349&gt;=DeliverStart,349&lt;=DispoMonth),1,0)</f>
        <v/>
      </c>
      <c r="MO41" s="17">
        <f>IF(AND(350&gt;=DeliverStart,350&lt;=DispoMonth),1,0)</f>
        <v/>
      </c>
      <c r="MP41" s="17">
        <f>IF(AND(351&gt;=DeliverStart,351&lt;=DispoMonth),1,0)</f>
        <v/>
      </c>
      <c r="MQ41" s="17">
        <f>IF(AND(352&gt;=DeliverStart,352&lt;=DispoMonth),1,0)</f>
        <v/>
      </c>
      <c r="MR41" s="17">
        <f>IF(AND(353&gt;=DeliverStart,353&lt;=DispoMonth),1,0)</f>
        <v/>
      </c>
      <c r="MS41" s="17">
        <f>IF(AND(354&gt;=DeliverStart,354&lt;=DispoMonth),1,0)</f>
        <v/>
      </c>
      <c r="MT41" s="17">
        <f>IF(AND(355&gt;=DeliverStart,355&lt;=DispoMonth),1,0)</f>
        <v/>
      </c>
      <c r="MU41" s="17">
        <f>IF(AND(356&gt;=DeliverStart,356&lt;=DispoMonth),1,0)</f>
        <v/>
      </c>
      <c r="MV41" s="17">
        <f>IF(AND(357&gt;=DeliverStart,357&lt;=DispoMonth),1,0)</f>
        <v/>
      </c>
      <c r="MW41" s="17">
        <f>IF(AND(358&gt;=DeliverStart,358&lt;=DispoMonth),1,0)</f>
        <v/>
      </c>
      <c r="MX41" s="17">
        <f>IF(AND(359&gt;=DeliverStart,359&lt;=DispoMonth),1,0)</f>
        <v/>
      </c>
      <c r="MY41" s="17">
        <f>IF(AND(360&gt;=DeliverStart,360&lt;=DispoMonth),1,0)</f>
        <v/>
      </c>
      <c r="MZ41" s="17">
        <f>IF(AND(361&gt;=DeliverStart,361&lt;=DispoMonth),1,0)</f>
        <v/>
      </c>
      <c r="NA41" s="17">
        <f>IF(AND(362&gt;=DeliverStart,362&lt;=DispoMonth),1,0)</f>
        <v/>
      </c>
      <c r="NB41" s="17">
        <f>IF(AND(363&gt;=DeliverStart,363&lt;=DispoMonth),1,0)</f>
        <v/>
      </c>
      <c r="NC41" s="17">
        <f>IF(AND(364&gt;=DeliverStart,364&lt;=DispoMonth),1,0)</f>
        <v/>
      </c>
      <c r="ND41" s="17">
        <f>IF(AND(365&gt;=DeliverStart,365&lt;=DispoMonth),1,0)</f>
        <v/>
      </c>
      <c r="NE41" s="17">
        <f>IF(AND(366&gt;=DeliverStart,366&lt;=DispoMonth),1,0)</f>
        <v/>
      </c>
      <c r="NF41" s="17">
        <f>IF(AND(367&gt;=DeliverStart,367&lt;=DispoMonth),1,0)</f>
        <v/>
      </c>
      <c r="NG41" s="17">
        <f>IF(AND(368&gt;=DeliverStart,368&lt;=DispoMonth),1,0)</f>
        <v/>
      </c>
      <c r="NH41" s="17">
        <f>IF(AND(369&gt;=DeliverStart,369&lt;=DispoMonth),1,0)</f>
        <v/>
      </c>
      <c r="NI41" s="17">
        <f>IF(AND(370&gt;=DeliverStart,370&lt;=DispoMonth),1,0)</f>
        <v/>
      </c>
      <c r="NJ41" s="17">
        <f>IF(AND(371&gt;=DeliverStart,371&lt;=DispoMonth),1,0)</f>
        <v/>
      </c>
      <c r="NK41" s="17">
        <f>IF(AND(372&gt;=DeliverStart,372&lt;=DispoMonth),1,0)</f>
        <v/>
      </c>
    </row>
    <row r="42">
      <c r="A42" s="5" t="inlineStr">
        <is>
          <t>Flag: Con Loan Active</t>
        </is>
      </c>
      <c r="C42" s="40" t="n"/>
      <c r="D42" s="17">
        <f>IF(AND(1&gt;=ConStart,1&lt;=ConPayoffMonth),1,0)</f>
        <v/>
      </c>
      <c r="E42" s="17">
        <f>IF(AND(2&gt;=ConStart,2&lt;=ConPayoffMonth),1,0)</f>
        <v/>
      </c>
      <c r="F42" s="17">
        <f>IF(AND(3&gt;=ConStart,3&lt;=ConPayoffMonth),1,0)</f>
        <v/>
      </c>
      <c r="G42" s="17">
        <f>IF(AND(4&gt;=ConStart,4&lt;=ConPayoffMonth),1,0)</f>
        <v/>
      </c>
      <c r="H42" s="17">
        <f>IF(AND(5&gt;=ConStart,5&lt;=ConPayoffMonth),1,0)</f>
        <v/>
      </c>
      <c r="I42" s="17">
        <f>IF(AND(6&gt;=ConStart,6&lt;=ConPayoffMonth),1,0)</f>
        <v/>
      </c>
      <c r="J42" s="17">
        <f>IF(AND(7&gt;=ConStart,7&lt;=ConPayoffMonth),1,0)</f>
        <v/>
      </c>
      <c r="K42" s="17">
        <f>IF(AND(8&gt;=ConStart,8&lt;=ConPayoffMonth),1,0)</f>
        <v/>
      </c>
      <c r="L42" s="17">
        <f>IF(AND(9&gt;=ConStart,9&lt;=ConPayoffMonth),1,0)</f>
        <v/>
      </c>
      <c r="M42" s="17">
        <f>IF(AND(10&gt;=ConStart,10&lt;=ConPayoffMonth),1,0)</f>
        <v/>
      </c>
      <c r="N42" s="17">
        <f>IF(AND(11&gt;=ConStart,11&lt;=ConPayoffMonth),1,0)</f>
        <v/>
      </c>
      <c r="O42" s="17">
        <f>IF(AND(12&gt;=ConStart,12&lt;=ConPayoffMonth),1,0)</f>
        <v/>
      </c>
      <c r="P42" s="17">
        <f>IF(AND(13&gt;=ConStart,13&lt;=ConPayoffMonth),1,0)</f>
        <v/>
      </c>
      <c r="Q42" s="17">
        <f>IF(AND(14&gt;=ConStart,14&lt;=ConPayoffMonth),1,0)</f>
        <v/>
      </c>
      <c r="R42" s="17">
        <f>IF(AND(15&gt;=ConStart,15&lt;=ConPayoffMonth),1,0)</f>
        <v/>
      </c>
      <c r="S42" s="17">
        <f>IF(AND(16&gt;=ConStart,16&lt;=ConPayoffMonth),1,0)</f>
        <v/>
      </c>
      <c r="T42" s="17">
        <f>IF(AND(17&gt;=ConStart,17&lt;=ConPayoffMonth),1,0)</f>
        <v/>
      </c>
      <c r="U42" s="17">
        <f>IF(AND(18&gt;=ConStart,18&lt;=ConPayoffMonth),1,0)</f>
        <v/>
      </c>
      <c r="V42" s="17">
        <f>IF(AND(19&gt;=ConStart,19&lt;=ConPayoffMonth),1,0)</f>
        <v/>
      </c>
      <c r="W42" s="17">
        <f>IF(AND(20&gt;=ConStart,20&lt;=ConPayoffMonth),1,0)</f>
        <v/>
      </c>
      <c r="X42" s="17">
        <f>IF(AND(21&gt;=ConStart,21&lt;=ConPayoffMonth),1,0)</f>
        <v/>
      </c>
      <c r="Y42" s="17">
        <f>IF(AND(22&gt;=ConStart,22&lt;=ConPayoffMonth),1,0)</f>
        <v/>
      </c>
      <c r="Z42" s="17">
        <f>IF(AND(23&gt;=ConStart,23&lt;=ConPayoffMonth),1,0)</f>
        <v/>
      </c>
      <c r="AA42" s="17">
        <f>IF(AND(24&gt;=ConStart,24&lt;=ConPayoffMonth),1,0)</f>
        <v/>
      </c>
      <c r="AB42" s="17">
        <f>IF(AND(25&gt;=ConStart,25&lt;=ConPayoffMonth),1,0)</f>
        <v/>
      </c>
      <c r="AC42" s="17">
        <f>IF(AND(26&gt;=ConStart,26&lt;=ConPayoffMonth),1,0)</f>
        <v/>
      </c>
      <c r="AD42" s="17">
        <f>IF(AND(27&gt;=ConStart,27&lt;=ConPayoffMonth),1,0)</f>
        <v/>
      </c>
      <c r="AE42" s="17">
        <f>IF(AND(28&gt;=ConStart,28&lt;=ConPayoffMonth),1,0)</f>
        <v/>
      </c>
      <c r="AF42" s="17">
        <f>IF(AND(29&gt;=ConStart,29&lt;=ConPayoffMonth),1,0)</f>
        <v/>
      </c>
      <c r="AG42" s="17">
        <f>IF(AND(30&gt;=ConStart,30&lt;=ConPayoffMonth),1,0)</f>
        <v/>
      </c>
      <c r="AH42" s="17">
        <f>IF(AND(31&gt;=ConStart,31&lt;=ConPayoffMonth),1,0)</f>
        <v/>
      </c>
      <c r="AI42" s="17">
        <f>IF(AND(32&gt;=ConStart,32&lt;=ConPayoffMonth),1,0)</f>
        <v/>
      </c>
      <c r="AJ42" s="17">
        <f>IF(AND(33&gt;=ConStart,33&lt;=ConPayoffMonth),1,0)</f>
        <v/>
      </c>
      <c r="AK42" s="17">
        <f>IF(AND(34&gt;=ConStart,34&lt;=ConPayoffMonth),1,0)</f>
        <v/>
      </c>
      <c r="AL42" s="17">
        <f>IF(AND(35&gt;=ConStart,35&lt;=ConPayoffMonth),1,0)</f>
        <v/>
      </c>
      <c r="AM42" s="17">
        <f>IF(AND(36&gt;=ConStart,36&lt;=ConPayoffMonth),1,0)</f>
        <v/>
      </c>
      <c r="AN42" s="17">
        <f>IF(AND(37&gt;=ConStart,37&lt;=ConPayoffMonth),1,0)</f>
        <v/>
      </c>
      <c r="AO42" s="17">
        <f>IF(AND(38&gt;=ConStart,38&lt;=ConPayoffMonth),1,0)</f>
        <v/>
      </c>
      <c r="AP42" s="17">
        <f>IF(AND(39&gt;=ConStart,39&lt;=ConPayoffMonth),1,0)</f>
        <v/>
      </c>
      <c r="AQ42" s="17">
        <f>IF(AND(40&gt;=ConStart,40&lt;=ConPayoffMonth),1,0)</f>
        <v/>
      </c>
      <c r="AR42" s="17">
        <f>IF(AND(41&gt;=ConStart,41&lt;=ConPayoffMonth),1,0)</f>
        <v/>
      </c>
      <c r="AS42" s="17">
        <f>IF(AND(42&gt;=ConStart,42&lt;=ConPayoffMonth),1,0)</f>
        <v/>
      </c>
      <c r="AT42" s="17">
        <f>IF(AND(43&gt;=ConStart,43&lt;=ConPayoffMonth),1,0)</f>
        <v/>
      </c>
      <c r="AU42" s="17">
        <f>IF(AND(44&gt;=ConStart,44&lt;=ConPayoffMonth),1,0)</f>
        <v/>
      </c>
      <c r="AV42" s="17">
        <f>IF(AND(45&gt;=ConStart,45&lt;=ConPayoffMonth),1,0)</f>
        <v/>
      </c>
      <c r="AW42" s="17">
        <f>IF(AND(46&gt;=ConStart,46&lt;=ConPayoffMonth),1,0)</f>
        <v/>
      </c>
      <c r="AX42" s="17">
        <f>IF(AND(47&gt;=ConStart,47&lt;=ConPayoffMonth),1,0)</f>
        <v/>
      </c>
      <c r="AY42" s="17">
        <f>IF(AND(48&gt;=ConStart,48&lt;=ConPayoffMonth),1,0)</f>
        <v/>
      </c>
      <c r="AZ42" s="17">
        <f>IF(AND(49&gt;=ConStart,49&lt;=ConPayoffMonth),1,0)</f>
        <v/>
      </c>
      <c r="BA42" s="17">
        <f>IF(AND(50&gt;=ConStart,50&lt;=ConPayoffMonth),1,0)</f>
        <v/>
      </c>
      <c r="BB42" s="17">
        <f>IF(AND(51&gt;=ConStart,51&lt;=ConPayoffMonth),1,0)</f>
        <v/>
      </c>
      <c r="BC42" s="17">
        <f>IF(AND(52&gt;=ConStart,52&lt;=ConPayoffMonth),1,0)</f>
        <v/>
      </c>
      <c r="BD42" s="17">
        <f>IF(AND(53&gt;=ConStart,53&lt;=ConPayoffMonth),1,0)</f>
        <v/>
      </c>
      <c r="BE42" s="17">
        <f>IF(AND(54&gt;=ConStart,54&lt;=ConPayoffMonth),1,0)</f>
        <v/>
      </c>
      <c r="BF42" s="17">
        <f>IF(AND(55&gt;=ConStart,55&lt;=ConPayoffMonth),1,0)</f>
        <v/>
      </c>
      <c r="BG42" s="17">
        <f>IF(AND(56&gt;=ConStart,56&lt;=ConPayoffMonth),1,0)</f>
        <v/>
      </c>
      <c r="BH42" s="17">
        <f>IF(AND(57&gt;=ConStart,57&lt;=ConPayoffMonth),1,0)</f>
        <v/>
      </c>
      <c r="BI42" s="17">
        <f>IF(AND(58&gt;=ConStart,58&lt;=ConPayoffMonth),1,0)</f>
        <v/>
      </c>
      <c r="BJ42" s="17">
        <f>IF(AND(59&gt;=ConStart,59&lt;=ConPayoffMonth),1,0)</f>
        <v/>
      </c>
      <c r="BK42" s="17">
        <f>IF(AND(60&gt;=ConStart,60&lt;=ConPayoffMonth),1,0)</f>
        <v/>
      </c>
      <c r="BL42" s="17">
        <f>IF(AND(61&gt;=ConStart,61&lt;=ConPayoffMonth),1,0)</f>
        <v/>
      </c>
      <c r="BM42" s="17">
        <f>IF(AND(62&gt;=ConStart,62&lt;=ConPayoffMonth),1,0)</f>
        <v/>
      </c>
      <c r="BN42" s="17">
        <f>IF(AND(63&gt;=ConStart,63&lt;=ConPayoffMonth),1,0)</f>
        <v/>
      </c>
      <c r="BO42" s="17">
        <f>IF(AND(64&gt;=ConStart,64&lt;=ConPayoffMonth),1,0)</f>
        <v/>
      </c>
      <c r="BP42" s="17">
        <f>IF(AND(65&gt;=ConStart,65&lt;=ConPayoffMonth),1,0)</f>
        <v/>
      </c>
      <c r="BQ42" s="17">
        <f>IF(AND(66&gt;=ConStart,66&lt;=ConPayoffMonth),1,0)</f>
        <v/>
      </c>
      <c r="BR42" s="17">
        <f>IF(AND(67&gt;=ConStart,67&lt;=ConPayoffMonth),1,0)</f>
        <v/>
      </c>
      <c r="BS42" s="17">
        <f>IF(AND(68&gt;=ConStart,68&lt;=ConPayoffMonth),1,0)</f>
        <v/>
      </c>
      <c r="BT42" s="17">
        <f>IF(AND(69&gt;=ConStart,69&lt;=ConPayoffMonth),1,0)</f>
        <v/>
      </c>
      <c r="BU42" s="17">
        <f>IF(AND(70&gt;=ConStart,70&lt;=ConPayoffMonth),1,0)</f>
        <v/>
      </c>
      <c r="BV42" s="17">
        <f>IF(AND(71&gt;=ConStart,71&lt;=ConPayoffMonth),1,0)</f>
        <v/>
      </c>
      <c r="BW42" s="17">
        <f>IF(AND(72&gt;=ConStart,72&lt;=ConPayoffMonth),1,0)</f>
        <v/>
      </c>
      <c r="BX42" s="17">
        <f>IF(AND(73&gt;=ConStart,73&lt;=ConPayoffMonth),1,0)</f>
        <v/>
      </c>
      <c r="BY42" s="17">
        <f>IF(AND(74&gt;=ConStart,74&lt;=ConPayoffMonth),1,0)</f>
        <v/>
      </c>
      <c r="BZ42" s="17">
        <f>IF(AND(75&gt;=ConStart,75&lt;=ConPayoffMonth),1,0)</f>
        <v/>
      </c>
      <c r="CA42" s="17">
        <f>IF(AND(76&gt;=ConStart,76&lt;=ConPayoffMonth),1,0)</f>
        <v/>
      </c>
      <c r="CB42" s="17">
        <f>IF(AND(77&gt;=ConStart,77&lt;=ConPayoffMonth),1,0)</f>
        <v/>
      </c>
      <c r="CC42" s="17">
        <f>IF(AND(78&gt;=ConStart,78&lt;=ConPayoffMonth),1,0)</f>
        <v/>
      </c>
      <c r="CD42" s="17">
        <f>IF(AND(79&gt;=ConStart,79&lt;=ConPayoffMonth),1,0)</f>
        <v/>
      </c>
      <c r="CE42" s="17">
        <f>IF(AND(80&gt;=ConStart,80&lt;=ConPayoffMonth),1,0)</f>
        <v/>
      </c>
      <c r="CF42" s="17">
        <f>IF(AND(81&gt;=ConStart,81&lt;=ConPayoffMonth),1,0)</f>
        <v/>
      </c>
      <c r="CG42" s="17">
        <f>IF(AND(82&gt;=ConStart,82&lt;=ConPayoffMonth),1,0)</f>
        <v/>
      </c>
      <c r="CH42" s="17">
        <f>IF(AND(83&gt;=ConStart,83&lt;=ConPayoffMonth),1,0)</f>
        <v/>
      </c>
      <c r="CI42" s="17">
        <f>IF(AND(84&gt;=ConStart,84&lt;=ConPayoffMonth),1,0)</f>
        <v/>
      </c>
      <c r="CJ42" s="17">
        <f>IF(AND(85&gt;=ConStart,85&lt;=ConPayoffMonth),1,0)</f>
        <v/>
      </c>
      <c r="CK42" s="17">
        <f>IF(AND(86&gt;=ConStart,86&lt;=ConPayoffMonth),1,0)</f>
        <v/>
      </c>
      <c r="CL42" s="17">
        <f>IF(AND(87&gt;=ConStart,87&lt;=ConPayoffMonth),1,0)</f>
        <v/>
      </c>
      <c r="CM42" s="17">
        <f>IF(AND(88&gt;=ConStart,88&lt;=ConPayoffMonth),1,0)</f>
        <v/>
      </c>
      <c r="CN42" s="17">
        <f>IF(AND(89&gt;=ConStart,89&lt;=ConPayoffMonth),1,0)</f>
        <v/>
      </c>
      <c r="CO42" s="17">
        <f>IF(AND(90&gt;=ConStart,90&lt;=ConPayoffMonth),1,0)</f>
        <v/>
      </c>
      <c r="CP42" s="17">
        <f>IF(AND(91&gt;=ConStart,91&lt;=ConPayoffMonth),1,0)</f>
        <v/>
      </c>
      <c r="CQ42" s="17">
        <f>IF(AND(92&gt;=ConStart,92&lt;=ConPayoffMonth),1,0)</f>
        <v/>
      </c>
      <c r="CR42" s="17">
        <f>IF(AND(93&gt;=ConStart,93&lt;=ConPayoffMonth),1,0)</f>
        <v/>
      </c>
      <c r="CS42" s="17">
        <f>IF(AND(94&gt;=ConStart,94&lt;=ConPayoffMonth),1,0)</f>
        <v/>
      </c>
      <c r="CT42" s="17">
        <f>IF(AND(95&gt;=ConStart,95&lt;=ConPayoffMonth),1,0)</f>
        <v/>
      </c>
      <c r="CU42" s="17">
        <f>IF(AND(96&gt;=ConStart,96&lt;=ConPayoffMonth),1,0)</f>
        <v/>
      </c>
      <c r="CV42" s="17">
        <f>IF(AND(97&gt;=ConStart,97&lt;=ConPayoffMonth),1,0)</f>
        <v/>
      </c>
      <c r="CW42" s="17">
        <f>IF(AND(98&gt;=ConStart,98&lt;=ConPayoffMonth),1,0)</f>
        <v/>
      </c>
      <c r="CX42" s="17">
        <f>IF(AND(99&gt;=ConStart,99&lt;=ConPayoffMonth),1,0)</f>
        <v/>
      </c>
      <c r="CY42" s="17">
        <f>IF(AND(100&gt;=ConStart,100&lt;=ConPayoffMonth),1,0)</f>
        <v/>
      </c>
      <c r="CZ42" s="17">
        <f>IF(AND(101&gt;=ConStart,101&lt;=ConPayoffMonth),1,0)</f>
        <v/>
      </c>
      <c r="DA42" s="17">
        <f>IF(AND(102&gt;=ConStart,102&lt;=ConPayoffMonth),1,0)</f>
        <v/>
      </c>
      <c r="DB42" s="17">
        <f>IF(AND(103&gt;=ConStart,103&lt;=ConPayoffMonth),1,0)</f>
        <v/>
      </c>
      <c r="DC42" s="17">
        <f>IF(AND(104&gt;=ConStart,104&lt;=ConPayoffMonth),1,0)</f>
        <v/>
      </c>
      <c r="DD42" s="17">
        <f>IF(AND(105&gt;=ConStart,105&lt;=ConPayoffMonth),1,0)</f>
        <v/>
      </c>
      <c r="DE42" s="17">
        <f>IF(AND(106&gt;=ConStart,106&lt;=ConPayoffMonth),1,0)</f>
        <v/>
      </c>
      <c r="DF42" s="17">
        <f>IF(AND(107&gt;=ConStart,107&lt;=ConPayoffMonth),1,0)</f>
        <v/>
      </c>
      <c r="DG42" s="17">
        <f>IF(AND(108&gt;=ConStart,108&lt;=ConPayoffMonth),1,0)</f>
        <v/>
      </c>
      <c r="DH42" s="17">
        <f>IF(AND(109&gt;=ConStart,109&lt;=ConPayoffMonth),1,0)</f>
        <v/>
      </c>
      <c r="DI42" s="17">
        <f>IF(AND(110&gt;=ConStart,110&lt;=ConPayoffMonth),1,0)</f>
        <v/>
      </c>
      <c r="DJ42" s="17">
        <f>IF(AND(111&gt;=ConStart,111&lt;=ConPayoffMonth),1,0)</f>
        <v/>
      </c>
      <c r="DK42" s="17">
        <f>IF(AND(112&gt;=ConStart,112&lt;=ConPayoffMonth),1,0)</f>
        <v/>
      </c>
      <c r="DL42" s="17">
        <f>IF(AND(113&gt;=ConStart,113&lt;=ConPayoffMonth),1,0)</f>
        <v/>
      </c>
      <c r="DM42" s="17">
        <f>IF(AND(114&gt;=ConStart,114&lt;=ConPayoffMonth),1,0)</f>
        <v/>
      </c>
      <c r="DN42" s="17">
        <f>IF(AND(115&gt;=ConStart,115&lt;=ConPayoffMonth),1,0)</f>
        <v/>
      </c>
      <c r="DO42" s="17">
        <f>IF(AND(116&gt;=ConStart,116&lt;=ConPayoffMonth),1,0)</f>
        <v/>
      </c>
      <c r="DP42" s="17">
        <f>IF(AND(117&gt;=ConStart,117&lt;=ConPayoffMonth),1,0)</f>
        <v/>
      </c>
      <c r="DQ42" s="17">
        <f>IF(AND(118&gt;=ConStart,118&lt;=ConPayoffMonth),1,0)</f>
        <v/>
      </c>
      <c r="DR42" s="17">
        <f>IF(AND(119&gt;=ConStart,119&lt;=ConPayoffMonth),1,0)</f>
        <v/>
      </c>
      <c r="DS42" s="17">
        <f>IF(AND(120&gt;=ConStart,120&lt;=ConPayoffMonth),1,0)</f>
        <v/>
      </c>
      <c r="DT42" s="17">
        <f>IF(AND(121&gt;=ConStart,121&lt;=ConPayoffMonth),1,0)</f>
        <v/>
      </c>
      <c r="DU42" s="17">
        <f>IF(AND(122&gt;=ConStart,122&lt;=ConPayoffMonth),1,0)</f>
        <v/>
      </c>
      <c r="DV42" s="17">
        <f>IF(AND(123&gt;=ConStart,123&lt;=ConPayoffMonth),1,0)</f>
        <v/>
      </c>
      <c r="DW42" s="17">
        <f>IF(AND(124&gt;=ConStart,124&lt;=ConPayoffMonth),1,0)</f>
        <v/>
      </c>
      <c r="DX42" s="17">
        <f>IF(AND(125&gt;=ConStart,125&lt;=ConPayoffMonth),1,0)</f>
        <v/>
      </c>
      <c r="DY42" s="17">
        <f>IF(AND(126&gt;=ConStart,126&lt;=ConPayoffMonth),1,0)</f>
        <v/>
      </c>
      <c r="DZ42" s="17">
        <f>IF(AND(127&gt;=ConStart,127&lt;=ConPayoffMonth),1,0)</f>
        <v/>
      </c>
      <c r="EA42" s="17">
        <f>IF(AND(128&gt;=ConStart,128&lt;=ConPayoffMonth),1,0)</f>
        <v/>
      </c>
      <c r="EB42" s="17">
        <f>IF(AND(129&gt;=ConStart,129&lt;=ConPayoffMonth),1,0)</f>
        <v/>
      </c>
      <c r="EC42" s="17">
        <f>IF(AND(130&gt;=ConStart,130&lt;=ConPayoffMonth),1,0)</f>
        <v/>
      </c>
      <c r="ED42" s="17">
        <f>IF(AND(131&gt;=ConStart,131&lt;=ConPayoffMonth),1,0)</f>
        <v/>
      </c>
      <c r="EE42" s="17">
        <f>IF(AND(132&gt;=ConStart,132&lt;=ConPayoffMonth),1,0)</f>
        <v/>
      </c>
      <c r="EF42" s="17">
        <f>IF(AND(133&gt;=ConStart,133&lt;=ConPayoffMonth),1,0)</f>
        <v/>
      </c>
      <c r="EG42" s="17">
        <f>IF(AND(134&gt;=ConStart,134&lt;=ConPayoffMonth),1,0)</f>
        <v/>
      </c>
      <c r="EH42" s="17">
        <f>IF(AND(135&gt;=ConStart,135&lt;=ConPayoffMonth),1,0)</f>
        <v/>
      </c>
      <c r="EI42" s="17">
        <f>IF(AND(136&gt;=ConStart,136&lt;=ConPayoffMonth),1,0)</f>
        <v/>
      </c>
      <c r="EJ42" s="17">
        <f>IF(AND(137&gt;=ConStart,137&lt;=ConPayoffMonth),1,0)</f>
        <v/>
      </c>
      <c r="EK42" s="17">
        <f>IF(AND(138&gt;=ConStart,138&lt;=ConPayoffMonth),1,0)</f>
        <v/>
      </c>
      <c r="EL42" s="17">
        <f>IF(AND(139&gt;=ConStart,139&lt;=ConPayoffMonth),1,0)</f>
        <v/>
      </c>
      <c r="EM42" s="17">
        <f>IF(AND(140&gt;=ConStart,140&lt;=ConPayoffMonth),1,0)</f>
        <v/>
      </c>
      <c r="EN42" s="17">
        <f>IF(AND(141&gt;=ConStart,141&lt;=ConPayoffMonth),1,0)</f>
        <v/>
      </c>
      <c r="EO42" s="17">
        <f>IF(AND(142&gt;=ConStart,142&lt;=ConPayoffMonth),1,0)</f>
        <v/>
      </c>
      <c r="EP42" s="17">
        <f>IF(AND(143&gt;=ConStart,143&lt;=ConPayoffMonth),1,0)</f>
        <v/>
      </c>
      <c r="EQ42" s="17">
        <f>IF(AND(144&gt;=ConStart,144&lt;=ConPayoffMonth),1,0)</f>
        <v/>
      </c>
      <c r="ER42" s="17">
        <f>IF(AND(145&gt;=ConStart,145&lt;=ConPayoffMonth),1,0)</f>
        <v/>
      </c>
      <c r="ES42" s="17">
        <f>IF(AND(146&gt;=ConStart,146&lt;=ConPayoffMonth),1,0)</f>
        <v/>
      </c>
      <c r="ET42" s="17">
        <f>IF(AND(147&gt;=ConStart,147&lt;=ConPayoffMonth),1,0)</f>
        <v/>
      </c>
      <c r="EU42" s="17">
        <f>IF(AND(148&gt;=ConStart,148&lt;=ConPayoffMonth),1,0)</f>
        <v/>
      </c>
      <c r="EV42" s="17">
        <f>IF(AND(149&gt;=ConStart,149&lt;=ConPayoffMonth),1,0)</f>
        <v/>
      </c>
      <c r="EW42" s="17">
        <f>IF(AND(150&gt;=ConStart,150&lt;=ConPayoffMonth),1,0)</f>
        <v/>
      </c>
      <c r="EX42" s="17">
        <f>IF(AND(151&gt;=ConStart,151&lt;=ConPayoffMonth),1,0)</f>
        <v/>
      </c>
      <c r="EY42" s="17">
        <f>IF(AND(152&gt;=ConStart,152&lt;=ConPayoffMonth),1,0)</f>
        <v/>
      </c>
      <c r="EZ42" s="17">
        <f>IF(AND(153&gt;=ConStart,153&lt;=ConPayoffMonth),1,0)</f>
        <v/>
      </c>
      <c r="FA42" s="17">
        <f>IF(AND(154&gt;=ConStart,154&lt;=ConPayoffMonth),1,0)</f>
        <v/>
      </c>
      <c r="FB42" s="17">
        <f>IF(AND(155&gt;=ConStart,155&lt;=ConPayoffMonth),1,0)</f>
        <v/>
      </c>
      <c r="FC42" s="17">
        <f>IF(AND(156&gt;=ConStart,156&lt;=ConPayoffMonth),1,0)</f>
        <v/>
      </c>
      <c r="FD42" s="17">
        <f>IF(AND(157&gt;=ConStart,157&lt;=ConPayoffMonth),1,0)</f>
        <v/>
      </c>
      <c r="FE42" s="17">
        <f>IF(AND(158&gt;=ConStart,158&lt;=ConPayoffMonth),1,0)</f>
        <v/>
      </c>
      <c r="FF42" s="17">
        <f>IF(AND(159&gt;=ConStart,159&lt;=ConPayoffMonth),1,0)</f>
        <v/>
      </c>
      <c r="FG42" s="17">
        <f>IF(AND(160&gt;=ConStart,160&lt;=ConPayoffMonth),1,0)</f>
        <v/>
      </c>
      <c r="FH42" s="17">
        <f>IF(AND(161&gt;=ConStart,161&lt;=ConPayoffMonth),1,0)</f>
        <v/>
      </c>
      <c r="FI42" s="17">
        <f>IF(AND(162&gt;=ConStart,162&lt;=ConPayoffMonth),1,0)</f>
        <v/>
      </c>
      <c r="FJ42" s="17">
        <f>IF(AND(163&gt;=ConStart,163&lt;=ConPayoffMonth),1,0)</f>
        <v/>
      </c>
      <c r="FK42" s="17">
        <f>IF(AND(164&gt;=ConStart,164&lt;=ConPayoffMonth),1,0)</f>
        <v/>
      </c>
      <c r="FL42" s="17">
        <f>IF(AND(165&gt;=ConStart,165&lt;=ConPayoffMonth),1,0)</f>
        <v/>
      </c>
      <c r="FM42" s="17">
        <f>IF(AND(166&gt;=ConStart,166&lt;=ConPayoffMonth),1,0)</f>
        <v/>
      </c>
      <c r="FN42" s="17">
        <f>IF(AND(167&gt;=ConStart,167&lt;=ConPayoffMonth),1,0)</f>
        <v/>
      </c>
      <c r="FO42" s="17">
        <f>IF(AND(168&gt;=ConStart,168&lt;=ConPayoffMonth),1,0)</f>
        <v/>
      </c>
      <c r="FP42" s="17">
        <f>IF(AND(169&gt;=ConStart,169&lt;=ConPayoffMonth),1,0)</f>
        <v/>
      </c>
      <c r="FQ42" s="17">
        <f>IF(AND(170&gt;=ConStart,170&lt;=ConPayoffMonth),1,0)</f>
        <v/>
      </c>
      <c r="FR42" s="17">
        <f>IF(AND(171&gt;=ConStart,171&lt;=ConPayoffMonth),1,0)</f>
        <v/>
      </c>
      <c r="FS42" s="17">
        <f>IF(AND(172&gt;=ConStart,172&lt;=ConPayoffMonth),1,0)</f>
        <v/>
      </c>
      <c r="FT42" s="17">
        <f>IF(AND(173&gt;=ConStart,173&lt;=ConPayoffMonth),1,0)</f>
        <v/>
      </c>
      <c r="FU42" s="17">
        <f>IF(AND(174&gt;=ConStart,174&lt;=ConPayoffMonth),1,0)</f>
        <v/>
      </c>
      <c r="FV42" s="17">
        <f>IF(AND(175&gt;=ConStart,175&lt;=ConPayoffMonth),1,0)</f>
        <v/>
      </c>
      <c r="FW42" s="17">
        <f>IF(AND(176&gt;=ConStart,176&lt;=ConPayoffMonth),1,0)</f>
        <v/>
      </c>
      <c r="FX42" s="17">
        <f>IF(AND(177&gt;=ConStart,177&lt;=ConPayoffMonth),1,0)</f>
        <v/>
      </c>
      <c r="FY42" s="17">
        <f>IF(AND(178&gt;=ConStart,178&lt;=ConPayoffMonth),1,0)</f>
        <v/>
      </c>
      <c r="FZ42" s="17">
        <f>IF(AND(179&gt;=ConStart,179&lt;=ConPayoffMonth),1,0)</f>
        <v/>
      </c>
      <c r="GA42" s="17">
        <f>IF(AND(180&gt;=ConStart,180&lt;=ConPayoffMonth),1,0)</f>
        <v/>
      </c>
      <c r="GB42" s="17">
        <f>IF(AND(181&gt;=ConStart,181&lt;=ConPayoffMonth),1,0)</f>
        <v/>
      </c>
      <c r="GC42" s="17">
        <f>IF(AND(182&gt;=ConStart,182&lt;=ConPayoffMonth),1,0)</f>
        <v/>
      </c>
      <c r="GD42" s="17">
        <f>IF(AND(183&gt;=ConStart,183&lt;=ConPayoffMonth),1,0)</f>
        <v/>
      </c>
      <c r="GE42" s="17">
        <f>IF(AND(184&gt;=ConStart,184&lt;=ConPayoffMonth),1,0)</f>
        <v/>
      </c>
      <c r="GF42" s="17">
        <f>IF(AND(185&gt;=ConStart,185&lt;=ConPayoffMonth),1,0)</f>
        <v/>
      </c>
      <c r="GG42" s="17">
        <f>IF(AND(186&gt;=ConStart,186&lt;=ConPayoffMonth),1,0)</f>
        <v/>
      </c>
      <c r="GH42" s="17">
        <f>IF(AND(187&gt;=ConStart,187&lt;=ConPayoffMonth),1,0)</f>
        <v/>
      </c>
      <c r="GI42" s="17">
        <f>IF(AND(188&gt;=ConStart,188&lt;=ConPayoffMonth),1,0)</f>
        <v/>
      </c>
      <c r="GJ42" s="17">
        <f>IF(AND(189&gt;=ConStart,189&lt;=ConPayoffMonth),1,0)</f>
        <v/>
      </c>
      <c r="GK42" s="17">
        <f>IF(AND(190&gt;=ConStart,190&lt;=ConPayoffMonth),1,0)</f>
        <v/>
      </c>
      <c r="GL42" s="17">
        <f>IF(AND(191&gt;=ConStart,191&lt;=ConPayoffMonth),1,0)</f>
        <v/>
      </c>
      <c r="GM42" s="17">
        <f>IF(AND(192&gt;=ConStart,192&lt;=ConPayoffMonth),1,0)</f>
        <v/>
      </c>
      <c r="GN42" s="17">
        <f>IF(AND(193&gt;=ConStart,193&lt;=ConPayoffMonth),1,0)</f>
        <v/>
      </c>
      <c r="GO42" s="17">
        <f>IF(AND(194&gt;=ConStart,194&lt;=ConPayoffMonth),1,0)</f>
        <v/>
      </c>
      <c r="GP42" s="17">
        <f>IF(AND(195&gt;=ConStart,195&lt;=ConPayoffMonth),1,0)</f>
        <v/>
      </c>
      <c r="GQ42" s="17">
        <f>IF(AND(196&gt;=ConStart,196&lt;=ConPayoffMonth),1,0)</f>
        <v/>
      </c>
      <c r="GR42" s="17">
        <f>IF(AND(197&gt;=ConStart,197&lt;=ConPayoffMonth),1,0)</f>
        <v/>
      </c>
      <c r="GS42" s="17">
        <f>IF(AND(198&gt;=ConStart,198&lt;=ConPayoffMonth),1,0)</f>
        <v/>
      </c>
      <c r="GT42" s="17">
        <f>IF(AND(199&gt;=ConStart,199&lt;=ConPayoffMonth),1,0)</f>
        <v/>
      </c>
      <c r="GU42" s="17">
        <f>IF(AND(200&gt;=ConStart,200&lt;=ConPayoffMonth),1,0)</f>
        <v/>
      </c>
      <c r="GV42" s="17">
        <f>IF(AND(201&gt;=ConStart,201&lt;=ConPayoffMonth),1,0)</f>
        <v/>
      </c>
      <c r="GW42" s="17">
        <f>IF(AND(202&gt;=ConStart,202&lt;=ConPayoffMonth),1,0)</f>
        <v/>
      </c>
      <c r="GX42" s="17">
        <f>IF(AND(203&gt;=ConStart,203&lt;=ConPayoffMonth),1,0)</f>
        <v/>
      </c>
      <c r="GY42" s="17">
        <f>IF(AND(204&gt;=ConStart,204&lt;=ConPayoffMonth),1,0)</f>
        <v/>
      </c>
      <c r="GZ42" s="17">
        <f>IF(AND(205&gt;=ConStart,205&lt;=ConPayoffMonth),1,0)</f>
        <v/>
      </c>
      <c r="HA42" s="17">
        <f>IF(AND(206&gt;=ConStart,206&lt;=ConPayoffMonth),1,0)</f>
        <v/>
      </c>
      <c r="HB42" s="17">
        <f>IF(AND(207&gt;=ConStart,207&lt;=ConPayoffMonth),1,0)</f>
        <v/>
      </c>
      <c r="HC42" s="17">
        <f>IF(AND(208&gt;=ConStart,208&lt;=ConPayoffMonth),1,0)</f>
        <v/>
      </c>
      <c r="HD42" s="17">
        <f>IF(AND(209&gt;=ConStart,209&lt;=ConPayoffMonth),1,0)</f>
        <v/>
      </c>
      <c r="HE42" s="17">
        <f>IF(AND(210&gt;=ConStart,210&lt;=ConPayoffMonth),1,0)</f>
        <v/>
      </c>
      <c r="HF42" s="17">
        <f>IF(AND(211&gt;=ConStart,211&lt;=ConPayoffMonth),1,0)</f>
        <v/>
      </c>
      <c r="HG42" s="17">
        <f>IF(AND(212&gt;=ConStart,212&lt;=ConPayoffMonth),1,0)</f>
        <v/>
      </c>
      <c r="HH42" s="17">
        <f>IF(AND(213&gt;=ConStart,213&lt;=ConPayoffMonth),1,0)</f>
        <v/>
      </c>
      <c r="HI42" s="17">
        <f>IF(AND(214&gt;=ConStart,214&lt;=ConPayoffMonth),1,0)</f>
        <v/>
      </c>
      <c r="HJ42" s="17">
        <f>IF(AND(215&gt;=ConStart,215&lt;=ConPayoffMonth),1,0)</f>
        <v/>
      </c>
      <c r="HK42" s="17">
        <f>IF(AND(216&gt;=ConStart,216&lt;=ConPayoffMonth),1,0)</f>
        <v/>
      </c>
      <c r="HL42" s="17">
        <f>IF(AND(217&gt;=ConStart,217&lt;=ConPayoffMonth),1,0)</f>
        <v/>
      </c>
      <c r="HM42" s="17">
        <f>IF(AND(218&gt;=ConStart,218&lt;=ConPayoffMonth),1,0)</f>
        <v/>
      </c>
      <c r="HN42" s="17">
        <f>IF(AND(219&gt;=ConStart,219&lt;=ConPayoffMonth),1,0)</f>
        <v/>
      </c>
      <c r="HO42" s="17">
        <f>IF(AND(220&gt;=ConStart,220&lt;=ConPayoffMonth),1,0)</f>
        <v/>
      </c>
      <c r="HP42" s="17">
        <f>IF(AND(221&gt;=ConStart,221&lt;=ConPayoffMonth),1,0)</f>
        <v/>
      </c>
      <c r="HQ42" s="17">
        <f>IF(AND(222&gt;=ConStart,222&lt;=ConPayoffMonth),1,0)</f>
        <v/>
      </c>
      <c r="HR42" s="17">
        <f>IF(AND(223&gt;=ConStart,223&lt;=ConPayoffMonth),1,0)</f>
        <v/>
      </c>
      <c r="HS42" s="17">
        <f>IF(AND(224&gt;=ConStart,224&lt;=ConPayoffMonth),1,0)</f>
        <v/>
      </c>
      <c r="HT42" s="17">
        <f>IF(AND(225&gt;=ConStart,225&lt;=ConPayoffMonth),1,0)</f>
        <v/>
      </c>
      <c r="HU42" s="17">
        <f>IF(AND(226&gt;=ConStart,226&lt;=ConPayoffMonth),1,0)</f>
        <v/>
      </c>
      <c r="HV42" s="17">
        <f>IF(AND(227&gt;=ConStart,227&lt;=ConPayoffMonth),1,0)</f>
        <v/>
      </c>
      <c r="HW42" s="17">
        <f>IF(AND(228&gt;=ConStart,228&lt;=ConPayoffMonth),1,0)</f>
        <v/>
      </c>
      <c r="HX42" s="17">
        <f>IF(AND(229&gt;=ConStart,229&lt;=ConPayoffMonth),1,0)</f>
        <v/>
      </c>
      <c r="HY42" s="17">
        <f>IF(AND(230&gt;=ConStart,230&lt;=ConPayoffMonth),1,0)</f>
        <v/>
      </c>
      <c r="HZ42" s="17">
        <f>IF(AND(231&gt;=ConStart,231&lt;=ConPayoffMonth),1,0)</f>
        <v/>
      </c>
      <c r="IA42" s="17">
        <f>IF(AND(232&gt;=ConStart,232&lt;=ConPayoffMonth),1,0)</f>
        <v/>
      </c>
      <c r="IB42" s="17">
        <f>IF(AND(233&gt;=ConStart,233&lt;=ConPayoffMonth),1,0)</f>
        <v/>
      </c>
      <c r="IC42" s="17">
        <f>IF(AND(234&gt;=ConStart,234&lt;=ConPayoffMonth),1,0)</f>
        <v/>
      </c>
      <c r="ID42" s="17">
        <f>IF(AND(235&gt;=ConStart,235&lt;=ConPayoffMonth),1,0)</f>
        <v/>
      </c>
      <c r="IE42" s="17">
        <f>IF(AND(236&gt;=ConStart,236&lt;=ConPayoffMonth),1,0)</f>
        <v/>
      </c>
      <c r="IF42" s="17">
        <f>IF(AND(237&gt;=ConStart,237&lt;=ConPayoffMonth),1,0)</f>
        <v/>
      </c>
      <c r="IG42" s="17">
        <f>IF(AND(238&gt;=ConStart,238&lt;=ConPayoffMonth),1,0)</f>
        <v/>
      </c>
      <c r="IH42" s="17">
        <f>IF(AND(239&gt;=ConStart,239&lt;=ConPayoffMonth),1,0)</f>
        <v/>
      </c>
      <c r="II42" s="17">
        <f>IF(AND(240&gt;=ConStart,240&lt;=ConPayoffMonth),1,0)</f>
        <v/>
      </c>
      <c r="IJ42" s="17">
        <f>IF(AND(241&gt;=ConStart,241&lt;=ConPayoffMonth),1,0)</f>
        <v/>
      </c>
      <c r="IK42" s="17">
        <f>IF(AND(242&gt;=ConStart,242&lt;=ConPayoffMonth),1,0)</f>
        <v/>
      </c>
      <c r="IL42" s="17">
        <f>IF(AND(243&gt;=ConStart,243&lt;=ConPayoffMonth),1,0)</f>
        <v/>
      </c>
      <c r="IM42" s="17">
        <f>IF(AND(244&gt;=ConStart,244&lt;=ConPayoffMonth),1,0)</f>
        <v/>
      </c>
      <c r="IN42" s="17">
        <f>IF(AND(245&gt;=ConStart,245&lt;=ConPayoffMonth),1,0)</f>
        <v/>
      </c>
      <c r="IO42" s="17">
        <f>IF(AND(246&gt;=ConStart,246&lt;=ConPayoffMonth),1,0)</f>
        <v/>
      </c>
      <c r="IP42" s="17">
        <f>IF(AND(247&gt;=ConStart,247&lt;=ConPayoffMonth),1,0)</f>
        <v/>
      </c>
      <c r="IQ42" s="17">
        <f>IF(AND(248&gt;=ConStart,248&lt;=ConPayoffMonth),1,0)</f>
        <v/>
      </c>
      <c r="IR42" s="17">
        <f>IF(AND(249&gt;=ConStart,249&lt;=ConPayoffMonth),1,0)</f>
        <v/>
      </c>
      <c r="IS42" s="17">
        <f>IF(AND(250&gt;=ConStart,250&lt;=ConPayoffMonth),1,0)</f>
        <v/>
      </c>
      <c r="IT42" s="17">
        <f>IF(AND(251&gt;=ConStart,251&lt;=ConPayoffMonth),1,0)</f>
        <v/>
      </c>
      <c r="IU42" s="17">
        <f>IF(AND(252&gt;=ConStart,252&lt;=ConPayoffMonth),1,0)</f>
        <v/>
      </c>
      <c r="IV42" s="17">
        <f>IF(AND(253&gt;=ConStart,253&lt;=ConPayoffMonth),1,0)</f>
        <v/>
      </c>
      <c r="IW42" s="17">
        <f>IF(AND(254&gt;=ConStart,254&lt;=ConPayoffMonth),1,0)</f>
        <v/>
      </c>
      <c r="IX42" s="17">
        <f>IF(AND(255&gt;=ConStart,255&lt;=ConPayoffMonth),1,0)</f>
        <v/>
      </c>
      <c r="IY42" s="17">
        <f>IF(AND(256&gt;=ConStart,256&lt;=ConPayoffMonth),1,0)</f>
        <v/>
      </c>
      <c r="IZ42" s="17">
        <f>IF(AND(257&gt;=ConStart,257&lt;=ConPayoffMonth),1,0)</f>
        <v/>
      </c>
      <c r="JA42" s="17">
        <f>IF(AND(258&gt;=ConStart,258&lt;=ConPayoffMonth),1,0)</f>
        <v/>
      </c>
      <c r="JB42" s="17">
        <f>IF(AND(259&gt;=ConStart,259&lt;=ConPayoffMonth),1,0)</f>
        <v/>
      </c>
      <c r="JC42" s="17">
        <f>IF(AND(260&gt;=ConStart,260&lt;=ConPayoffMonth),1,0)</f>
        <v/>
      </c>
      <c r="JD42" s="17">
        <f>IF(AND(261&gt;=ConStart,261&lt;=ConPayoffMonth),1,0)</f>
        <v/>
      </c>
      <c r="JE42" s="17">
        <f>IF(AND(262&gt;=ConStart,262&lt;=ConPayoffMonth),1,0)</f>
        <v/>
      </c>
      <c r="JF42" s="17">
        <f>IF(AND(263&gt;=ConStart,263&lt;=ConPayoffMonth),1,0)</f>
        <v/>
      </c>
      <c r="JG42" s="17">
        <f>IF(AND(264&gt;=ConStart,264&lt;=ConPayoffMonth),1,0)</f>
        <v/>
      </c>
      <c r="JH42" s="17">
        <f>IF(AND(265&gt;=ConStart,265&lt;=ConPayoffMonth),1,0)</f>
        <v/>
      </c>
      <c r="JI42" s="17">
        <f>IF(AND(266&gt;=ConStart,266&lt;=ConPayoffMonth),1,0)</f>
        <v/>
      </c>
      <c r="JJ42" s="17">
        <f>IF(AND(267&gt;=ConStart,267&lt;=ConPayoffMonth),1,0)</f>
        <v/>
      </c>
      <c r="JK42" s="17">
        <f>IF(AND(268&gt;=ConStart,268&lt;=ConPayoffMonth),1,0)</f>
        <v/>
      </c>
      <c r="JL42" s="17">
        <f>IF(AND(269&gt;=ConStart,269&lt;=ConPayoffMonth),1,0)</f>
        <v/>
      </c>
      <c r="JM42" s="17">
        <f>IF(AND(270&gt;=ConStart,270&lt;=ConPayoffMonth),1,0)</f>
        <v/>
      </c>
      <c r="JN42" s="17">
        <f>IF(AND(271&gt;=ConStart,271&lt;=ConPayoffMonth),1,0)</f>
        <v/>
      </c>
      <c r="JO42" s="17">
        <f>IF(AND(272&gt;=ConStart,272&lt;=ConPayoffMonth),1,0)</f>
        <v/>
      </c>
      <c r="JP42" s="17">
        <f>IF(AND(273&gt;=ConStart,273&lt;=ConPayoffMonth),1,0)</f>
        <v/>
      </c>
      <c r="JQ42" s="17">
        <f>IF(AND(274&gt;=ConStart,274&lt;=ConPayoffMonth),1,0)</f>
        <v/>
      </c>
      <c r="JR42" s="17">
        <f>IF(AND(275&gt;=ConStart,275&lt;=ConPayoffMonth),1,0)</f>
        <v/>
      </c>
      <c r="JS42" s="17">
        <f>IF(AND(276&gt;=ConStart,276&lt;=ConPayoffMonth),1,0)</f>
        <v/>
      </c>
      <c r="JT42" s="17">
        <f>IF(AND(277&gt;=ConStart,277&lt;=ConPayoffMonth),1,0)</f>
        <v/>
      </c>
      <c r="JU42" s="17">
        <f>IF(AND(278&gt;=ConStart,278&lt;=ConPayoffMonth),1,0)</f>
        <v/>
      </c>
      <c r="JV42" s="17">
        <f>IF(AND(279&gt;=ConStart,279&lt;=ConPayoffMonth),1,0)</f>
        <v/>
      </c>
      <c r="JW42" s="17">
        <f>IF(AND(280&gt;=ConStart,280&lt;=ConPayoffMonth),1,0)</f>
        <v/>
      </c>
      <c r="JX42" s="17">
        <f>IF(AND(281&gt;=ConStart,281&lt;=ConPayoffMonth),1,0)</f>
        <v/>
      </c>
      <c r="JY42" s="17">
        <f>IF(AND(282&gt;=ConStart,282&lt;=ConPayoffMonth),1,0)</f>
        <v/>
      </c>
      <c r="JZ42" s="17">
        <f>IF(AND(283&gt;=ConStart,283&lt;=ConPayoffMonth),1,0)</f>
        <v/>
      </c>
      <c r="KA42" s="17">
        <f>IF(AND(284&gt;=ConStart,284&lt;=ConPayoffMonth),1,0)</f>
        <v/>
      </c>
      <c r="KB42" s="17">
        <f>IF(AND(285&gt;=ConStart,285&lt;=ConPayoffMonth),1,0)</f>
        <v/>
      </c>
      <c r="KC42" s="17">
        <f>IF(AND(286&gt;=ConStart,286&lt;=ConPayoffMonth),1,0)</f>
        <v/>
      </c>
      <c r="KD42" s="17">
        <f>IF(AND(287&gt;=ConStart,287&lt;=ConPayoffMonth),1,0)</f>
        <v/>
      </c>
      <c r="KE42" s="17">
        <f>IF(AND(288&gt;=ConStart,288&lt;=ConPayoffMonth),1,0)</f>
        <v/>
      </c>
      <c r="KF42" s="17">
        <f>IF(AND(289&gt;=ConStart,289&lt;=ConPayoffMonth),1,0)</f>
        <v/>
      </c>
      <c r="KG42" s="17">
        <f>IF(AND(290&gt;=ConStart,290&lt;=ConPayoffMonth),1,0)</f>
        <v/>
      </c>
      <c r="KH42" s="17">
        <f>IF(AND(291&gt;=ConStart,291&lt;=ConPayoffMonth),1,0)</f>
        <v/>
      </c>
      <c r="KI42" s="17">
        <f>IF(AND(292&gt;=ConStart,292&lt;=ConPayoffMonth),1,0)</f>
        <v/>
      </c>
      <c r="KJ42" s="17">
        <f>IF(AND(293&gt;=ConStart,293&lt;=ConPayoffMonth),1,0)</f>
        <v/>
      </c>
      <c r="KK42" s="17">
        <f>IF(AND(294&gt;=ConStart,294&lt;=ConPayoffMonth),1,0)</f>
        <v/>
      </c>
      <c r="KL42" s="17">
        <f>IF(AND(295&gt;=ConStart,295&lt;=ConPayoffMonth),1,0)</f>
        <v/>
      </c>
      <c r="KM42" s="17">
        <f>IF(AND(296&gt;=ConStart,296&lt;=ConPayoffMonth),1,0)</f>
        <v/>
      </c>
      <c r="KN42" s="17">
        <f>IF(AND(297&gt;=ConStart,297&lt;=ConPayoffMonth),1,0)</f>
        <v/>
      </c>
      <c r="KO42" s="17">
        <f>IF(AND(298&gt;=ConStart,298&lt;=ConPayoffMonth),1,0)</f>
        <v/>
      </c>
      <c r="KP42" s="17">
        <f>IF(AND(299&gt;=ConStart,299&lt;=ConPayoffMonth),1,0)</f>
        <v/>
      </c>
      <c r="KQ42" s="17">
        <f>IF(AND(300&gt;=ConStart,300&lt;=ConPayoffMonth),1,0)</f>
        <v/>
      </c>
      <c r="KR42" s="17">
        <f>IF(AND(301&gt;=ConStart,301&lt;=ConPayoffMonth),1,0)</f>
        <v/>
      </c>
      <c r="KS42" s="17">
        <f>IF(AND(302&gt;=ConStart,302&lt;=ConPayoffMonth),1,0)</f>
        <v/>
      </c>
      <c r="KT42" s="17">
        <f>IF(AND(303&gt;=ConStart,303&lt;=ConPayoffMonth),1,0)</f>
        <v/>
      </c>
      <c r="KU42" s="17">
        <f>IF(AND(304&gt;=ConStart,304&lt;=ConPayoffMonth),1,0)</f>
        <v/>
      </c>
      <c r="KV42" s="17">
        <f>IF(AND(305&gt;=ConStart,305&lt;=ConPayoffMonth),1,0)</f>
        <v/>
      </c>
      <c r="KW42" s="17">
        <f>IF(AND(306&gt;=ConStart,306&lt;=ConPayoffMonth),1,0)</f>
        <v/>
      </c>
      <c r="KX42" s="17">
        <f>IF(AND(307&gt;=ConStart,307&lt;=ConPayoffMonth),1,0)</f>
        <v/>
      </c>
      <c r="KY42" s="17">
        <f>IF(AND(308&gt;=ConStart,308&lt;=ConPayoffMonth),1,0)</f>
        <v/>
      </c>
      <c r="KZ42" s="17">
        <f>IF(AND(309&gt;=ConStart,309&lt;=ConPayoffMonth),1,0)</f>
        <v/>
      </c>
      <c r="LA42" s="17">
        <f>IF(AND(310&gt;=ConStart,310&lt;=ConPayoffMonth),1,0)</f>
        <v/>
      </c>
      <c r="LB42" s="17">
        <f>IF(AND(311&gt;=ConStart,311&lt;=ConPayoffMonth),1,0)</f>
        <v/>
      </c>
      <c r="LC42" s="17">
        <f>IF(AND(312&gt;=ConStart,312&lt;=ConPayoffMonth),1,0)</f>
        <v/>
      </c>
      <c r="LD42" s="17">
        <f>IF(AND(313&gt;=ConStart,313&lt;=ConPayoffMonth),1,0)</f>
        <v/>
      </c>
      <c r="LE42" s="17">
        <f>IF(AND(314&gt;=ConStart,314&lt;=ConPayoffMonth),1,0)</f>
        <v/>
      </c>
      <c r="LF42" s="17">
        <f>IF(AND(315&gt;=ConStart,315&lt;=ConPayoffMonth),1,0)</f>
        <v/>
      </c>
      <c r="LG42" s="17">
        <f>IF(AND(316&gt;=ConStart,316&lt;=ConPayoffMonth),1,0)</f>
        <v/>
      </c>
      <c r="LH42" s="17">
        <f>IF(AND(317&gt;=ConStart,317&lt;=ConPayoffMonth),1,0)</f>
        <v/>
      </c>
      <c r="LI42" s="17">
        <f>IF(AND(318&gt;=ConStart,318&lt;=ConPayoffMonth),1,0)</f>
        <v/>
      </c>
      <c r="LJ42" s="17">
        <f>IF(AND(319&gt;=ConStart,319&lt;=ConPayoffMonth),1,0)</f>
        <v/>
      </c>
      <c r="LK42" s="17">
        <f>IF(AND(320&gt;=ConStart,320&lt;=ConPayoffMonth),1,0)</f>
        <v/>
      </c>
      <c r="LL42" s="17">
        <f>IF(AND(321&gt;=ConStart,321&lt;=ConPayoffMonth),1,0)</f>
        <v/>
      </c>
      <c r="LM42" s="17">
        <f>IF(AND(322&gt;=ConStart,322&lt;=ConPayoffMonth),1,0)</f>
        <v/>
      </c>
      <c r="LN42" s="17">
        <f>IF(AND(323&gt;=ConStart,323&lt;=ConPayoffMonth),1,0)</f>
        <v/>
      </c>
      <c r="LO42" s="17">
        <f>IF(AND(324&gt;=ConStart,324&lt;=ConPayoffMonth),1,0)</f>
        <v/>
      </c>
      <c r="LP42" s="17">
        <f>IF(AND(325&gt;=ConStart,325&lt;=ConPayoffMonth),1,0)</f>
        <v/>
      </c>
      <c r="LQ42" s="17">
        <f>IF(AND(326&gt;=ConStart,326&lt;=ConPayoffMonth),1,0)</f>
        <v/>
      </c>
      <c r="LR42" s="17">
        <f>IF(AND(327&gt;=ConStart,327&lt;=ConPayoffMonth),1,0)</f>
        <v/>
      </c>
      <c r="LS42" s="17">
        <f>IF(AND(328&gt;=ConStart,328&lt;=ConPayoffMonth),1,0)</f>
        <v/>
      </c>
      <c r="LT42" s="17">
        <f>IF(AND(329&gt;=ConStart,329&lt;=ConPayoffMonth),1,0)</f>
        <v/>
      </c>
      <c r="LU42" s="17">
        <f>IF(AND(330&gt;=ConStart,330&lt;=ConPayoffMonth),1,0)</f>
        <v/>
      </c>
      <c r="LV42" s="17">
        <f>IF(AND(331&gt;=ConStart,331&lt;=ConPayoffMonth),1,0)</f>
        <v/>
      </c>
      <c r="LW42" s="17">
        <f>IF(AND(332&gt;=ConStart,332&lt;=ConPayoffMonth),1,0)</f>
        <v/>
      </c>
      <c r="LX42" s="17">
        <f>IF(AND(333&gt;=ConStart,333&lt;=ConPayoffMonth),1,0)</f>
        <v/>
      </c>
      <c r="LY42" s="17">
        <f>IF(AND(334&gt;=ConStart,334&lt;=ConPayoffMonth),1,0)</f>
        <v/>
      </c>
      <c r="LZ42" s="17">
        <f>IF(AND(335&gt;=ConStart,335&lt;=ConPayoffMonth),1,0)</f>
        <v/>
      </c>
      <c r="MA42" s="17">
        <f>IF(AND(336&gt;=ConStart,336&lt;=ConPayoffMonth),1,0)</f>
        <v/>
      </c>
      <c r="MB42" s="17">
        <f>IF(AND(337&gt;=ConStart,337&lt;=ConPayoffMonth),1,0)</f>
        <v/>
      </c>
      <c r="MC42" s="17">
        <f>IF(AND(338&gt;=ConStart,338&lt;=ConPayoffMonth),1,0)</f>
        <v/>
      </c>
      <c r="MD42" s="17">
        <f>IF(AND(339&gt;=ConStart,339&lt;=ConPayoffMonth),1,0)</f>
        <v/>
      </c>
      <c r="ME42" s="17">
        <f>IF(AND(340&gt;=ConStart,340&lt;=ConPayoffMonth),1,0)</f>
        <v/>
      </c>
      <c r="MF42" s="17">
        <f>IF(AND(341&gt;=ConStart,341&lt;=ConPayoffMonth),1,0)</f>
        <v/>
      </c>
      <c r="MG42" s="17">
        <f>IF(AND(342&gt;=ConStart,342&lt;=ConPayoffMonth),1,0)</f>
        <v/>
      </c>
      <c r="MH42" s="17">
        <f>IF(AND(343&gt;=ConStart,343&lt;=ConPayoffMonth),1,0)</f>
        <v/>
      </c>
      <c r="MI42" s="17">
        <f>IF(AND(344&gt;=ConStart,344&lt;=ConPayoffMonth),1,0)</f>
        <v/>
      </c>
      <c r="MJ42" s="17">
        <f>IF(AND(345&gt;=ConStart,345&lt;=ConPayoffMonth),1,0)</f>
        <v/>
      </c>
      <c r="MK42" s="17">
        <f>IF(AND(346&gt;=ConStart,346&lt;=ConPayoffMonth),1,0)</f>
        <v/>
      </c>
      <c r="ML42" s="17">
        <f>IF(AND(347&gt;=ConStart,347&lt;=ConPayoffMonth),1,0)</f>
        <v/>
      </c>
      <c r="MM42" s="17">
        <f>IF(AND(348&gt;=ConStart,348&lt;=ConPayoffMonth),1,0)</f>
        <v/>
      </c>
      <c r="MN42" s="17">
        <f>IF(AND(349&gt;=ConStart,349&lt;=ConPayoffMonth),1,0)</f>
        <v/>
      </c>
      <c r="MO42" s="17">
        <f>IF(AND(350&gt;=ConStart,350&lt;=ConPayoffMonth),1,0)</f>
        <v/>
      </c>
      <c r="MP42" s="17">
        <f>IF(AND(351&gt;=ConStart,351&lt;=ConPayoffMonth),1,0)</f>
        <v/>
      </c>
      <c r="MQ42" s="17">
        <f>IF(AND(352&gt;=ConStart,352&lt;=ConPayoffMonth),1,0)</f>
        <v/>
      </c>
      <c r="MR42" s="17">
        <f>IF(AND(353&gt;=ConStart,353&lt;=ConPayoffMonth),1,0)</f>
        <v/>
      </c>
      <c r="MS42" s="17">
        <f>IF(AND(354&gt;=ConStart,354&lt;=ConPayoffMonth),1,0)</f>
        <v/>
      </c>
      <c r="MT42" s="17">
        <f>IF(AND(355&gt;=ConStart,355&lt;=ConPayoffMonth),1,0)</f>
        <v/>
      </c>
      <c r="MU42" s="17">
        <f>IF(AND(356&gt;=ConStart,356&lt;=ConPayoffMonth),1,0)</f>
        <v/>
      </c>
      <c r="MV42" s="17">
        <f>IF(AND(357&gt;=ConStart,357&lt;=ConPayoffMonth),1,0)</f>
        <v/>
      </c>
      <c r="MW42" s="17">
        <f>IF(AND(358&gt;=ConStart,358&lt;=ConPayoffMonth),1,0)</f>
        <v/>
      </c>
      <c r="MX42" s="17">
        <f>IF(AND(359&gt;=ConStart,359&lt;=ConPayoffMonth),1,0)</f>
        <v/>
      </c>
      <c r="MY42" s="17">
        <f>IF(AND(360&gt;=ConStart,360&lt;=ConPayoffMonth),1,0)</f>
        <v/>
      </c>
      <c r="MZ42" s="17">
        <f>IF(AND(361&gt;=ConStart,361&lt;=ConPayoffMonth),1,0)</f>
        <v/>
      </c>
      <c r="NA42" s="17">
        <f>IF(AND(362&gt;=ConStart,362&lt;=ConPayoffMonth),1,0)</f>
        <v/>
      </c>
      <c r="NB42" s="17">
        <f>IF(AND(363&gt;=ConStart,363&lt;=ConPayoffMonth),1,0)</f>
        <v/>
      </c>
      <c r="NC42" s="17">
        <f>IF(AND(364&gt;=ConStart,364&lt;=ConPayoffMonth),1,0)</f>
        <v/>
      </c>
      <c r="ND42" s="17">
        <f>IF(AND(365&gt;=ConStart,365&lt;=ConPayoffMonth),1,0)</f>
        <v/>
      </c>
      <c r="NE42" s="17">
        <f>IF(AND(366&gt;=ConStart,366&lt;=ConPayoffMonth),1,0)</f>
        <v/>
      </c>
      <c r="NF42" s="17">
        <f>IF(AND(367&gt;=ConStart,367&lt;=ConPayoffMonth),1,0)</f>
        <v/>
      </c>
      <c r="NG42" s="17">
        <f>IF(AND(368&gt;=ConStart,368&lt;=ConPayoffMonth),1,0)</f>
        <v/>
      </c>
      <c r="NH42" s="17">
        <f>IF(AND(369&gt;=ConStart,369&lt;=ConPayoffMonth),1,0)</f>
        <v/>
      </c>
      <c r="NI42" s="17">
        <f>IF(AND(370&gt;=ConStart,370&lt;=ConPayoffMonth),1,0)</f>
        <v/>
      </c>
      <c r="NJ42" s="17">
        <f>IF(AND(371&gt;=ConStart,371&lt;=ConPayoffMonth),1,0)</f>
        <v/>
      </c>
      <c r="NK42" s="17">
        <f>IF(AND(372&gt;=ConStart,372&lt;=ConPayoffMonth),1,0)</f>
        <v/>
      </c>
    </row>
    <row r="43">
      <c r="A43" s="5" t="inlineStr">
        <is>
          <t>Flag: Perm Loan Active</t>
        </is>
      </c>
      <c r="C43" s="40" t="n"/>
      <c r="D43" s="17">
        <f>IF(AND(RefiFlag=1,1&gt;RefiMonth,1&lt;=DispoMonth),1,0)</f>
        <v/>
      </c>
      <c r="E43" s="17">
        <f>IF(AND(RefiFlag=1,2&gt;RefiMonth,2&lt;=DispoMonth),1,0)</f>
        <v/>
      </c>
      <c r="F43" s="17">
        <f>IF(AND(RefiFlag=1,3&gt;RefiMonth,3&lt;=DispoMonth),1,0)</f>
        <v/>
      </c>
      <c r="G43" s="17">
        <f>IF(AND(RefiFlag=1,4&gt;RefiMonth,4&lt;=DispoMonth),1,0)</f>
        <v/>
      </c>
      <c r="H43" s="17">
        <f>IF(AND(RefiFlag=1,5&gt;RefiMonth,5&lt;=DispoMonth),1,0)</f>
        <v/>
      </c>
      <c r="I43" s="17">
        <f>IF(AND(RefiFlag=1,6&gt;RefiMonth,6&lt;=DispoMonth),1,0)</f>
        <v/>
      </c>
      <c r="J43" s="17">
        <f>IF(AND(RefiFlag=1,7&gt;RefiMonth,7&lt;=DispoMonth),1,0)</f>
        <v/>
      </c>
      <c r="K43" s="17">
        <f>IF(AND(RefiFlag=1,8&gt;RefiMonth,8&lt;=DispoMonth),1,0)</f>
        <v/>
      </c>
      <c r="L43" s="17">
        <f>IF(AND(RefiFlag=1,9&gt;RefiMonth,9&lt;=DispoMonth),1,0)</f>
        <v/>
      </c>
      <c r="M43" s="17">
        <f>IF(AND(RefiFlag=1,10&gt;RefiMonth,10&lt;=DispoMonth),1,0)</f>
        <v/>
      </c>
      <c r="N43" s="17">
        <f>IF(AND(RefiFlag=1,11&gt;RefiMonth,11&lt;=DispoMonth),1,0)</f>
        <v/>
      </c>
      <c r="O43" s="17">
        <f>IF(AND(RefiFlag=1,12&gt;RefiMonth,12&lt;=DispoMonth),1,0)</f>
        <v/>
      </c>
      <c r="P43" s="17">
        <f>IF(AND(RefiFlag=1,13&gt;RefiMonth,13&lt;=DispoMonth),1,0)</f>
        <v/>
      </c>
      <c r="Q43" s="17">
        <f>IF(AND(RefiFlag=1,14&gt;RefiMonth,14&lt;=DispoMonth),1,0)</f>
        <v/>
      </c>
      <c r="R43" s="17">
        <f>IF(AND(RefiFlag=1,15&gt;RefiMonth,15&lt;=DispoMonth),1,0)</f>
        <v/>
      </c>
      <c r="S43" s="17">
        <f>IF(AND(RefiFlag=1,16&gt;RefiMonth,16&lt;=DispoMonth),1,0)</f>
        <v/>
      </c>
      <c r="T43" s="17">
        <f>IF(AND(RefiFlag=1,17&gt;RefiMonth,17&lt;=DispoMonth),1,0)</f>
        <v/>
      </c>
      <c r="U43" s="17">
        <f>IF(AND(RefiFlag=1,18&gt;RefiMonth,18&lt;=DispoMonth),1,0)</f>
        <v/>
      </c>
      <c r="V43" s="17">
        <f>IF(AND(RefiFlag=1,19&gt;RefiMonth,19&lt;=DispoMonth),1,0)</f>
        <v/>
      </c>
      <c r="W43" s="17">
        <f>IF(AND(RefiFlag=1,20&gt;RefiMonth,20&lt;=DispoMonth),1,0)</f>
        <v/>
      </c>
      <c r="X43" s="17">
        <f>IF(AND(RefiFlag=1,21&gt;RefiMonth,21&lt;=DispoMonth),1,0)</f>
        <v/>
      </c>
      <c r="Y43" s="17">
        <f>IF(AND(RefiFlag=1,22&gt;RefiMonth,22&lt;=DispoMonth),1,0)</f>
        <v/>
      </c>
      <c r="Z43" s="17">
        <f>IF(AND(RefiFlag=1,23&gt;RefiMonth,23&lt;=DispoMonth),1,0)</f>
        <v/>
      </c>
      <c r="AA43" s="17">
        <f>IF(AND(RefiFlag=1,24&gt;RefiMonth,24&lt;=DispoMonth),1,0)</f>
        <v/>
      </c>
      <c r="AB43" s="17">
        <f>IF(AND(RefiFlag=1,25&gt;RefiMonth,25&lt;=DispoMonth),1,0)</f>
        <v/>
      </c>
      <c r="AC43" s="17">
        <f>IF(AND(RefiFlag=1,26&gt;RefiMonth,26&lt;=DispoMonth),1,0)</f>
        <v/>
      </c>
      <c r="AD43" s="17">
        <f>IF(AND(RefiFlag=1,27&gt;RefiMonth,27&lt;=DispoMonth),1,0)</f>
        <v/>
      </c>
      <c r="AE43" s="17">
        <f>IF(AND(RefiFlag=1,28&gt;RefiMonth,28&lt;=DispoMonth),1,0)</f>
        <v/>
      </c>
      <c r="AF43" s="17">
        <f>IF(AND(RefiFlag=1,29&gt;RefiMonth,29&lt;=DispoMonth),1,0)</f>
        <v/>
      </c>
      <c r="AG43" s="17">
        <f>IF(AND(RefiFlag=1,30&gt;RefiMonth,30&lt;=DispoMonth),1,0)</f>
        <v/>
      </c>
      <c r="AH43" s="17">
        <f>IF(AND(RefiFlag=1,31&gt;RefiMonth,31&lt;=DispoMonth),1,0)</f>
        <v/>
      </c>
      <c r="AI43" s="17">
        <f>IF(AND(RefiFlag=1,32&gt;RefiMonth,32&lt;=DispoMonth),1,0)</f>
        <v/>
      </c>
      <c r="AJ43" s="17">
        <f>IF(AND(RefiFlag=1,33&gt;RefiMonth,33&lt;=DispoMonth),1,0)</f>
        <v/>
      </c>
      <c r="AK43" s="17">
        <f>IF(AND(RefiFlag=1,34&gt;RefiMonth,34&lt;=DispoMonth),1,0)</f>
        <v/>
      </c>
      <c r="AL43" s="17">
        <f>IF(AND(RefiFlag=1,35&gt;RefiMonth,35&lt;=DispoMonth),1,0)</f>
        <v/>
      </c>
      <c r="AM43" s="17">
        <f>IF(AND(RefiFlag=1,36&gt;RefiMonth,36&lt;=DispoMonth),1,0)</f>
        <v/>
      </c>
      <c r="AN43" s="17">
        <f>IF(AND(RefiFlag=1,37&gt;RefiMonth,37&lt;=DispoMonth),1,0)</f>
        <v/>
      </c>
      <c r="AO43" s="17">
        <f>IF(AND(RefiFlag=1,38&gt;RefiMonth,38&lt;=DispoMonth),1,0)</f>
        <v/>
      </c>
      <c r="AP43" s="17">
        <f>IF(AND(RefiFlag=1,39&gt;RefiMonth,39&lt;=DispoMonth),1,0)</f>
        <v/>
      </c>
      <c r="AQ43" s="17">
        <f>IF(AND(RefiFlag=1,40&gt;RefiMonth,40&lt;=DispoMonth),1,0)</f>
        <v/>
      </c>
      <c r="AR43" s="17">
        <f>IF(AND(RefiFlag=1,41&gt;RefiMonth,41&lt;=DispoMonth),1,0)</f>
        <v/>
      </c>
      <c r="AS43" s="17">
        <f>IF(AND(RefiFlag=1,42&gt;RefiMonth,42&lt;=DispoMonth),1,0)</f>
        <v/>
      </c>
      <c r="AT43" s="17">
        <f>IF(AND(RefiFlag=1,43&gt;RefiMonth,43&lt;=DispoMonth),1,0)</f>
        <v/>
      </c>
      <c r="AU43" s="17">
        <f>IF(AND(RefiFlag=1,44&gt;RefiMonth,44&lt;=DispoMonth),1,0)</f>
        <v/>
      </c>
      <c r="AV43" s="17">
        <f>IF(AND(RefiFlag=1,45&gt;RefiMonth,45&lt;=DispoMonth),1,0)</f>
        <v/>
      </c>
      <c r="AW43" s="17">
        <f>IF(AND(RefiFlag=1,46&gt;RefiMonth,46&lt;=DispoMonth),1,0)</f>
        <v/>
      </c>
      <c r="AX43" s="17">
        <f>IF(AND(RefiFlag=1,47&gt;RefiMonth,47&lt;=DispoMonth),1,0)</f>
        <v/>
      </c>
      <c r="AY43" s="17">
        <f>IF(AND(RefiFlag=1,48&gt;RefiMonth,48&lt;=DispoMonth),1,0)</f>
        <v/>
      </c>
      <c r="AZ43" s="17">
        <f>IF(AND(RefiFlag=1,49&gt;RefiMonth,49&lt;=DispoMonth),1,0)</f>
        <v/>
      </c>
      <c r="BA43" s="17">
        <f>IF(AND(RefiFlag=1,50&gt;RefiMonth,50&lt;=DispoMonth),1,0)</f>
        <v/>
      </c>
      <c r="BB43" s="17">
        <f>IF(AND(RefiFlag=1,51&gt;RefiMonth,51&lt;=DispoMonth),1,0)</f>
        <v/>
      </c>
      <c r="BC43" s="17">
        <f>IF(AND(RefiFlag=1,52&gt;RefiMonth,52&lt;=DispoMonth),1,0)</f>
        <v/>
      </c>
      <c r="BD43" s="17">
        <f>IF(AND(RefiFlag=1,53&gt;RefiMonth,53&lt;=DispoMonth),1,0)</f>
        <v/>
      </c>
      <c r="BE43" s="17">
        <f>IF(AND(RefiFlag=1,54&gt;RefiMonth,54&lt;=DispoMonth),1,0)</f>
        <v/>
      </c>
      <c r="BF43" s="17">
        <f>IF(AND(RefiFlag=1,55&gt;RefiMonth,55&lt;=DispoMonth),1,0)</f>
        <v/>
      </c>
      <c r="BG43" s="17">
        <f>IF(AND(RefiFlag=1,56&gt;RefiMonth,56&lt;=DispoMonth),1,0)</f>
        <v/>
      </c>
      <c r="BH43" s="17">
        <f>IF(AND(RefiFlag=1,57&gt;RefiMonth,57&lt;=DispoMonth),1,0)</f>
        <v/>
      </c>
      <c r="BI43" s="17">
        <f>IF(AND(RefiFlag=1,58&gt;RefiMonth,58&lt;=DispoMonth),1,0)</f>
        <v/>
      </c>
      <c r="BJ43" s="17">
        <f>IF(AND(RefiFlag=1,59&gt;RefiMonth,59&lt;=DispoMonth),1,0)</f>
        <v/>
      </c>
      <c r="BK43" s="17">
        <f>IF(AND(RefiFlag=1,60&gt;RefiMonth,60&lt;=DispoMonth),1,0)</f>
        <v/>
      </c>
      <c r="BL43" s="17">
        <f>IF(AND(RefiFlag=1,61&gt;RefiMonth,61&lt;=DispoMonth),1,0)</f>
        <v/>
      </c>
      <c r="BM43" s="17">
        <f>IF(AND(RefiFlag=1,62&gt;RefiMonth,62&lt;=DispoMonth),1,0)</f>
        <v/>
      </c>
      <c r="BN43" s="17">
        <f>IF(AND(RefiFlag=1,63&gt;RefiMonth,63&lt;=DispoMonth),1,0)</f>
        <v/>
      </c>
      <c r="BO43" s="17">
        <f>IF(AND(RefiFlag=1,64&gt;RefiMonth,64&lt;=DispoMonth),1,0)</f>
        <v/>
      </c>
      <c r="BP43" s="17">
        <f>IF(AND(RefiFlag=1,65&gt;RefiMonth,65&lt;=DispoMonth),1,0)</f>
        <v/>
      </c>
      <c r="BQ43" s="17">
        <f>IF(AND(RefiFlag=1,66&gt;RefiMonth,66&lt;=DispoMonth),1,0)</f>
        <v/>
      </c>
      <c r="BR43" s="17">
        <f>IF(AND(RefiFlag=1,67&gt;RefiMonth,67&lt;=DispoMonth),1,0)</f>
        <v/>
      </c>
      <c r="BS43" s="17">
        <f>IF(AND(RefiFlag=1,68&gt;RefiMonth,68&lt;=DispoMonth),1,0)</f>
        <v/>
      </c>
      <c r="BT43" s="17">
        <f>IF(AND(RefiFlag=1,69&gt;RefiMonth,69&lt;=DispoMonth),1,0)</f>
        <v/>
      </c>
      <c r="BU43" s="17">
        <f>IF(AND(RefiFlag=1,70&gt;RefiMonth,70&lt;=DispoMonth),1,0)</f>
        <v/>
      </c>
      <c r="BV43" s="17">
        <f>IF(AND(RefiFlag=1,71&gt;RefiMonth,71&lt;=DispoMonth),1,0)</f>
        <v/>
      </c>
      <c r="BW43" s="17">
        <f>IF(AND(RefiFlag=1,72&gt;RefiMonth,72&lt;=DispoMonth),1,0)</f>
        <v/>
      </c>
      <c r="BX43" s="17">
        <f>IF(AND(RefiFlag=1,73&gt;RefiMonth,73&lt;=DispoMonth),1,0)</f>
        <v/>
      </c>
      <c r="BY43" s="17">
        <f>IF(AND(RefiFlag=1,74&gt;RefiMonth,74&lt;=DispoMonth),1,0)</f>
        <v/>
      </c>
      <c r="BZ43" s="17">
        <f>IF(AND(RefiFlag=1,75&gt;RefiMonth,75&lt;=DispoMonth),1,0)</f>
        <v/>
      </c>
      <c r="CA43" s="17">
        <f>IF(AND(RefiFlag=1,76&gt;RefiMonth,76&lt;=DispoMonth),1,0)</f>
        <v/>
      </c>
      <c r="CB43" s="17">
        <f>IF(AND(RefiFlag=1,77&gt;RefiMonth,77&lt;=DispoMonth),1,0)</f>
        <v/>
      </c>
      <c r="CC43" s="17">
        <f>IF(AND(RefiFlag=1,78&gt;RefiMonth,78&lt;=DispoMonth),1,0)</f>
        <v/>
      </c>
      <c r="CD43" s="17">
        <f>IF(AND(RefiFlag=1,79&gt;RefiMonth,79&lt;=DispoMonth),1,0)</f>
        <v/>
      </c>
      <c r="CE43" s="17">
        <f>IF(AND(RefiFlag=1,80&gt;RefiMonth,80&lt;=DispoMonth),1,0)</f>
        <v/>
      </c>
      <c r="CF43" s="17">
        <f>IF(AND(RefiFlag=1,81&gt;RefiMonth,81&lt;=DispoMonth),1,0)</f>
        <v/>
      </c>
      <c r="CG43" s="17">
        <f>IF(AND(RefiFlag=1,82&gt;RefiMonth,82&lt;=DispoMonth),1,0)</f>
        <v/>
      </c>
      <c r="CH43" s="17">
        <f>IF(AND(RefiFlag=1,83&gt;RefiMonth,83&lt;=DispoMonth),1,0)</f>
        <v/>
      </c>
      <c r="CI43" s="17">
        <f>IF(AND(RefiFlag=1,84&gt;RefiMonth,84&lt;=DispoMonth),1,0)</f>
        <v/>
      </c>
      <c r="CJ43" s="17">
        <f>IF(AND(RefiFlag=1,85&gt;RefiMonth,85&lt;=DispoMonth),1,0)</f>
        <v/>
      </c>
      <c r="CK43" s="17">
        <f>IF(AND(RefiFlag=1,86&gt;RefiMonth,86&lt;=DispoMonth),1,0)</f>
        <v/>
      </c>
      <c r="CL43" s="17">
        <f>IF(AND(RefiFlag=1,87&gt;RefiMonth,87&lt;=DispoMonth),1,0)</f>
        <v/>
      </c>
      <c r="CM43" s="17">
        <f>IF(AND(RefiFlag=1,88&gt;RefiMonth,88&lt;=DispoMonth),1,0)</f>
        <v/>
      </c>
      <c r="CN43" s="17">
        <f>IF(AND(RefiFlag=1,89&gt;RefiMonth,89&lt;=DispoMonth),1,0)</f>
        <v/>
      </c>
      <c r="CO43" s="17">
        <f>IF(AND(RefiFlag=1,90&gt;RefiMonth,90&lt;=DispoMonth),1,0)</f>
        <v/>
      </c>
      <c r="CP43" s="17">
        <f>IF(AND(RefiFlag=1,91&gt;RefiMonth,91&lt;=DispoMonth),1,0)</f>
        <v/>
      </c>
      <c r="CQ43" s="17">
        <f>IF(AND(RefiFlag=1,92&gt;RefiMonth,92&lt;=DispoMonth),1,0)</f>
        <v/>
      </c>
      <c r="CR43" s="17">
        <f>IF(AND(RefiFlag=1,93&gt;RefiMonth,93&lt;=DispoMonth),1,0)</f>
        <v/>
      </c>
      <c r="CS43" s="17">
        <f>IF(AND(RefiFlag=1,94&gt;RefiMonth,94&lt;=DispoMonth),1,0)</f>
        <v/>
      </c>
      <c r="CT43" s="17">
        <f>IF(AND(RefiFlag=1,95&gt;RefiMonth,95&lt;=DispoMonth),1,0)</f>
        <v/>
      </c>
      <c r="CU43" s="17">
        <f>IF(AND(RefiFlag=1,96&gt;RefiMonth,96&lt;=DispoMonth),1,0)</f>
        <v/>
      </c>
      <c r="CV43" s="17">
        <f>IF(AND(RefiFlag=1,97&gt;RefiMonth,97&lt;=DispoMonth),1,0)</f>
        <v/>
      </c>
      <c r="CW43" s="17">
        <f>IF(AND(RefiFlag=1,98&gt;RefiMonth,98&lt;=DispoMonth),1,0)</f>
        <v/>
      </c>
      <c r="CX43" s="17">
        <f>IF(AND(RefiFlag=1,99&gt;RefiMonth,99&lt;=DispoMonth),1,0)</f>
        <v/>
      </c>
      <c r="CY43" s="17">
        <f>IF(AND(RefiFlag=1,100&gt;RefiMonth,100&lt;=DispoMonth),1,0)</f>
        <v/>
      </c>
      <c r="CZ43" s="17">
        <f>IF(AND(RefiFlag=1,101&gt;RefiMonth,101&lt;=DispoMonth),1,0)</f>
        <v/>
      </c>
      <c r="DA43" s="17">
        <f>IF(AND(RefiFlag=1,102&gt;RefiMonth,102&lt;=DispoMonth),1,0)</f>
        <v/>
      </c>
      <c r="DB43" s="17">
        <f>IF(AND(RefiFlag=1,103&gt;RefiMonth,103&lt;=DispoMonth),1,0)</f>
        <v/>
      </c>
      <c r="DC43" s="17">
        <f>IF(AND(RefiFlag=1,104&gt;RefiMonth,104&lt;=DispoMonth),1,0)</f>
        <v/>
      </c>
      <c r="DD43" s="17">
        <f>IF(AND(RefiFlag=1,105&gt;RefiMonth,105&lt;=DispoMonth),1,0)</f>
        <v/>
      </c>
      <c r="DE43" s="17">
        <f>IF(AND(RefiFlag=1,106&gt;RefiMonth,106&lt;=DispoMonth),1,0)</f>
        <v/>
      </c>
      <c r="DF43" s="17">
        <f>IF(AND(RefiFlag=1,107&gt;RefiMonth,107&lt;=DispoMonth),1,0)</f>
        <v/>
      </c>
      <c r="DG43" s="17">
        <f>IF(AND(RefiFlag=1,108&gt;RefiMonth,108&lt;=DispoMonth),1,0)</f>
        <v/>
      </c>
      <c r="DH43" s="17">
        <f>IF(AND(RefiFlag=1,109&gt;RefiMonth,109&lt;=DispoMonth),1,0)</f>
        <v/>
      </c>
      <c r="DI43" s="17">
        <f>IF(AND(RefiFlag=1,110&gt;RefiMonth,110&lt;=DispoMonth),1,0)</f>
        <v/>
      </c>
      <c r="DJ43" s="17">
        <f>IF(AND(RefiFlag=1,111&gt;RefiMonth,111&lt;=DispoMonth),1,0)</f>
        <v/>
      </c>
      <c r="DK43" s="17">
        <f>IF(AND(RefiFlag=1,112&gt;RefiMonth,112&lt;=DispoMonth),1,0)</f>
        <v/>
      </c>
      <c r="DL43" s="17">
        <f>IF(AND(RefiFlag=1,113&gt;RefiMonth,113&lt;=DispoMonth),1,0)</f>
        <v/>
      </c>
      <c r="DM43" s="17">
        <f>IF(AND(RefiFlag=1,114&gt;RefiMonth,114&lt;=DispoMonth),1,0)</f>
        <v/>
      </c>
      <c r="DN43" s="17">
        <f>IF(AND(RefiFlag=1,115&gt;RefiMonth,115&lt;=DispoMonth),1,0)</f>
        <v/>
      </c>
      <c r="DO43" s="17">
        <f>IF(AND(RefiFlag=1,116&gt;RefiMonth,116&lt;=DispoMonth),1,0)</f>
        <v/>
      </c>
      <c r="DP43" s="17">
        <f>IF(AND(RefiFlag=1,117&gt;RefiMonth,117&lt;=DispoMonth),1,0)</f>
        <v/>
      </c>
      <c r="DQ43" s="17">
        <f>IF(AND(RefiFlag=1,118&gt;RefiMonth,118&lt;=DispoMonth),1,0)</f>
        <v/>
      </c>
      <c r="DR43" s="17">
        <f>IF(AND(RefiFlag=1,119&gt;RefiMonth,119&lt;=DispoMonth),1,0)</f>
        <v/>
      </c>
      <c r="DS43" s="17">
        <f>IF(AND(RefiFlag=1,120&gt;RefiMonth,120&lt;=DispoMonth),1,0)</f>
        <v/>
      </c>
      <c r="DT43" s="17">
        <f>IF(AND(RefiFlag=1,121&gt;RefiMonth,121&lt;=DispoMonth),1,0)</f>
        <v/>
      </c>
      <c r="DU43" s="17">
        <f>IF(AND(RefiFlag=1,122&gt;RefiMonth,122&lt;=DispoMonth),1,0)</f>
        <v/>
      </c>
      <c r="DV43" s="17">
        <f>IF(AND(RefiFlag=1,123&gt;RefiMonth,123&lt;=DispoMonth),1,0)</f>
        <v/>
      </c>
      <c r="DW43" s="17">
        <f>IF(AND(RefiFlag=1,124&gt;RefiMonth,124&lt;=DispoMonth),1,0)</f>
        <v/>
      </c>
      <c r="DX43" s="17">
        <f>IF(AND(RefiFlag=1,125&gt;RefiMonth,125&lt;=DispoMonth),1,0)</f>
        <v/>
      </c>
      <c r="DY43" s="17">
        <f>IF(AND(RefiFlag=1,126&gt;RefiMonth,126&lt;=DispoMonth),1,0)</f>
        <v/>
      </c>
      <c r="DZ43" s="17">
        <f>IF(AND(RefiFlag=1,127&gt;RefiMonth,127&lt;=DispoMonth),1,0)</f>
        <v/>
      </c>
      <c r="EA43" s="17">
        <f>IF(AND(RefiFlag=1,128&gt;RefiMonth,128&lt;=DispoMonth),1,0)</f>
        <v/>
      </c>
      <c r="EB43" s="17">
        <f>IF(AND(RefiFlag=1,129&gt;RefiMonth,129&lt;=DispoMonth),1,0)</f>
        <v/>
      </c>
      <c r="EC43" s="17">
        <f>IF(AND(RefiFlag=1,130&gt;RefiMonth,130&lt;=DispoMonth),1,0)</f>
        <v/>
      </c>
      <c r="ED43" s="17">
        <f>IF(AND(RefiFlag=1,131&gt;RefiMonth,131&lt;=DispoMonth),1,0)</f>
        <v/>
      </c>
      <c r="EE43" s="17">
        <f>IF(AND(RefiFlag=1,132&gt;RefiMonth,132&lt;=DispoMonth),1,0)</f>
        <v/>
      </c>
      <c r="EF43" s="17">
        <f>IF(AND(RefiFlag=1,133&gt;RefiMonth,133&lt;=DispoMonth),1,0)</f>
        <v/>
      </c>
      <c r="EG43" s="17">
        <f>IF(AND(RefiFlag=1,134&gt;RefiMonth,134&lt;=DispoMonth),1,0)</f>
        <v/>
      </c>
      <c r="EH43" s="17">
        <f>IF(AND(RefiFlag=1,135&gt;RefiMonth,135&lt;=DispoMonth),1,0)</f>
        <v/>
      </c>
      <c r="EI43" s="17">
        <f>IF(AND(RefiFlag=1,136&gt;RefiMonth,136&lt;=DispoMonth),1,0)</f>
        <v/>
      </c>
      <c r="EJ43" s="17">
        <f>IF(AND(RefiFlag=1,137&gt;RefiMonth,137&lt;=DispoMonth),1,0)</f>
        <v/>
      </c>
      <c r="EK43" s="17">
        <f>IF(AND(RefiFlag=1,138&gt;RefiMonth,138&lt;=DispoMonth),1,0)</f>
        <v/>
      </c>
      <c r="EL43" s="17">
        <f>IF(AND(RefiFlag=1,139&gt;RefiMonth,139&lt;=DispoMonth),1,0)</f>
        <v/>
      </c>
      <c r="EM43" s="17">
        <f>IF(AND(RefiFlag=1,140&gt;RefiMonth,140&lt;=DispoMonth),1,0)</f>
        <v/>
      </c>
      <c r="EN43" s="17">
        <f>IF(AND(RefiFlag=1,141&gt;RefiMonth,141&lt;=DispoMonth),1,0)</f>
        <v/>
      </c>
      <c r="EO43" s="17">
        <f>IF(AND(RefiFlag=1,142&gt;RefiMonth,142&lt;=DispoMonth),1,0)</f>
        <v/>
      </c>
      <c r="EP43" s="17">
        <f>IF(AND(RefiFlag=1,143&gt;RefiMonth,143&lt;=DispoMonth),1,0)</f>
        <v/>
      </c>
      <c r="EQ43" s="17">
        <f>IF(AND(RefiFlag=1,144&gt;RefiMonth,144&lt;=DispoMonth),1,0)</f>
        <v/>
      </c>
      <c r="ER43" s="17">
        <f>IF(AND(RefiFlag=1,145&gt;RefiMonth,145&lt;=DispoMonth),1,0)</f>
        <v/>
      </c>
      <c r="ES43" s="17">
        <f>IF(AND(RefiFlag=1,146&gt;RefiMonth,146&lt;=DispoMonth),1,0)</f>
        <v/>
      </c>
      <c r="ET43" s="17">
        <f>IF(AND(RefiFlag=1,147&gt;RefiMonth,147&lt;=DispoMonth),1,0)</f>
        <v/>
      </c>
      <c r="EU43" s="17">
        <f>IF(AND(RefiFlag=1,148&gt;RefiMonth,148&lt;=DispoMonth),1,0)</f>
        <v/>
      </c>
      <c r="EV43" s="17">
        <f>IF(AND(RefiFlag=1,149&gt;RefiMonth,149&lt;=DispoMonth),1,0)</f>
        <v/>
      </c>
      <c r="EW43" s="17">
        <f>IF(AND(RefiFlag=1,150&gt;RefiMonth,150&lt;=DispoMonth),1,0)</f>
        <v/>
      </c>
      <c r="EX43" s="17">
        <f>IF(AND(RefiFlag=1,151&gt;RefiMonth,151&lt;=DispoMonth),1,0)</f>
        <v/>
      </c>
      <c r="EY43" s="17">
        <f>IF(AND(RefiFlag=1,152&gt;RefiMonth,152&lt;=DispoMonth),1,0)</f>
        <v/>
      </c>
      <c r="EZ43" s="17">
        <f>IF(AND(RefiFlag=1,153&gt;RefiMonth,153&lt;=DispoMonth),1,0)</f>
        <v/>
      </c>
      <c r="FA43" s="17">
        <f>IF(AND(RefiFlag=1,154&gt;RefiMonth,154&lt;=DispoMonth),1,0)</f>
        <v/>
      </c>
      <c r="FB43" s="17">
        <f>IF(AND(RefiFlag=1,155&gt;RefiMonth,155&lt;=DispoMonth),1,0)</f>
        <v/>
      </c>
      <c r="FC43" s="17">
        <f>IF(AND(RefiFlag=1,156&gt;RefiMonth,156&lt;=DispoMonth),1,0)</f>
        <v/>
      </c>
      <c r="FD43" s="17">
        <f>IF(AND(RefiFlag=1,157&gt;RefiMonth,157&lt;=DispoMonth),1,0)</f>
        <v/>
      </c>
      <c r="FE43" s="17">
        <f>IF(AND(RefiFlag=1,158&gt;RefiMonth,158&lt;=DispoMonth),1,0)</f>
        <v/>
      </c>
      <c r="FF43" s="17">
        <f>IF(AND(RefiFlag=1,159&gt;RefiMonth,159&lt;=DispoMonth),1,0)</f>
        <v/>
      </c>
      <c r="FG43" s="17">
        <f>IF(AND(RefiFlag=1,160&gt;RefiMonth,160&lt;=DispoMonth),1,0)</f>
        <v/>
      </c>
      <c r="FH43" s="17">
        <f>IF(AND(RefiFlag=1,161&gt;RefiMonth,161&lt;=DispoMonth),1,0)</f>
        <v/>
      </c>
      <c r="FI43" s="17">
        <f>IF(AND(RefiFlag=1,162&gt;RefiMonth,162&lt;=DispoMonth),1,0)</f>
        <v/>
      </c>
      <c r="FJ43" s="17">
        <f>IF(AND(RefiFlag=1,163&gt;RefiMonth,163&lt;=DispoMonth),1,0)</f>
        <v/>
      </c>
      <c r="FK43" s="17">
        <f>IF(AND(RefiFlag=1,164&gt;RefiMonth,164&lt;=DispoMonth),1,0)</f>
        <v/>
      </c>
      <c r="FL43" s="17">
        <f>IF(AND(RefiFlag=1,165&gt;RefiMonth,165&lt;=DispoMonth),1,0)</f>
        <v/>
      </c>
      <c r="FM43" s="17">
        <f>IF(AND(RefiFlag=1,166&gt;RefiMonth,166&lt;=DispoMonth),1,0)</f>
        <v/>
      </c>
      <c r="FN43" s="17">
        <f>IF(AND(RefiFlag=1,167&gt;RefiMonth,167&lt;=DispoMonth),1,0)</f>
        <v/>
      </c>
      <c r="FO43" s="17">
        <f>IF(AND(RefiFlag=1,168&gt;RefiMonth,168&lt;=DispoMonth),1,0)</f>
        <v/>
      </c>
      <c r="FP43" s="17">
        <f>IF(AND(RefiFlag=1,169&gt;RefiMonth,169&lt;=DispoMonth),1,0)</f>
        <v/>
      </c>
      <c r="FQ43" s="17">
        <f>IF(AND(RefiFlag=1,170&gt;RefiMonth,170&lt;=DispoMonth),1,0)</f>
        <v/>
      </c>
      <c r="FR43" s="17">
        <f>IF(AND(RefiFlag=1,171&gt;RefiMonth,171&lt;=DispoMonth),1,0)</f>
        <v/>
      </c>
      <c r="FS43" s="17">
        <f>IF(AND(RefiFlag=1,172&gt;RefiMonth,172&lt;=DispoMonth),1,0)</f>
        <v/>
      </c>
      <c r="FT43" s="17">
        <f>IF(AND(RefiFlag=1,173&gt;RefiMonth,173&lt;=DispoMonth),1,0)</f>
        <v/>
      </c>
      <c r="FU43" s="17">
        <f>IF(AND(RefiFlag=1,174&gt;RefiMonth,174&lt;=DispoMonth),1,0)</f>
        <v/>
      </c>
      <c r="FV43" s="17">
        <f>IF(AND(RefiFlag=1,175&gt;RefiMonth,175&lt;=DispoMonth),1,0)</f>
        <v/>
      </c>
      <c r="FW43" s="17">
        <f>IF(AND(RefiFlag=1,176&gt;RefiMonth,176&lt;=DispoMonth),1,0)</f>
        <v/>
      </c>
      <c r="FX43" s="17">
        <f>IF(AND(RefiFlag=1,177&gt;RefiMonth,177&lt;=DispoMonth),1,0)</f>
        <v/>
      </c>
      <c r="FY43" s="17">
        <f>IF(AND(RefiFlag=1,178&gt;RefiMonth,178&lt;=DispoMonth),1,0)</f>
        <v/>
      </c>
      <c r="FZ43" s="17">
        <f>IF(AND(RefiFlag=1,179&gt;RefiMonth,179&lt;=DispoMonth),1,0)</f>
        <v/>
      </c>
      <c r="GA43" s="17">
        <f>IF(AND(RefiFlag=1,180&gt;RefiMonth,180&lt;=DispoMonth),1,0)</f>
        <v/>
      </c>
      <c r="GB43" s="17">
        <f>IF(AND(RefiFlag=1,181&gt;RefiMonth,181&lt;=DispoMonth),1,0)</f>
        <v/>
      </c>
      <c r="GC43" s="17">
        <f>IF(AND(RefiFlag=1,182&gt;RefiMonth,182&lt;=DispoMonth),1,0)</f>
        <v/>
      </c>
      <c r="GD43" s="17">
        <f>IF(AND(RefiFlag=1,183&gt;RefiMonth,183&lt;=DispoMonth),1,0)</f>
        <v/>
      </c>
      <c r="GE43" s="17">
        <f>IF(AND(RefiFlag=1,184&gt;RefiMonth,184&lt;=DispoMonth),1,0)</f>
        <v/>
      </c>
      <c r="GF43" s="17">
        <f>IF(AND(RefiFlag=1,185&gt;RefiMonth,185&lt;=DispoMonth),1,0)</f>
        <v/>
      </c>
      <c r="GG43" s="17">
        <f>IF(AND(RefiFlag=1,186&gt;RefiMonth,186&lt;=DispoMonth),1,0)</f>
        <v/>
      </c>
      <c r="GH43" s="17">
        <f>IF(AND(RefiFlag=1,187&gt;RefiMonth,187&lt;=DispoMonth),1,0)</f>
        <v/>
      </c>
      <c r="GI43" s="17">
        <f>IF(AND(RefiFlag=1,188&gt;RefiMonth,188&lt;=DispoMonth),1,0)</f>
        <v/>
      </c>
      <c r="GJ43" s="17">
        <f>IF(AND(RefiFlag=1,189&gt;RefiMonth,189&lt;=DispoMonth),1,0)</f>
        <v/>
      </c>
      <c r="GK43" s="17">
        <f>IF(AND(RefiFlag=1,190&gt;RefiMonth,190&lt;=DispoMonth),1,0)</f>
        <v/>
      </c>
      <c r="GL43" s="17">
        <f>IF(AND(RefiFlag=1,191&gt;RefiMonth,191&lt;=DispoMonth),1,0)</f>
        <v/>
      </c>
      <c r="GM43" s="17">
        <f>IF(AND(RefiFlag=1,192&gt;RefiMonth,192&lt;=DispoMonth),1,0)</f>
        <v/>
      </c>
      <c r="GN43" s="17">
        <f>IF(AND(RefiFlag=1,193&gt;RefiMonth,193&lt;=DispoMonth),1,0)</f>
        <v/>
      </c>
      <c r="GO43" s="17">
        <f>IF(AND(RefiFlag=1,194&gt;RefiMonth,194&lt;=DispoMonth),1,0)</f>
        <v/>
      </c>
      <c r="GP43" s="17">
        <f>IF(AND(RefiFlag=1,195&gt;RefiMonth,195&lt;=DispoMonth),1,0)</f>
        <v/>
      </c>
      <c r="GQ43" s="17">
        <f>IF(AND(RefiFlag=1,196&gt;RefiMonth,196&lt;=DispoMonth),1,0)</f>
        <v/>
      </c>
      <c r="GR43" s="17">
        <f>IF(AND(RefiFlag=1,197&gt;RefiMonth,197&lt;=DispoMonth),1,0)</f>
        <v/>
      </c>
      <c r="GS43" s="17">
        <f>IF(AND(RefiFlag=1,198&gt;RefiMonth,198&lt;=DispoMonth),1,0)</f>
        <v/>
      </c>
      <c r="GT43" s="17">
        <f>IF(AND(RefiFlag=1,199&gt;RefiMonth,199&lt;=DispoMonth),1,0)</f>
        <v/>
      </c>
      <c r="GU43" s="17">
        <f>IF(AND(RefiFlag=1,200&gt;RefiMonth,200&lt;=DispoMonth),1,0)</f>
        <v/>
      </c>
      <c r="GV43" s="17">
        <f>IF(AND(RefiFlag=1,201&gt;RefiMonth,201&lt;=DispoMonth),1,0)</f>
        <v/>
      </c>
      <c r="GW43" s="17">
        <f>IF(AND(RefiFlag=1,202&gt;RefiMonth,202&lt;=DispoMonth),1,0)</f>
        <v/>
      </c>
      <c r="GX43" s="17">
        <f>IF(AND(RefiFlag=1,203&gt;RefiMonth,203&lt;=DispoMonth),1,0)</f>
        <v/>
      </c>
      <c r="GY43" s="17">
        <f>IF(AND(RefiFlag=1,204&gt;RefiMonth,204&lt;=DispoMonth),1,0)</f>
        <v/>
      </c>
      <c r="GZ43" s="17">
        <f>IF(AND(RefiFlag=1,205&gt;RefiMonth,205&lt;=DispoMonth),1,0)</f>
        <v/>
      </c>
      <c r="HA43" s="17">
        <f>IF(AND(RefiFlag=1,206&gt;RefiMonth,206&lt;=DispoMonth),1,0)</f>
        <v/>
      </c>
      <c r="HB43" s="17">
        <f>IF(AND(RefiFlag=1,207&gt;RefiMonth,207&lt;=DispoMonth),1,0)</f>
        <v/>
      </c>
      <c r="HC43" s="17">
        <f>IF(AND(RefiFlag=1,208&gt;RefiMonth,208&lt;=DispoMonth),1,0)</f>
        <v/>
      </c>
      <c r="HD43" s="17">
        <f>IF(AND(RefiFlag=1,209&gt;RefiMonth,209&lt;=DispoMonth),1,0)</f>
        <v/>
      </c>
      <c r="HE43" s="17">
        <f>IF(AND(RefiFlag=1,210&gt;RefiMonth,210&lt;=DispoMonth),1,0)</f>
        <v/>
      </c>
      <c r="HF43" s="17">
        <f>IF(AND(RefiFlag=1,211&gt;RefiMonth,211&lt;=DispoMonth),1,0)</f>
        <v/>
      </c>
      <c r="HG43" s="17">
        <f>IF(AND(RefiFlag=1,212&gt;RefiMonth,212&lt;=DispoMonth),1,0)</f>
        <v/>
      </c>
      <c r="HH43" s="17">
        <f>IF(AND(RefiFlag=1,213&gt;RefiMonth,213&lt;=DispoMonth),1,0)</f>
        <v/>
      </c>
      <c r="HI43" s="17">
        <f>IF(AND(RefiFlag=1,214&gt;RefiMonth,214&lt;=DispoMonth),1,0)</f>
        <v/>
      </c>
      <c r="HJ43" s="17">
        <f>IF(AND(RefiFlag=1,215&gt;RefiMonth,215&lt;=DispoMonth),1,0)</f>
        <v/>
      </c>
      <c r="HK43" s="17">
        <f>IF(AND(RefiFlag=1,216&gt;RefiMonth,216&lt;=DispoMonth),1,0)</f>
        <v/>
      </c>
      <c r="HL43" s="17">
        <f>IF(AND(RefiFlag=1,217&gt;RefiMonth,217&lt;=DispoMonth),1,0)</f>
        <v/>
      </c>
      <c r="HM43" s="17">
        <f>IF(AND(RefiFlag=1,218&gt;RefiMonth,218&lt;=DispoMonth),1,0)</f>
        <v/>
      </c>
      <c r="HN43" s="17">
        <f>IF(AND(RefiFlag=1,219&gt;RefiMonth,219&lt;=DispoMonth),1,0)</f>
        <v/>
      </c>
      <c r="HO43" s="17">
        <f>IF(AND(RefiFlag=1,220&gt;RefiMonth,220&lt;=DispoMonth),1,0)</f>
        <v/>
      </c>
      <c r="HP43" s="17">
        <f>IF(AND(RefiFlag=1,221&gt;RefiMonth,221&lt;=DispoMonth),1,0)</f>
        <v/>
      </c>
      <c r="HQ43" s="17">
        <f>IF(AND(RefiFlag=1,222&gt;RefiMonth,222&lt;=DispoMonth),1,0)</f>
        <v/>
      </c>
      <c r="HR43" s="17">
        <f>IF(AND(RefiFlag=1,223&gt;RefiMonth,223&lt;=DispoMonth),1,0)</f>
        <v/>
      </c>
      <c r="HS43" s="17">
        <f>IF(AND(RefiFlag=1,224&gt;RefiMonth,224&lt;=DispoMonth),1,0)</f>
        <v/>
      </c>
      <c r="HT43" s="17">
        <f>IF(AND(RefiFlag=1,225&gt;RefiMonth,225&lt;=DispoMonth),1,0)</f>
        <v/>
      </c>
      <c r="HU43" s="17">
        <f>IF(AND(RefiFlag=1,226&gt;RefiMonth,226&lt;=DispoMonth),1,0)</f>
        <v/>
      </c>
      <c r="HV43" s="17">
        <f>IF(AND(RefiFlag=1,227&gt;RefiMonth,227&lt;=DispoMonth),1,0)</f>
        <v/>
      </c>
      <c r="HW43" s="17">
        <f>IF(AND(RefiFlag=1,228&gt;RefiMonth,228&lt;=DispoMonth),1,0)</f>
        <v/>
      </c>
      <c r="HX43" s="17">
        <f>IF(AND(RefiFlag=1,229&gt;RefiMonth,229&lt;=DispoMonth),1,0)</f>
        <v/>
      </c>
      <c r="HY43" s="17">
        <f>IF(AND(RefiFlag=1,230&gt;RefiMonth,230&lt;=DispoMonth),1,0)</f>
        <v/>
      </c>
      <c r="HZ43" s="17">
        <f>IF(AND(RefiFlag=1,231&gt;RefiMonth,231&lt;=DispoMonth),1,0)</f>
        <v/>
      </c>
      <c r="IA43" s="17">
        <f>IF(AND(RefiFlag=1,232&gt;RefiMonth,232&lt;=DispoMonth),1,0)</f>
        <v/>
      </c>
      <c r="IB43" s="17">
        <f>IF(AND(RefiFlag=1,233&gt;RefiMonth,233&lt;=DispoMonth),1,0)</f>
        <v/>
      </c>
      <c r="IC43" s="17">
        <f>IF(AND(RefiFlag=1,234&gt;RefiMonth,234&lt;=DispoMonth),1,0)</f>
        <v/>
      </c>
      <c r="ID43" s="17">
        <f>IF(AND(RefiFlag=1,235&gt;RefiMonth,235&lt;=DispoMonth),1,0)</f>
        <v/>
      </c>
      <c r="IE43" s="17">
        <f>IF(AND(RefiFlag=1,236&gt;RefiMonth,236&lt;=DispoMonth),1,0)</f>
        <v/>
      </c>
      <c r="IF43" s="17">
        <f>IF(AND(RefiFlag=1,237&gt;RefiMonth,237&lt;=DispoMonth),1,0)</f>
        <v/>
      </c>
      <c r="IG43" s="17">
        <f>IF(AND(RefiFlag=1,238&gt;RefiMonth,238&lt;=DispoMonth),1,0)</f>
        <v/>
      </c>
      <c r="IH43" s="17">
        <f>IF(AND(RefiFlag=1,239&gt;RefiMonth,239&lt;=DispoMonth),1,0)</f>
        <v/>
      </c>
      <c r="II43" s="17">
        <f>IF(AND(RefiFlag=1,240&gt;RefiMonth,240&lt;=DispoMonth),1,0)</f>
        <v/>
      </c>
      <c r="IJ43" s="17">
        <f>IF(AND(RefiFlag=1,241&gt;RefiMonth,241&lt;=DispoMonth),1,0)</f>
        <v/>
      </c>
      <c r="IK43" s="17">
        <f>IF(AND(RefiFlag=1,242&gt;RefiMonth,242&lt;=DispoMonth),1,0)</f>
        <v/>
      </c>
      <c r="IL43" s="17">
        <f>IF(AND(RefiFlag=1,243&gt;RefiMonth,243&lt;=DispoMonth),1,0)</f>
        <v/>
      </c>
      <c r="IM43" s="17">
        <f>IF(AND(RefiFlag=1,244&gt;RefiMonth,244&lt;=DispoMonth),1,0)</f>
        <v/>
      </c>
      <c r="IN43" s="17">
        <f>IF(AND(RefiFlag=1,245&gt;RefiMonth,245&lt;=DispoMonth),1,0)</f>
        <v/>
      </c>
      <c r="IO43" s="17">
        <f>IF(AND(RefiFlag=1,246&gt;RefiMonth,246&lt;=DispoMonth),1,0)</f>
        <v/>
      </c>
      <c r="IP43" s="17">
        <f>IF(AND(RefiFlag=1,247&gt;RefiMonth,247&lt;=DispoMonth),1,0)</f>
        <v/>
      </c>
      <c r="IQ43" s="17">
        <f>IF(AND(RefiFlag=1,248&gt;RefiMonth,248&lt;=DispoMonth),1,0)</f>
        <v/>
      </c>
      <c r="IR43" s="17">
        <f>IF(AND(RefiFlag=1,249&gt;RefiMonth,249&lt;=DispoMonth),1,0)</f>
        <v/>
      </c>
      <c r="IS43" s="17">
        <f>IF(AND(RefiFlag=1,250&gt;RefiMonth,250&lt;=DispoMonth),1,0)</f>
        <v/>
      </c>
      <c r="IT43" s="17">
        <f>IF(AND(RefiFlag=1,251&gt;RefiMonth,251&lt;=DispoMonth),1,0)</f>
        <v/>
      </c>
      <c r="IU43" s="17">
        <f>IF(AND(RefiFlag=1,252&gt;RefiMonth,252&lt;=DispoMonth),1,0)</f>
        <v/>
      </c>
      <c r="IV43" s="17">
        <f>IF(AND(RefiFlag=1,253&gt;RefiMonth,253&lt;=DispoMonth),1,0)</f>
        <v/>
      </c>
      <c r="IW43" s="17">
        <f>IF(AND(RefiFlag=1,254&gt;RefiMonth,254&lt;=DispoMonth),1,0)</f>
        <v/>
      </c>
      <c r="IX43" s="17">
        <f>IF(AND(RefiFlag=1,255&gt;RefiMonth,255&lt;=DispoMonth),1,0)</f>
        <v/>
      </c>
      <c r="IY43" s="17">
        <f>IF(AND(RefiFlag=1,256&gt;RefiMonth,256&lt;=DispoMonth),1,0)</f>
        <v/>
      </c>
      <c r="IZ43" s="17">
        <f>IF(AND(RefiFlag=1,257&gt;RefiMonth,257&lt;=DispoMonth),1,0)</f>
        <v/>
      </c>
      <c r="JA43" s="17">
        <f>IF(AND(RefiFlag=1,258&gt;RefiMonth,258&lt;=DispoMonth),1,0)</f>
        <v/>
      </c>
      <c r="JB43" s="17">
        <f>IF(AND(RefiFlag=1,259&gt;RefiMonth,259&lt;=DispoMonth),1,0)</f>
        <v/>
      </c>
      <c r="JC43" s="17">
        <f>IF(AND(RefiFlag=1,260&gt;RefiMonth,260&lt;=DispoMonth),1,0)</f>
        <v/>
      </c>
      <c r="JD43" s="17">
        <f>IF(AND(RefiFlag=1,261&gt;RefiMonth,261&lt;=DispoMonth),1,0)</f>
        <v/>
      </c>
      <c r="JE43" s="17">
        <f>IF(AND(RefiFlag=1,262&gt;RefiMonth,262&lt;=DispoMonth),1,0)</f>
        <v/>
      </c>
      <c r="JF43" s="17">
        <f>IF(AND(RefiFlag=1,263&gt;RefiMonth,263&lt;=DispoMonth),1,0)</f>
        <v/>
      </c>
      <c r="JG43" s="17">
        <f>IF(AND(RefiFlag=1,264&gt;RefiMonth,264&lt;=DispoMonth),1,0)</f>
        <v/>
      </c>
      <c r="JH43" s="17">
        <f>IF(AND(RefiFlag=1,265&gt;RefiMonth,265&lt;=DispoMonth),1,0)</f>
        <v/>
      </c>
      <c r="JI43" s="17">
        <f>IF(AND(RefiFlag=1,266&gt;RefiMonth,266&lt;=DispoMonth),1,0)</f>
        <v/>
      </c>
      <c r="JJ43" s="17">
        <f>IF(AND(RefiFlag=1,267&gt;RefiMonth,267&lt;=DispoMonth),1,0)</f>
        <v/>
      </c>
      <c r="JK43" s="17">
        <f>IF(AND(RefiFlag=1,268&gt;RefiMonth,268&lt;=DispoMonth),1,0)</f>
        <v/>
      </c>
      <c r="JL43" s="17">
        <f>IF(AND(RefiFlag=1,269&gt;RefiMonth,269&lt;=DispoMonth),1,0)</f>
        <v/>
      </c>
      <c r="JM43" s="17">
        <f>IF(AND(RefiFlag=1,270&gt;RefiMonth,270&lt;=DispoMonth),1,0)</f>
        <v/>
      </c>
      <c r="JN43" s="17">
        <f>IF(AND(RefiFlag=1,271&gt;RefiMonth,271&lt;=DispoMonth),1,0)</f>
        <v/>
      </c>
      <c r="JO43" s="17">
        <f>IF(AND(RefiFlag=1,272&gt;RefiMonth,272&lt;=DispoMonth),1,0)</f>
        <v/>
      </c>
      <c r="JP43" s="17">
        <f>IF(AND(RefiFlag=1,273&gt;RefiMonth,273&lt;=DispoMonth),1,0)</f>
        <v/>
      </c>
      <c r="JQ43" s="17">
        <f>IF(AND(RefiFlag=1,274&gt;RefiMonth,274&lt;=DispoMonth),1,0)</f>
        <v/>
      </c>
      <c r="JR43" s="17">
        <f>IF(AND(RefiFlag=1,275&gt;RefiMonth,275&lt;=DispoMonth),1,0)</f>
        <v/>
      </c>
      <c r="JS43" s="17">
        <f>IF(AND(RefiFlag=1,276&gt;RefiMonth,276&lt;=DispoMonth),1,0)</f>
        <v/>
      </c>
      <c r="JT43" s="17">
        <f>IF(AND(RefiFlag=1,277&gt;RefiMonth,277&lt;=DispoMonth),1,0)</f>
        <v/>
      </c>
      <c r="JU43" s="17">
        <f>IF(AND(RefiFlag=1,278&gt;RefiMonth,278&lt;=DispoMonth),1,0)</f>
        <v/>
      </c>
      <c r="JV43" s="17">
        <f>IF(AND(RefiFlag=1,279&gt;RefiMonth,279&lt;=DispoMonth),1,0)</f>
        <v/>
      </c>
      <c r="JW43" s="17">
        <f>IF(AND(RefiFlag=1,280&gt;RefiMonth,280&lt;=DispoMonth),1,0)</f>
        <v/>
      </c>
      <c r="JX43" s="17">
        <f>IF(AND(RefiFlag=1,281&gt;RefiMonth,281&lt;=DispoMonth),1,0)</f>
        <v/>
      </c>
      <c r="JY43" s="17">
        <f>IF(AND(RefiFlag=1,282&gt;RefiMonth,282&lt;=DispoMonth),1,0)</f>
        <v/>
      </c>
      <c r="JZ43" s="17">
        <f>IF(AND(RefiFlag=1,283&gt;RefiMonth,283&lt;=DispoMonth),1,0)</f>
        <v/>
      </c>
      <c r="KA43" s="17">
        <f>IF(AND(RefiFlag=1,284&gt;RefiMonth,284&lt;=DispoMonth),1,0)</f>
        <v/>
      </c>
      <c r="KB43" s="17">
        <f>IF(AND(RefiFlag=1,285&gt;RefiMonth,285&lt;=DispoMonth),1,0)</f>
        <v/>
      </c>
      <c r="KC43" s="17">
        <f>IF(AND(RefiFlag=1,286&gt;RefiMonth,286&lt;=DispoMonth),1,0)</f>
        <v/>
      </c>
      <c r="KD43" s="17">
        <f>IF(AND(RefiFlag=1,287&gt;RefiMonth,287&lt;=DispoMonth),1,0)</f>
        <v/>
      </c>
      <c r="KE43" s="17">
        <f>IF(AND(RefiFlag=1,288&gt;RefiMonth,288&lt;=DispoMonth),1,0)</f>
        <v/>
      </c>
      <c r="KF43" s="17">
        <f>IF(AND(RefiFlag=1,289&gt;RefiMonth,289&lt;=DispoMonth),1,0)</f>
        <v/>
      </c>
      <c r="KG43" s="17">
        <f>IF(AND(RefiFlag=1,290&gt;RefiMonth,290&lt;=DispoMonth),1,0)</f>
        <v/>
      </c>
      <c r="KH43" s="17">
        <f>IF(AND(RefiFlag=1,291&gt;RefiMonth,291&lt;=DispoMonth),1,0)</f>
        <v/>
      </c>
      <c r="KI43" s="17">
        <f>IF(AND(RefiFlag=1,292&gt;RefiMonth,292&lt;=DispoMonth),1,0)</f>
        <v/>
      </c>
      <c r="KJ43" s="17">
        <f>IF(AND(RefiFlag=1,293&gt;RefiMonth,293&lt;=DispoMonth),1,0)</f>
        <v/>
      </c>
      <c r="KK43" s="17">
        <f>IF(AND(RefiFlag=1,294&gt;RefiMonth,294&lt;=DispoMonth),1,0)</f>
        <v/>
      </c>
      <c r="KL43" s="17">
        <f>IF(AND(RefiFlag=1,295&gt;RefiMonth,295&lt;=DispoMonth),1,0)</f>
        <v/>
      </c>
      <c r="KM43" s="17">
        <f>IF(AND(RefiFlag=1,296&gt;RefiMonth,296&lt;=DispoMonth),1,0)</f>
        <v/>
      </c>
      <c r="KN43" s="17">
        <f>IF(AND(RefiFlag=1,297&gt;RefiMonth,297&lt;=DispoMonth),1,0)</f>
        <v/>
      </c>
      <c r="KO43" s="17">
        <f>IF(AND(RefiFlag=1,298&gt;RefiMonth,298&lt;=DispoMonth),1,0)</f>
        <v/>
      </c>
      <c r="KP43" s="17">
        <f>IF(AND(RefiFlag=1,299&gt;RefiMonth,299&lt;=DispoMonth),1,0)</f>
        <v/>
      </c>
      <c r="KQ43" s="17">
        <f>IF(AND(RefiFlag=1,300&gt;RefiMonth,300&lt;=DispoMonth),1,0)</f>
        <v/>
      </c>
      <c r="KR43" s="17">
        <f>IF(AND(RefiFlag=1,301&gt;RefiMonth,301&lt;=DispoMonth),1,0)</f>
        <v/>
      </c>
      <c r="KS43" s="17">
        <f>IF(AND(RefiFlag=1,302&gt;RefiMonth,302&lt;=DispoMonth),1,0)</f>
        <v/>
      </c>
      <c r="KT43" s="17">
        <f>IF(AND(RefiFlag=1,303&gt;RefiMonth,303&lt;=DispoMonth),1,0)</f>
        <v/>
      </c>
      <c r="KU43" s="17">
        <f>IF(AND(RefiFlag=1,304&gt;RefiMonth,304&lt;=DispoMonth),1,0)</f>
        <v/>
      </c>
      <c r="KV43" s="17">
        <f>IF(AND(RefiFlag=1,305&gt;RefiMonth,305&lt;=DispoMonth),1,0)</f>
        <v/>
      </c>
      <c r="KW43" s="17">
        <f>IF(AND(RefiFlag=1,306&gt;RefiMonth,306&lt;=DispoMonth),1,0)</f>
        <v/>
      </c>
      <c r="KX43" s="17">
        <f>IF(AND(RefiFlag=1,307&gt;RefiMonth,307&lt;=DispoMonth),1,0)</f>
        <v/>
      </c>
      <c r="KY43" s="17">
        <f>IF(AND(RefiFlag=1,308&gt;RefiMonth,308&lt;=DispoMonth),1,0)</f>
        <v/>
      </c>
      <c r="KZ43" s="17">
        <f>IF(AND(RefiFlag=1,309&gt;RefiMonth,309&lt;=DispoMonth),1,0)</f>
        <v/>
      </c>
      <c r="LA43" s="17">
        <f>IF(AND(RefiFlag=1,310&gt;RefiMonth,310&lt;=DispoMonth),1,0)</f>
        <v/>
      </c>
      <c r="LB43" s="17">
        <f>IF(AND(RefiFlag=1,311&gt;RefiMonth,311&lt;=DispoMonth),1,0)</f>
        <v/>
      </c>
      <c r="LC43" s="17">
        <f>IF(AND(RefiFlag=1,312&gt;RefiMonth,312&lt;=DispoMonth),1,0)</f>
        <v/>
      </c>
      <c r="LD43" s="17">
        <f>IF(AND(RefiFlag=1,313&gt;RefiMonth,313&lt;=DispoMonth),1,0)</f>
        <v/>
      </c>
      <c r="LE43" s="17">
        <f>IF(AND(RefiFlag=1,314&gt;RefiMonth,314&lt;=DispoMonth),1,0)</f>
        <v/>
      </c>
      <c r="LF43" s="17">
        <f>IF(AND(RefiFlag=1,315&gt;RefiMonth,315&lt;=DispoMonth),1,0)</f>
        <v/>
      </c>
      <c r="LG43" s="17">
        <f>IF(AND(RefiFlag=1,316&gt;RefiMonth,316&lt;=DispoMonth),1,0)</f>
        <v/>
      </c>
      <c r="LH43" s="17">
        <f>IF(AND(RefiFlag=1,317&gt;RefiMonth,317&lt;=DispoMonth),1,0)</f>
        <v/>
      </c>
      <c r="LI43" s="17">
        <f>IF(AND(RefiFlag=1,318&gt;RefiMonth,318&lt;=DispoMonth),1,0)</f>
        <v/>
      </c>
      <c r="LJ43" s="17">
        <f>IF(AND(RefiFlag=1,319&gt;RefiMonth,319&lt;=DispoMonth),1,0)</f>
        <v/>
      </c>
      <c r="LK43" s="17">
        <f>IF(AND(RefiFlag=1,320&gt;RefiMonth,320&lt;=DispoMonth),1,0)</f>
        <v/>
      </c>
      <c r="LL43" s="17">
        <f>IF(AND(RefiFlag=1,321&gt;RefiMonth,321&lt;=DispoMonth),1,0)</f>
        <v/>
      </c>
      <c r="LM43" s="17">
        <f>IF(AND(RefiFlag=1,322&gt;RefiMonth,322&lt;=DispoMonth),1,0)</f>
        <v/>
      </c>
      <c r="LN43" s="17">
        <f>IF(AND(RefiFlag=1,323&gt;RefiMonth,323&lt;=DispoMonth),1,0)</f>
        <v/>
      </c>
      <c r="LO43" s="17">
        <f>IF(AND(RefiFlag=1,324&gt;RefiMonth,324&lt;=DispoMonth),1,0)</f>
        <v/>
      </c>
      <c r="LP43" s="17">
        <f>IF(AND(RefiFlag=1,325&gt;RefiMonth,325&lt;=DispoMonth),1,0)</f>
        <v/>
      </c>
      <c r="LQ43" s="17">
        <f>IF(AND(RefiFlag=1,326&gt;RefiMonth,326&lt;=DispoMonth),1,0)</f>
        <v/>
      </c>
      <c r="LR43" s="17">
        <f>IF(AND(RefiFlag=1,327&gt;RefiMonth,327&lt;=DispoMonth),1,0)</f>
        <v/>
      </c>
      <c r="LS43" s="17">
        <f>IF(AND(RefiFlag=1,328&gt;RefiMonth,328&lt;=DispoMonth),1,0)</f>
        <v/>
      </c>
      <c r="LT43" s="17">
        <f>IF(AND(RefiFlag=1,329&gt;RefiMonth,329&lt;=DispoMonth),1,0)</f>
        <v/>
      </c>
      <c r="LU43" s="17">
        <f>IF(AND(RefiFlag=1,330&gt;RefiMonth,330&lt;=DispoMonth),1,0)</f>
        <v/>
      </c>
      <c r="LV43" s="17">
        <f>IF(AND(RefiFlag=1,331&gt;RefiMonth,331&lt;=DispoMonth),1,0)</f>
        <v/>
      </c>
      <c r="LW43" s="17">
        <f>IF(AND(RefiFlag=1,332&gt;RefiMonth,332&lt;=DispoMonth),1,0)</f>
        <v/>
      </c>
      <c r="LX43" s="17">
        <f>IF(AND(RefiFlag=1,333&gt;RefiMonth,333&lt;=DispoMonth),1,0)</f>
        <v/>
      </c>
      <c r="LY43" s="17">
        <f>IF(AND(RefiFlag=1,334&gt;RefiMonth,334&lt;=DispoMonth),1,0)</f>
        <v/>
      </c>
      <c r="LZ43" s="17">
        <f>IF(AND(RefiFlag=1,335&gt;RefiMonth,335&lt;=DispoMonth),1,0)</f>
        <v/>
      </c>
      <c r="MA43" s="17">
        <f>IF(AND(RefiFlag=1,336&gt;RefiMonth,336&lt;=DispoMonth),1,0)</f>
        <v/>
      </c>
      <c r="MB43" s="17">
        <f>IF(AND(RefiFlag=1,337&gt;RefiMonth,337&lt;=DispoMonth),1,0)</f>
        <v/>
      </c>
      <c r="MC43" s="17">
        <f>IF(AND(RefiFlag=1,338&gt;RefiMonth,338&lt;=DispoMonth),1,0)</f>
        <v/>
      </c>
      <c r="MD43" s="17">
        <f>IF(AND(RefiFlag=1,339&gt;RefiMonth,339&lt;=DispoMonth),1,0)</f>
        <v/>
      </c>
      <c r="ME43" s="17">
        <f>IF(AND(RefiFlag=1,340&gt;RefiMonth,340&lt;=DispoMonth),1,0)</f>
        <v/>
      </c>
      <c r="MF43" s="17">
        <f>IF(AND(RefiFlag=1,341&gt;RefiMonth,341&lt;=DispoMonth),1,0)</f>
        <v/>
      </c>
      <c r="MG43" s="17">
        <f>IF(AND(RefiFlag=1,342&gt;RefiMonth,342&lt;=DispoMonth),1,0)</f>
        <v/>
      </c>
      <c r="MH43" s="17">
        <f>IF(AND(RefiFlag=1,343&gt;RefiMonth,343&lt;=DispoMonth),1,0)</f>
        <v/>
      </c>
      <c r="MI43" s="17">
        <f>IF(AND(RefiFlag=1,344&gt;RefiMonth,344&lt;=DispoMonth),1,0)</f>
        <v/>
      </c>
      <c r="MJ43" s="17">
        <f>IF(AND(RefiFlag=1,345&gt;RefiMonth,345&lt;=DispoMonth),1,0)</f>
        <v/>
      </c>
      <c r="MK43" s="17">
        <f>IF(AND(RefiFlag=1,346&gt;RefiMonth,346&lt;=DispoMonth),1,0)</f>
        <v/>
      </c>
      <c r="ML43" s="17">
        <f>IF(AND(RefiFlag=1,347&gt;RefiMonth,347&lt;=DispoMonth),1,0)</f>
        <v/>
      </c>
      <c r="MM43" s="17">
        <f>IF(AND(RefiFlag=1,348&gt;RefiMonth,348&lt;=DispoMonth),1,0)</f>
        <v/>
      </c>
      <c r="MN43" s="17">
        <f>IF(AND(RefiFlag=1,349&gt;RefiMonth,349&lt;=DispoMonth),1,0)</f>
        <v/>
      </c>
      <c r="MO43" s="17">
        <f>IF(AND(RefiFlag=1,350&gt;RefiMonth,350&lt;=DispoMonth),1,0)</f>
        <v/>
      </c>
      <c r="MP43" s="17">
        <f>IF(AND(RefiFlag=1,351&gt;RefiMonth,351&lt;=DispoMonth),1,0)</f>
        <v/>
      </c>
      <c r="MQ43" s="17">
        <f>IF(AND(RefiFlag=1,352&gt;RefiMonth,352&lt;=DispoMonth),1,0)</f>
        <v/>
      </c>
      <c r="MR43" s="17">
        <f>IF(AND(RefiFlag=1,353&gt;RefiMonth,353&lt;=DispoMonth),1,0)</f>
        <v/>
      </c>
      <c r="MS43" s="17">
        <f>IF(AND(RefiFlag=1,354&gt;RefiMonth,354&lt;=DispoMonth),1,0)</f>
        <v/>
      </c>
      <c r="MT43" s="17">
        <f>IF(AND(RefiFlag=1,355&gt;RefiMonth,355&lt;=DispoMonth),1,0)</f>
        <v/>
      </c>
      <c r="MU43" s="17">
        <f>IF(AND(RefiFlag=1,356&gt;RefiMonth,356&lt;=DispoMonth),1,0)</f>
        <v/>
      </c>
      <c r="MV43" s="17">
        <f>IF(AND(RefiFlag=1,357&gt;RefiMonth,357&lt;=DispoMonth),1,0)</f>
        <v/>
      </c>
      <c r="MW43" s="17">
        <f>IF(AND(RefiFlag=1,358&gt;RefiMonth,358&lt;=DispoMonth),1,0)</f>
        <v/>
      </c>
      <c r="MX43" s="17">
        <f>IF(AND(RefiFlag=1,359&gt;RefiMonth,359&lt;=DispoMonth),1,0)</f>
        <v/>
      </c>
      <c r="MY43" s="17">
        <f>IF(AND(RefiFlag=1,360&gt;RefiMonth,360&lt;=DispoMonth),1,0)</f>
        <v/>
      </c>
      <c r="MZ43" s="17">
        <f>IF(AND(RefiFlag=1,361&gt;RefiMonth,361&lt;=DispoMonth),1,0)</f>
        <v/>
      </c>
      <c r="NA43" s="17">
        <f>IF(AND(RefiFlag=1,362&gt;RefiMonth,362&lt;=DispoMonth),1,0)</f>
        <v/>
      </c>
      <c r="NB43" s="17">
        <f>IF(AND(RefiFlag=1,363&gt;RefiMonth,363&lt;=DispoMonth),1,0)</f>
        <v/>
      </c>
      <c r="NC43" s="17">
        <f>IF(AND(RefiFlag=1,364&gt;RefiMonth,364&lt;=DispoMonth),1,0)</f>
        <v/>
      </c>
      <c r="ND43" s="17">
        <f>IF(AND(RefiFlag=1,365&gt;RefiMonth,365&lt;=DispoMonth),1,0)</f>
        <v/>
      </c>
      <c r="NE43" s="17">
        <f>IF(AND(RefiFlag=1,366&gt;RefiMonth,366&lt;=DispoMonth),1,0)</f>
        <v/>
      </c>
      <c r="NF43" s="17">
        <f>IF(AND(RefiFlag=1,367&gt;RefiMonth,367&lt;=DispoMonth),1,0)</f>
        <v/>
      </c>
      <c r="NG43" s="17">
        <f>IF(AND(RefiFlag=1,368&gt;RefiMonth,368&lt;=DispoMonth),1,0)</f>
        <v/>
      </c>
      <c r="NH43" s="17">
        <f>IF(AND(RefiFlag=1,369&gt;RefiMonth,369&lt;=DispoMonth),1,0)</f>
        <v/>
      </c>
      <c r="NI43" s="17">
        <f>IF(AND(RefiFlag=1,370&gt;RefiMonth,370&lt;=DispoMonth),1,0)</f>
        <v/>
      </c>
      <c r="NJ43" s="17">
        <f>IF(AND(RefiFlag=1,371&gt;RefiMonth,371&lt;=DispoMonth),1,0)</f>
        <v/>
      </c>
      <c r="NK43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38" t="inlineStr">
        <is>
          <t>Month Start</t>
        </is>
      </c>
      <c r="D5" s="39">
        <f>EDATE(InceptionDate,0)</f>
        <v/>
      </c>
      <c r="E5" s="39">
        <f>EDATE(InceptionDate,1)</f>
        <v/>
      </c>
      <c r="F5" s="39">
        <f>EDATE(InceptionDate,2)</f>
        <v/>
      </c>
      <c r="G5" s="39">
        <f>EDATE(InceptionDate,3)</f>
        <v/>
      </c>
      <c r="H5" s="39">
        <f>EDATE(InceptionDate,4)</f>
        <v/>
      </c>
      <c r="I5" s="39">
        <f>EDATE(InceptionDate,5)</f>
        <v/>
      </c>
      <c r="J5" s="39">
        <f>EDATE(InceptionDate,6)</f>
        <v/>
      </c>
      <c r="K5" s="39">
        <f>EDATE(InceptionDate,7)</f>
        <v/>
      </c>
      <c r="L5" s="39">
        <f>EDATE(InceptionDate,8)</f>
        <v/>
      </c>
      <c r="M5" s="39">
        <f>EDATE(InceptionDate,9)</f>
        <v/>
      </c>
      <c r="N5" s="39">
        <f>EDATE(InceptionDate,10)</f>
        <v/>
      </c>
      <c r="O5" s="39">
        <f>EDATE(InceptionDate,11)</f>
        <v/>
      </c>
      <c r="P5" s="39">
        <f>EDATE(InceptionDate,12)</f>
        <v/>
      </c>
      <c r="Q5" s="39">
        <f>EDATE(InceptionDate,13)</f>
        <v/>
      </c>
      <c r="R5" s="39">
        <f>EDATE(InceptionDate,14)</f>
        <v/>
      </c>
      <c r="S5" s="39">
        <f>EDATE(InceptionDate,15)</f>
        <v/>
      </c>
      <c r="T5" s="39">
        <f>EDATE(InceptionDate,16)</f>
        <v/>
      </c>
      <c r="U5" s="39">
        <f>EDATE(InceptionDate,17)</f>
        <v/>
      </c>
      <c r="V5" s="39">
        <f>EDATE(InceptionDate,18)</f>
        <v/>
      </c>
      <c r="W5" s="39">
        <f>EDATE(InceptionDate,19)</f>
        <v/>
      </c>
      <c r="X5" s="39">
        <f>EDATE(InceptionDate,20)</f>
        <v/>
      </c>
      <c r="Y5" s="39">
        <f>EDATE(InceptionDate,21)</f>
        <v/>
      </c>
      <c r="Z5" s="39">
        <f>EDATE(InceptionDate,22)</f>
        <v/>
      </c>
      <c r="AA5" s="39">
        <f>EDATE(InceptionDate,23)</f>
        <v/>
      </c>
      <c r="AB5" s="39">
        <f>EDATE(InceptionDate,24)</f>
        <v/>
      </c>
      <c r="AC5" s="39">
        <f>EDATE(InceptionDate,25)</f>
        <v/>
      </c>
      <c r="AD5" s="39">
        <f>EDATE(InceptionDate,26)</f>
        <v/>
      </c>
      <c r="AE5" s="39">
        <f>EDATE(InceptionDate,27)</f>
        <v/>
      </c>
      <c r="AF5" s="39">
        <f>EDATE(InceptionDate,28)</f>
        <v/>
      </c>
      <c r="AG5" s="39">
        <f>EDATE(InceptionDate,29)</f>
        <v/>
      </c>
      <c r="AH5" s="39">
        <f>EDATE(InceptionDate,30)</f>
        <v/>
      </c>
      <c r="AI5" s="39">
        <f>EDATE(InceptionDate,31)</f>
        <v/>
      </c>
      <c r="AJ5" s="39">
        <f>EDATE(InceptionDate,32)</f>
        <v/>
      </c>
      <c r="AK5" s="39">
        <f>EDATE(InceptionDate,33)</f>
        <v/>
      </c>
      <c r="AL5" s="39">
        <f>EDATE(InceptionDate,34)</f>
        <v/>
      </c>
      <c r="AM5" s="39">
        <f>EDATE(InceptionDate,35)</f>
        <v/>
      </c>
      <c r="AN5" s="39">
        <f>EDATE(InceptionDate,36)</f>
        <v/>
      </c>
      <c r="AO5" s="39">
        <f>EDATE(InceptionDate,37)</f>
        <v/>
      </c>
      <c r="AP5" s="39">
        <f>EDATE(InceptionDate,38)</f>
        <v/>
      </c>
      <c r="AQ5" s="39">
        <f>EDATE(InceptionDate,39)</f>
        <v/>
      </c>
      <c r="AR5" s="39">
        <f>EDATE(InceptionDate,40)</f>
        <v/>
      </c>
      <c r="AS5" s="39">
        <f>EDATE(InceptionDate,41)</f>
        <v/>
      </c>
      <c r="AT5" s="39">
        <f>EDATE(InceptionDate,42)</f>
        <v/>
      </c>
      <c r="AU5" s="39">
        <f>EDATE(InceptionDate,43)</f>
        <v/>
      </c>
      <c r="AV5" s="39">
        <f>EDATE(InceptionDate,44)</f>
        <v/>
      </c>
      <c r="AW5" s="39">
        <f>EDATE(InceptionDate,45)</f>
        <v/>
      </c>
      <c r="AX5" s="39">
        <f>EDATE(InceptionDate,46)</f>
        <v/>
      </c>
      <c r="AY5" s="39">
        <f>EDATE(InceptionDate,47)</f>
        <v/>
      </c>
      <c r="AZ5" s="39">
        <f>EDATE(InceptionDate,48)</f>
        <v/>
      </c>
      <c r="BA5" s="39">
        <f>EDATE(InceptionDate,49)</f>
        <v/>
      </c>
      <c r="BB5" s="39">
        <f>EDATE(InceptionDate,50)</f>
        <v/>
      </c>
      <c r="BC5" s="39">
        <f>EDATE(InceptionDate,51)</f>
        <v/>
      </c>
      <c r="BD5" s="39">
        <f>EDATE(InceptionDate,52)</f>
        <v/>
      </c>
      <c r="BE5" s="39">
        <f>EDATE(InceptionDate,53)</f>
        <v/>
      </c>
      <c r="BF5" s="39">
        <f>EDATE(InceptionDate,54)</f>
        <v/>
      </c>
      <c r="BG5" s="39">
        <f>EDATE(InceptionDate,55)</f>
        <v/>
      </c>
      <c r="BH5" s="39">
        <f>EDATE(InceptionDate,56)</f>
        <v/>
      </c>
      <c r="BI5" s="39">
        <f>EDATE(InceptionDate,57)</f>
        <v/>
      </c>
      <c r="BJ5" s="39">
        <f>EDATE(InceptionDate,58)</f>
        <v/>
      </c>
      <c r="BK5" s="39">
        <f>EDATE(InceptionDate,59)</f>
        <v/>
      </c>
      <c r="BL5" s="39">
        <f>EDATE(InceptionDate,60)</f>
        <v/>
      </c>
      <c r="BM5" s="39">
        <f>EDATE(InceptionDate,61)</f>
        <v/>
      </c>
      <c r="BN5" s="39">
        <f>EDATE(InceptionDate,62)</f>
        <v/>
      </c>
      <c r="BO5" s="39">
        <f>EDATE(InceptionDate,63)</f>
        <v/>
      </c>
      <c r="BP5" s="39">
        <f>EDATE(InceptionDate,64)</f>
        <v/>
      </c>
      <c r="BQ5" s="39">
        <f>EDATE(InceptionDate,65)</f>
        <v/>
      </c>
      <c r="BR5" s="39">
        <f>EDATE(InceptionDate,66)</f>
        <v/>
      </c>
      <c r="BS5" s="39">
        <f>EDATE(InceptionDate,67)</f>
        <v/>
      </c>
      <c r="BT5" s="39">
        <f>EDATE(InceptionDate,68)</f>
        <v/>
      </c>
      <c r="BU5" s="39">
        <f>EDATE(InceptionDate,69)</f>
        <v/>
      </c>
      <c r="BV5" s="39">
        <f>EDATE(InceptionDate,70)</f>
        <v/>
      </c>
      <c r="BW5" s="39">
        <f>EDATE(InceptionDate,71)</f>
        <v/>
      </c>
      <c r="BX5" s="39">
        <f>EDATE(InceptionDate,72)</f>
        <v/>
      </c>
      <c r="BY5" s="39">
        <f>EDATE(InceptionDate,73)</f>
        <v/>
      </c>
      <c r="BZ5" s="39">
        <f>EDATE(InceptionDate,74)</f>
        <v/>
      </c>
      <c r="CA5" s="39">
        <f>EDATE(InceptionDate,75)</f>
        <v/>
      </c>
      <c r="CB5" s="39">
        <f>EDATE(InceptionDate,76)</f>
        <v/>
      </c>
      <c r="CC5" s="39">
        <f>EDATE(InceptionDate,77)</f>
        <v/>
      </c>
      <c r="CD5" s="39">
        <f>EDATE(InceptionDate,78)</f>
        <v/>
      </c>
      <c r="CE5" s="39">
        <f>EDATE(InceptionDate,79)</f>
        <v/>
      </c>
      <c r="CF5" s="39">
        <f>EDATE(InceptionDate,80)</f>
        <v/>
      </c>
      <c r="CG5" s="39">
        <f>EDATE(InceptionDate,81)</f>
        <v/>
      </c>
      <c r="CH5" s="39">
        <f>EDATE(InceptionDate,82)</f>
        <v/>
      </c>
      <c r="CI5" s="39">
        <f>EDATE(InceptionDate,83)</f>
        <v/>
      </c>
      <c r="CJ5" s="39">
        <f>EDATE(InceptionDate,84)</f>
        <v/>
      </c>
      <c r="CK5" s="39">
        <f>EDATE(InceptionDate,85)</f>
        <v/>
      </c>
      <c r="CL5" s="39">
        <f>EDATE(InceptionDate,86)</f>
        <v/>
      </c>
      <c r="CM5" s="39">
        <f>EDATE(InceptionDate,87)</f>
        <v/>
      </c>
      <c r="CN5" s="39">
        <f>EDATE(InceptionDate,88)</f>
        <v/>
      </c>
      <c r="CO5" s="39">
        <f>EDATE(InceptionDate,89)</f>
        <v/>
      </c>
      <c r="CP5" s="39">
        <f>EDATE(InceptionDate,90)</f>
        <v/>
      </c>
      <c r="CQ5" s="39">
        <f>EDATE(InceptionDate,91)</f>
        <v/>
      </c>
      <c r="CR5" s="39">
        <f>EDATE(InceptionDate,92)</f>
        <v/>
      </c>
      <c r="CS5" s="39">
        <f>EDATE(InceptionDate,93)</f>
        <v/>
      </c>
      <c r="CT5" s="39">
        <f>EDATE(InceptionDate,94)</f>
        <v/>
      </c>
      <c r="CU5" s="39">
        <f>EDATE(InceptionDate,95)</f>
        <v/>
      </c>
      <c r="CV5" s="39">
        <f>EDATE(InceptionDate,96)</f>
        <v/>
      </c>
      <c r="CW5" s="39">
        <f>EDATE(InceptionDate,97)</f>
        <v/>
      </c>
      <c r="CX5" s="39">
        <f>EDATE(InceptionDate,98)</f>
        <v/>
      </c>
      <c r="CY5" s="39">
        <f>EDATE(InceptionDate,99)</f>
        <v/>
      </c>
      <c r="CZ5" s="39">
        <f>EDATE(InceptionDate,100)</f>
        <v/>
      </c>
      <c r="DA5" s="39">
        <f>EDATE(InceptionDate,101)</f>
        <v/>
      </c>
      <c r="DB5" s="39">
        <f>EDATE(InceptionDate,102)</f>
        <v/>
      </c>
      <c r="DC5" s="39">
        <f>EDATE(InceptionDate,103)</f>
        <v/>
      </c>
      <c r="DD5" s="39">
        <f>EDATE(InceptionDate,104)</f>
        <v/>
      </c>
      <c r="DE5" s="39">
        <f>EDATE(InceptionDate,105)</f>
        <v/>
      </c>
      <c r="DF5" s="39">
        <f>EDATE(InceptionDate,106)</f>
        <v/>
      </c>
      <c r="DG5" s="39">
        <f>EDATE(InceptionDate,107)</f>
        <v/>
      </c>
      <c r="DH5" s="39">
        <f>EDATE(InceptionDate,108)</f>
        <v/>
      </c>
      <c r="DI5" s="39">
        <f>EDATE(InceptionDate,109)</f>
        <v/>
      </c>
      <c r="DJ5" s="39">
        <f>EDATE(InceptionDate,110)</f>
        <v/>
      </c>
      <c r="DK5" s="39">
        <f>EDATE(InceptionDate,111)</f>
        <v/>
      </c>
      <c r="DL5" s="39">
        <f>EDATE(InceptionDate,112)</f>
        <v/>
      </c>
      <c r="DM5" s="39">
        <f>EDATE(InceptionDate,113)</f>
        <v/>
      </c>
      <c r="DN5" s="39">
        <f>EDATE(InceptionDate,114)</f>
        <v/>
      </c>
      <c r="DO5" s="39">
        <f>EDATE(InceptionDate,115)</f>
        <v/>
      </c>
      <c r="DP5" s="39">
        <f>EDATE(InceptionDate,116)</f>
        <v/>
      </c>
      <c r="DQ5" s="39">
        <f>EDATE(InceptionDate,117)</f>
        <v/>
      </c>
      <c r="DR5" s="39">
        <f>EDATE(InceptionDate,118)</f>
        <v/>
      </c>
      <c r="DS5" s="39">
        <f>EDATE(InceptionDate,119)</f>
        <v/>
      </c>
      <c r="DT5" s="39">
        <f>EDATE(InceptionDate,120)</f>
        <v/>
      </c>
      <c r="DU5" s="39">
        <f>EDATE(InceptionDate,121)</f>
        <v/>
      </c>
      <c r="DV5" s="39">
        <f>EDATE(InceptionDate,122)</f>
        <v/>
      </c>
      <c r="DW5" s="39">
        <f>EDATE(InceptionDate,123)</f>
        <v/>
      </c>
      <c r="DX5" s="39">
        <f>EDATE(InceptionDate,124)</f>
        <v/>
      </c>
      <c r="DY5" s="39">
        <f>EDATE(InceptionDate,125)</f>
        <v/>
      </c>
      <c r="DZ5" s="39">
        <f>EDATE(InceptionDate,126)</f>
        <v/>
      </c>
      <c r="EA5" s="39">
        <f>EDATE(InceptionDate,127)</f>
        <v/>
      </c>
      <c r="EB5" s="39">
        <f>EDATE(InceptionDate,128)</f>
        <v/>
      </c>
      <c r="EC5" s="39">
        <f>EDATE(InceptionDate,129)</f>
        <v/>
      </c>
      <c r="ED5" s="39">
        <f>EDATE(InceptionDate,130)</f>
        <v/>
      </c>
      <c r="EE5" s="39">
        <f>EDATE(InceptionDate,131)</f>
        <v/>
      </c>
      <c r="EF5" s="39">
        <f>EDATE(InceptionDate,132)</f>
        <v/>
      </c>
      <c r="EG5" s="39">
        <f>EDATE(InceptionDate,133)</f>
        <v/>
      </c>
      <c r="EH5" s="39">
        <f>EDATE(InceptionDate,134)</f>
        <v/>
      </c>
      <c r="EI5" s="39">
        <f>EDATE(InceptionDate,135)</f>
        <v/>
      </c>
      <c r="EJ5" s="39">
        <f>EDATE(InceptionDate,136)</f>
        <v/>
      </c>
      <c r="EK5" s="39">
        <f>EDATE(InceptionDate,137)</f>
        <v/>
      </c>
      <c r="EL5" s="39">
        <f>EDATE(InceptionDate,138)</f>
        <v/>
      </c>
      <c r="EM5" s="39">
        <f>EDATE(InceptionDate,139)</f>
        <v/>
      </c>
      <c r="EN5" s="39">
        <f>EDATE(InceptionDate,140)</f>
        <v/>
      </c>
      <c r="EO5" s="39">
        <f>EDATE(InceptionDate,141)</f>
        <v/>
      </c>
      <c r="EP5" s="39">
        <f>EDATE(InceptionDate,142)</f>
        <v/>
      </c>
      <c r="EQ5" s="39">
        <f>EDATE(InceptionDate,143)</f>
        <v/>
      </c>
      <c r="ER5" s="39">
        <f>EDATE(InceptionDate,144)</f>
        <v/>
      </c>
      <c r="ES5" s="39">
        <f>EDATE(InceptionDate,145)</f>
        <v/>
      </c>
      <c r="ET5" s="39">
        <f>EDATE(InceptionDate,146)</f>
        <v/>
      </c>
      <c r="EU5" s="39">
        <f>EDATE(InceptionDate,147)</f>
        <v/>
      </c>
      <c r="EV5" s="39">
        <f>EDATE(InceptionDate,148)</f>
        <v/>
      </c>
      <c r="EW5" s="39">
        <f>EDATE(InceptionDate,149)</f>
        <v/>
      </c>
      <c r="EX5" s="39">
        <f>EDATE(InceptionDate,150)</f>
        <v/>
      </c>
      <c r="EY5" s="39">
        <f>EDATE(InceptionDate,151)</f>
        <v/>
      </c>
      <c r="EZ5" s="39">
        <f>EDATE(InceptionDate,152)</f>
        <v/>
      </c>
      <c r="FA5" s="39">
        <f>EDATE(InceptionDate,153)</f>
        <v/>
      </c>
      <c r="FB5" s="39">
        <f>EDATE(InceptionDate,154)</f>
        <v/>
      </c>
      <c r="FC5" s="39">
        <f>EDATE(InceptionDate,155)</f>
        <v/>
      </c>
      <c r="FD5" s="39">
        <f>EDATE(InceptionDate,156)</f>
        <v/>
      </c>
      <c r="FE5" s="39">
        <f>EDATE(InceptionDate,157)</f>
        <v/>
      </c>
      <c r="FF5" s="39">
        <f>EDATE(InceptionDate,158)</f>
        <v/>
      </c>
      <c r="FG5" s="39">
        <f>EDATE(InceptionDate,159)</f>
        <v/>
      </c>
      <c r="FH5" s="39">
        <f>EDATE(InceptionDate,160)</f>
        <v/>
      </c>
      <c r="FI5" s="39">
        <f>EDATE(InceptionDate,161)</f>
        <v/>
      </c>
      <c r="FJ5" s="39">
        <f>EDATE(InceptionDate,162)</f>
        <v/>
      </c>
      <c r="FK5" s="39">
        <f>EDATE(InceptionDate,163)</f>
        <v/>
      </c>
      <c r="FL5" s="39">
        <f>EDATE(InceptionDate,164)</f>
        <v/>
      </c>
      <c r="FM5" s="39">
        <f>EDATE(InceptionDate,165)</f>
        <v/>
      </c>
      <c r="FN5" s="39">
        <f>EDATE(InceptionDate,166)</f>
        <v/>
      </c>
      <c r="FO5" s="39">
        <f>EDATE(InceptionDate,167)</f>
        <v/>
      </c>
      <c r="FP5" s="39">
        <f>EDATE(InceptionDate,168)</f>
        <v/>
      </c>
      <c r="FQ5" s="39">
        <f>EDATE(InceptionDate,169)</f>
        <v/>
      </c>
      <c r="FR5" s="39">
        <f>EDATE(InceptionDate,170)</f>
        <v/>
      </c>
      <c r="FS5" s="39">
        <f>EDATE(InceptionDate,171)</f>
        <v/>
      </c>
      <c r="FT5" s="39">
        <f>EDATE(InceptionDate,172)</f>
        <v/>
      </c>
      <c r="FU5" s="39">
        <f>EDATE(InceptionDate,173)</f>
        <v/>
      </c>
      <c r="FV5" s="39">
        <f>EDATE(InceptionDate,174)</f>
        <v/>
      </c>
      <c r="FW5" s="39">
        <f>EDATE(InceptionDate,175)</f>
        <v/>
      </c>
      <c r="FX5" s="39">
        <f>EDATE(InceptionDate,176)</f>
        <v/>
      </c>
      <c r="FY5" s="39">
        <f>EDATE(InceptionDate,177)</f>
        <v/>
      </c>
      <c r="FZ5" s="39">
        <f>EDATE(InceptionDate,178)</f>
        <v/>
      </c>
      <c r="GA5" s="39">
        <f>EDATE(InceptionDate,179)</f>
        <v/>
      </c>
      <c r="GB5" s="39">
        <f>EDATE(InceptionDate,180)</f>
        <v/>
      </c>
      <c r="GC5" s="39">
        <f>EDATE(InceptionDate,181)</f>
        <v/>
      </c>
      <c r="GD5" s="39">
        <f>EDATE(InceptionDate,182)</f>
        <v/>
      </c>
      <c r="GE5" s="39">
        <f>EDATE(InceptionDate,183)</f>
        <v/>
      </c>
      <c r="GF5" s="39">
        <f>EDATE(InceptionDate,184)</f>
        <v/>
      </c>
      <c r="GG5" s="39">
        <f>EDATE(InceptionDate,185)</f>
        <v/>
      </c>
      <c r="GH5" s="39">
        <f>EDATE(InceptionDate,186)</f>
        <v/>
      </c>
      <c r="GI5" s="39">
        <f>EDATE(InceptionDate,187)</f>
        <v/>
      </c>
      <c r="GJ5" s="39">
        <f>EDATE(InceptionDate,188)</f>
        <v/>
      </c>
      <c r="GK5" s="39">
        <f>EDATE(InceptionDate,189)</f>
        <v/>
      </c>
      <c r="GL5" s="39">
        <f>EDATE(InceptionDate,190)</f>
        <v/>
      </c>
      <c r="GM5" s="39">
        <f>EDATE(InceptionDate,191)</f>
        <v/>
      </c>
      <c r="GN5" s="39">
        <f>EDATE(InceptionDate,192)</f>
        <v/>
      </c>
      <c r="GO5" s="39">
        <f>EDATE(InceptionDate,193)</f>
        <v/>
      </c>
      <c r="GP5" s="39">
        <f>EDATE(InceptionDate,194)</f>
        <v/>
      </c>
      <c r="GQ5" s="39">
        <f>EDATE(InceptionDate,195)</f>
        <v/>
      </c>
      <c r="GR5" s="39">
        <f>EDATE(InceptionDate,196)</f>
        <v/>
      </c>
      <c r="GS5" s="39">
        <f>EDATE(InceptionDate,197)</f>
        <v/>
      </c>
      <c r="GT5" s="39">
        <f>EDATE(InceptionDate,198)</f>
        <v/>
      </c>
      <c r="GU5" s="39">
        <f>EDATE(InceptionDate,199)</f>
        <v/>
      </c>
      <c r="GV5" s="39">
        <f>EDATE(InceptionDate,200)</f>
        <v/>
      </c>
      <c r="GW5" s="39">
        <f>EDATE(InceptionDate,201)</f>
        <v/>
      </c>
      <c r="GX5" s="39">
        <f>EDATE(InceptionDate,202)</f>
        <v/>
      </c>
      <c r="GY5" s="39">
        <f>EDATE(InceptionDate,203)</f>
        <v/>
      </c>
      <c r="GZ5" s="39">
        <f>EDATE(InceptionDate,204)</f>
        <v/>
      </c>
      <c r="HA5" s="39">
        <f>EDATE(InceptionDate,205)</f>
        <v/>
      </c>
      <c r="HB5" s="39">
        <f>EDATE(InceptionDate,206)</f>
        <v/>
      </c>
      <c r="HC5" s="39">
        <f>EDATE(InceptionDate,207)</f>
        <v/>
      </c>
      <c r="HD5" s="39">
        <f>EDATE(InceptionDate,208)</f>
        <v/>
      </c>
      <c r="HE5" s="39">
        <f>EDATE(InceptionDate,209)</f>
        <v/>
      </c>
      <c r="HF5" s="39">
        <f>EDATE(InceptionDate,210)</f>
        <v/>
      </c>
      <c r="HG5" s="39">
        <f>EDATE(InceptionDate,211)</f>
        <v/>
      </c>
      <c r="HH5" s="39">
        <f>EDATE(InceptionDate,212)</f>
        <v/>
      </c>
      <c r="HI5" s="39">
        <f>EDATE(InceptionDate,213)</f>
        <v/>
      </c>
      <c r="HJ5" s="39">
        <f>EDATE(InceptionDate,214)</f>
        <v/>
      </c>
      <c r="HK5" s="39">
        <f>EDATE(InceptionDate,215)</f>
        <v/>
      </c>
      <c r="HL5" s="39">
        <f>EDATE(InceptionDate,216)</f>
        <v/>
      </c>
      <c r="HM5" s="39">
        <f>EDATE(InceptionDate,217)</f>
        <v/>
      </c>
      <c r="HN5" s="39">
        <f>EDATE(InceptionDate,218)</f>
        <v/>
      </c>
      <c r="HO5" s="39">
        <f>EDATE(InceptionDate,219)</f>
        <v/>
      </c>
      <c r="HP5" s="39">
        <f>EDATE(InceptionDate,220)</f>
        <v/>
      </c>
      <c r="HQ5" s="39">
        <f>EDATE(InceptionDate,221)</f>
        <v/>
      </c>
      <c r="HR5" s="39">
        <f>EDATE(InceptionDate,222)</f>
        <v/>
      </c>
      <c r="HS5" s="39">
        <f>EDATE(InceptionDate,223)</f>
        <v/>
      </c>
      <c r="HT5" s="39">
        <f>EDATE(InceptionDate,224)</f>
        <v/>
      </c>
      <c r="HU5" s="39">
        <f>EDATE(InceptionDate,225)</f>
        <v/>
      </c>
      <c r="HV5" s="39">
        <f>EDATE(InceptionDate,226)</f>
        <v/>
      </c>
      <c r="HW5" s="39">
        <f>EDATE(InceptionDate,227)</f>
        <v/>
      </c>
      <c r="HX5" s="39">
        <f>EDATE(InceptionDate,228)</f>
        <v/>
      </c>
      <c r="HY5" s="39">
        <f>EDATE(InceptionDate,229)</f>
        <v/>
      </c>
      <c r="HZ5" s="39">
        <f>EDATE(InceptionDate,230)</f>
        <v/>
      </c>
      <c r="IA5" s="39">
        <f>EDATE(InceptionDate,231)</f>
        <v/>
      </c>
      <c r="IB5" s="39">
        <f>EDATE(InceptionDate,232)</f>
        <v/>
      </c>
      <c r="IC5" s="39">
        <f>EDATE(InceptionDate,233)</f>
        <v/>
      </c>
      <c r="ID5" s="39">
        <f>EDATE(InceptionDate,234)</f>
        <v/>
      </c>
      <c r="IE5" s="39">
        <f>EDATE(InceptionDate,235)</f>
        <v/>
      </c>
      <c r="IF5" s="39">
        <f>EDATE(InceptionDate,236)</f>
        <v/>
      </c>
      <c r="IG5" s="39">
        <f>EDATE(InceptionDate,237)</f>
        <v/>
      </c>
      <c r="IH5" s="39">
        <f>EDATE(InceptionDate,238)</f>
        <v/>
      </c>
      <c r="II5" s="39">
        <f>EDATE(InceptionDate,239)</f>
        <v/>
      </c>
      <c r="IJ5" s="39">
        <f>EDATE(InceptionDate,240)</f>
        <v/>
      </c>
      <c r="IK5" s="39">
        <f>EDATE(InceptionDate,241)</f>
        <v/>
      </c>
      <c r="IL5" s="39">
        <f>EDATE(InceptionDate,242)</f>
        <v/>
      </c>
      <c r="IM5" s="39">
        <f>EDATE(InceptionDate,243)</f>
        <v/>
      </c>
      <c r="IN5" s="39">
        <f>EDATE(InceptionDate,244)</f>
        <v/>
      </c>
      <c r="IO5" s="39">
        <f>EDATE(InceptionDate,245)</f>
        <v/>
      </c>
      <c r="IP5" s="39">
        <f>EDATE(InceptionDate,246)</f>
        <v/>
      </c>
      <c r="IQ5" s="39">
        <f>EDATE(InceptionDate,247)</f>
        <v/>
      </c>
      <c r="IR5" s="39">
        <f>EDATE(InceptionDate,248)</f>
        <v/>
      </c>
      <c r="IS5" s="39">
        <f>EDATE(InceptionDate,249)</f>
        <v/>
      </c>
      <c r="IT5" s="39">
        <f>EDATE(InceptionDate,250)</f>
        <v/>
      </c>
      <c r="IU5" s="39">
        <f>EDATE(InceptionDate,251)</f>
        <v/>
      </c>
      <c r="IV5" s="39">
        <f>EDATE(InceptionDate,252)</f>
        <v/>
      </c>
      <c r="IW5" s="39">
        <f>EDATE(InceptionDate,253)</f>
        <v/>
      </c>
      <c r="IX5" s="39">
        <f>EDATE(InceptionDate,254)</f>
        <v/>
      </c>
      <c r="IY5" s="39">
        <f>EDATE(InceptionDate,255)</f>
        <v/>
      </c>
      <c r="IZ5" s="39">
        <f>EDATE(InceptionDate,256)</f>
        <v/>
      </c>
      <c r="JA5" s="39">
        <f>EDATE(InceptionDate,257)</f>
        <v/>
      </c>
      <c r="JB5" s="39">
        <f>EDATE(InceptionDate,258)</f>
        <v/>
      </c>
      <c r="JC5" s="39">
        <f>EDATE(InceptionDate,259)</f>
        <v/>
      </c>
      <c r="JD5" s="39">
        <f>EDATE(InceptionDate,260)</f>
        <v/>
      </c>
      <c r="JE5" s="39">
        <f>EDATE(InceptionDate,261)</f>
        <v/>
      </c>
      <c r="JF5" s="39">
        <f>EDATE(InceptionDate,262)</f>
        <v/>
      </c>
      <c r="JG5" s="39">
        <f>EDATE(InceptionDate,263)</f>
        <v/>
      </c>
      <c r="JH5" s="39">
        <f>EDATE(InceptionDate,264)</f>
        <v/>
      </c>
      <c r="JI5" s="39">
        <f>EDATE(InceptionDate,265)</f>
        <v/>
      </c>
      <c r="JJ5" s="39">
        <f>EDATE(InceptionDate,266)</f>
        <v/>
      </c>
      <c r="JK5" s="39">
        <f>EDATE(InceptionDate,267)</f>
        <v/>
      </c>
      <c r="JL5" s="39">
        <f>EDATE(InceptionDate,268)</f>
        <v/>
      </c>
      <c r="JM5" s="39">
        <f>EDATE(InceptionDate,269)</f>
        <v/>
      </c>
      <c r="JN5" s="39">
        <f>EDATE(InceptionDate,270)</f>
        <v/>
      </c>
      <c r="JO5" s="39">
        <f>EDATE(InceptionDate,271)</f>
        <v/>
      </c>
      <c r="JP5" s="39">
        <f>EDATE(InceptionDate,272)</f>
        <v/>
      </c>
      <c r="JQ5" s="39">
        <f>EDATE(InceptionDate,273)</f>
        <v/>
      </c>
      <c r="JR5" s="39">
        <f>EDATE(InceptionDate,274)</f>
        <v/>
      </c>
      <c r="JS5" s="39">
        <f>EDATE(InceptionDate,275)</f>
        <v/>
      </c>
      <c r="JT5" s="39">
        <f>EDATE(InceptionDate,276)</f>
        <v/>
      </c>
      <c r="JU5" s="39">
        <f>EDATE(InceptionDate,277)</f>
        <v/>
      </c>
      <c r="JV5" s="39">
        <f>EDATE(InceptionDate,278)</f>
        <v/>
      </c>
      <c r="JW5" s="39">
        <f>EDATE(InceptionDate,279)</f>
        <v/>
      </c>
      <c r="JX5" s="39">
        <f>EDATE(InceptionDate,280)</f>
        <v/>
      </c>
      <c r="JY5" s="39">
        <f>EDATE(InceptionDate,281)</f>
        <v/>
      </c>
      <c r="JZ5" s="39">
        <f>EDATE(InceptionDate,282)</f>
        <v/>
      </c>
      <c r="KA5" s="39">
        <f>EDATE(InceptionDate,283)</f>
        <v/>
      </c>
      <c r="KB5" s="39">
        <f>EDATE(InceptionDate,284)</f>
        <v/>
      </c>
      <c r="KC5" s="39">
        <f>EDATE(InceptionDate,285)</f>
        <v/>
      </c>
      <c r="KD5" s="39">
        <f>EDATE(InceptionDate,286)</f>
        <v/>
      </c>
      <c r="KE5" s="39">
        <f>EDATE(InceptionDate,287)</f>
        <v/>
      </c>
      <c r="KF5" s="39">
        <f>EDATE(InceptionDate,288)</f>
        <v/>
      </c>
      <c r="KG5" s="39">
        <f>EDATE(InceptionDate,289)</f>
        <v/>
      </c>
      <c r="KH5" s="39">
        <f>EDATE(InceptionDate,290)</f>
        <v/>
      </c>
      <c r="KI5" s="39">
        <f>EDATE(InceptionDate,291)</f>
        <v/>
      </c>
      <c r="KJ5" s="39">
        <f>EDATE(InceptionDate,292)</f>
        <v/>
      </c>
      <c r="KK5" s="39">
        <f>EDATE(InceptionDate,293)</f>
        <v/>
      </c>
      <c r="KL5" s="39">
        <f>EDATE(InceptionDate,294)</f>
        <v/>
      </c>
      <c r="KM5" s="39">
        <f>EDATE(InceptionDate,295)</f>
        <v/>
      </c>
      <c r="KN5" s="39">
        <f>EDATE(InceptionDate,296)</f>
        <v/>
      </c>
      <c r="KO5" s="39">
        <f>EDATE(InceptionDate,297)</f>
        <v/>
      </c>
      <c r="KP5" s="39">
        <f>EDATE(InceptionDate,298)</f>
        <v/>
      </c>
      <c r="KQ5" s="39">
        <f>EDATE(InceptionDate,299)</f>
        <v/>
      </c>
      <c r="KR5" s="39">
        <f>EDATE(InceptionDate,300)</f>
        <v/>
      </c>
      <c r="KS5" s="39">
        <f>EDATE(InceptionDate,301)</f>
        <v/>
      </c>
      <c r="KT5" s="39">
        <f>EDATE(InceptionDate,302)</f>
        <v/>
      </c>
      <c r="KU5" s="39">
        <f>EDATE(InceptionDate,303)</f>
        <v/>
      </c>
      <c r="KV5" s="39">
        <f>EDATE(InceptionDate,304)</f>
        <v/>
      </c>
      <c r="KW5" s="39">
        <f>EDATE(InceptionDate,305)</f>
        <v/>
      </c>
      <c r="KX5" s="39">
        <f>EDATE(InceptionDate,306)</f>
        <v/>
      </c>
      <c r="KY5" s="39">
        <f>EDATE(InceptionDate,307)</f>
        <v/>
      </c>
      <c r="KZ5" s="39">
        <f>EDATE(InceptionDate,308)</f>
        <v/>
      </c>
      <c r="LA5" s="39">
        <f>EDATE(InceptionDate,309)</f>
        <v/>
      </c>
      <c r="LB5" s="39">
        <f>EDATE(InceptionDate,310)</f>
        <v/>
      </c>
      <c r="LC5" s="39">
        <f>EDATE(InceptionDate,311)</f>
        <v/>
      </c>
      <c r="LD5" s="39">
        <f>EDATE(InceptionDate,312)</f>
        <v/>
      </c>
      <c r="LE5" s="39">
        <f>EDATE(InceptionDate,313)</f>
        <v/>
      </c>
      <c r="LF5" s="39">
        <f>EDATE(InceptionDate,314)</f>
        <v/>
      </c>
      <c r="LG5" s="39">
        <f>EDATE(InceptionDate,315)</f>
        <v/>
      </c>
      <c r="LH5" s="39">
        <f>EDATE(InceptionDate,316)</f>
        <v/>
      </c>
      <c r="LI5" s="39">
        <f>EDATE(InceptionDate,317)</f>
        <v/>
      </c>
      <c r="LJ5" s="39">
        <f>EDATE(InceptionDate,318)</f>
        <v/>
      </c>
      <c r="LK5" s="39">
        <f>EDATE(InceptionDate,319)</f>
        <v/>
      </c>
      <c r="LL5" s="39">
        <f>EDATE(InceptionDate,320)</f>
        <v/>
      </c>
      <c r="LM5" s="39">
        <f>EDATE(InceptionDate,321)</f>
        <v/>
      </c>
      <c r="LN5" s="39">
        <f>EDATE(InceptionDate,322)</f>
        <v/>
      </c>
      <c r="LO5" s="39">
        <f>EDATE(InceptionDate,323)</f>
        <v/>
      </c>
      <c r="LP5" s="39">
        <f>EDATE(InceptionDate,324)</f>
        <v/>
      </c>
      <c r="LQ5" s="39">
        <f>EDATE(InceptionDate,325)</f>
        <v/>
      </c>
      <c r="LR5" s="39">
        <f>EDATE(InceptionDate,326)</f>
        <v/>
      </c>
      <c r="LS5" s="39">
        <f>EDATE(InceptionDate,327)</f>
        <v/>
      </c>
      <c r="LT5" s="39">
        <f>EDATE(InceptionDate,328)</f>
        <v/>
      </c>
      <c r="LU5" s="39">
        <f>EDATE(InceptionDate,329)</f>
        <v/>
      </c>
      <c r="LV5" s="39">
        <f>EDATE(InceptionDate,330)</f>
        <v/>
      </c>
      <c r="LW5" s="39">
        <f>EDATE(InceptionDate,331)</f>
        <v/>
      </c>
      <c r="LX5" s="39">
        <f>EDATE(InceptionDate,332)</f>
        <v/>
      </c>
      <c r="LY5" s="39">
        <f>EDATE(InceptionDate,333)</f>
        <v/>
      </c>
      <c r="LZ5" s="39">
        <f>EDATE(InceptionDate,334)</f>
        <v/>
      </c>
      <c r="MA5" s="39">
        <f>EDATE(InceptionDate,335)</f>
        <v/>
      </c>
      <c r="MB5" s="39">
        <f>EDATE(InceptionDate,336)</f>
        <v/>
      </c>
      <c r="MC5" s="39">
        <f>EDATE(InceptionDate,337)</f>
        <v/>
      </c>
      <c r="MD5" s="39">
        <f>EDATE(InceptionDate,338)</f>
        <v/>
      </c>
      <c r="ME5" s="39">
        <f>EDATE(InceptionDate,339)</f>
        <v/>
      </c>
      <c r="MF5" s="39">
        <f>EDATE(InceptionDate,340)</f>
        <v/>
      </c>
      <c r="MG5" s="39">
        <f>EDATE(InceptionDate,341)</f>
        <v/>
      </c>
      <c r="MH5" s="39">
        <f>EDATE(InceptionDate,342)</f>
        <v/>
      </c>
      <c r="MI5" s="39">
        <f>EDATE(InceptionDate,343)</f>
        <v/>
      </c>
      <c r="MJ5" s="39">
        <f>EDATE(InceptionDate,344)</f>
        <v/>
      </c>
      <c r="MK5" s="39">
        <f>EDATE(InceptionDate,345)</f>
        <v/>
      </c>
      <c r="ML5" s="39">
        <f>EDATE(InceptionDate,346)</f>
        <v/>
      </c>
      <c r="MM5" s="39">
        <f>EDATE(InceptionDate,347)</f>
        <v/>
      </c>
      <c r="MN5" s="39">
        <f>EDATE(InceptionDate,348)</f>
        <v/>
      </c>
      <c r="MO5" s="39">
        <f>EDATE(InceptionDate,349)</f>
        <v/>
      </c>
      <c r="MP5" s="39">
        <f>EDATE(InceptionDate,350)</f>
        <v/>
      </c>
      <c r="MQ5" s="39">
        <f>EDATE(InceptionDate,351)</f>
        <v/>
      </c>
      <c r="MR5" s="39">
        <f>EDATE(InceptionDate,352)</f>
        <v/>
      </c>
      <c r="MS5" s="39">
        <f>EDATE(InceptionDate,353)</f>
        <v/>
      </c>
      <c r="MT5" s="39">
        <f>EDATE(InceptionDate,354)</f>
        <v/>
      </c>
      <c r="MU5" s="39">
        <f>EDATE(InceptionDate,355)</f>
        <v/>
      </c>
      <c r="MV5" s="39">
        <f>EDATE(InceptionDate,356)</f>
        <v/>
      </c>
      <c r="MW5" s="39">
        <f>EDATE(InceptionDate,357)</f>
        <v/>
      </c>
      <c r="MX5" s="39">
        <f>EDATE(InceptionDate,358)</f>
        <v/>
      </c>
      <c r="MY5" s="39">
        <f>EDATE(InceptionDate,359)</f>
        <v/>
      </c>
      <c r="MZ5" s="39">
        <f>EDATE(InceptionDate,360)</f>
        <v/>
      </c>
      <c r="NA5" s="39">
        <f>EDATE(InceptionDate,361)</f>
        <v/>
      </c>
      <c r="NB5" s="39">
        <f>EDATE(InceptionDate,362)</f>
        <v/>
      </c>
      <c r="NC5" s="39">
        <f>EDATE(InceptionDate,363)</f>
        <v/>
      </c>
      <c r="ND5" s="39">
        <f>EDATE(InceptionDate,364)</f>
        <v/>
      </c>
      <c r="NE5" s="39">
        <f>EDATE(InceptionDate,365)</f>
        <v/>
      </c>
      <c r="NF5" s="39">
        <f>EDATE(InceptionDate,366)</f>
        <v/>
      </c>
      <c r="NG5" s="39">
        <f>EDATE(InceptionDate,367)</f>
        <v/>
      </c>
      <c r="NH5" s="39">
        <f>EDATE(InceptionDate,368)</f>
        <v/>
      </c>
      <c r="NI5" s="39">
        <f>EDATE(InceptionDate,369)</f>
        <v/>
      </c>
      <c r="NJ5" s="39">
        <f>EDATE(InceptionDate,370)</f>
        <v/>
      </c>
      <c r="NK5" s="39">
        <f>EDATE(InceptionDate,371)</f>
        <v/>
      </c>
    </row>
    <row r="6">
      <c r="A6" s="5" t="inlineStr">
        <is>
          <t>Land Acquisition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Budget!I5</f>
        <v/>
      </c>
      <c r="NN6" s="42">
        <f>Budget!F5</f>
        <v/>
      </c>
      <c r="NO6" s="42">
        <f>Budget!G5</f>
        <v/>
      </c>
      <c r="NP6" s="17">
        <f>Budget!H5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Existing Structure/Demo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Budget!I6</f>
        <v/>
      </c>
      <c r="NN7" s="42">
        <f>Budget!F6</f>
        <v/>
      </c>
      <c r="NO7" s="42">
        <f>Budget!G6</f>
        <v/>
      </c>
      <c r="NP7" s="17">
        <f>Budget!H6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Due Diligence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Budget!I7</f>
        <v/>
      </c>
      <c r="NN8" s="42">
        <f>Budget!F7</f>
        <v/>
      </c>
      <c r="NO8" s="42">
        <f>Budget!G7</f>
        <v/>
      </c>
      <c r="NP8" s="17">
        <f>Budget!H7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Entitlements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Budget!I8</f>
        <v/>
      </c>
      <c r="NN9" s="42">
        <f>Budget!F8</f>
        <v/>
      </c>
      <c r="NO9" s="42">
        <f>Budget!G8</f>
        <v/>
      </c>
      <c r="NP9" s="17">
        <f>Budget!H8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Architecture &amp; Eng.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Budget!I9</f>
        <v/>
      </c>
      <c r="NN10" s="42">
        <f>Budget!F9</f>
        <v/>
      </c>
      <c r="NO10" s="42">
        <f>Budget!G9</f>
        <v/>
      </c>
      <c r="NP10" s="17">
        <f>Budget!H9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Consultants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Budget!I10</f>
        <v/>
      </c>
      <c r="NN11" s="42">
        <f>Budget!F10</f>
        <v/>
      </c>
      <c r="NO11" s="42">
        <f>Budget!G10</f>
        <v/>
      </c>
      <c r="NP11" s="17">
        <f>Budget!H10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Legal &amp; Org.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Budget!I11</f>
        <v/>
      </c>
      <c r="NN12" s="42">
        <f>Budget!F11</f>
        <v/>
      </c>
      <c r="NO12" s="42">
        <f>Budget!G11</f>
        <v/>
      </c>
      <c r="NP12" s="17">
        <f>Budget!H11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Marketing &amp; Lease-Up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Budget!I12</f>
        <v/>
      </c>
      <c r="NN13" s="42">
        <f>Budget!F12</f>
        <v/>
      </c>
      <c r="NO13" s="42">
        <f>Budget!G12</f>
        <v/>
      </c>
      <c r="NP13" s="17">
        <f>Budget!H12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Budget!I13</f>
        <v/>
      </c>
      <c r="NN14" s="42">
        <f>Budget!F13</f>
        <v/>
      </c>
      <c r="NO14" s="42">
        <f>Budget!G13</f>
        <v/>
      </c>
      <c r="NP14" s="17">
        <f>Budget!H13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Budget!I14</f>
        <v/>
      </c>
      <c r="NN15" s="42">
        <f>Budget!F14</f>
        <v/>
      </c>
      <c r="NO15" s="42">
        <f>Budget!G14</f>
        <v/>
      </c>
      <c r="NP15" s="17">
        <f>Budget!H14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Budget!I15</f>
        <v/>
      </c>
      <c r="NN16" s="42">
        <f>Budget!F15</f>
        <v/>
      </c>
      <c r="NO16" s="42">
        <f>Budget!G15</f>
        <v/>
      </c>
      <c r="NP16" s="17">
        <f>Budget!H15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Budget!I16</f>
        <v/>
      </c>
      <c r="NN17" s="42">
        <f>Budget!F16</f>
        <v/>
      </c>
      <c r="NO17" s="42">
        <f>Budget!G16</f>
        <v/>
      </c>
      <c r="NP17" s="17">
        <f>Budget!H16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Budget!I17</f>
        <v/>
      </c>
      <c r="NN18" s="42">
        <f>Budget!F17</f>
        <v/>
      </c>
      <c r="NO18" s="42">
        <f>Budget!G17</f>
        <v/>
      </c>
      <c r="NP18" s="17">
        <f>Budget!H17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Budget!I18</f>
        <v/>
      </c>
      <c r="NN19" s="42">
        <f>Budget!F18</f>
        <v/>
      </c>
      <c r="NO19" s="42">
        <f>Budget!G18</f>
        <v/>
      </c>
      <c r="NP19" s="17">
        <f>Budget!H18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Budget!I19</f>
        <v/>
      </c>
      <c r="NN20" s="42">
        <f>Budget!F19</f>
        <v/>
      </c>
      <c r="NO20" s="42">
        <f>Budget!G19</f>
        <v/>
      </c>
      <c r="NP20" s="17">
        <f>Budget!H19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Budget!I20</f>
        <v/>
      </c>
      <c r="NN21" s="42">
        <f>Budget!F20</f>
        <v/>
      </c>
      <c r="NO21" s="42">
        <f>Budget!G20</f>
        <v/>
      </c>
      <c r="NP21" s="17">
        <f>Budget!H20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Budget!I21</f>
        <v/>
      </c>
      <c r="NN22" s="42">
        <f>Budget!F21</f>
        <v/>
      </c>
      <c r="NO22" s="42">
        <f>Budget!G21</f>
        <v/>
      </c>
      <c r="NP22" s="17">
        <f>Budget!H21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Budget!I22</f>
        <v/>
      </c>
      <c r="NN23" s="42">
        <f>Budget!F22</f>
        <v/>
      </c>
      <c r="NO23" s="42">
        <f>Budget!G22</f>
        <v/>
      </c>
      <c r="NP23" s="17">
        <f>Budget!H22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Budget!I23</f>
        <v/>
      </c>
      <c r="NN24" s="42">
        <f>Budget!F23</f>
        <v/>
      </c>
      <c r="NO24" s="42">
        <f>Budget!G23</f>
        <v/>
      </c>
      <c r="NP24" s="17">
        <f>Budget!H23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Budget!I24</f>
        <v/>
      </c>
      <c r="NN25" s="42">
        <f>Budget!F24</f>
        <v/>
      </c>
      <c r="NO25" s="42">
        <f>Budget!G24</f>
        <v/>
      </c>
      <c r="NP25" s="17">
        <f>Budget!H24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Budget!I25</f>
        <v/>
      </c>
      <c r="NN26" s="42">
        <f>Budget!F25</f>
        <v/>
      </c>
      <c r="NO26" s="42">
        <f>Budget!G25</f>
        <v/>
      </c>
      <c r="NP26" s="17">
        <f>Budget!H25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Budget!I26</f>
        <v/>
      </c>
      <c r="NN27" s="42">
        <f>Budget!F26</f>
        <v/>
      </c>
      <c r="NO27" s="42">
        <f>Budget!G26</f>
        <v/>
      </c>
      <c r="NP27" s="17">
        <f>Budget!H26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Budget!I27</f>
        <v/>
      </c>
      <c r="NN28" s="42">
        <f>Budget!F27</f>
        <v/>
      </c>
      <c r="NO28" s="42">
        <f>Budget!G27</f>
        <v/>
      </c>
      <c r="NP28" s="17">
        <f>Budget!H27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Budget!I28</f>
        <v/>
      </c>
      <c r="NN29" s="42">
        <f>Budget!F28</f>
        <v/>
      </c>
      <c r="NO29" s="42">
        <f>Budget!G28</f>
        <v/>
      </c>
      <c r="NP29" s="17">
        <f>Budget!H28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Budget!I29</f>
        <v/>
      </c>
      <c r="NN30" s="42">
        <f>Budget!F29</f>
        <v/>
      </c>
      <c r="NO30" s="42">
        <f>Budget!G29</f>
        <v/>
      </c>
      <c r="NP30" s="17">
        <f>Budget!H29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Budget!I30</f>
        <v/>
      </c>
      <c r="NN31" s="42">
        <f>Budget!F30</f>
        <v/>
      </c>
      <c r="NO31" s="42">
        <f>Budget!G30</f>
        <v/>
      </c>
      <c r="NP31" s="17">
        <f>Budget!H30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Budget!I31</f>
        <v/>
      </c>
      <c r="NN32" s="42">
        <f>Budget!F31</f>
        <v/>
      </c>
      <c r="NO32" s="42">
        <f>Budget!G31</f>
        <v/>
      </c>
      <c r="NP32" s="17">
        <f>Budget!H31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SUM(D6:D32)</f>
        <v/>
      </c>
      <c r="E34" s="43">
        <f>SUM(E6:E32)</f>
        <v/>
      </c>
      <c r="F34" s="43">
        <f>SUM(F6:F32)</f>
        <v/>
      </c>
      <c r="G34" s="43">
        <f>SUM(G6:G32)</f>
        <v/>
      </c>
      <c r="H34" s="43">
        <f>SUM(H6:H32)</f>
        <v/>
      </c>
      <c r="I34" s="43">
        <f>SUM(I6:I32)</f>
        <v/>
      </c>
      <c r="J34" s="43">
        <f>SUM(J6:J32)</f>
        <v/>
      </c>
      <c r="K34" s="43">
        <f>SUM(K6:K32)</f>
        <v/>
      </c>
      <c r="L34" s="43">
        <f>SUM(L6:L32)</f>
        <v/>
      </c>
      <c r="M34" s="43">
        <f>SUM(M6:M32)</f>
        <v/>
      </c>
      <c r="N34" s="43">
        <f>SUM(N6:N32)</f>
        <v/>
      </c>
      <c r="O34" s="43">
        <f>SUM(O6:O32)</f>
        <v/>
      </c>
      <c r="P34" s="43">
        <f>SUM(P6:P32)</f>
        <v/>
      </c>
      <c r="Q34" s="43">
        <f>SUM(Q6:Q32)</f>
        <v/>
      </c>
      <c r="R34" s="43">
        <f>SUM(R6:R32)</f>
        <v/>
      </c>
      <c r="S34" s="43">
        <f>SUM(S6:S32)</f>
        <v/>
      </c>
      <c r="T34" s="43">
        <f>SUM(T6:T32)</f>
        <v/>
      </c>
      <c r="U34" s="43">
        <f>SUM(U6:U32)</f>
        <v/>
      </c>
      <c r="V34" s="43">
        <f>SUM(V6:V32)</f>
        <v/>
      </c>
      <c r="W34" s="43">
        <f>SUM(W6:W32)</f>
        <v/>
      </c>
      <c r="X34" s="43">
        <f>SUM(X6:X32)</f>
        <v/>
      </c>
      <c r="Y34" s="43">
        <f>SUM(Y6:Y32)</f>
        <v/>
      </c>
      <c r="Z34" s="43">
        <f>SUM(Z6:Z32)</f>
        <v/>
      </c>
      <c r="AA34" s="43">
        <f>SUM(AA6:AA32)</f>
        <v/>
      </c>
      <c r="AB34" s="43">
        <f>SUM(AB6:AB32)</f>
        <v/>
      </c>
      <c r="AC34" s="43">
        <f>SUM(AC6:AC32)</f>
        <v/>
      </c>
      <c r="AD34" s="43">
        <f>SUM(AD6:AD32)</f>
        <v/>
      </c>
      <c r="AE34" s="43">
        <f>SUM(AE6:AE32)</f>
        <v/>
      </c>
      <c r="AF34" s="43">
        <f>SUM(AF6:AF32)</f>
        <v/>
      </c>
      <c r="AG34" s="43">
        <f>SUM(AG6:AG32)</f>
        <v/>
      </c>
      <c r="AH34" s="43">
        <f>SUM(AH6:AH32)</f>
        <v/>
      </c>
      <c r="AI34" s="43">
        <f>SUM(AI6:AI32)</f>
        <v/>
      </c>
      <c r="AJ34" s="43">
        <f>SUM(AJ6:AJ32)</f>
        <v/>
      </c>
      <c r="AK34" s="43">
        <f>SUM(AK6:AK32)</f>
        <v/>
      </c>
      <c r="AL34" s="43">
        <f>SUM(AL6:AL32)</f>
        <v/>
      </c>
      <c r="AM34" s="43">
        <f>SUM(AM6:AM32)</f>
        <v/>
      </c>
      <c r="AN34" s="43">
        <f>SUM(AN6:AN32)</f>
        <v/>
      </c>
      <c r="AO34" s="43">
        <f>SUM(AO6:AO32)</f>
        <v/>
      </c>
      <c r="AP34" s="43">
        <f>SUM(AP6:AP32)</f>
        <v/>
      </c>
      <c r="AQ34" s="43">
        <f>SUM(AQ6:AQ32)</f>
        <v/>
      </c>
      <c r="AR34" s="43">
        <f>SUM(AR6:AR32)</f>
        <v/>
      </c>
      <c r="AS34" s="43">
        <f>SUM(AS6:AS32)</f>
        <v/>
      </c>
      <c r="AT34" s="43">
        <f>SUM(AT6:AT32)</f>
        <v/>
      </c>
      <c r="AU34" s="43">
        <f>SUM(AU6:AU32)</f>
        <v/>
      </c>
      <c r="AV34" s="43">
        <f>SUM(AV6:AV32)</f>
        <v/>
      </c>
      <c r="AW34" s="43">
        <f>SUM(AW6:AW32)</f>
        <v/>
      </c>
      <c r="AX34" s="43">
        <f>SUM(AX6:AX32)</f>
        <v/>
      </c>
      <c r="AY34" s="43">
        <f>SUM(AY6:AY32)</f>
        <v/>
      </c>
      <c r="AZ34" s="43">
        <f>SUM(AZ6:AZ32)</f>
        <v/>
      </c>
      <c r="BA34" s="43">
        <f>SUM(BA6:BA32)</f>
        <v/>
      </c>
      <c r="BB34" s="43">
        <f>SUM(BB6:BB32)</f>
        <v/>
      </c>
      <c r="BC34" s="43">
        <f>SUM(BC6:BC32)</f>
        <v/>
      </c>
      <c r="BD34" s="43">
        <f>SUM(BD6:BD32)</f>
        <v/>
      </c>
      <c r="BE34" s="43">
        <f>SUM(BE6:BE32)</f>
        <v/>
      </c>
      <c r="BF34" s="43">
        <f>SUM(BF6:BF32)</f>
        <v/>
      </c>
      <c r="BG34" s="43">
        <f>SUM(BG6:BG32)</f>
        <v/>
      </c>
      <c r="BH34" s="43">
        <f>SUM(BH6:BH32)</f>
        <v/>
      </c>
      <c r="BI34" s="43">
        <f>SUM(BI6:BI32)</f>
        <v/>
      </c>
      <c r="BJ34" s="43">
        <f>SUM(BJ6:BJ32)</f>
        <v/>
      </c>
      <c r="BK34" s="43">
        <f>SUM(BK6:BK32)</f>
        <v/>
      </c>
      <c r="BL34" s="43">
        <f>SUM(BL6:BL32)</f>
        <v/>
      </c>
      <c r="BM34" s="43">
        <f>SUM(BM6:BM32)</f>
        <v/>
      </c>
      <c r="BN34" s="43">
        <f>SUM(BN6:BN32)</f>
        <v/>
      </c>
      <c r="BO34" s="43">
        <f>SUM(BO6:BO32)</f>
        <v/>
      </c>
      <c r="BP34" s="43">
        <f>SUM(BP6:BP32)</f>
        <v/>
      </c>
      <c r="BQ34" s="43">
        <f>SUM(BQ6:BQ32)</f>
        <v/>
      </c>
      <c r="BR34" s="43">
        <f>SUM(BR6:BR32)</f>
        <v/>
      </c>
      <c r="BS34" s="43">
        <f>SUM(BS6:BS32)</f>
        <v/>
      </c>
      <c r="BT34" s="43">
        <f>SUM(BT6:BT32)</f>
        <v/>
      </c>
      <c r="BU34" s="43">
        <f>SUM(BU6:BU32)</f>
        <v/>
      </c>
      <c r="BV34" s="43">
        <f>SUM(BV6:BV32)</f>
        <v/>
      </c>
      <c r="BW34" s="43">
        <f>SUM(BW6:BW32)</f>
        <v/>
      </c>
      <c r="BX34" s="43">
        <f>SUM(BX6:BX32)</f>
        <v/>
      </c>
      <c r="BY34" s="43">
        <f>SUM(BY6:BY32)</f>
        <v/>
      </c>
      <c r="BZ34" s="43">
        <f>SUM(BZ6:BZ32)</f>
        <v/>
      </c>
      <c r="CA34" s="43">
        <f>SUM(CA6:CA32)</f>
        <v/>
      </c>
      <c r="CB34" s="43">
        <f>SUM(CB6:CB32)</f>
        <v/>
      </c>
      <c r="CC34" s="43">
        <f>SUM(CC6:CC32)</f>
        <v/>
      </c>
      <c r="CD34" s="43">
        <f>SUM(CD6:CD32)</f>
        <v/>
      </c>
      <c r="CE34" s="43">
        <f>SUM(CE6:CE32)</f>
        <v/>
      </c>
      <c r="CF34" s="43">
        <f>SUM(CF6:CF32)</f>
        <v/>
      </c>
      <c r="CG34" s="43">
        <f>SUM(CG6:CG32)</f>
        <v/>
      </c>
      <c r="CH34" s="43">
        <f>SUM(CH6:CH32)</f>
        <v/>
      </c>
      <c r="CI34" s="43">
        <f>SUM(CI6:CI32)</f>
        <v/>
      </c>
      <c r="CJ34" s="43">
        <f>SUM(CJ6:CJ32)</f>
        <v/>
      </c>
      <c r="CK34" s="43">
        <f>SUM(CK6:CK32)</f>
        <v/>
      </c>
      <c r="CL34" s="43">
        <f>SUM(CL6:CL32)</f>
        <v/>
      </c>
      <c r="CM34" s="43">
        <f>SUM(CM6:CM32)</f>
        <v/>
      </c>
      <c r="CN34" s="43">
        <f>SUM(CN6:CN32)</f>
        <v/>
      </c>
      <c r="CO34" s="43">
        <f>SUM(CO6:CO32)</f>
        <v/>
      </c>
      <c r="CP34" s="43">
        <f>SUM(CP6:CP32)</f>
        <v/>
      </c>
      <c r="CQ34" s="43">
        <f>SUM(CQ6:CQ32)</f>
        <v/>
      </c>
      <c r="CR34" s="43">
        <f>SUM(CR6:CR32)</f>
        <v/>
      </c>
      <c r="CS34" s="43">
        <f>SUM(CS6:CS32)</f>
        <v/>
      </c>
      <c r="CT34" s="43">
        <f>SUM(CT6:CT32)</f>
        <v/>
      </c>
      <c r="CU34" s="43">
        <f>SUM(CU6:CU32)</f>
        <v/>
      </c>
      <c r="CV34" s="43">
        <f>SUM(CV6:CV32)</f>
        <v/>
      </c>
      <c r="CW34" s="43">
        <f>SUM(CW6:CW32)</f>
        <v/>
      </c>
      <c r="CX34" s="43">
        <f>SUM(CX6:CX32)</f>
        <v/>
      </c>
      <c r="CY34" s="43">
        <f>SUM(CY6:CY32)</f>
        <v/>
      </c>
      <c r="CZ34" s="43">
        <f>SUM(CZ6:CZ32)</f>
        <v/>
      </c>
      <c r="DA34" s="43">
        <f>SUM(DA6:DA32)</f>
        <v/>
      </c>
      <c r="DB34" s="43">
        <f>SUM(DB6:DB32)</f>
        <v/>
      </c>
      <c r="DC34" s="43">
        <f>SUM(DC6:DC32)</f>
        <v/>
      </c>
      <c r="DD34" s="43">
        <f>SUM(DD6:DD32)</f>
        <v/>
      </c>
      <c r="DE34" s="43">
        <f>SUM(DE6:DE32)</f>
        <v/>
      </c>
      <c r="DF34" s="43">
        <f>SUM(DF6:DF32)</f>
        <v/>
      </c>
      <c r="DG34" s="43">
        <f>SUM(DG6:DG32)</f>
        <v/>
      </c>
      <c r="DH34" s="43">
        <f>SUM(DH6:DH32)</f>
        <v/>
      </c>
      <c r="DI34" s="43">
        <f>SUM(DI6:DI32)</f>
        <v/>
      </c>
      <c r="DJ34" s="43">
        <f>SUM(DJ6:DJ32)</f>
        <v/>
      </c>
      <c r="DK34" s="43">
        <f>SUM(DK6:DK32)</f>
        <v/>
      </c>
      <c r="DL34" s="43">
        <f>SUM(DL6:DL32)</f>
        <v/>
      </c>
      <c r="DM34" s="43">
        <f>SUM(DM6:DM32)</f>
        <v/>
      </c>
      <c r="DN34" s="43">
        <f>SUM(DN6:DN32)</f>
        <v/>
      </c>
      <c r="DO34" s="43">
        <f>SUM(DO6:DO32)</f>
        <v/>
      </c>
      <c r="DP34" s="43">
        <f>SUM(DP6:DP32)</f>
        <v/>
      </c>
      <c r="DQ34" s="43">
        <f>SUM(DQ6:DQ32)</f>
        <v/>
      </c>
      <c r="DR34" s="43">
        <f>SUM(DR6:DR32)</f>
        <v/>
      </c>
      <c r="DS34" s="43">
        <f>SUM(DS6:DS32)</f>
        <v/>
      </c>
      <c r="DT34" s="43">
        <f>SUM(DT6:DT32)</f>
        <v/>
      </c>
      <c r="DU34" s="43">
        <f>SUM(DU6:DU32)</f>
        <v/>
      </c>
      <c r="DV34" s="43">
        <f>SUM(DV6:DV32)</f>
        <v/>
      </c>
      <c r="DW34" s="43">
        <f>SUM(DW6:DW32)</f>
        <v/>
      </c>
      <c r="DX34" s="43">
        <f>SUM(DX6:DX32)</f>
        <v/>
      </c>
      <c r="DY34" s="43">
        <f>SUM(DY6:DY32)</f>
        <v/>
      </c>
      <c r="DZ34" s="43">
        <f>SUM(DZ6:DZ32)</f>
        <v/>
      </c>
      <c r="EA34" s="43">
        <f>SUM(EA6:EA32)</f>
        <v/>
      </c>
      <c r="EB34" s="43">
        <f>SUM(EB6:EB32)</f>
        <v/>
      </c>
      <c r="EC34" s="43">
        <f>SUM(EC6:EC32)</f>
        <v/>
      </c>
      <c r="ED34" s="43">
        <f>SUM(ED6:ED32)</f>
        <v/>
      </c>
      <c r="EE34" s="43">
        <f>SUM(EE6:EE32)</f>
        <v/>
      </c>
      <c r="EF34" s="43">
        <f>SUM(EF6:EF32)</f>
        <v/>
      </c>
      <c r="EG34" s="43">
        <f>SUM(EG6:EG32)</f>
        <v/>
      </c>
      <c r="EH34" s="43">
        <f>SUM(EH6:EH32)</f>
        <v/>
      </c>
      <c r="EI34" s="43">
        <f>SUM(EI6:EI32)</f>
        <v/>
      </c>
      <c r="EJ34" s="43">
        <f>SUM(EJ6:EJ32)</f>
        <v/>
      </c>
      <c r="EK34" s="43">
        <f>SUM(EK6:EK32)</f>
        <v/>
      </c>
      <c r="EL34" s="43">
        <f>SUM(EL6:EL32)</f>
        <v/>
      </c>
      <c r="EM34" s="43">
        <f>SUM(EM6:EM32)</f>
        <v/>
      </c>
      <c r="EN34" s="43">
        <f>SUM(EN6:EN32)</f>
        <v/>
      </c>
      <c r="EO34" s="43">
        <f>SUM(EO6:EO32)</f>
        <v/>
      </c>
      <c r="EP34" s="43">
        <f>SUM(EP6:EP32)</f>
        <v/>
      </c>
      <c r="EQ34" s="43">
        <f>SUM(EQ6:EQ32)</f>
        <v/>
      </c>
      <c r="ER34" s="43">
        <f>SUM(ER6:ER32)</f>
        <v/>
      </c>
      <c r="ES34" s="43">
        <f>SUM(ES6:ES32)</f>
        <v/>
      </c>
      <c r="ET34" s="43">
        <f>SUM(ET6:ET32)</f>
        <v/>
      </c>
      <c r="EU34" s="43">
        <f>SUM(EU6:EU32)</f>
        <v/>
      </c>
      <c r="EV34" s="43">
        <f>SUM(EV6:EV32)</f>
        <v/>
      </c>
      <c r="EW34" s="43">
        <f>SUM(EW6:EW32)</f>
        <v/>
      </c>
      <c r="EX34" s="43">
        <f>SUM(EX6:EX32)</f>
        <v/>
      </c>
      <c r="EY34" s="43">
        <f>SUM(EY6:EY32)</f>
        <v/>
      </c>
      <c r="EZ34" s="43">
        <f>SUM(EZ6:EZ32)</f>
        <v/>
      </c>
      <c r="FA34" s="43">
        <f>SUM(FA6:FA32)</f>
        <v/>
      </c>
      <c r="FB34" s="43">
        <f>SUM(FB6:FB32)</f>
        <v/>
      </c>
      <c r="FC34" s="43">
        <f>SUM(FC6:FC32)</f>
        <v/>
      </c>
      <c r="FD34" s="43">
        <f>SUM(FD6:FD32)</f>
        <v/>
      </c>
      <c r="FE34" s="43">
        <f>SUM(FE6:FE32)</f>
        <v/>
      </c>
      <c r="FF34" s="43">
        <f>SUM(FF6:FF32)</f>
        <v/>
      </c>
      <c r="FG34" s="43">
        <f>SUM(FG6:FG32)</f>
        <v/>
      </c>
      <c r="FH34" s="43">
        <f>SUM(FH6:FH32)</f>
        <v/>
      </c>
      <c r="FI34" s="43">
        <f>SUM(FI6:FI32)</f>
        <v/>
      </c>
      <c r="FJ34" s="43">
        <f>SUM(FJ6:FJ32)</f>
        <v/>
      </c>
      <c r="FK34" s="43">
        <f>SUM(FK6:FK32)</f>
        <v/>
      </c>
      <c r="FL34" s="43">
        <f>SUM(FL6:FL32)</f>
        <v/>
      </c>
      <c r="FM34" s="43">
        <f>SUM(FM6:FM32)</f>
        <v/>
      </c>
      <c r="FN34" s="43">
        <f>SUM(FN6:FN32)</f>
        <v/>
      </c>
      <c r="FO34" s="43">
        <f>SUM(FO6:FO32)</f>
        <v/>
      </c>
      <c r="FP34" s="43">
        <f>SUM(FP6:FP32)</f>
        <v/>
      </c>
      <c r="FQ34" s="43">
        <f>SUM(FQ6:FQ32)</f>
        <v/>
      </c>
      <c r="FR34" s="43">
        <f>SUM(FR6:FR32)</f>
        <v/>
      </c>
      <c r="FS34" s="43">
        <f>SUM(FS6:FS32)</f>
        <v/>
      </c>
      <c r="FT34" s="43">
        <f>SUM(FT6:FT32)</f>
        <v/>
      </c>
      <c r="FU34" s="43">
        <f>SUM(FU6:FU32)</f>
        <v/>
      </c>
      <c r="FV34" s="43">
        <f>SUM(FV6:FV32)</f>
        <v/>
      </c>
      <c r="FW34" s="43">
        <f>SUM(FW6:FW32)</f>
        <v/>
      </c>
      <c r="FX34" s="43">
        <f>SUM(FX6:FX32)</f>
        <v/>
      </c>
      <c r="FY34" s="43">
        <f>SUM(FY6:FY32)</f>
        <v/>
      </c>
      <c r="FZ34" s="43">
        <f>SUM(FZ6:FZ32)</f>
        <v/>
      </c>
      <c r="GA34" s="43">
        <f>SUM(GA6:GA32)</f>
        <v/>
      </c>
      <c r="GB34" s="43">
        <f>SUM(GB6:GB32)</f>
        <v/>
      </c>
      <c r="GC34" s="43">
        <f>SUM(GC6:GC32)</f>
        <v/>
      </c>
      <c r="GD34" s="43">
        <f>SUM(GD6:GD32)</f>
        <v/>
      </c>
      <c r="GE34" s="43">
        <f>SUM(GE6:GE32)</f>
        <v/>
      </c>
      <c r="GF34" s="43">
        <f>SUM(GF6:GF32)</f>
        <v/>
      </c>
      <c r="GG34" s="43">
        <f>SUM(GG6:GG32)</f>
        <v/>
      </c>
      <c r="GH34" s="43">
        <f>SUM(GH6:GH32)</f>
        <v/>
      </c>
      <c r="GI34" s="43">
        <f>SUM(GI6:GI32)</f>
        <v/>
      </c>
      <c r="GJ34" s="43">
        <f>SUM(GJ6:GJ32)</f>
        <v/>
      </c>
      <c r="GK34" s="43">
        <f>SUM(GK6:GK32)</f>
        <v/>
      </c>
      <c r="GL34" s="43">
        <f>SUM(GL6:GL32)</f>
        <v/>
      </c>
      <c r="GM34" s="43">
        <f>SUM(GM6:GM32)</f>
        <v/>
      </c>
      <c r="GN34" s="43">
        <f>SUM(GN6:GN32)</f>
        <v/>
      </c>
      <c r="GO34" s="43">
        <f>SUM(GO6:GO32)</f>
        <v/>
      </c>
      <c r="GP34" s="43">
        <f>SUM(GP6:GP32)</f>
        <v/>
      </c>
      <c r="GQ34" s="43">
        <f>SUM(GQ6:GQ32)</f>
        <v/>
      </c>
      <c r="GR34" s="43">
        <f>SUM(GR6:GR32)</f>
        <v/>
      </c>
      <c r="GS34" s="43">
        <f>SUM(GS6:GS32)</f>
        <v/>
      </c>
      <c r="GT34" s="43">
        <f>SUM(GT6:GT32)</f>
        <v/>
      </c>
      <c r="GU34" s="43">
        <f>SUM(GU6:GU32)</f>
        <v/>
      </c>
      <c r="GV34" s="43">
        <f>SUM(GV6:GV32)</f>
        <v/>
      </c>
      <c r="GW34" s="43">
        <f>SUM(GW6:GW32)</f>
        <v/>
      </c>
      <c r="GX34" s="43">
        <f>SUM(GX6:GX32)</f>
        <v/>
      </c>
      <c r="GY34" s="43">
        <f>SUM(GY6:GY32)</f>
        <v/>
      </c>
      <c r="GZ34" s="43">
        <f>SUM(GZ6:GZ32)</f>
        <v/>
      </c>
      <c r="HA34" s="43">
        <f>SUM(HA6:HA32)</f>
        <v/>
      </c>
      <c r="HB34" s="43">
        <f>SUM(HB6:HB32)</f>
        <v/>
      </c>
      <c r="HC34" s="43">
        <f>SUM(HC6:HC32)</f>
        <v/>
      </c>
      <c r="HD34" s="43">
        <f>SUM(HD6:HD32)</f>
        <v/>
      </c>
      <c r="HE34" s="43">
        <f>SUM(HE6:HE32)</f>
        <v/>
      </c>
      <c r="HF34" s="43">
        <f>SUM(HF6:HF32)</f>
        <v/>
      </c>
      <c r="HG34" s="43">
        <f>SUM(HG6:HG32)</f>
        <v/>
      </c>
      <c r="HH34" s="43">
        <f>SUM(HH6:HH32)</f>
        <v/>
      </c>
      <c r="HI34" s="43">
        <f>SUM(HI6:HI32)</f>
        <v/>
      </c>
      <c r="HJ34" s="43">
        <f>SUM(HJ6:HJ32)</f>
        <v/>
      </c>
      <c r="HK34" s="43">
        <f>SUM(HK6:HK32)</f>
        <v/>
      </c>
      <c r="HL34" s="43">
        <f>SUM(HL6:HL32)</f>
        <v/>
      </c>
      <c r="HM34" s="43">
        <f>SUM(HM6:HM32)</f>
        <v/>
      </c>
      <c r="HN34" s="43">
        <f>SUM(HN6:HN32)</f>
        <v/>
      </c>
      <c r="HO34" s="43">
        <f>SUM(HO6:HO32)</f>
        <v/>
      </c>
      <c r="HP34" s="43">
        <f>SUM(HP6:HP32)</f>
        <v/>
      </c>
      <c r="HQ34" s="43">
        <f>SUM(HQ6:HQ32)</f>
        <v/>
      </c>
      <c r="HR34" s="43">
        <f>SUM(HR6:HR32)</f>
        <v/>
      </c>
      <c r="HS34" s="43">
        <f>SUM(HS6:HS32)</f>
        <v/>
      </c>
      <c r="HT34" s="43">
        <f>SUM(HT6:HT32)</f>
        <v/>
      </c>
      <c r="HU34" s="43">
        <f>SUM(HU6:HU32)</f>
        <v/>
      </c>
      <c r="HV34" s="43">
        <f>SUM(HV6:HV32)</f>
        <v/>
      </c>
      <c r="HW34" s="43">
        <f>SUM(HW6:HW32)</f>
        <v/>
      </c>
      <c r="HX34" s="43">
        <f>SUM(HX6:HX32)</f>
        <v/>
      </c>
      <c r="HY34" s="43">
        <f>SUM(HY6:HY32)</f>
        <v/>
      </c>
      <c r="HZ34" s="43">
        <f>SUM(HZ6:HZ32)</f>
        <v/>
      </c>
      <c r="IA34" s="43">
        <f>SUM(IA6:IA32)</f>
        <v/>
      </c>
      <c r="IB34" s="43">
        <f>SUM(IB6:IB32)</f>
        <v/>
      </c>
      <c r="IC34" s="43">
        <f>SUM(IC6:IC32)</f>
        <v/>
      </c>
      <c r="ID34" s="43">
        <f>SUM(ID6:ID32)</f>
        <v/>
      </c>
      <c r="IE34" s="43">
        <f>SUM(IE6:IE32)</f>
        <v/>
      </c>
      <c r="IF34" s="43">
        <f>SUM(IF6:IF32)</f>
        <v/>
      </c>
      <c r="IG34" s="43">
        <f>SUM(IG6:IG32)</f>
        <v/>
      </c>
      <c r="IH34" s="43">
        <f>SUM(IH6:IH32)</f>
        <v/>
      </c>
      <c r="II34" s="43">
        <f>SUM(II6:II32)</f>
        <v/>
      </c>
      <c r="IJ34" s="43">
        <f>SUM(IJ6:IJ32)</f>
        <v/>
      </c>
      <c r="IK34" s="43">
        <f>SUM(IK6:IK32)</f>
        <v/>
      </c>
      <c r="IL34" s="43">
        <f>SUM(IL6:IL32)</f>
        <v/>
      </c>
      <c r="IM34" s="43">
        <f>SUM(IM6:IM32)</f>
        <v/>
      </c>
      <c r="IN34" s="43">
        <f>SUM(IN6:IN32)</f>
        <v/>
      </c>
      <c r="IO34" s="43">
        <f>SUM(IO6:IO32)</f>
        <v/>
      </c>
      <c r="IP34" s="43">
        <f>SUM(IP6:IP32)</f>
        <v/>
      </c>
      <c r="IQ34" s="43">
        <f>SUM(IQ6:IQ32)</f>
        <v/>
      </c>
      <c r="IR34" s="43">
        <f>SUM(IR6:IR32)</f>
        <v/>
      </c>
      <c r="IS34" s="43">
        <f>SUM(IS6:IS32)</f>
        <v/>
      </c>
      <c r="IT34" s="43">
        <f>SUM(IT6:IT32)</f>
        <v/>
      </c>
      <c r="IU34" s="43">
        <f>SUM(IU6:IU32)</f>
        <v/>
      </c>
      <c r="IV34" s="43">
        <f>SUM(IV6:IV32)</f>
        <v/>
      </c>
      <c r="IW34" s="43">
        <f>SUM(IW6:IW32)</f>
        <v/>
      </c>
      <c r="IX34" s="43">
        <f>SUM(IX6:IX32)</f>
        <v/>
      </c>
      <c r="IY34" s="43">
        <f>SUM(IY6:IY32)</f>
        <v/>
      </c>
      <c r="IZ34" s="43">
        <f>SUM(IZ6:IZ32)</f>
        <v/>
      </c>
      <c r="JA34" s="43">
        <f>SUM(JA6:JA32)</f>
        <v/>
      </c>
      <c r="JB34" s="43">
        <f>SUM(JB6:JB32)</f>
        <v/>
      </c>
      <c r="JC34" s="43">
        <f>SUM(JC6:JC32)</f>
        <v/>
      </c>
      <c r="JD34" s="43">
        <f>SUM(JD6:JD32)</f>
        <v/>
      </c>
      <c r="JE34" s="43">
        <f>SUM(JE6:JE32)</f>
        <v/>
      </c>
      <c r="JF34" s="43">
        <f>SUM(JF6:JF32)</f>
        <v/>
      </c>
      <c r="JG34" s="43">
        <f>SUM(JG6:JG32)</f>
        <v/>
      </c>
      <c r="JH34" s="43">
        <f>SUM(JH6:JH32)</f>
        <v/>
      </c>
      <c r="JI34" s="43">
        <f>SUM(JI6:JI32)</f>
        <v/>
      </c>
      <c r="JJ34" s="43">
        <f>SUM(JJ6:JJ32)</f>
        <v/>
      </c>
      <c r="JK34" s="43">
        <f>SUM(JK6:JK32)</f>
        <v/>
      </c>
      <c r="JL34" s="43">
        <f>SUM(JL6:JL32)</f>
        <v/>
      </c>
      <c r="JM34" s="43">
        <f>SUM(JM6:JM32)</f>
        <v/>
      </c>
      <c r="JN34" s="43">
        <f>SUM(JN6:JN32)</f>
        <v/>
      </c>
      <c r="JO34" s="43">
        <f>SUM(JO6:JO32)</f>
        <v/>
      </c>
      <c r="JP34" s="43">
        <f>SUM(JP6:JP32)</f>
        <v/>
      </c>
      <c r="JQ34" s="43">
        <f>SUM(JQ6:JQ32)</f>
        <v/>
      </c>
      <c r="JR34" s="43">
        <f>SUM(JR6:JR32)</f>
        <v/>
      </c>
      <c r="JS34" s="43">
        <f>SUM(JS6:JS32)</f>
        <v/>
      </c>
      <c r="JT34" s="43">
        <f>SUM(JT6:JT32)</f>
        <v/>
      </c>
      <c r="JU34" s="43">
        <f>SUM(JU6:JU32)</f>
        <v/>
      </c>
      <c r="JV34" s="43">
        <f>SUM(JV6:JV32)</f>
        <v/>
      </c>
      <c r="JW34" s="43">
        <f>SUM(JW6:JW32)</f>
        <v/>
      </c>
      <c r="JX34" s="43">
        <f>SUM(JX6:JX32)</f>
        <v/>
      </c>
      <c r="JY34" s="43">
        <f>SUM(JY6:JY32)</f>
        <v/>
      </c>
      <c r="JZ34" s="43">
        <f>SUM(JZ6:JZ32)</f>
        <v/>
      </c>
      <c r="KA34" s="43">
        <f>SUM(KA6:KA32)</f>
        <v/>
      </c>
      <c r="KB34" s="43">
        <f>SUM(KB6:KB32)</f>
        <v/>
      </c>
      <c r="KC34" s="43">
        <f>SUM(KC6:KC32)</f>
        <v/>
      </c>
      <c r="KD34" s="43">
        <f>SUM(KD6:KD32)</f>
        <v/>
      </c>
      <c r="KE34" s="43">
        <f>SUM(KE6:KE32)</f>
        <v/>
      </c>
      <c r="KF34" s="43">
        <f>SUM(KF6:KF32)</f>
        <v/>
      </c>
      <c r="KG34" s="43">
        <f>SUM(KG6:KG32)</f>
        <v/>
      </c>
      <c r="KH34" s="43">
        <f>SUM(KH6:KH32)</f>
        <v/>
      </c>
      <c r="KI34" s="43">
        <f>SUM(KI6:KI32)</f>
        <v/>
      </c>
      <c r="KJ34" s="43">
        <f>SUM(KJ6:KJ32)</f>
        <v/>
      </c>
      <c r="KK34" s="43">
        <f>SUM(KK6:KK32)</f>
        <v/>
      </c>
      <c r="KL34" s="43">
        <f>SUM(KL6:KL32)</f>
        <v/>
      </c>
      <c r="KM34" s="43">
        <f>SUM(KM6:KM32)</f>
        <v/>
      </c>
      <c r="KN34" s="43">
        <f>SUM(KN6:KN32)</f>
        <v/>
      </c>
      <c r="KO34" s="43">
        <f>SUM(KO6:KO32)</f>
        <v/>
      </c>
      <c r="KP34" s="43">
        <f>SUM(KP6:KP32)</f>
        <v/>
      </c>
      <c r="KQ34" s="43">
        <f>SUM(KQ6:KQ32)</f>
        <v/>
      </c>
      <c r="KR34" s="43">
        <f>SUM(KR6:KR32)</f>
        <v/>
      </c>
      <c r="KS34" s="43">
        <f>SUM(KS6:KS32)</f>
        <v/>
      </c>
      <c r="KT34" s="43">
        <f>SUM(KT6:KT32)</f>
        <v/>
      </c>
      <c r="KU34" s="43">
        <f>SUM(KU6:KU32)</f>
        <v/>
      </c>
      <c r="KV34" s="43">
        <f>SUM(KV6:KV32)</f>
        <v/>
      </c>
      <c r="KW34" s="43">
        <f>SUM(KW6:KW32)</f>
        <v/>
      </c>
      <c r="KX34" s="43">
        <f>SUM(KX6:KX32)</f>
        <v/>
      </c>
      <c r="KY34" s="43">
        <f>SUM(KY6:KY32)</f>
        <v/>
      </c>
      <c r="KZ34" s="43">
        <f>SUM(KZ6:KZ32)</f>
        <v/>
      </c>
      <c r="LA34" s="43">
        <f>SUM(LA6:LA32)</f>
        <v/>
      </c>
      <c r="LB34" s="43">
        <f>SUM(LB6:LB32)</f>
        <v/>
      </c>
      <c r="LC34" s="43">
        <f>SUM(LC6:LC32)</f>
        <v/>
      </c>
      <c r="LD34" s="43">
        <f>SUM(LD6:LD32)</f>
        <v/>
      </c>
      <c r="LE34" s="43">
        <f>SUM(LE6:LE32)</f>
        <v/>
      </c>
      <c r="LF34" s="43">
        <f>SUM(LF6:LF32)</f>
        <v/>
      </c>
      <c r="LG34" s="43">
        <f>SUM(LG6:LG32)</f>
        <v/>
      </c>
      <c r="LH34" s="43">
        <f>SUM(LH6:LH32)</f>
        <v/>
      </c>
      <c r="LI34" s="43">
        <f>SUM(LI6:LI32)</f>
        <v/>
      </c>
      <c r="LJ34" s="43">
        <f>SUM(LJ6:LJ32)</f>
        <v/>
      </c>
      <c r="LK34" s="43">
        <f>SUM(LK6:LK32)</f>
        <v/>
      </c>
      <c r="LL34" s="43">
        <f>SUM(LL6:LL32)</f>
        <v/>
      </c>
      <c r="LM34" s="43">
        <f>SUM(LM6:LM32)</f>
        <v/>
      </c>
      <c r="LN34" s="43">
        <f>SUM(LN6:LN32)</f>
        <v/>
      </c>
      <c r="LO34" s="43">
        <f>SUM(LO6:LO32)</f>
        <v/>
      </c>
      <c r="LP34" s="43">
        <f>SUM(LP6:LP32)</f>
        <v/>
      </c>
      <c r="LQ34" s="43">
        <f>SUM(LQ6:LQ32)</f>
        <v/>
      </c>
      <c r="LR34" s="43">
        <f>SUM(LR6:LR32)</f>
        <v/>
      </c>
      <c r="LS34" s="43">
        <f>SUM(LS6:LS32)</f>
        <v/>
      </c>
      <c r="LT34" s="43">
        <f>SUM(LT6:LT32)</f>
        <v/>
      </c>
      <c r="LU34" s="43">
        <f>SUM(LU6:LU32)</f>
        <v/>
      </c>
      <c r="LV34" s="43">
        <f>SUM(LV6:LV32)</f>
        <v/>
      </c>
      <c r="LW34" s="43">
        <f>SUM(LW6:LW32)</f>
        <v/>
      </c>
      <c r="LX34" s="43">
        <f>SUM(LX6:LX32)</f>
        <v/>
      </c>
      <c r="LY34" s="43">
        <f>SUM(LY6:LY32)</f>
        <v/>
      </c>
      <c r="LZ34" s="43">
        <f>SUM(LZ6:LZ32)</f>
        <v/>
      </c>
      <c r="MA34" s="43">
        <f>SUM(MA6:MA32)</f>
        <v/>
      </c>
      <c r="MB34" s="43">
        <f>SUM(MB6:MB32)</f>
        <v/>
      </c>
      <c r="MC34" s="43">
        <f>SUM(MC6:MC32)</f>
        <v/>
      </c>
      <c r="MD34" s="43">
        <f>SUM(MD6:MD32)</f>
        <v/>
      </c>
      <c r="ME34" s="43">
        <f>SUM(ME6:ME32)</f>
        <v/>
      </c>
      <c r="MF34" s="43">
        <f>SUM(MF6:MF32)</f>
        <v/>
      </c>
      <c r="MG34" s="43">
        <f>SUM(MG6:MG32)</f>
        <v/>
      </c>
      <c r="MH34" s="43">
        <f>SUM(MH6:MH32)</f>
        <v/>
      </c>
      <c r="MI34" s="43">
        <f>SUM(MI6:MI32)</f>
        <v/>
      </c>
      <c r="MJ34" s="43">
        <f>SUM(MJ6:MJ32)</f>
        <v/>
      </c>
      <c r="MK34" s="43">
        <f>SUM(MK6:MK32)</f>
        <v/>
      </c>
      <c r="ML34" s="43">
        <f>SUM(ML6:ML32)</f>
        <v/>
      </c>
      <c r="MM34" s="43">
        <f>SUM(MM6:MM32)</f>
        <v/>
      </c>
      <c r="MN34" s="43">
        <f>SUM(MN6:MN32)</f>
        <v/>
      </c>
      <c r="MO34" s="43">
        <f>SUM(MO6:MO32)</f>
        <v/>
      </c>
      <c r="MP34" s="43">
        <f>SUM(MP6:MP32)</f>
        <v/>
      </c>
      <c r="MQ34" s="43">
        <f>SUM(MQ6:MQ32)</f>
        <v/>
      </c>
      <c r="MR34" s="43">
        <f>SUM(MR6:MR32)</f>
        <v/>
      </c>
      <c r="MS34" s="43">
        <f>SUM(MS6:MS32)</f>
        <v/>
      </c>
      <c r="MT34" s="43">
        <f>SUM(MT6:MT32)</f>
        <v/>
      </c>
      <c r="MU34" s="43">
        <f>SUM(MU6:MU32)</f>
        <v/>
      </c>
      <c r="MV34" s="43">
        <f>SUM(MV6:MV32)</f>
        <v/>
      </c>
      <c r="MW34" s="43">
        <f>SUM(MW6:MW32)</f>
        <v/>
      </c>
      <c r="MX34" s="43">
        <f>SUM(MX6:MX32)</f>
        <v/>
      </c>
      <c r="MY34" s="43">
        <f>SUM(MY6:MY32)</f>
        <v/>
      </c>
      <c r="MZ34" s="43">
        <f>SUM(MZ6:MZ32)</f>
        <v/>
      </c>
      <c r="NA34" s="43">
        <f>SUM(NA6:NA32)</f>
        <v/>
      </c>
      <c r="NB34" s="43">
        <f>SUM(NB6:NB32)</f>
        <v/>
      </c>
      <c r="NC34" s="43">
        <f>SUM(NC6:NC32)</f>
        <v/>
      </c>
      <c r="ND34" s="43">
        <f>SUM(ND6:ND32)</f>
        <v/>
      </c>
      <c r="NE34" s="43">
        <f>SUM(NE6:NE32)</f>
        <v/>
      </c>
      <c r="NF34" s="43">
        <f>SUM(NF6:NF32)</f>
        <v/>
      </c>
      <c r="NG34" s="43">
        <f>SUM(NG6:NG32)</f>
        <v/>
      </c>
      <c r="NH34" s="43">
        <f>SUM(NH6:NH32)</f>
        <v/>
      </c>
      <c r="NI34" s="43">
        <f>SUM(NI6:NI32)</f>
        <v/>
      </c>
      <c r="NJ34" s="43">
        <f>SUM(NJ6:NJ32)</f>
        <v/>
      </c>
      <c r="NK34" s="43">
        <f>SUM(NK6:NK32)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6">
      <c r="A36" s="5" t="inlineStr">
        <is>
          <t>Hard Cost Spend</t>
        </is>
      </c>
      <c r="C36" s="41">
        <f>SUM(D36:NK36)</f>
        <v/>
      </c>
      <c r="D36" s="18">
        <f>D$15+D$16+D$17+D$18+D$19+D$20+D$27+D$28+D$29+D$30+D$31+D$32</f>
        <v/>
      </c>
      <c r="E36" s="18">
        <f>E$15+E$16+E$17+E$18+E$19+E$20+E$27+E$28+E$29+E$30+E$31+E$32</f>
        <v/>
      </c>
      <c r="F36" s="18">
        <f>F$15+F$16+F$17+F$18+F$19+F$20+F$27+F$28+F$29+F$30+F$31+F$32</f>
        <v/>
      </c>
      <c r="G36" s="18">
        <f>G$15+G$16+G$17+G$18+G$19+G$20+G$27+G$28+G$29+G$30+G$31+G$32</f>
        <v/>
      </c>
      <c r="H36" s="18">
        <f>H$15+H$16+H$17+H$18+H$19+H$20+H$27+H$28+H$29+H$30+H$31+H$32</f>
        <v/>
      </c>
      <c r="I36" s="18">
        <f>I$15+I$16+I$17+I$18+I$19+I$20+I$27+I$28+I$29+I$30+I$31+I$32</f>
        <v/>
      </c>
      <c r="J36" s="18">
        <f>J$15+J$16+J$17+J$18+J$19+J$20+J$27+J$28+J$29+J$30+J$31+J$32</f>
        <v/>
      </c>
      <c r="K36" s="18">
        <f>K$15+K$16+K$17+K$18+K$19+K$20+K$27+K$28+K$29+K$30+K$31+K$32</f>
        <v/>
      </c>
      <c r="L36" s="18">
        <f>L$15+L$16+L$17+L$18+L$19+L$20+L$27+L$28+L$29+L$30+L$31+L$32</f>
        <v/>
      </c>
      <c r="M36" s="18">
        <f>M$15+M$16+M$17+M$18+M$19+M$20+M$27+M$28+M$29+M$30+M$31+M$32</f>
        <v/>
      </c>
      <c r="N36" s="18">
        <f>N$15+N$16+N$17+N$18+N$19+N$20+N$27+N$28+N$29+N$30+N$31+N$32</f>
        <v/>
      </c>
      <c r="O36" s="18">
        <f>O$15+O$16+O$17+O$18+O$19+O$20+O$27+O$28+O$29+O$30+O$31+O$32</f>
        <v/>
      </c>
      <c r="P36" s="18">
        <f>P$15+P$16+P$17+P$18+P$19+P$20+P$27+P$28+P$29+P$30+P$31+P$32</f>
        <v/>
      </c>
      <c r="Q36" s="18">
        <f>Q$15+Q$16+Q$17+Q$18+Q$19+Q$20+Q$27+Q$28+Q$29+Q$30+Q$31+Q$32</f>
        <v/>
      </c>
      <c r="R36" s="18">
        <f>R$15+R$16+R$17+R$18+R$19+R$20+R$27+R$28+R$29+R$30+R$31+R$32</f>
        <v/>
      </c>
      <c r="S36" s="18">
        <f>S$15+S$16+S$17+S$18+S$19+S$20+S$27+S$28+S$29+S$30+S$31+S$32</f>
        <v/>
      </c>
      <c r="T36" s="18">
        <f>T$15+T$16+T$17+T$18+T$19+T$20+T$27+T$28+T$29+T$30+T$31+T$32</f>
        <v/>
      </c>
      <c r="U36" s="18">
        <f>U$15+U$16+U$17+U$18+U$19+U$20+U$27+U$28+U$29+U$30+U$31+U$32</f>
        <v/>
      </c>
      <c r="V36" s="18">
        <f>V$15+V$16+V$17+V$18+V$19+V$20+V$27+V$28+V$29+V$30+V$31+V$32</f>
        <v/>
      </c>
      <c r="W36" s="18">
        <f>W$15+W$16+W$17+W$18+W$19+W$20+W$27+W$28+W$29+W$30+W$31+W$32</f>
        <v/>
      </c>
      <c r="X36" s="18">
        <f>X$15+X$16+X$17+X$18+X$19+X$20+X$27+X$28+X$29+X$30+X$31+X$32</f>
        <v/>
      </c>
      <c r="Y36" s="18">
        <f>Y$15+Y$16+Y$17+Y$18+Y$19+Y$20+Y$27+Y$28+Y$29+Y$30+Y$31+Y$32</f>
        <v/>
      </c>
      <c r="Z36" s="18">
        <f>Z$15+Z$16+Z$17+Z$18+Z$19+Z$20+Z$27+Z$28+Z$29+Z$30+Z$31+Z$32</f>
        <v/>
      </c>
      <c r="AA36" s="18">
        <f>AA$15+AA$16+AA$17+AA$18+AA$19+AA$20+AA$27+AA$28+AA$29+AA$30+AA$31+AA$32</f>
        <v/>
      </c>
      <c r="AB36" s="18">
        <f>AB$15+AB$16+AB$17+AB$18+AB$19+AB$20+AB$27+AB$28+AB$29+AB$30+AB$31+AB$32</f>
        <v/>
      </c>
      <c r="AC36" s="18">
        <f>AC$15+AC$16+AC$17+AC$18+AC$19+AC$20+AC$27+AC$28+AC$29+AC$30+AC$31+AC$32</f>
        <v/>
      </c>
      <c r="AD36" s="18">
        <f>AD$15+AD$16+AD$17+AD$18+AD$19+AD$20+AD$27+AD$28+AD$29+AD$30+AD$31+AD$32</f>
        <v/>
      </c>
      <c r="AE36" s="18">
        <f>AE$15+AE$16+AE$17+AE$18+AE$19+AE$20+AE$27+AE$28+AE$29+AE$30+AE$31+AE$32</f>
        <v/>
      </c>
      <c r="AF36" s="18">
        <f>AF$15+AF$16+AF$17+AF$18+AF$19+AF$20+AF$27+AF$28+AF$29+AF$30+AF$31+AF$32</f>
        <v/>
      </c>
      <c r="AG36" s="18">
        <f>AG$15+AG$16+AG$17+AG$18+AG$19+AG$20+AG$27+AG$28+AG$29+AG$30+AG$31+AG$32</f>
        <v/>
      </c>
      <c r="AH36" s="18">
        <f>AH$15+AH$16+AH$17+AH$18+AH$19+AH$20+AH$27+AH$28+AH$29+AH$30+AH$31+AH$32</f>
        <v/>
      </c>
      <c r="AI36" s="18">
        <f>AI$15+AI$16+AI$17+AI$18+AI$19+AI$20+AI$27+AI$28+AI$29+AI$30+AI$31+AI$32</f>
        <v/>
      </c>
      <c r="AJ36" s="18">
        <f>AJ$15+AJ$16+AJ$17+AJ$18+AJ$19+AJ$20+AJ$27+AJ$28+AJ$29+AJ$30+AJ$31+AJ$32</f>
        <v/>
      </c>
      <c r="AK36" s="18">
        <f>AK$15+AK$16+AK$17+AK$18+AK$19+AK$20+AK$27+AK$28+AK$29+AK$30+AK$31+AK$32</f>
        <v/>
      </c>
      <c r="AL36" s="18">
        <f>AL$15+AL$16+AL$17+AL$18+AL$19+AL$20+AL$27+AL$28+AL$29+AL$30+AL$31+AL$32</f>
        <v/>
      </c>
      <c r="AM36" s="18">
        <f>AM$15+AM$16+AM$17+AM$18+AM$19+AM$20+AM$27+AM$28+AM$29+AM$30+AM$31+AM$32</f>
        <v/>
      </c>
      <c r="AN36" s="18">
        <f>AN$15+AN$16+AN$17+AN$18+AN$19+AN$20+AN$27+AN$28+AN$29+AN$30+AN$31+AN$32</f>
        <v/>
      </c>
      <c r="AO36" s="18">
        <f>AO$15+AO$16+AO$17+AO$18+AO$19+AO$20+AO$27+AO$28+AO$29+AO$30+AO$31+AO$32</f>
        <v/>
      </c>
      <c r="AP36" s="18">
        <f>AP$15+AP$16+AP$17+AP$18+AP$19+AP$20+AP$27+AP$28+AP$29+AP$30+AP$31+AP$32</f>
        <v/>
      </c>
      <c r="AQ36" s="18">
        <f>AQ$15+AQ$16+AQ$17+AQ$18+AQ$19+AQ$20+AQ$27+AQ$28+AQ$29+AQ$30+AQ$31+AQ$32</f>
        <v/>
      </c>
      <c r="AR36" s="18">
        <f>AR$15+AR$16+AR$17+AR$18+AR$19+AR$20+AR$27+AR$28+AR$29+AR$30+AR$31+AR$32</f>
        <v/>
      </c>
      <c r="AS36" s="18">
        <f>AS$15+AS$16+AS$17+AS$18+AS$19+AS$20+AS$27+AS$28+AS$29+AS$30+AS$31+AS$32</f>
        <v/>
      </c>
      <c r="AT36" s="18">
        <f>AT$15+AT$16+AT$17+AT$18+AT$19+AT$20+AT$27+AT$28+AT$29+AT$30+AT$31+AT$32</f>
        <v/>
      </c>
      <c r="AU36" s="18">
        <f>AU$15+AU$16+AU$17+AU$18+AU$19+AU$20+AU$27+AU$28+AU$29+AU$30+AU$31+AU$32</f>
        <v/>
      </c>
      <c r="AV36" s="18">
        <f>AV$15+AV$16+AV$17+AV$18+AV$19+AV$20+AV$27+AV$28+AV$29+AV$30+AV$31+AV$32</f>
        <v/>
      </c>
      <c r="AW36" s="18">
        <f>AW$15+AW$16+AW$17+AW$18+AW$19+AW$20+AW$27+AW$28+AW$29+AW$30+AW$31+AW$32</f>
        <v/>
      </c>
      <c r="AX36" s="18">
        <f>AX$15+AX$16+AX$17+AX$18+AX$19+AX$20+AX$27+AX$28+AX$29+AX$30+AX$31+AX$32</f>
        <v/>
      </c>
      <c r="AY36" s="18">
        <f>AY$15+AY$16+AY$17+AY$18+AY$19+AY$20+AY$27+AY$28+AY$29+AY$30+AY$31+AY$32</f>
        <v/>
      </c>
      <c r="AZ36" s="18">
        <f>AZ$15+AZ$16+AZ$17+AZ$18+AZ$19+AZ$20+AZ$27+AZ$28+AZ$29+AZ$30+AZ$31+AZ$32</f>
        <v/>
      </c>
      <c r="BA36" s="18">
        <f>BA$15+BA$16+BA$17+BA$18+BA$19+BA$20+BA$27+BA$28+BA$29+BA$30+BA$31+BA$32</f>
        <v/>
      </c>
      <c r="BB36" s="18">
        <f>BB$15+BB$16+BB$17+BB$18+BB$19+BB$20+BB$27+BB$28+BB$29+BB$30+BB$31+BB$32</f>
        <v/>
      </c>
      <c r="BC36" s="18">
        <f>BC$15+BC$16+BC$17+BC$18+BC$19+BC$20+BC$27+BC$28+BC$29+BC$30+BC$31+BC$32</f>
        <v/>
      </c>
      <c r="BD36" s="18">
        <f>BD$15+BD$16+BD$17+BD$18+BD$19+BD$20+BD$27+BD$28+BD$29+BD$30+BD$31+BD$32</f>
        <v/>
      </c>
      <c r="BE36" s="18">
        <f>BE$15+BE$16+BE$17+BE$18+BE$19+BE$20+BE$27+BE$28+BE$29+BE$30+BE$31+BE$32</f>
        <v/>
      </c>
      <c r="BF36" s="18">
        <f>BF$15+BF$16+BF$17+BF$18+BF$19+BF$20+BF$27+BF$28+BF$29+BF$30+BF$31+BF$32</f>
        <v/>
      </c>
      <c r="BG36" s="18">
        <f>BG$15+BG$16+BG$17+BG$18+BG$19+BG$20+BG$27+BG$28+BG$29+BG$30+BG$31+BG$32</f>
        <v/>
      </c>
      <c r="BH36" s="18">
        <f>BH$15+BH$16+BH$17+BH$18+BH$19+BH$20+BH$27+BH$28+BH$29+BH$30+BH$31+BH$32</f>
        <v/>
      </c>
      <c r="BI36" s="18">
        <f>BI$15+BI$16+BI$17+BI$18+BI$19+BI$20+BI$27+BI$28+BI$29+BI$30+BI$31+BI$32</f>
        <v/>
      </c>
      <c r="BJ36" s="18">
        <f>BJ$15+BJ$16+BJ$17+BJ$18+BJ$19+BJ$20+BJ$27+BJ$28+BJ$29+BJ$30+BJ$31+BJ$32</f>
        <v/>
      </c>
      <c r="BK36" s="18">
        <f>BK$15+BK$16+BK$17+BK$18+BK$19+BK$20+BK$27+BK$28+BK$29+BK$30+BK$31+BK$32</f>
        <v/>
      </c>
      <c r="BL36" s="18">
        <f>BL$15+BL$16+BL$17+BL$18+BL$19+BL$20+BL$27+BL$28+BL$29+BL$30+BL$31+BL$32</f>
        <v/>
      </c>
      <c r="BM36" s="18">
        <f>BM$15+BM$16+BM$17+BM$18+BM$19+BM$20+BM$27+BM$28+BM$29+BM$30+BM$31+BM$32</f>
        <v/>
      </c>
      <c r="BN36" s="18">
        <f>BN$15+BN$16+BN$17+BN$18+BN$19+BN$20+BN$27+BN$28+BN$29+BN$30+BN$31+BN$32</f>
        <v/>
      </c>
      <c r="BO36" s="18">
        <f>BO$15+BO$16+BO$17+BO$18+BO$19+BO$20+BO$27+BO$28+BO$29+BO$30+BO$31+BO$32</f>
        <v/>
      </c>
      <c r="BP36" s="18">
        <f>BP$15+BP$16+BP$17+BP$18+BP$19+BP$20+BP$27+BP$28+BP$29+BP$30+BP$31+BP$32</f>
        <v/>
      </c>
      <c r="BQ36" s="18">
        <f>BQ$15+BQ$16+BQ$17+BQ$18+BQ$19+BQ$20+BQ$27+BQ$28+BQ$29+BQ$30+BQ$31+BQ$32</f>
        <v/>
      </c>
      <c r="BR36" s="18">
        <f>BR$15+BR$16+BR$17+BR$18+BR$19+BR$20+BR$27+BR$28+BR$29+BR$30+BR$31+BR$32</f>
        <v/>
      </c>
      <c r="BS36" s="18">
        <f>BS$15+BS$16+BS$17+BS$18+BS$19+BS$20+BS$27+BS$28+BS$29+BS$30+BS$31+BS$32</f>
        <v/>
      </c>
      <c r="BT36" s="18">
        <f>BT$15+BT$16+BT$17+BT$18+BT$19+BT$20+BT$27+BT$28+BT$29+BT$30+BT$31+BT$32</f>
        <v/>
      </c>
      <c r="BU36" s="18">
        <f>BU$15+BU$16+BU$17+BU$18+BU$19+BU$20+BU$27+BU$28+BU$29+BU$30+BU$31+BU$32</f>
        <v/>
      </c>
      <c r="BV36" s="18">
        <f>BV$15+BV$16+BV$17+BV$18+BV$19+BV$20+BV$27+BV$28+BV$29+BV$30+BV$31+BV$32</f>
        <v/>
      </c>
      <c r="BW36" s="18">
        <f>BW$15+BW$16+BW$17+BW$18+BW$19+BW$20+BW$27+BW$28+BW$29+BW$30+BW$31+BW$32</f>
        <v/>
      </c>
      <c r="BX36" s="18">
        <f>BX$15+BX$16+BX$17+BX$18+BX$19+BX$20+BX$27+BX$28+BX$29+BX$30+BX$31+BX$32</f>
        <v/>
      </c>
      <c r="BY36" s="18">
        <f>BY$15+BY$16+BY$17+BY$18+BY$19+BY$20+BY$27+BY$28+BY$29+BY$30+BY$31+BY$32</f>
        <v/>
      </c>
      <c r="BZ36" s="18">
        <f>BZ$15+BZ$16+BZ$17+BZ$18+BZ$19+BZ$20+BZ$27+BZ$28+BZ$29+BZ$30+BZ$31+BZ$32</f>
        <v/>
      </c>
      <c r="CA36" s="18">
        <f>CA$15+CA$16+CA$17+CA$18+CA$19+CA$20+CA$27+CA$28+CA$29+CA$30+CA$31+CA$32</f>
        <v/>
      </c>
      <c r="CB36" s="18">
        <f>CB$15+CB$16+CB$17+CB$18+CB$19+CB$20+CB$27+CB$28+CB$29+CB$30+CB$31+CB$32</f>
        <v/>
      </c>
      <c r="CC36" s="18">
        <f>CC$15+CC$16+CC$17+CC$18+CC$19+CC$20+CC$27+CC$28+CC$29+CC$30+CC$31+CC$32</f>
        <v/>
      </c>
      <c r="CD36" s="18">
        <f>CD$15+CD$16+CD$17+CD$18+CD$19+CD$20+CD$27+CD$28+CD$29+CD$30+CD$31+CD$32</f>
        <v/>
      </c>
      <c r="CE36" s="18">
        <f>CE$15+CE$16+CE$17+CE$18+CE$19+CE$20+CE$27+CE$28+CE$29+CE$30+CE$31+CE$32</f>
        <v/>
      </c>
      <c r="CF36" s="18">
        <f>CF$15+CF$16+CF$17+CF$18+CF$19+CF$20+CF$27+CF$28+CF$29+CF$30+CF$31+CF$32</f>
        <v/>
      </c>
      <c r="CG36" s="18">
        <f>CG$15+CG$16+CG$17+CG$18+CG$19+CG$20+CG$27+CG$28+CG$29+CG$30+CG$31+CG$32</f>
        <v/>
      </c>
      <c r="CH36" s="18">
        <f>CH$15+CH$16+CH$17+CH$18+CH$19+CH$20+CH$27+CH$28+CH$29+CH$30+CH$31+CH$32</f>
        <v/>
      </c>
      <c r="CI36" s="18">
        <f>CI$15+CI$16+CI$17+CI$18+CI$19+CI$20+CI$27+CI$28+CI$29+CI$30+CI$31+CI$32</f>
        <v/>
      </c>
      <c r="CJ36" s="18">
        <f>CJ$15+CJ$16+CJ$17+CJ$18+CJ$19+CJ$20+CJ$27+CJ$28+CJ$29+CJ$30+CJ$31+CJ$32</f>
        <v/>
      </c>
      <c r="CK36" s="18">
        <f>CK$15+CK$16+CK$17+CK$18+CK$19+CK$20+CK$27+CK$28+CK$29+CK$30+CK$31+CK$32</f>
        <v/>
      </c>
      <c r="CL36" s="18">
        <f>CL$15+CL$16+CL$17+CL$18+CL$19+CL$20+CL$27+CL$28+CL$29+CL$30+CL$31+CL$32</f>
        <v/>
      </c>
      <c r="CM36" s="18">
        <f>CM$15+CM$16+CM$17+CM$18+CM$19+CM$20+CM$27+CM$28+CM$29+CM$30+CM$31+CM$32</f>
        <v/>
      </c>
      <c r="CN36" s="18">
        <f>CN$15+CN$16+CN$17+CN$18+CN$19+CN$20+CN$27+CN$28+CN$29+CN$30+CN$31+CN$32</f>
        <v/>
      </c>
      <c r="CO36" s="18">
        <f>CO$15+CO$16+CO$17+CO$18+CO$19+CO$20+CO$27+CO$28+CO$29+CO$30+CO$31+CO$32</f>
        <v/>
      </c>
      <c r="CP36" s="18">
        <f>CP$15+CP$16+CP$17+CP$18+CP$19+CP$20+CP$27+CP$28+CP$29+CP$30+CP$31+CP$32</f>
        <v/>
      </c>
      <c r="CQ36" s="18">
        <f>CQ$15+CQ$16+CQ$17+CQ$18+CQ$19+CQ$20+CQ$27+CQ$28+CQ$29+CQ$30+CQ$31+CQ$32</f>
        <v/>
      </c>
      <c r="CR36" s="18">
        <f>CR$15+CR$16+CR$17+CR$18+CR$19+CR$20+CR$27+CR$28+CR$29+CR$30+CR$31+CR$32</f>
        <v/>
      </c>
      <c r="CS36" s="18">
        <f>CS$15+CS$16+CS$17+CS$18+CS$19+CS$20+CS$27+CS$28+CS$29+CS$30+CS$31+CS$32</f>
        <v/>
      </c>
      <c r="CT36" s="18">
        <f>CT$15+CT$16+CT$17+CT$18+CT$19+CT$20+CT$27+CT$28+CT$29+CT$30+CT$31+CT$32</f>
        <v/>
      </c>
      <c r="CU36" s="18">
        <f>CU$15+CU$16+CU$17+CU$18+CU$19+CU$20+CU$27+CU$28+CU$29+CU$30+CU$31+CU$32</f>
        <v/>
      </c>
      <c r="CV36" s="18">
        <f>CV$15+CV$16+CV$17+CV$18+CV$19+CV$20+CV$27+CV$28+CV$29+CV$30+CV$31+CV$32</f>
        <v/>
      </c>
      <c r="CW36" s="18">
        <f>CW$15+CW$16+CW$17+CW$18+CW$19+CW$20+CW$27+CW$28+CW$29+CW$30+CW$31+CW$32</f>
        <v/>
      </c>
      <c r="CX36" s="18">
        <f>CX$15+CX$16+CX$17+CX$18+CX$19+CX$20+CX$27+CX$28+CX$29+CX$30+CX$31+CX$32</f>
        <v/>
      </c>
      <c r="CY36" s="18">
        <f>CY$15+CY$16+CY$17+CY$18+CY$19+CY$20+CY$27+CY$28+CY$29+CY$30+CY$31+CY$32</f>
        <v/>
      </c>
      <c r="CZ36" s="18">
        <f>CZ$15+CZ$16+CZ$17+CZ$18+CZ$19+CZ$20+CZ$27+CZ$28+CZ$29+CZ$30+CZ$31+CZ$32</f>
        <v/>
      </c>
      <c r="DA36" s="18">
        <f>DA$15+DA$16+DA$17+DA$18+DA$19+DA$20+DA$27+DA$28+DA$29+DA$30+DA$31+DA$32</f>
        <v/>
      </c>
      <c r="DB36" s="18">
        <f>DB$15+DB$16+DB$17+DB$18+DB$19+DB$20+DB$27+DB$28+DB$29+DB$30+DB$31+DB$32</f>
        <v/>
      </c>
      <c r="DC36" s="18">
        <f>DC$15+DC$16+DC$17+DC$18+DC$19+DC$20+DC$27+DC$28+DC$29+DC$30+DC$31+DC$32</f>
        <v/>
      </c>
      <c r="DD36" s="18">
        <f>DD$15+DD$16+DD$17+DD$18+DD$19+DD$20+DD$27+DD$28+DD$29+DD$30+DD$31+DD$32</f>
        <v/>
      </c>
      <c r="DE36" s="18">
        <f>DE$15+DE$16+DE$17+DE$18+DE$19+DE$20+DE$27+DE$28+DE$29+DE$30+DE$31+DE$32</f>
        <v/>
      </c>
      <c r="DF36" s="18">
        <f>DF$15+DF$16+DF$17+DF$18+DF$19+DF$20+DF$27+DF$28+DF$29+DF$30+DF$31+DF$32</f>
        <v/>
      </c>
      <c r="DG36" s="18">
        <f>DG$15+DG$16+DG$17+DG$18+DG$19+DG$20+DG$27+DG$28+DG$29+DG$30+DG$31+DG$32</f>
        <v/>
      </c>
      <c r="DH36" s="18">
        <f>DH$15+DH$16+DH$17+DH$18+DH$19+DH$20+DH$27+DH$28+DH$29+DH$30+DH$31+DH$32</f>
        <v/>
      </c>
      <c r="DI36" s="18">
        <f>DI$15+DI$16+DI$17+DI$18+DI$19+DI$20+DI$27+DI$28+DI$29+DI$30+DI$31+DI$32</f>
        <v/>
      </c>
      <c r="DJ36" s="18">
        <f>DJ$15+DJ$16+DJ$17+DJ$18+DJ$19+DJ$20+DJ$27+DJ$28+DJ$29+DJ$30+DJ$31+DJ$32</f>
        <v/>
      </c>
      <c r="DK36" s="18">
        <f>DK$15+DK$16+DK$17+DK$18+DK$19+DK$20+DK$27+DK$28+DK$29+DK$30+DK$31+DK$32</f>
        <v/>
      </c>
      <c r="DL36" s="18">
        <f>DL$15+DL$16+DL$17+DL$18+DL$19+DL$20+DL$27+DL$28+DL$29+DL$30+DL$31+DL$32</f>
        <v/>
      </c>
      <c r="DM36" s="18">
        <f>DM$15+DM$16+DM$17+DM$18+DM$19+DM$20+DM$27+DM$28+DM$29+DM$30+DM$31+DM$32</f>
        <v/>
      </c>
      <c r="DN36" s="18">
        <f>DN$15+DN$16+DN$17+DN$18+DN$19+DN$20+DN$27+DN$28+DN$29+DN$30+DN$31+DN$32</f>
        <v/>
      </c>
      <c r="DO36" s="18">
        <f>DO$15+DO$16+DO$17+DO$18+DO$19+DO$20+DO$27+DO$28+DO$29+DO$30+DO$31+DO$32</f>
        <v/>
      </c>
      <c r="DP36" s="18">
        <f>DP$15+DP$16+DP$17+DP$18+DP$19+DP$20+DP$27+DP$28+DP$29+DP$30+DP$31+DP$32</f>
        <v/>
      </c>
      <c r="DQ36" s="18">
        <f>DQ$15+DQ$16+DQ$17+DQ$18+DQ$19+DQ$20+DQ$27+DQ$28+DQ$29+DQ$30+DQ$31+DQ$32</f>
        <v/>
      </c>
      <c r="DR36" s="18">
        <f>DR$15+DR$16+DR$17+DR$18+DR$19+DR$20+DR$27+DR$28+DR$29+DR$30+DR$31+DR$32</f>
        <v/>
      </c>
      <c r="DS36" s="18">
        <f>DS$15+DS$16+DS$17+DS$18+DS$19+DS$20+DS$27+DS$28+DS$29+DS$30+DS$31+DS$32</f>
        <v/>
      </c>
      <c r="DT36" s="18">
        <f>DT$15+DT$16+DT$17+DT$18+DT$19+DT$20+DT$27+DT$28+DT$29+DT$30+DT$31+DT$32</f>
        <v/>
      </c>
      <c r="DU36" s="18">
        <f>DU$15+DU$16+DU$17+DU$18+DU$19+DU$20+DU$27+DU$28+DU$29+DU$30+DU$31+DU$32</f>
        <v/>
      </c>
      <c r="DV36" s="18">
        <f>DV$15+DV$16+DV$17+DV$18+DV$19+DV$20+DV$27+DV$28+DV$29+DV$30+DV$31+DV$32</f>
        <v/>
      </c>
      <c r="DW36" s="18">
        <f>DW$15+DW$16+DW$17+DW$18+DW$19+DW$20+DW$27+DW$28+DW$29+DW$30+DW$31+DW$32</f>
        <v/>
      </c>
      <c r="DX36" s="18">
        <f>DX$15+DX$16+DX$17+DX$18+DX$19+DX$20+DX$27+DX$28+DX$29+DX$30+DX$31+DX$32</f>
        <v/>
      </c>
      <c r="DY36" s="18">
        <f>DY$15+DY$16+DY$17+DY$18+DY$19+DY$20+DY$27+DY$28+DY$29+DY$30+DY$31+DY$32</f>
        <v/>
      </c>
      <c r="DZ36" s="18">
        <f>DZ$15+DZ$16+DZ$17+DZ$18+DZ$19+DZ$20+DZ$27+DZ$28+DZ$29+DZ$30+DZ$31+DZ$32</f>
        <v/>
      </c>
      <c r="EA36" s="18">
        <f>EA$15+EA$16+EA$17+EA$18+EA$19+EA$20+EA$27+EA$28+EA$29+EA$30+EA$31+EA$32</f>
        <v/>
      </c>
      <c r="EB36" s="18">
        <f>EB$15+EB$16+EB$17+EB$18+EB$19+EB$20+EB$27+EB$28+EB$29+EB$30+EB$31+EB$32</f>
        <v/>
      </c>
      <c r="EC36" s="18">
        <f>EC$15+EC$16+EC$17+EC$18+EC$19+EC$20+EC$27+EC$28+EC$29+EC$30+EC$31+EC$32</f>
        <v/>
      </c>
      <c r="ED36" s="18">
        <f>ED$15+ED$16+ED$17+ED$18+ED$19+ED$20+ED$27+ED$28+ED$29+ED$30+ED$31+ED$32</f>
        <v/>
      </c>
      <c r="EE36" s="18">
        <f>EE$15+EE$16+EE$17+EE$18+EE$19+EE$20+EE$27+EE$28+EE$29+EE$30+EE$31+EE$32</f>
        <v/>
      </c>
      <c r="EF36" s="18">
        <f>EF$15+EF$16+EF$17+EF$18+EF$19+EF$20+EF$27+EF$28+EF$29+EF$30+EF$31+EF$32</f>
        <v/>
      </c>
      <c r="EG36" s="18">
        <f>EG$15+EG$16+EG$17+EG$18+EG$19+EG$20+EG$27+EG$28+EG$29+EG$30+EG$31+EG$32</f>
        <v/>
      </c>
      <c r="EH36" s="18">
        <f>EH$15+EH$16+EH$17+EH$18+EH$19+EH$20+EH$27+EH$28+EH$29+EH$30+EH$31+EH$32</f>
        <v/>
      </c>
      <c r="EI36" s="18">
        <f>EI$15+EI$16+EI$17+EI$18+EI$19+EI$20+EI$27+EI$28+EI$29+EI$30+EI$31+EI$32</f>
        <v/>
      </c>
      <c r="EJ36" s="18">
        <f>EJ$15+EJ$16+EJ$17+EJ$18+EJ$19+EJ$20+EJ$27+EJ$28+EJ$29+EJ$30+EJ$31+EJ$32</f>
        <v/>
      </c>
      <c r="EK36" s="18">
        <f>EK$15+EK$16+EK$17+EK$18+EK$19+EK$20+EK$27+EK$28+EK$29+EK$30+EK$31+EK$32</f>
        <v/>
      </c>
      <c r="EL36" s="18">
        <f>EL$15+EL$16+EL$17+EL$18+EL$19+EL$20+EL$27+EL$28+EL$29+EL$30+EL$31+EL$32</f>
        <v/>
      </c>
      <c r="EM36" s="18">
        <f>EM$15+EM$16+EM$17+EM$18+EM$19+EM$20+EM$27+EM$28+EM$29+EM$30+EM$31+EM$32</f>
        <v/>
      </c>
      <c r="EN36" s="18">
        <f>EN$15+EN$16+EN$17+EN$18+EN$19+EN$20+EN$27+EN$28+EN$29+EN$30+EN$31+EN$32</f>
        <v/>
      </c>
      <c r="EO36" s="18">
        <f>EO$15+EO$16+EO$17+EO$18+EO$19+EO$20+EO$27+EO$28+EO$29+EO$30+EO$31+EO$32</f>
        <v/>
      </c>
      <c r="EP36" s="18">
        <f>EP$15+EP$16+EP$17+EP$18+EP$19+EP$20+EP$27+EP$28+EP$29+EP$30+EP$31+EP$32</f>
        <v/>
      </c>
      <c r="EQ36" s="18">
        <f>EQ$15+EQ$16+EQ$17+EQ$18+EQ$19+EQ$20+EQ$27+EQ$28+EQ$29+EQ$30+EQ$31+EQ$32</f>
        <v/>
      </c>
      <c r="ER36" s="18">
        <f>ER$15+ER$16+ER$17+ER$18+ER$19+ER$20+ER$27+ER$28+ER$29+ER$30+ER$31+ER$32</f>
        <v/>
      </c>
      <c r="ES36" s="18">
        <f>ES$15+ES$16+ES$17+ES$18+ES$19+ES$20+ES$27+ES$28+ES$29+ES$30+ES$31+ES$32</f>
        <v/>
      </c>
      <c r="ET36" s="18">
        <f>ET$15+ET$16+ET$17+ET$18+ET$19+ET$20+ET$27+ET$28+ET$29+ET$30+ET$31+ET$32</f>
        <v/>
      </c>
      <c r="EU36" s="18">
        <f>EU$15+EU$16+EU$17+EU$18+EU$19+EU$20+EU$27+EU$28+EU$29+EU$30+EU$31+EU$32</f>
        <v/>
      </c>
      <c r="EV36" s="18">
        <f>EV$15+EV$16+EV$17+EV$18+EV$19+EV$20+EV$27+EV$28+EV$29+EV$30+EV$31+EV$32</f>
        <v/>
      </c>
      <c r="EW36" s="18">
        <f>EW$15+EW$16+EW$17+EW$18+EW$19+EW$20+EW$27+EW$28+EW$29+EW$30+EW$31+EW$32</f>
        <v/>
      </c>
      <c r="EX36" s="18">
        <f>EX$15+EX$16+EX$17+EX$18+EX$19+EX$20+EX$27+EX$28+EX$29+EX$30+EX$31+EX$32</f>
        <v/>
      </c>
      <c r="EY36" s="18">
        <f>EY$15+EY$16+EY$17+EY$18+EY$19+EY$20+EY$27+EY$28+EY$29+EY$30+EY$31+EY$32</f>
        <v/>
      </c>
      <c r="EZ36" s="18">
        <f>EZ$15+EZ$16+EZ$17+EZ$18+EZ$19+EZ$20+EZ$27+EZ$28+EZ$29+EZ$30+EZ$31+EZ$32</f>
        <v/>
      </c>
      <c r="FA36" s="18">
        <f>FA$15+FA$16+FA$17+FA$18+FA$19+FA$20+FA$27+FA$28+FA$29+FA$30+FA$31+FA$32</f>
        <v/>
      </c>
      <c r="FB36" s="18">
        <f>FB$15+FB$16+FB$17+FB$18+FB$19+FB$20+FB$27+FB$28+FB$29+FB$30+FB$31+FB$32</f>
        <v/>
      </c>
      <c r="FC36" s="18">
        <f>FC$15+FC$16+FC$17+FC$18+FC$19+FC$20+FC$27+FC$28+FC$29+FC$30+FC$31+FC$32</f>
        <v/>
      </c>
      <c r="FD36" s="18">
        <f>FD$15+FD$16+FD$17+FD$18+FD$19+FD$20+FD$27+FD$28+FD$29+FD$30+FD$31+FD$32</f>
        <v/>
      </c>
      <c r="FE36" s="18">
        <f>FE$15+FE$16+FE$17+FE$18+FE$19+FE$20+FE$27+FE$28+FE$29+FE$30+FE$31+FE$32</f>
        <v/>
      </c>
      <c r="FF36" s="18">
        <f>FF$15+FF$16+FF$17+FF$18+FF$19+FF$20+FF$27+FF$28+FF$29+FF$30+FF$31+FF$32</f>
        <v/>
      </c>
      <c r="FG36" s="18">
        <f>FG$15+FG$16+FG$17+FG$18+FG$19+FG$20+FG$27+FG$28+FG$29+FG$30+FG$31+FG$32</f>
        <v/>
      </c>
      <c r="FH36" s="18">
        <f>FH$15+FH$16+FH$17+FH$18+FH$19+FH$20+FH$27+FH$28+FH$29+FH$30+FH$31+FH$32</f>
        <v/>
      </c>
      <c r="FI36" s="18">
        <f>FI$15+FI$16+FI$17+FI$18+FI$19+FI$20+FI$27+FI$28+FI$29+FI$30+FI$31+FI$32</f>
        <v/>
      </c>
      <c r="FJ36" s="18">
        <f>FJ$15+FJ$16+FJ$17+FJ$18+FJ$19+FJ$20+FJ$27+FJ$28+FJ$29+FJ$30+FJ$31+FJ$32</f>
        <v/>
      </c>
      <c r="FK36" s="18">
        <f>FK$15+FK$16+FK$17+FK$18+FK$19+FK$20+FK$27+FK$28+FK$29+FK$30+FK$31+FK$32</f>
        <v/>
      </c>
      <c r="FL36" s="18">
        <f>FL$15+FL$16+FL$17+FL$18+FL$19+FL$20+FL$27+FL$28+FL$29+FL$30+FL$31+FL$32</f>
        <v/>
      </c>
      <c r="FM36" s="18">
        <f>FM$15+FM$16+FM$17+FM$18+FM$19+FM$20+FM$27+FM$28+FM$29+FM$30+FM$31+FM$32</f>
        <v/>
      </c>
      <c r="FN36" s="18">
        <f>FN$15+FN$16+FN$17+FN$18+FN$19+FN$20+FN$27+FN$28+FN$29+FN$30+FN$31+FN$32</f>
        <v/>
      </c>
      <c r="FO36" s="18">
        <f>FO$15+FO$16+FO$17+FO$18+FO$19+FO$20+FO$27+FO$28+FO$29+FO$30+FO$31+FO$32</f>
        <v/>
      </c>
      <c r="FP36" s="18">
        <f>FP$15+FP$16+FP$17+FP$18+FP$19+FP$20+FP$27+FP$28+FP$29+FP$30+FP$31+FP$32</f>
        <v/>
      </c>
      <c r="FQ36" s="18">
        <f>FQ$15+FQ$16+FQ$17+FQ$18+FQ$19+FQ$20+FQ$27+FQ$28+FQ$29+FQ$30+FQ$31+FQ$32</f>
        <v/>
      </c>
      <c r="FR36" s="18">
        <f>FR$15+FR$16+FR$17+FR$18+FR$19+FR$20+FR$27+FR$28+FR$29+FR$30+FR$31+FR$32</f>
        <v/>
      </c>
      <c r="FS36" s="18">
        <f>FS$15+FS$16+FS$17+FS$18+FS$19+FS$20+FS$27+FS$28+FS$29+FS$30+FS$31+FS$32</f>
        <v/>
      </c>
      <c r="FT36" s="18">
        <f>FT$15+FT$16+FT$17+FT$18+FT$19+FT$20+FT$27+FT$28+FT$29+FT$30+FT$31+FT$32</f>
        <v/>
      </c>
      <c r="FU36" s="18">
        <f>FU$15+FU$16+FU$17+FU$18+FU$19+FU$20+FU$27+FU$28+FU$29+FU$30+FU$31+FU$32</f>
        <v/>
      </c>
      <c r="FV36" s="18">
        <f>FV$15+FV$16+FV$17+FV$18+FV$19+FV$20+FV$27+FV$28+FV$29+FV$30+FV$31+FV$32</f>
        <v/>
      </c>
      <c r="FW36" s="18">
        <f>FW$15+FW$16+FW$17+FW$18+FW$19+FW$20+FW$27+FW$28+FW$29+FW$30+FW$31+FW$32</f>
        <v/>
      </c>
      <c r="FX36" s="18">
        <f>FX$15+FX$16+FX$17+FX$18+FX$19+FX$20+FX$27+FX$28+FX$29+FX$30+FX$31+FX$32</f>
        <v/>
      </c>
      <c r="FY36" s="18">
        <f>FY$15+FY$16+FY$17+FY$18+FY$19+FY$20+FY$27+FY$28+FY$29+FY$30+FY$31+FY$32</f>
        <v/>
      </c>
      <c r="FZ36" s="18">
        <f>FZ$15+FZ$16+FZ$17+FZ$18+FZ$19+FZ$20+FZ$27+FZ$28+FZ$29+FZ$30+FZ$31+FZ$32</f>
        <v/>
      </c>
      <c r="GA36" s="18">
        <f>GA$15+GA$16+GA$17+GA$18+GA$19+GA$20+GA$27+GA$28+GA$29+GA$30+GA$31+GA$32</f>
        <v/>
      </c>
      <c r="GB36" s="18">
        <f>GB$15+GB$16+GB$17+GB$18+GB$19+GB$20+GB$27+GB$28+GB$29+GB$30+GB$31+GB$32</f>
        <v/>
      </c>
      <c r="GC36" s="18">
        <f>GC$15+GC$16+GC$17+GC$18+GC$19+GC$20+GC$27+GC$28+GC$29+GC$30+GC$31+GC$32</f>
        <v/>
      </c>
      <c r="GD36" s="18">
        <f>GD$15+GD$16+GD$17+GD$18+GD$19+GD$20+GD$27+GD$28+GD$29+GD$30+GD$31+GD$32</f>
        <v/>
      </c>
      <c r="GE36" s="18">
        <f>GE$15+GE$16+GE$17+GE$18+GE$19+GE$20+GE$27+GE$28+GE$29+GE$30+GE$31+GE$32</f>
        <v/>
      </c>
      <c r="GF36" s="18">
        <f>GF$15+GF$16+GF$17+GF$18+GF$19+GF$20+GF$27+GF$28+GF$29+GF$30+GF$31+GF$32</f>
        <v/>
      </c>
      <c r="GG36" s="18">
        <f>GG$15+GG$16+GG$17+GG$18+GG$19+GG$20+GG$27+GG$28+GG$29+GG$30+GG$31+GG$32</f>
        <v/>
      </c>
      <c r="GH36" s="18">
        <f>GH$15+GH$16+GH$17+GH$18+GH$19+GH$20+GH$27+GH$28+GH$29+GH$30+GH$31+GH$32</f>
        <v/>
      </c>
      <c r="GI36" s="18">
        <f>GI$15+GI$16+GI$17+GI$18+GI$19+GI$20+GI$27+GI$28+GI$29+GI$30+GI$31+GI$32</f>
        <v/>
      </c>
      <c r="GJ36" s="18">
        <f>GJ$15+GJ$16+GJ$17+GJ$18+GJ$19+GJ$20+GJ$27+GJ$28+GJ$29+GJ$30+GJ$31+GJ$32</f>
        <v/>
      </c>
      <c r="GK36" s="18">
        <f>GK$15+GK$16+GK$17+GK$18+GK$19+GK$20+GK$27+GK$28+GK$29+GK$30+GK$31+GK$32</f>
        <v/>
      </c>
      <c r="GL36" s="18">
        <f>GL$15+GL$16+GL$17+GL$18+GL$19+GL$20+GL$27+GL$28+GL$29+GL$30+GL$31+GL$32</f>
        <v/>
      </c>
      <c r="GM36" s="18">
        <f>GM$15+GM$16+GM$17+GM$18+GM$19+GM$20+GM$27+GM$28+GM$29+GM$30+GM$31+GM$32</f>
        <v/>
      </c>
      <c r="GN36" s="18">
        <f>GN$15+GN$16+GN$17+GN$18+GN$19+GN$20+GN$27+GN$28+GN$29+GN$30+GN$31+GN$32</f>
        <v/>
      </c>
      <c r="GO36" s="18">
        <f>GO$15+GO$16+GO$17+GO$18+GO$19+GO$20+GO$27+GO$28+GO$29+GO$30+GO$31+GO$32</f>
        <v/>
      </c>
      <c r="GP36" s="18">
        <f>GP$15+GP$16+GP$17+GP$18+GP$19+GP$20+GP$27+GP$28+GP$29+GP$30+GP$31+GP$32</f>
        <v/>
      </c>
      <c r="GQ36" s="18">
        <f>GQ$15+GQ$16+GQ$17+GQ$18+GQ$19+GQ$20+GQ$27+GQ$28+GQ$29+GQ$30+GQ$31+GQ$32</f>
        <v/>
      </c>
      <c r="GR36" s="18">
        <f>GR$15+GR$16+GR$17+GR$18+GR$19+GR$20+GR$27+GR$28+GR$29+GR$30+GR$31+GR$32</f>
        <v/>
      </c>
      <c r="GS36" s="18">
        <f>GS$15+GS$16+GS$17+GS$18+GS$19+GS$20+GS$27+GS$28+GS$29+GS$30+GS$31+GS$32</f>
        <v/>
      </c>
      <c r="GT36" s="18">
        <f>GT$15+GT$16+GT$17+GT$18+GT$19+GT$20+GT$27+GT$28+GT$29+GT$30+GT$31+GT$32</f>
        <v/>
      </c>
      <c r="GU36" s="18">
        <f>GU$15+GU$16+GU$17+GU$18+GU$19+GU$20+GU$27+GU$28+GU$29+GU$30+GU$31+GU$32</f>
        <v/>
      </c>
      <c r="GV36" s="18">
        <f>GV$15+GV$16+GV$17+GV$18+GV$19+GV$20+GV$27+GV$28+GV$29+GV$30+GV$31+GV$32</f>
        <v/>
      </c>
      <c r="GW36" s="18">
        <f>GW$15+GW$16+GW$17+GW$18+GW$19+GW$20+GW$27+GW$28+GW$29+GW$30+GW$31+GW$32</f>
        <v/>
      </c>
      <c r="GX36" s="18">
        <f>GX$15+GX$16+GX$17+GX$18+GX$19+GX$20+GX$27+GX$28+GX$29+GX$30+GX$31+GX$32</f>
        <v/>
      </c>
      <c r="GY36" s="18">
        <f>GY$15+GY$16+GY$17+GY$18+GY$19+GY$20+GY$27+GY$28+GY$29+GY$30+GY$31+GY$32</f>
        <v/>
      </c>
      <c r="GZ36" s="18">
        <f>GZ$15+GZ$16+GZ$17+GZ$18+GZ$19+GZ$20+GZ$27+GZ$28+GZ$29+GZ$30+GZ$31+GZ$32</f>
        <v/>
      </c>
      <c r="HA36" s="18">
        <f>HA$15+HA$16+HA$17+HA$18+HA$19+HA$20+HA$27+HA$28+HA$29+HA$30+HA$31+HA$32</f>
        <v/>
      </c>
      <c r="HB36" s="18">
        <f>HB$15+HB$16+HB$17+HB$18+HB$19+HB$20+HB$27+HB$28+HB$29+HB$30+HB$31+HB$32</f>
        <v/>
      </c>
      <c r="HC36" s="18">
        <f>HC$15+HC$16+HC$17+HC$18+HC$19+HC$20+HC$27+HC$28+HC$29+HC$30+HC$31+HC$32</f>
        <v/>
      </c>
      <c r="HD36" s="18">
        <f>HD$15+HD$16+HD$17+HD$18+HD$19+HD$20+HD$27+HD$28+HD$29+HD$30+HD$31+HD$32</f>
        <v/>
      </c>
      <c r="HE36" s="18">
        <f>HE$15+HE$16+HE$17+HE$18+HE$19+HE$20+HE$27+HE$28+HE$29+HE$30+HE$31+HE$32</f>
        <v/>
      </c>
      <c r="HF36" s="18">
        <f>HF$15+HF$16+HF$17+HF$18+HF$19+HF$20+HF$27+HF$28+HF$29+HF$30+HF$31+HF$32</f>
        <v/>
      </c>
      <c r="HG36" s="18">
        <f>HG$15+HG$16+HG$17+HG$18+HG$19+HG$20+HG$27+HG$28+HG$29+HG$30+HG$31+HG$32</f>
        <v/>
      </c>
      <c r="HH36" s="18">
        <f>HH$15+HH$16+HH$17+HH$18+HH$19+HH$20+HH$27+HH$28+HH$29+HH$30+HH$31+HH$32</f>
        <v/>
      </c>
      <c r="HI36" s="18">
        <f>HI$15+HI$16+HI$17+HI$18+HI$19+HI$20+HI$27+HI$28+HI$29+HI$30+HI$31+HI$32</f>
        <v/>
      </c>
      <c r="HJ36" s="18">
        <f>HJ$15+HJ$16+HJ$17+HJ$18+HJ$19+HJ$20+HJ$27+HJ$28+HJ$29+HJ$30+HJ$31+HJ$32</f>
        <v/>
      </c>
      <c r="HK36" s="18">
        <f>HK$15+HK$16+HK$17+HK$18+HK$19+HK$20+HK$27+HK$28+HK$29+HK$30+HK$31+HK$32</f>
        <v/>
      </c>
      <c r="HL36" s="18">
        <f>HL$15+HL$16+HL$17+HL$18+HL$19+HL$20+HL$27+HL$28+HL$29+HL$30+HL$31+HL$32</f>
        <v/>
      </c>
      <c r="HM36" s="18">
        <f>HM$15+HM$16+HM$17+HM$18+HM$19+HM$20+HM$27+HM$28+HM$29+HM$30+HM$31+HM$32</f>
        <v/>
      </c>
      <c r="HN36" s="18">
        <f>HN$15+HN$16+HN$17+HN$18+HN$19+HN$20+HN$27+HN$28+HN$29+HN$30+HN$31+HN$32</f>
        <v/>
      </c>
      <c r="HO36" s="18">
        <f>HO$15+HO$16+HO$17+HO$18+HO$19+HO$20+HO$27+HO$28+HO$29+HO$30+HO$31+HO$32</f>
        <v/>
      </c>
      <c r="HP36" s="18">
        <f>HP$15+HP$16+HP$17+HP$18+HP$19+HP$20+HP$27+HP$28+HP$29+HP$30+HP$31+HP$32</f>
        <v/>
      </c>
      <c r="HQ36" s="18">
        <f>HQ$15+HQ$16+HQ$17+HQ$18+HQ$19+HQ$20+HQ$27+HQ$28+HQ$29+HQ$30+HQ$31+HQ$32</f>
        <v/>
      </c>
      <c r="HR36" s="18">
        <f>HR$15+HR$16+HR$17+HR$18+HR$19+HR$20+HR$27+HR$28+HR$29+HR$30+HR$31+HR$32</f>
        <v/>
      </c>
      <c r="HS36" s="18">
        <f>HS$15+HS$16+HS$17+HS$18+HS$19+HS$20+HS$27+HS$28+HS$29+HS$30+HS$31+HS$32</f>
        <v/>
      </c>
      <c r="HT36" s="18">
        <f>HT$15+HT$16+HT$17+HT$18+HT$19+HT$20+HT$27+HT$28+HT$29+HT$30+HT$31+HT$32</f>
        <v/>
      </c>
      <c r="HU36" s="18">
        <f>HU$15+HU$16+HU$17+HU$18+HU$19+HU$20+HU$27+HU$28+HU$29+HU$30+HU$31+HU$32</f>
        <v/>
      </c>
      <c r="HV36" s="18">
        <f>HV$15+HV$16+HV$17+HV$18+HV$19+HV$20+HV$27+HV$28+HV$29+HV$30+HV$31+HV$32</f>
        <v/>
      </c>
      <c r="HW36" s="18">
        <f>HW$15+HW$16+HW$17+HW$18+HW$19+HW$20+HW$27+HW$28+HW$29+HW$30+HW$31+HW$32</f>
        <v/>
      </c>
      <c r="HX36" s="18">
        <f>HX$15+HX$16+HX$17+HX$18+HX$19+HX$20+HX$27+HX$28+HX$29+HX$30+HX$31+HX$32</f>
        <v/>
      </c>
      <c r="HY36" s="18">
        <f>HY$15+HY$16+HY$17+HY$18+HY$19+HY$20+HY$27+HY$28+HY$29+HY$30+HY$31+HY$32</f>
        <v/>
      </c>
      <c r="HZ36" s="18">
        <f>HZ$15+HZ$16+HZ$17+HZ$18+HZ$19+HZ$20+HZ$27+HZ$28+HZ$29+HZ$30+HZ$31+HZ$32</f>
        <v/>
      </c>
      <c r="IA36" s="18">
        <f>IA$15+IA$16+IA$17+IA$18+IA$19+IA$20+IA$27+IA$28+IA$29+IA$30+IA$31+IA$32</f>
        <v/>
      </c>
      <c r="IB36" s="18">
        <f>IB$15+IB$16+IB$17+IB$18+IB$19+IB$20+IB$27+IB$28+IB$29+IB$30+IB$31+IB$32</f>
        <v/>
      </c>
      <c r="IC36" s="18">
        <f>IC$15+IC$16+IC$17+IC$18+IC$19+IC$20+IC$27+IC$28+IC$29+IC$30+IC$31+IC$32</f>
        <v/>
      </c>
      <c r="ID36" s="18">
        <f>ID$15+ID$16+ID$17+ID$18+ID$19+ID$20+ID$27+ID$28+ID$29+ID$30+ID$31+ID$32</f>
        <v/>
      </c>
      <c r="IE36" s="18">
        <f>IE$15+IE$16+IE$17+IE$18+IE$19+IE$20+IE$27+IE$28+IE$29+IE$30+IE$31+IE$32</f>
        <v/>
      </c>
      <c r="IF36" s="18">
        <f>IF$15+IF$16+IF$17+IF$18+IF$19+IF$20+IF$27+IF$28+IF$29+IF$30+IF$31+IF$32</f>
        <v/>
      </c>
      <c r="IG36" s="18">
        <f>IG$15+IG$16+IG$17+IG$18+IG$19+IG$20+IG$27+IG$28+IG$29+IG$30+IG$31+IG$32</f>
        <v/>
      </c>
      <c r="IH36" s="18">
        <f>IH$15+IH$16+IH$17+IH$18+IH$19+IH$20+IH$27+IH$28+IH$29+IH$30+IH$31+IH$32</f>
        <v/>
      </c>
      <c r="II36" s="18">
        <f>II$15+II$16+II$17+II$18+II$19+II$20+II$27+II$28+II$29+II$30+II$31+II$32</f>
        <v/>
      </c>
      <c r="IJ36" s="18">
        <f>IJ$15+IJ$16+IJ$17+IJ$18+IJ$19+IJ$20+IJ$27+IJ$28+IJ$29+IJ$30+IJ$31+IJ$32</f>
        <v/>
      </c>
      <c r="IK36" s="18">
        <f>IK$15+IK$16+IK$17+IK$18+IK$19+IK$20+IK$27+IK$28+IK$29+IK$30+IK$31+IK$32</f>
        <v/>
      </c>
      <c r="IL36" s="18">
        <f>IL$15+IL$16+IL$17+IL$18+IL$19+IL$20+IL$27+IL$28+IL$29+IL$30+IL$31+IL$32</f>
        <v/>
      </c>
      <c r="IM36" s="18">
        <f>IM$15+IM$16+IM$17+IM$18+IM$19+IM$20+IM$27+IM$28+IM$29+IM$30+IM$31+IM$32</f>
        <v/>
      </c>
      <c r="IN36" s="18">
        <f>IN$15+IN$16+IN$17+IN$18+IN$19+IN$20+IN$27+IN$28+IN$29+IN$30+IN$31+IN$32</f>
        <v/>
      </c>
      <c r="IO36" s="18">
        <f>IO$15+IO$16+IO$17+IO$18+IO$19+IO$20+IO$27+IO$28+IO$29+IO$30+IO$31+IO$32</f>
        <v/>
      </c>
      <c r="IP36" s="18">
        <f>IP$15+IP$16+IP$17+IP$18+IP$19+IP$20+IP$27+IP$28+IP$29+IP$30+IP$31+IP$32</f>
        <v/>
      </c>
      <c r="IQ36" s="18">
        <f>IQ$15+IQ$16+IQ$17+IQ$18+IQ$19+IQ$20+IQ$27+IQ$28+IQ$29+IQ$30+IQ$31+IQ$32</f>
        <v/>
      </c>
      <c r="IR36" s="18">
        <f>IR$15+IR$16+IR$17+IR$18+IR$19+IR$20+IR$27+IR$28+IR$29+IR$30+IR$31+IR$32</f>
        <v/>
      </c>
      <c r="IS36" s="18">
        <f>IS$15+IS$16+IS$17+IS$18+IS$19+IS$20+IS$27+IS$28+IS$29+IS$30+IS$31+IS$32</f>
        <v/>
      </c>
      <c r="IT36" s="18">
        <f>IT$15+IT$16+IT$17+IT$18+IT$19+IT$20+IT$27+IT$28+IT$29+IT$30+IT$31+IT$32</f>
        <v/>
      </c>
      <c r="IU36" s="18">
        <f>IU$15+IU$16+IU$17+IU$18+IU$19+IU$20+IU$27+IU$28+IU$29+IU$30+IU$31+IU$32</f>
        <v/>
      </c>
      <c r="IV36" s="18">
        <f>IV$15+IV$16+IV$17+IV$18+IV$19+IV$20+IV$27+IV$28+IV$29+IV$30+IV$31+IV$32</f>
        <v/>
      </c>
      <c r="IW36" s="18">
        <f>IW$15+IW$16+IW$17+IW$18+IW$19+IW$20+IW$27+IW$28+IW$29+IW$30+IW$31+IW$32</f>
        <v/>
      </c>
      <c r="IX36" s="18">
        <f>IX$15+IX$16+IX$17+IX$18+IX$19+IX$20+IX$27+IX$28+IX$29+IX$30+IX$31+IX$32</f>
        <v/>
      </c>
      <c r="IY36" s="18">
        <f>IY$15+IY$16+IY$17+IY$18+IY$19+IY$20+IY$27+IY$28+IY$29+IY$30+IY$31+IY$32</f>
        <v/>
      </c>
      <c r="IZ36" s="18">
        <f>IZ$15+IZ$16+IZ$17+IZ$18+IZ$19+IZ$20+IZ$27+IZ$28+IZ$29+IZ$30+IZ$31+IZ$32</f>
        <v/>
      </c>
      <c r="JA36" s="18">
        <f>JA$15+JA$16+JA$17+JA$18+JA$19+JA$20+JA$27+JA$28+JA$29+JA$30+JA$31+JA$32</f>
        <v/>
      </c>
      <c r="JB36" s="18">
        <f>JB$15+JB$16+JB$17+JB$18+JB$19+JB$20+JB$27+JB$28+JB$29+JB$30+JB$31+JB$32</f>
        <v/>
      </c>
      <c r="JC36" s="18">
        <f>JC$15+JC$16+JC$17+JC$18+JC$19+JC$20+JC$27+JC$28+JC$29+JC$30+JC$31+JC$32</f>
        <v/>
      </c>
      <c r="JD36" s="18">
        <f>JD$15+JD$16+JD$17+JD$18+JD$19+JD$20+JD$27+JD$28+JD$29+JD$30+JD$31+JD$32</f>
        <v/>
      </c>
      <c r="JE36" s="18">
        <f>JE$15+JE$16+JE$17+JE$18+JE$19+JE$20+JE$27+JE$28+JE$29+JE$30+JE$31+JE$32</f>
        <v/>
      </c>
      <c r="JF36" s="18">
        <f>JF$15+JF$16+JF$17+JF$18+JF$19+JF$20+JF$27+JF$28+JF$29+JF$30+JF$31+JF$32</f>
        <v/>
      </c>
      <c r="JG36" s="18">
        <f>JG$15+JG$16+JG$17+JG$18+JG$19+JG$20+JG$27+JG$28+JG$29+JG$30+JG$31+JG$32</f>
        <v/>
      </c>
      <c r="JH36" s="18">
        <f>JH$15+JH$16+JH$17+JH$18+JH$19+JH$20+JH$27+JH$28+JH$29+JH$30+JH$31+JH$32</f>
        <v/>
      </c>
      <c r="JI36" s="18">
        <f>JI$15+JI$16+JI$17+JI$18+JI$19+JI$20+JI$27+JI$28+JI$29+JI$30+JI$31+JI$32</f>
        <v/>
      </c>
      <c r="JJ36" s="18">
        <f>JJ$15+JJ$16+JJ$17+JJ$18+JJ$19+JJ$20+JJ$27+JJ$28+JJ$29+JJ$30+JJ$31+JJ$32</f>
        <v/>
      </c>
      <c r="JK36" s="18">
        <f>JK$15+JK$16+JK$17+JK$18+JK$19+JK$20+JK$27+JK$28+JK$29+JK$30+JK$31+JK$32</f>
        <v/>
      </c>
      <c r="JL36" s="18">
        <f>JL$15+JL$16+JL$17+JL$18+JL$19+JL$20+JL$27+JL$28+JL$29+JL$30+JL$31+JL$32</f>
        <v/>
      </c>
      <c r="JM36" s="18">
        <f>JM$15+JM$16+JM$17+JM$18+JM$19+JM$20+JM$27+JM$28+JM$29+JM$30+JM$31+JM$32</f>
        <v/>
      </c>
      <c r="JN36" s="18">
        <f>JN$15+JN$16+JN$17+JN$18+JN$19+JN$20+JN$27+JN$28+JN$29+JN$30+JN$31+JN$32</f>
        <v/>
      </c>
      <c r="JO36" s="18">
        <f>JO$15+JO$16+JO$17+JO$18+JO$19+JO$20+JO$27+JO$28+JO$29+JO$30+JO$31+JO$32</f>
        <v/>
      </c>
      <c r="JP36" s="18">
        <f>JP$15+JP$16+JP$17+JP$18+JP$19+JP$20+JP$27+JP$28+JP$29+JP$30+JP$31+JP$32</f>
        <v/>
      </c>
      <c r="JQ36" s="18">
        <f>JQ$15+JQ$16+JQ$17+JQ$18+JQ$19+JQ$20+JQ$27+JQ$28+JQ$29+JQ$30+JQ$31+JQ$32</f>
        <v/>
      </c>
      <c r="JR36" s="18">
        <f>JR$15+JR$16+JR$17+JR$18+JR$19+JR$20+JR$27+JR$28+JR$29+JR$30+JR$31+JR$32</f>
        <v/>
      </c>
      <c r="JS36" s="18">
        <f>JS$15+JS$16+JS$17+JS$18+JS$19+JS$20+JS$27+JS$28+JS$29+JS$30+JS$31+JS$32</f>
        <v/>
      </c>
      <c r="JT36" s="18">
        <f>JT$15+JT$16+JT$17+JT$18+JT$19+JT$20+JT$27+JT$28+JT$29+JT$30+JT$31+JT$32</f>
        <v/>
      </c>
      <c r="JU36" s="18">
        <f>JU$15+JU$16+JU$17+JU$18+JU$19+JU$20+JU$27+JU$28+JU$29+JU$30+JU$31+JU$32</f>
        <v/>
      </c>
      <c r="JV36" s="18">
        <f>JV$15+JV$16+JV$17+JV$18+JV$19+JV$20+JV$27+JV$28+JV$29+JV$30+JV$31+JV$32</f>
        <v/>
      </c>
      <c r="JW36" s="18">
        <f>JW$15+JW$16+JW$17+JW$18+JW$19+JW$20+JW$27+JW$28+JW$29+JW$30+JW$31+JW$32</f>
        <v/>
      </c>
      <c r="JX36" s="18">
        <f>JX$15+JX$16+JX$17+JX$18+JX$19+JX$20+JX$27+JX$28+JX$29+JX$30+JX$31+JX$32</f>
        <v/>
      </c>
      <c r="JY36" s="18">
        <f>JY$15+JY$16+JY$17+JY$18+JY$19+JY$20+JY$27+JY$28+JY$29+JY$30+JY$31+JY$32</f>
        <v/>
      </c>
      <c r="JZ36" s="18">
        <f>JZ$15+JZ$16+JZ$17+JZ$18+JZ$19+JZ$20+JZ$27+JZ$28+JZ$29+JZ$30+JZ$31+JZ$32</f>
        <v/>
      </c>
      <c r="KA36" s="18">
        <f>KA$15+KA$16+KA$17+KA$18+KA$19+KA$20+KA$27+KA$28+KA$29+KA$30+KA$31+KA$32</f>
        <v/>
      </c>
      <c r="KB36" s="18">
        <f>KB$15+KB$16+KB$17+KB$18+KB$19+KB$20+KB$27+KB$28+KB$29+KB$30+KB$31+KB$32</f>
        <v/>
      </c>
      <c r="KC36" s="18">
        <f>KC$15+KC$16+KC$17+KC$18+KC$19+KC$20+KC$27+KC$28+KC$29+KC$30+KC$31+KC$32</f>
        <v/>
      </c>
      <c r="KD36" s="18">
        <f>KD$15+KD$16+KD$17+KD$18+KD$19+KD$20+KD$27+KD$28+KD$29+KD$30+KD$31+KD$32</f>
        <v/>
      </c>
      <c r="KE36" s="18">
        <f>KE$15+KE$16+KE$17+KE$18+KE$19+KE$20+KE$27+KE$28+KE$29+KE$30+KE$31+KE$32</f>
        <v/>
      </c>
      <c r="KF36" s="18">
        <f>KF$15+KF$16+KF$17+KF$18+KF$19+KF$20+KF$27+KF$28+KF$29+KF$30+KF$31+KF$32</f>
        <v/>
      </c>
      <c r="KG36" s="18">
        <f>KG$15+KG$16+KG$17+KG$18+KG$19+KG$20+KG$27+KG$28+KG$29+KG$30+KG$31+KG$32</f>
        <v/>
      </c>
      <c r="KH36" s="18">
        <f>KH$15+KH$16+KH$17+KH$18+KH$19+KH$20+KH$27+KH$28+KH$29+KH$30+KH$31+KH$32</f>
        <v/>
      </c>
      <c r="KI36" s="18">
        <f>KI$15+KI$16+KI$17+KI$18+KI$19+KI$20+KI$27+KI$28+KI$29+KI$30+KI$31+KI$32</f>
        <v/>
      </c>
      <c r="KJ36" s="18">
        <f>KJ$15+KJ$16+KJ$17+KJ$18+KJ$19+KJ$20+KJ$27+KJ$28+KJ$29+KJ$30+KJ$31+KJ$32</f>
        <v/>
      </c>
      <c r="KK36" s="18">
        <f>KK$15+KK$16+KK$17+KK$18+KK$19+KK$20+KK$27+KK$28+KK$29+KK$30+KK$31+KK$32</f>
        <v/>
      </c>
      <c r="KL36" s="18">
        <f>KL$15+KL$16+KL$17+KL$18+KL$19+KL$20+KL$27+KL$28+KL$29+KL$30+KL$31+KL$32</f>
        <v/>
      </c>
      <c r="KM36" s="18">
        <f>KM$15+KM$16+KM$17+KM$18+KM$19+KM$20+KM$27+KM$28+KM$29+KM$30+KM$31+KM$32</f>
        <v/>
      </c>
      <c r="KN36" s="18">
        <f>KN$15+KN$16+KN$17+KN$18+KN$19+KN$20+KN$27+KN$28+KN$29+KN$30+KN$31+KN$32</f>
        <v/>
      </c>
      <c r="KO36" s="18">
        <f>KO$15+KO$16+KO$17+KO$18+KO$19+KO$20+KO$27+KO$28+KO$29+KO$30+KO$31+KO$32</f>
        <v/>
      </c>
      <c r="KP36" s="18">
        <f>KP$15+KP$16+KP$17+KP$18+KP$19+KP$20+KP$27+KP$28+KP$29+KP$30+KP$31+KP$32</f>
        <v/>
      </c>
      <c r="KQ36" s="18">
        <f>KQ$15+KQ$16+KQ$17+KQ$18+KQ$19+KQ$20+KQ$27+KQ$28+KQ$29+KQ$30+KQ$31+KQ$32</f>
        <v/>
      </c>
      <c r="KR36" s="18">
        <f>KR$15+KR$16+KR$17+KR$18+KR$19+KR$20+KR$27+KR$28+KR$29+KR$30+KR$31+KR$32</f>
        <v/>
      </c>
      <c r="KS36" s="18">
        <f>KS$15+KS$16+KS$17+KS$18+KS$19+KS$20+KS$27+KS$28+KS$29+KS$30+KS$31+KS$32</f>
        <v/>
      </c>
      <c r="KT36" s="18">
        <f>KT$15+KT$16+KT$17+KT$18+KT$19+KT$20+KT$27+KT$28+KT$29+KT$30+KT$31+KT$32</f>
        <v/>
      </c>
      <c r="KU36" s="18">
        <f>KU$15+KU$16+KU$17+KU$18+KU$19+KU$20+KU$27+KU$28+KU$29+KU$30+KU$31+KU$32</f>
        <v/>
      </c>
      <c r="KV36" s="18">
        <f>KV$15+KV$16+KV$17+KV$18+KV$19+KV$20+KV$27+KV$28+KV$29+KV$30+KV$31+KV$32</f>
        <v/>
      </c>
      <c r="KW36" s="18">
        <f>KW$15+KW$16+KW$17+KW$18+KW$19+KW$20+KW$27+KW$28+KW$29+KW$30+KW$31+KW$32</f>
        <v/>
      </c>
      <c r="KX36" s="18">
        <f>KX$15+KX$16+KX$17+KX$18+KX$19+KX$20+KX$27+KX$28+KX$29+KX$30+KX$31+KX$32</f>
        <v/>
      </c>
      <c r="KY36" s="18">
        <f>KY$15+KY$16+KY$17+KY$18+KY$19+KY$20+KY$27+KY$28+KY$29+KY$30+KY$31+KY$32</f>
        <v/>
      </c>
      <c r="KZ36" s="18">
        <f>KZ$15+KZ$16+KZ$17+KZ$18+KZ$19+KZ$20+KZ$27+KZ$28+KZ$29+KZ$30+KZ$31+KZ$32</f>
        <v/>
      </c>
      <c r="LA36" s="18">
        <f>LA$15+LA$16+LA$17+LA$18+LA$19+LA$20+LA$27+LA$28+LA$29+LA$30+LA$31+LA$32</f>
        <v/>
      </c>
      <c r="LB36" s="18">
        <f>LB$15+LB$16+LB$17+LB$18+LB$19+LB$20+LB$27+LB$28+LB$29+LB$30+LB$31+LB$32</f>
        <v/>
      </c>
      <c r="LC36" s="18">
        <f>LC$15+LC$16+LC$17+LC$18+LC$19+LC$20+LC$27+LC$28+LC$29+LC$30+LC$31+LC$32</f>
        <v/>
      </c>
      <c r="LD36" s="18">
        <f>LD$15+LD$16+LD$17+LD$18+LD$19+LD$20+LD$27+LD$28+LD$29+LD$30+LD$31+LD$32</f>
        <v/>
      </c>
      <c r="LE36" s="18">
        <f>LE$15+LE$16+LE$17+LE$18+LE$19+LE$20+LE$27+LE$28+LE$29+LE$30+LE$31+LE$32</f>
        <v/>
      </c>
      <c r="LF36" s="18">
        <f>LF$15+LF$16+LF$17+LF$18+LF$19+LF$20+LF$27+LF$28+LF$29+LF$30+LF$31+LF$32</f>
        <v/>
      </c>
      <c r="LG36" s="18">
        <f>LG$15+LG$16+LG$17+LG$18+LG$19+LG$20+LG$27+LG$28+LG$29+LG$30+LG$31+LG$32</f>
        <v/>
      </c>
      <c r="LH36" s="18">
        <f>LH$15+LH$16+LH$17+LH$18+LH$19+LH$20+LH$27+LH$28+LH$29+LH$30+LH$31+LH$32</f>
        <v/>
      </c>
      <c r="LI36" s="18">
        <f>LI$15+LI$16+LI$17+LI$18+LI$19+LI$20+LI$27+LI$28+LI$29+LI$30+LI$31+LI$32</f>
        <v/>
      </c>
      <c r="LJ36" s="18">
        <f>LJ$15+LJ$16+LJ$17+LJ$18+LJ$19+LJ$20+LJ$27+LJ$28+LJ$29+LJ$30+LJ$31+LJ$32</f>
        <v/>
      </c>
      <c r="LK36" s="18">
        <f>LK$15+LK$16+LK$17+LK$18+LK$19+LK$20+LK$27+LK$28+LK$29+LK$30+LK$31+LK$32</f>
        <v/>
      </c>
      <c r="LL36" s="18">
        <f>LL$15+LL$16+LL$17+LL$18+LL$19+LL$20+LL$27+LL$28+LL$29+LL$30+LL$31+LL$32</f>
        <v/>
      </c>
      <c r="LM36" s="18">
        <f>LM$15+LM$16+LM$17+LM$18+LM$19+LM$20+LM$27+LM$28+LM$29+LM$30+LM$31+LM$32</f>
        <v/>
      </c>
      <c r="LN36" s="18">
        <f>LN$15+LN$16+LN$17+LN$18+LN$19+LN$20+LN$27+LN$28+LN$29+LN$30+LN$31+LN$32</f>
        <v/>
      </c>
      <c r="LO36" s="18">
        <f>LO$15+LO$16+LO$17+LO$18+LO$19+LO$20+LO$27+LO$28+LO$29+LO$30+LO$31+LO$32</f>
        <v/>
      </c>
      <c r="LP36" s="18">
        <f>LP$15+LP$16+LP$17+LP$18+LP$19+LP$20+LP$27+LP$28+LP$29+LP$30+LP$31+LP$32</f>
        <v/>
      </c>
      <c r="LQ36" s="18">
        <f>LQ$15+LQ$16+LQ$17+LQ$18+LQ$19+LQ$20+LQ$27+LQ$28+LQ$29+LQ$30+LQ$31+LQ$32</f>
        <v/>
      </c>
      <c r="LR36" s="18">
        <f>LR$15+LR$16+LR$17+LR$18+LR$19+LR$20+LR$27+LR$28+LR$29+LR$30+LR$31+LR$32</f>
        <v/>
      </c>
      <c r="LS36" s="18">
        <f>LS$15+LS$16+LS$17+LS$18+LS$19+LS$20+LS$27+LS$28+LS$29+LS$30+LS$31+LS$32</f>
        <v/>
      </c>
      <c r="LT36" s="18">
        <f>LT$15+LT$16+LT$17+LT$18+LT$19+LT$20+LT$27+LT$28+LT$29+LT$30+LT$31+LT$32</f>
        <v/>
      </c>
      <c r="LU36" s="18">
        <f>LU$15+LU$16+LU$17+LU$18+LU$19+LU$20+LU$27+LU$28+LU$29+LU$30+LU$31+LU$32</f>
        <v/>
      </c>
      <c r="LV36" s="18">
        <f>LV$15+LV$16+LV$17+LV$18+LV$19+LV$20+LV$27+LV$28+LV$29+LV$30+LV$31+LV$32</f>
        <v/>
      </c>
      <c r="LW36" s="18">
        <f>LW$15+LW$16+LW$17+LW$18+LW$19+LW$20+LW$27+LW$28+LW$29+LW$30+LW$31+LW$32</f>
        <v/>
      </c>
      <c r="LX36" s="18">
        <f>LX$15+LX$16+LX$17+LX$18+LX$19+LX$20+LX$27+LX$28+LX$29+LX$30+LX$31+LX$32</f>
        <v/>
      </c>
      <c r="LY36" s="18">
        <f>LY$15+LY$16+LY$17+LY$18+LY$19+LY$20+LY$27+LY$28+LY$29+LY$30+LY$31+LY$32</f>
        <v/>
      </c>
      <c r="LZ36" s="18">
        <f>LZ$15+LZ$16+LZ$17+LZ$18+LZ$19+LZ$20+LZ$27+LZ$28+LZ$29+LZ$30+LZ$31+LZ$32</f>
        <v/>
      </c>
      <c r="MA36" s="18">
        <f>MA$15+MA$16+MA$17+MA$18+MA$19+MA$20+MA$27+MA$28+MA$29+MA$30+MA$31+MA$32</f>
        <v/>
      </c>
      <c r="MB36" s="18">
        <f>MB$15+MB$16+MB$17+MB$18+MB$19+MB$20+MB$27+MB$28+MB$29+MB$30+MB$31+MB$32</f>
        <v/>
      </c>
      <c r="MC36" s="18">
        <f>MC$15+MC$16+MC$17+MC$18+MC$19+MC$20+MC$27+MC$28+MC$29+MC$30+MC$31+MC$32</f>
        <v/>
      </c>
      <c r="MD36" s="18">
        <f>MD$15+MD$16+MD$17+MD$18+MD$19+MD$20+MD$27+MD$28+MD$29+MD$30+MD$31+MD$32</f>
        <v/>
      </c>
      <c r="ME36" s="18">
        <f>ME$15+ME$16+ME$17+ME$18+ME$19+ME$20+ME$27+ME$28+ME$29+ME$30+ME$31+ME$32</f>
        <v/>
      </c>
      <c r="MF36" s="18">
        <f>MF$15+MF$16+MF$17+MF$18+MF$19+MF$20+MF$27+MF$28+MF$29+MF$30+MF$31+MF$32</f>
        <v/>
      </c>
      <c r="MG36" s="18">
        <f>MG$15+MG$16+MG$17+MG$18+MG$19+MG$20+MG$27+MG$28+MG$29+MG$30+MG$31+MG$32</f>
        <v/>
      </c>
      <c r="MH36" s="18">
        <f>MH$15+MH$16+MH$17+MH$18+MH$19+MH$20+MH$27+MH$28+MH$29+MH$30+MH$31+MH$32</f>
        <v/>
      </c>
      <c r="MI36" s="18">
        <f>MI$15+MI$16+MI$17+MI$18+MI$19+MI$20+MI$27+MI$28+MI$29+MI$30+MI$31+MI$32</f>
        <v/>
      </c>
      <c r="MJ36" s="18">
        <f>MJ$15+MJ$16+MJ$17+MJ$18+MJ$19+MJ$20+MJ$27+MJ$28+MJ$29+MJ$30+MJ$31+MJ$32</f>
        <v/>
      </c>
      <c r="MK36" s="18">
        <f>MK$15+MK$16+MK$17+MK$18+MK$19+MK$20+MK$27+MK$28+MK$29+MK$30+MK$31+MK$32</f>
        <v/>
      </c>
      <c r="ML36" s="18">
        <f>ML$15+ML$16+ML$17+ML$18+ML$19+ML$20+ML$27+ML$28+ML$29+ML$30+ML$31+ML$32</f>
        <v/>
      </c>
      <c r="MM36" s="18">
        <f>MM$15+MM$16+MM$17+MM$18+MM$19+MM$20+MM$27+MM$28+MM$29+MM$30+MM$31+MM$32</f>
        <v/>
      </c>
      <c r="MN36" s="18">
        <f>MN$15+MN$16+MN$17+MN$18+MN$19+MN$20+MN$27+MN$28+MN$29+MN$30+MN$31+MN$32</f>
        <v/>
      </c>
      <c r="MO36" s="18">
        <f>MO$15+MO$16+MO$17+MO$18+MO$19+MO$20+MO$27+MO$28+MO$29+MO$30+MO$31+MO$32</f>
        <v/>
      </c>
      <c r="MP36" s="18">
        <f>MP$15+MP$16+MP$17+MP$18+MP$19+MP$20+MP$27+MP$28+MP$29+MP$30+MP$31+MP$32</f>
        <v/>
      </c>
      <c r="MQ36" s="18">
        <f>MQ$15+MQ$16+MQ$17+MQ$18+MQ$19+MQ$20+MQ$27+MQ$28+MQ$29+MQ$30+MQ$31+MQ$32</f>
        <v/>
      </c>
      <c r="MR36" s="18">
        <f>MR$15+MR$16+MR$17+MR$18+MR$19+MR$20+MR$27+MR$28+MR$29+MR$30+MR$31+MR$32</f>
        <v/>
      </c>
      <c r="MS36" s="18">
        <f>MS$15+MS$16+MS$17+MS$18+MS$19+MS$20+MS$27+MS$28+MS$29+MS$30+MS$31+MS$32</f>
        <v/>
      </c>
      <c r="MT36" s="18">
        <f>MT$15+MT$16+MT$17+MT$18+MT$19+MT$20+MT$27+MT$28+MT$29+MT$30+MT$31+MT$32</f>
        <v/>
      </c>
      <c r="MU36" s="18">
        <f>MU$15+MU$16+MU$17+MU$18+MU$19+MU$20+MU$27+MU$28+MU$29+MU$30+MU$31+MU$32</f>
        <v/>
      </c>
      <c r="MV36" s="18">
        <f>MV$15+MV$16+MV$17+MV$18+MV$19+MV$20+MV$27+MV$28+MV$29+MV$30+MV$31+MV$32</f>
        <v/>
      </c>
      <c r="MW36" s="18">
        <f>MW$15+MW$16+MW$17+MW$18+MW$19+MW$20+MW$27+MW$28+MW$29+MW$30+MW$31+MW$32</f>
        <v/>
      </c>
      <c r="MX36" s="18">
        <f>MX$15+MX$16+MX$17+MX$18+MX$19+MX$20+MX$27+MX$28+MX$29+MX$30+MX$31+MX$32</f>
        <v/>
      </c>
      <c r="MY36" s="18">
        <f>MY$15+MY$16+MY$17+MY$18+MY$19+MY$20+MY$27+MY$28+MY$29+MY$30+MY$31+MY$32</f>
        <v/>
      </c>
      <c r="MZ36" s="18">
        <f>MZ$15+MZ$16+MZ$17+MZ$18+MZ$19+MZ$20+MZ$27+MZ$28+MZ$29+MZ$30+MZ$31+MZ$32</f>
        <v/>
      </c>
      <c r="NA36" s="18">
        <f>NA$15+NA$16+NA$17+NA$18+NA$19+NA$20+NA$27+NA$28+NA$29+NA$30+NA$31+NA$32</f>
        <v/>
      </c>
      <c r="NB36" s="18">
        <f>NB$15+NB$16+NB$17+NB$18+NB$19+NB$20+NB$27+NB$28+NB$29+NB$30+NB$31+NB$32</f>
        <v/>
      </c>
      <c r="NC36" s="18">
        <f>NC$15+NC$16+NC$17+NC$18+NC$19+NC$20+NC$27+NC$28+NC$29+NC$30+NC$31+NC$32</f>
        <v/>
      </c>
      <c r="ND36" s="18">
        <f>ND$15+ND$16+ND$17+ND$18+ND$19+ND$20+ND$27+ND$28+ND$29+ND$30+ND$31+ND$32</f>
        <v/>
      </c>
      <c r="NE36" s="18">
        <f>NE$15+NE$16+NE$17+NE$18+NE$19+NE$20+NE$27+NE$28+NE$29+NE$30+NE$31+NE$32</f>
        <v/>
      </c>
      <c r="NF36" s="18">
        <f>NF$15+NF$16+NF$17+NF$18+NF$19+NF$20+NF$27+NF$28+NF$29+NF$30+NF$31+NF$32</f>
        <v/>
      </c>
      <c r="NG36" s="18">
        <f>NG$15+NG$16+NG$17+NG$18+NG$19+NG$20+NG$27+NG$28+NG$29+NG$30+NG$31+NG$32</f>
        <v/>
      </c>
      <c r="NH36" s="18">
        <f>NH$15+NH$16+NH$17+NH$18+NH$19+NH$20+NH$27+NH$28+NH$29+NH$30+NH$31+NH$32</f>
        <v/>
      </c>
      <c r="NI36" s="18">
        <f>NI$15+NI$16+NI$17+NI$18+NI$19+NI$20+NI$27+NI$28+NI$29+NI$30+NI$31+NI$32</f>
        <v/>
      </c>
      <c r="NJ36" s="18">
        <f>NJ$15+NJ$16+NJ$17+NJ$18+NJ$19+NJ$20+NJ$27+NJ$28+NJ$29+NJ$30+NJ$31+NJ$32</f>
        <v/>
      </c>
      <c r="NK36" s="18">
        <f>NK$15+NK$16+NK$17+NK$18+NK$19+NK$20+NK$27+NK$28+NK$29+NK$30+NK$31+NK$32</f>
        <v/>
      </c>
    </row>
    <row r="37">
      <c r="A37" s="5" t="inlineStr">
        <is>
          <t>Cumulative Hard Cost in Place</t>
        </is>
      </c>
      <c r="C37" s="43" t="n"/>
      <c r="D37" s="18">
        <f>D$36</f>
        <v/>
      </c>
      <c r="E37" s="18">
        <f>D$37+E$36</f>
        <v/>
      </c>
      <c r="F37" s="18">
        <f>E$37+F$36</f>
        <v/>
      </c>
      <c r="G37" s="18">
        <f>F$37+G$36</f>
        <v/>
      </c>
      <c r="H37" s="18">
        <f>G$37+H$36</f>
        <v/>
      </c>
      <c r="I37" s="18">
        <f>H$37+I$36</f>
        <v/>
      </c>
      <c r="J37" s="18">
        <f>I$37+J$36</f>
        <v/>
      </c>
      <c r="K37" s="18">
        <f>J$37+K$36</f>
        <v/>
      </c>
      <c r="L37" s="18">
        <f>K$37+L$36</f>
        <v/>
      </c>
      <c r="M37" s="18">
        <f>L$37+M$36</f>
        <v/>
      </c>
      <c r="N37" s="18">
        <f>M$37+N$36</f>
        <v/>
      </c>
      <c r="O37" s="18">
        <f>N$37+O$36</f>
        <v/>
      </c>
      <c r="P37" s="18">
        <f>O$37+P$36</f>
        <v/>
      </c>
      <c r="Q37" s="18">
        <f>P$37+Q$36</f>
        <v/>
      </c>
      <c r="R37" s="18">
        <f>Q$37+R$36</f>
        <v/>
      </c>
      <c r="S37" s="18">
        <f>R$37+S$36</f>
        <v/>
      </c>
      <c r="T37" s="18">
        <f>S$37+T$36</f>
        <v/>
      </c>
      <c r="U37" s="18">
        <f>T$37+U$36</f>
        <v/>
      </c>
      <c r="V37" s="18">
        <f>U$37+V$36</f>
        <v/>
      </c>
      <c r="W37" s="18">
        <f>V$37+W$36</f>
        <v/>
      </c>
      <c r="X37" s="18">
        <f>W$37+X$36</f>
        <v/>
      </c>
      <c r="Y37" s="18">
        <f>X$37+Y$36</f>
        <v/>
      </c>
      <c r="Z37" s="18">
        <f>Y$37+Z$36</f>
        <v/>
      </c>
      <c r="AA37" s="18">
        <f>Z$37+AA$36</f>
        <v/>
      </c>
      <c r="AB37" s="18">
        <f>AA$37+AB$36</f>
        <v/>
      </c>
      <c r="AC37" s="18">
        <f>AB$37+AC$36</f>
        <v/>
      </c>
      <c r="AD37" s="18">
        <f>AC$37+AD$36</f>
        <v/>
      </c>
      <c r="AE37" s="18">
        <f>AD$37+AE$36</f>
        <v/>
      </c>
      <c r="AF37" s="18">
        <f>AE$37+AF$36</f>
        <v/>
      </c>
      <c r="AG37" s="18">
        <f>AF$37+AG$36</f>
        <v/>
      </c>
      <c r="AH37" s="18">
        <f>AG$37+AH$36</f>
        <v/>
      </c>
      <c r="AI37" s="18">
        <f>AH$37+AI$36</f>
        <v/>
      </c>
      <c r="AJ37" s="18">
        <f>AI$37+AJ$36</f>
        <v/>
      </c>
      <c r="AK37" s="18">
        <f>AJ$37+AK$36</f>
        <v/>
      </c>
      <c r="AL37" s="18">
        <f>AK$37+AL$36</f>
        <v/>
      </c>
      <c r="AM37" s="18">
        <f>AL$37+AM$36</f>
        <v/>
      </c>
      <c r="AN37" s="18">
        <f>AM$37+AN$36</f>
        <v/>
      </c>
      <c r="AO37" s="18">
        <f>AN$37+AO$36</f>
        <v/>
      </c>
      <c r="AP37" s="18">
        <f>AO$37+AP$36</f>
        <v/>
      </c>
      <c r="AQ37" s="18">
        <f>AP$37+AQ$36</f>
        <v/>
      </c>
      <c r="AR37" s="18">
        <f>AQ$37+AR$36</f>
        <v/>
      </c>
      <c r="AS37" s="18">
        <f>AR$37+AS$36</f>
        <v/>
      </c>
      <c r="AT37" s="18">
        <f>AS$37+AT$36</f>
        <v/>
      </c>
      <c r="AU37" s="18">
        <f>AT$37+AU$36</f>
        <v/>
      </c>
      <c r="AV37" s="18">
        <f>AU$37+AV$36</f>
        <v/>
      </c>
      <c r="AW37" s="18">
        <f>AV$37+AW$36</f>
        <v/>
      </c>
      <c r="AX37" s="18">
        <f>AW$37+AX$36</f>
        <v/>
      </c>
      <c r="AY37" s="18">
        <f>AX$37+AY$36</f>
        <v/>
      </c>
      <c r="AZ37" s="18">
        <f>AY$37+AZ$36</f>
        <v/>
      </c>
      <c r="BA37" s="18">
        <f>AZ$37+BA$36</f>
        <v/>
      </c>
      <c r="BB37" s="18">
        <f>BA$37+BB$36</f>
        <v/>
      </c>
      <c r="BC37" s="18">
        <f>BB$37+BC$36</f>
        <v/>
      </c>
      <c r="BD37" s="18">
        <f>BC$37+BD$36</f>
        <v/>
      </c>
      <c r="BE37" s="18">
        <f>BD$37+BE$36</f>
        <v/>
      </c>
      <c r="BF37" s="18">
        <f>BE$37+BF$36</f>
        <v/>
      </c>
      <c r="BG37" s="18">
        <f>BF$37+BG$36</f>
        <v/>
      </c>
      <c r="BH37" s="18">
        <f>BG$37+BH$36</f>
        <v/>
      </c>
      <c r="BI37" s="18">
        <f>BH$37+BI$36</f>
        <v/>
      </c>
      <c r="BJ37" s="18">
        <f>BI$37+BJ$36</f>
        <v/>
      </c>
      <c r="BK37" s="18">
        <f>BJ$37+BK$36</f>
        <v/>
      </c>
      <c r="BL37" s="18">
        <f>BK$37+BL$36</f>
        <v/>
      </c>
      <c r="BM37" s="18">
        <f>BL$37+BM$36</f>
        <v/>
      </c>
      <c r="BN37" s="18">
        <f>BM$37+BN$36</f>
        <v/>
      </c>
      <c r="BO37" s="18">
        <f>BN$37+BO$36</f>
        <v/>
      </c>
      <c r="BP37" s="18">
        <f>BO$37+BP$36</f>
        <v/>
      </c>
      <c r="BQ37" s="18">
        <f>BP$37+BQ$36</f>
        <v/>
      </c>
      <c r="BR37" s="18">
        <f>BQ$37+BR$36</f>
        <v/>
      </c>
      <c r="BS37" s="18">
        <f>BR$37+BS$36</f>
        <v/>
      </c>
      <c r="BT37" s="18">
        <f>BS$37+BT$36</f>
        <v/>
      </c>
      <c r="BU37" s="18">
        <f>BT$37+BU$36</f>
        <v/>
      </c>
      <c r="BV37" s="18">
        <f>BU$37+BV$36</f>
        <v/>
      </c>
      <c r="BW37" s="18">
        <f>BV$37+BW$36</f>
        <v/>
      </c>
      <c r="BX37" s="18">
        <f>BW$37+BX$36</f>
        <v/>
      </c>
      <c r="BY37" s="18">
        <f>BX$37+BY$36</f>
        <v/>
      </c>
      <c r="BZ37" s="18">
        <f>BY$37+BZ$36</f>
        <v/>
      </c>
      <c r="CA37" s="18">
        <f>BZ$37+CA$36</f>
        <v/>
      </c>
      <c r="CB37" s="18">
        <f>CA$37+CB$36</f>
        <v/>
      </c>
      <c r="CC37" s="18">
        <f>CB$37+CC$36</f>
        <v/>
      </c>
      <c r="CD37" s="18">
        <f>CC$37+CD$36</f>
        <v/>
      </c>
      <c r="CE37" s="18">
        <f>CD$37+CE$36</f>
        <v/>
      </c>
      <c r="CF37" s="18">
        <f>CE$37+CF$36</f>
        <v/>
      </c>
      <c r="CG37" s="18">
        <f>CF$37+CG$36</f>
        <v/>
      </c>
      <c r="CH37" s="18">
        <f>CG$37+CH$36</f>
        <v/>
      </c>
      <c r="CI37" s="18">
        <f>CH$37+CI$36</f>
        <v/>
      </c>
      <c r="CJ37" s="18">
        <f>CI$37+CJ$36</f>
        <v/>
      </c>
      <c r="CK37" s="18">
        <f>CJ$37+CK$36</f>
        <v/>
      </c>
      <c r="CL37" s="18">
        <f>CK$37+CL$36</f>
        <v/>
      </c>
      <c r="CM37" s="18">
        <f>CL$37+CM$36</f>
        <v/>
      </c>
      <c r="CN37" s="18">
        <f>CM$37+CN$36</f>
        <v/>
      </c>
      <c r="CO37" s="18">
        <f>CN$37+CO$36</f>
        <v/>
      </c>
      <c r="CP37" s="18">
        <f>CO$37+CP$36</f>
        <v/>
      </c>
      <c r="CQ37" s="18">
        <f>CP$37+CQ$36</f>
        <v/>
      </c>
      <c r="CR37" s="18">
        <f>CQ$37+CR$36</f>
        <v/>
      </c>
      <c r="CS37" s="18">
        <f>CR$37+CS$36</f>
        <v/>
      </c>
      <c r="CT37" s="18">
        <f>CS$37+CT$36</f>
        <v/>
      </c>
      <c r="CU37" s="18">
        <f>CT$37+CU$36</f>
        <v/>
      </c>
      <c r="CV37" s="18">
        <f>CU$37+CV$36</f>
        <v/>
      </c>
      <c r="CW37" s="18">
        <f>CV$37+CW$36</f>
        <v/>
      </c>
      <c r="CX37" s="18">
        <f>CW$37+CX$36</f>
        <v/>
      </c>
      <c r="CY37" s="18">
        <f>CX$37+CY$36</f>
        <v/>
      </c>
      <c r="CZ37" s="18">
        <f>CY$37+CZ$36</f>
        <v/>
      </c>
      <c r="DA37" s="18">
        <f>CZ$37+DA$36</f>
        <v/>
      </c>
      <c r="DB37" s="18">
        <f>DA$37+DB$36</f>
        <v/>
      </c>
      <c r="DC37" s="18">
        <f>DB$37+DC$36</f>
        <v/>
      </c>
      <c r="DD37" s="18">
        <f>DC$37+DD$36</f>
        <v/>
      </c>
      <c r="DE37" s="18">
        <f>DD$37+DE$36</f>
        <v/>
      </c>
      <c r="DF37" s="18">
        <f>DE$37+DF$36</f>
        <v/>
      </c>
      <c r="DG37" s="18">
        <f>DF$37+DG$36</f>
        <v/>
      </c>
      <c r="DH37" s="18">
        <f>DG$37+DH$36</f>
        <v/>
      </c>
      <c r="DI37" s="18">
        <f>DH$37+DI$36</f>
        <v/>
      </c>
      <c r="DJ37" s="18">
        <f>DI$37+DJ$36</f>
        <v/>
      </c>
      <c r="DK37" s="18">
        <f>DJ$37+DK$36</f>
        <v/>
      </c>
      <c r="DL37" s="18">
        <f>DK$37+DL$36</f>
        <v/>
      </c>
      <c r="DM37" s="18">
        <f>DL$37+DM$36</f>
        <v/>
      </c>
      <c r="DN37" s="18">
        <f>DM$37+DN$36</f>
        <v/>
      </c>
      <c r="DO37" s="18">
        <f>DN$37+DO$36</f>
        <v/>
      </c>
      <c r="DP37" s="18">
        <f>DO$37+DP$36</f>
        <v/>
      </c>
      <c r="DQ37" s="18">
        <f>DP$37+DQ$36</f>
        <v/>
      </c>
      <c r="DR37" s="18">
        <f>DQ$37+DR$36</f>
        <v/>
      </c>
      <c r="DS37" s="18">
        <f>DR$37+DS$36</f>
        <v/>
      </c>
      <c r="DT37" s="18">
        <f>DS$37+DT$36</f>
        <v/>
      </c>
      <c r="DU37" s="18">
        <f>DT$37+DU$36</f>
        <v/>
      </c>
      <c r="DV37" s="18">
        <f>DU$37+DV$36</f>
        <v/>
      </c>
      <c r="DW37" s="18">
        <f>DV$37+DW$36</f>
        <v/>
      </c>
      <c r="DX37" s="18">
        <f>DW$37+DX$36</f>
        <v/>
      </c>
      <c r="DY37" s="18">
        <f>DX$37+DY$36</f>
        <v/>
      </c>
      <c r="DZ37" s="18">
        <f>DY$37+DZ$36</f>
        <v/>
      </c>
      <c r="EA37" s="18">
        <f>DZ$37+EA$36</f>
        <v/>
      </c>
      <c r="EB37" s="18">
        <f>EA$37+EB$36</f>
        <v/>
      </c>
      <c r="EC37" s="18">
        <f>EB$37+EC$36</f>
        <v/>
      </c>
      <c r="ED37" s="18">
        <f>EC$37+ED$36</f>
        <v/>
      </c>
      <c r="EE37" s="18">
        <f>ED$37+EE$36</f>
        <v/>
      </c>
      <c r="EF37" s="18">
        <f>EE$37+EF$36</f>
        <v/>
      </c>
      <c r="EG37" s="18">
        <f>EF$37+EG$36</f>
        <v/>
      </c>
      <c r="EH37" s="18">
        <f>EG$37+EH$36</f>
        <v/>
      </c>
      <c r="EI37" s="18">
        <f>EH$37+EI$36</f>
        <v/>
      </c>
      <c r="EJ37" s="18">
        <f>EI$37+EJ$36</f>
        <v/>
      </c>
      <c r="EK37" s="18">
        <f>EJ$37+EK$36</f>
        <v/>
      </c>
      <c r="EL37" s="18">
        <f>EK$37+EL$36</f>
        <v/>
      </c>
      <c r="EM37" s="18">
        <f>EL$37+EM$36</f>
        <v/>
      </c>
      <c r="EN37" s="18">
        <f>EM$37+EN$36</f>
        <v/>
      </c>
      <c r="EO37" s="18">
        <f>EN$37+EO$36</f>
        <v/>
      </c>
      <c r="EP37" s="18">
        <f>EO$37+EP$36</f>
        <v/>
      </c>
      <c r="EQ37" s="18">
        <f>EP$37+EQ$36</f>
        <v/>
      </c>
      <c r="ER37" s="18">
        <f>EQ$37+ER$36</f>
        <v/>
      </c>
      <c r="ES37" s="18">
        <f>ER$37+ES$36</f>
        <v/>
      </c>
      <c r="ET37" s="18">
        <f>ES$37+ET$36</f>
        <v/>
      </c>
      <c r="EU37" s="18">
        <f>ET$37+EU$36</f>
        <v/>
      </c>
      <c r="EV37" s="18">
        <f>EU$37+EV$36</f>
        <v/>
      </c>
      <c r="EW37" s="18">
        <f>EV$37+EW$36</f>
        <v/>
      </c>
      <c r="EX37" s="18">
        <f>EW$37+EX$36</f>
        <v/>
      </c>
      <c r="EY37" s="18">
        <f>EX$37+EY$36</f>
        <v/>
      </c>
      <c r="EZ37" s="18">
        <f>EY$37+EZ$36</f>
        <v/>
      </c>
      <c r="FA37" s="18">
        <f>EZ$37+FA$36</f>
        <v/>
      </c>
      <c r="FB37" s="18">
        <f>FA$37+FB$36</f>
        <v/>
      </c>
      <c r="FC37" s="18">
        <f>FB$37+FC$36</f>
        <v/>
      </c>
      <c r="FD37" s="18">
        <f>FC$37+FD$36</f>
        <v/>
      </c>
      <c r="FE37" s="18">
        <f>FD$37+FE$36</f>
        <v/>
      </c>
      <c r="FF37" s="18">
        <f>FE$37+FF$36</f>
        <v/>
      </c>
      <c r="FG37" s="18">
        <f>FF$37+FG$36</f>
        <v/>
      </c>
      <c r="FH37" s="18">
        <f>FG$37+FH$36</f>
        <v/>
      </c>
      <c r="FI37" s="18">
        <f>FH$37+FI$36</f>
        <v/>
      </c>
      <c r="FJ37" s="18">
        <f>FI$37+FJ$36</f>
        <v/>
      </c>
      <c r="FK37" s="18">
        <f>FJ$37+FK$36</f>
        <v/>
      </c>
      <c r="FL37" s="18">
        <f>FK$37+FL$36</f>
        <v/>
      </c>
      <c r="FM37" s="18">
        <f>FL$37+FM$36</f>
        <v/>
      </c>
      <c r="FN37" s="18">
        <f>FM$37+FN$36</f>
        <v/>
      </c>
      <c r="FO37" s="18">
        <f>FN$37+FO$36</f>
        <v/>
      </c>
      <c r="FP37" s="18">
        <f>FO$37+FP$36</f>
        <v/>
      </c>
      <c r="FQ37" s="18">
        <f>FP$37+FQ$36</f>
        <v/>
      </c>
      <c r="FR37" s="18">
        <f>FQ$37+FR$36</f>
        <v/>
      </c>
      <c r="FS37" s="18">
        <f>FR$37+FS$36</f>
        <v/>
      </c>
      <c r="FT37" s="18">
        <f>FS$37+FT$36</f>
        <v/>
      </c>
      <c r="FU37" s="18">
        <f>FT$37+FU$36</f>
        <v/>
      </c>
      <c r="FV37" s="18">
        <f>FU$37+FV$36</f>
        <v/>
      </c>
      <c r="FW37" s="18">
        <f>FV$37+FW$36</f>
        <v/>
      </c>
      <c r="FX37" s="18">
        <f>FW$37+FX$36</f>
        <v/>
      </c>
      <c r="FY37" s="18">
        <f>FX$37+FY$36</f>
        <v/>
      </c>
      <c r="FZ37" s="18">
        <f>FY$37+FZ$36</f>
        <v/>
      </c>
      <c r="GA37" s="18">
        <f>FZ$37+GA$36</f>
        <v/>
      </c>
      <c r="GB37" s="18">
        <f>GA$37+GB$36</f>
        <v/>
      </c>
      <c r="GC37" s="18">
        <f>GB$37+GC$36</f>
        <v/>
      </c>
      <c r="GD37" s="18">
        <f>GC$37+GD$36</f>
        <v/>
      </c>
      <c r="GE37" s="18">
        <f>GD$37+GE$36</f>
        <v/>
      </c>
      <c r="GF37" s="18">
        <f>GE$37+GF$36</f>
        <v/>
      </c>
      <c r="GG37" s="18">
        <f>GF$37+GG$36</f>
        <v/>
      </c>
      <c r="GH37" s="18">
        <f>GG$37+GH$36</f>
        <v/>
      </c>
      <c r="GI37" s="18">
        <f>GH$37+GI$36</f>
        <v/>
      </c>
      <c r="GJ37" s="18">
        <f>GI$37+GJ$36</f>
        <v/>
      </c>
      <c r="GK37" s="18">
        <f>GJ$37+GK$36</f>
        <v/>
      </c>
      <c r="GL37" s="18">
        <f>GK$37+GL$36</f>
        <v/>
      </c>
      <c r="GM37" s="18">
        <f>GL$37+GM$36</f>
        <v/>
      </c>
      <c r="GN37" s="18">
        <f>GM$37+GN$36</f>
        <v/>
      </c>
      <c r="GO37" s="18">
        <f>GN$37+GO$36</f>
        <v/>
      </c>
      <c r="GP37" s="18">
        <f>GO$37+GP$36</f>
        <v/>
      </c>
      <c r="GQ37" s="18">
        <f>GP$37+GQ$36</f>
        <v/>
      </c>
      <c r="GR37" s="18">
        <f>GQ$37+GR$36</f>
        <v/>
      </c>
      <c r="GS37" s="18">
        <f>GR$37+GS$36</f>
        <v/>
      </c>
      <c r="GT37" s="18">
        <f>GS$37+GT$36</f>
        <v/>
      </c>
      <c r="GU37" s="18">
        <f>GT$37+GU$36</f>
        <v/>
      </c>
      <c r="GV37" s="18">
        <f>GU$37+GV$36</f>
        <v/>
      </c>
      <c r="GW37" s="18">
        <f>GV$37+GW$36</f>
        <v/>
      </c>
      <c r="GX37" s="18">
        <f>GW$37+GX$36</f>
        <v/>
      </c>
      <c r="GY37" s="18">
        <f>GX$37+GY$36</f>
        <v/>
      </c>
      <c r="GZ37" s="18">
        <f>GY$37+GZ$36</f>
        <v/>
      </c>
      <c r="HA37" s="18">
        <f>GZ$37+HA$36</f>
        <v/>
      </c>
      <c r="HB37" s="18">
        <f>HA$37+HB$36</f>
        <v/>
      </c>
      <c r="HC37" s="18">
        <f>HB$37+HC$36</f>
        <v/>
      </c>
      <c r="HD37" s="18">
        <f>HC$37+HD$36</f>
        <v/>
      </c>
      <c r="HE37" s="18">
        <f>HD$37+HE$36</f>
        <v/>
      </c>
      <c r="HF37" s="18">
        <f>HE$37+HF$36</f>
        <v/>
      </c>
      <c r="HG37" s="18">
        <f>HF$37+HG$36</f>
        <v/>
      </c>
      <c r="HH37" s="18">
        <f>HG$37+HH$36</f>
        <v/>
      </c>
      <c r="HI37" s="18">
        <f>HH$37+HI$36</f>
        <v/>
      </c>
      <c r="HJ37" s="18">
        <f>HI$37+HJ$36</f>
        <v/>
      </c>
      <c r="HK37" s="18">
        <f>HJ$37+HK$36</f>
        <v/>
      </c>
      <c r="HL37" s="18">
        <f>HK$37+HL$36</f>
        <v/>
      </c>
      <c r="HM37" s="18">
        <f>HL$37+HM$36</f>
        <v/>
      </c>
      <c r="HN37" s="18">
        <f>HM$37+HN$36</f>
        <v/>
      </c>
      <c r="HO37" s="18">
        <f>HN$37+HO$36</f>
        <v/>
      </c>
      <c r="HP37" s="18">
        <f>HO$37+HP$36</f>
        <v/>
      </c>
      <c r="HQ37" s="18">
        <f>HP$37+HQ$36</f>
        <v/>
      </c>
      <c r="HR37" s="18">
        <f>HQ$37+HR$36</f>
        <v/>
      </c>
      <c r="HS37" s="18">
        <f>HR$37+HS$36</f>
        <v/>
      </c>
      <c r="HT37" s="18">
        <f>HS$37+HT$36</f>
        <v/>
      </c>
      <c r="HU37" s="18">
        <f>HT$37+HU$36</f>
        <v/>
      </c>
      <c r="HV37" s="18">
        <f>HU$37+HV$36</f>
        <v/>
      </c>
      <c r="HW37" s="18">
        <f>HV$37+HW$36</f>
        <v/>
      </c>
      <c r="HX37" s="18">
        <f>HW$37+HX$36</f>
        <v/>
      </c>
      <c r="HY37" s="18">
        <f>HX$37+HY$36</f>
        <v/>
      </c>
      <c r="HZ37" s="18">
        <f>HY$37+HZ$36</f>
        <v/>
      </c>
      <c r="IA37" s="18">
        <f>HZ$37+IA$36</f>
        <v/>
      </c>
      <c r="IB37" s="18">
        <f>IA$37+IB$36</f>
        <v/>
      </c>
      <c r="IC37" s="18">
        <f>IB$37+IC$36</f>
        <v/>
      </c>
      <c r="ID37" s="18">
        <f>IC$37+ID$36</f>
        <v/>
      </c>
      <c r="IE37" s="18">
        <f>ID$37+IE$36</f>
        <v/>
      </c>
      <c r="IF37" s="18">
        <f>IE$37+IF$36</f>
        <v/>
      </c>
      <c r="IG37" s="18">
        <f>IF$37+IG$36</f>
        <v/>
      </c>
      <c r="IH37" s="18">
        <f>IG$37+IH$36</f>
        <v/>
      </c>
      <c r="II37" s="18">
        <f>IH$37+II$36</f>
        <v/>
      </c>
      <c r="IJ37" s="18">
        <f>II$37+IJ$36</f>
        <v/>
      </c>
      <c r="IK37" s="18">
        <f>IJ$37+IK$36</f>
        <v/>
      </c>
      <c r="IL37" s="18">
        <f>IK$37+IL$36</f>
        <v/>
      </c>
      <c r="IM37" s="18">
        <f>IL$37+IM$36</f>
        <v/>
      </c>
      <c r="IN37" s="18">
        <f>IM$37+IN$36</f>
        <v/>
      </c>
      <c r="IO37" s="18">
        <f>IN$37+IO$36</f>
        <v/>
      </c>
      <c r="IP37" s="18">
        <f>IO$37+IP$36</f>
        <v/>
      </c>
      <c r="IQ37" s="18">
        <f>IP$37+IQ$36</f>
        <v/>
      </c>
      <c r="IR37" s="18">
        <f>IQ$37+IR$36</f>
        <v/>
      </c>
      <c r="IS37" s="18">
        <f>IR$37+IS$36</f>
        <v/>
      </c>
      <c r="IT37" s="18">
        <f>IS$37+IT$36</f>
        <v/>
      </c>
      <c r="IU37" s="18">
        <f>IT$37+IU$36</f>
        <v/>
      </c>
      <c r="IV37" s="18">
        <f>IU$37+IV$36</f>
        <v/>
      </c>
      <c r="IW37" s="18">
        <f>IV$37+IW$36</f>
        <v/>
      </c>
      <c r="IX37" s="18">
        <f>IW$37+IX$36</f>
        <v/>
      </c>
      <c r="IY37" s="18">
        <f>IX$37+IY$36</f>
        <v/>
      </c>
      <c r="IZ37" s="18">
        <f>IY$37+IZ$36</f>
        <v/>
      </c>
      <c r="JA37" s="18">
        <f>IZ$37+JA$36</f>
        <v/>
      </c>
      <c r="JB37" s="18">
        <f>JA$37+JB$36</f>
        <v/>
      </c>
      <c r="JC37" s="18">
        <f>JB$37+JC$36</f>
        <v/>
      </c>
      <c r="JD37" s="18">
        <f>JC$37+JD$36</f>
        <v/>
      </c>
      <c r="JE37" s="18">
        <f>JD$37+JE$36</f>
        <v/>
      </c>
      <c r="JF37" s="18">
        <f>JE$37+JF$36</f>
        <v/>
      </c>
      <c r="JG37" s="18">
        <f>JF$37+JG$36</f>
        <v/>
      </c>
      <c r="JH37" s="18">
        <f>JG$37+JH$36</f>
        <v/>
      </c>
      <c r="JI37" s="18">
        <f>JH$37+JI$36</f>
        <v/>
      </c>
      <c r="JJ37" s="18">
        <f>JI$37+JJ$36</f>
        <v/>
      </c>
      <c r="JK37" s="18">
        <f>JJ$37+JK$36</f>
        <v/>
      </c>
      <c r="JL37" s="18">
        <f>JK$37+JL$36</f>
        <v/>
      </c>
      <c r="JM37" s="18">
        <f>JL$37+JM$36</f>
        <v/>
      </c>
      <c r="JN37" s="18">
        <f>JM$37+JN$36</f>
        <v/>
      </c>
      <c r="JO37" s="18">
        <f>JN$37+JO$36</f>
        <v/>
      </c>
      <c r="JP37" s="18">
        <f>JO$37+JP$36</f>
        <v/>
      </c>
      <c r="JQ37" s="18">
        <f>JP$37+JQ$36</f>
        <v/>
      </c>
      <c r="JR37" s="18">
        <f>JQ$37+JR$36</f>
        <v/>
      </c>
      <c r="JS37" s="18">
        <f>JR$37+JS$36</f>
        <v/>
      </c>
      <c r="JT37" s="18">
        <f>JS$37+JT$36</f>
        <v/>
      </c>
      <c r="JU37" s="18">
        <f>JT$37+JU$36</f>
        <v/>
      </c>
      <c r="JV37" s="18">
        <f>JU$37+JV$36</f>
        <v/>
      </c>
      <c r="JW37" s="18">
        <f>JV$37+JW$36</f>
        <v/>
      </c>
      <c r="JX37" s="18">
        <f>JW$37+JX$36</f>
        <v/>
      </c>
      <c r="JY37" s="18">
        <f>JX$37+JY$36</f>
        <v/>
      </c>
      <c r="JZ37" s="18">
        <f>JY$37+JZ$36</f>
        <v/>
      </c>
      <c r="KA37" s="18">
        <f>JZ$37+KA$36</f>
        <v/>
      </c>
      <c r="KB37" s="18">
        <f>KA$37+KB$36</f>
        <v/>
      </c>
      <c r="KC37" s="18">
        <f>KB$37+KC$36</f>
        <v/>
      </c>
      <c r="KD37" s="18">
        <f>KC$37+KD$36</f>
        <v/>
      </c>
      <c r="KE37" s="18">
        <f>KD$37+KE$36</f>
        <v/>
      </c>
      <c r="KF37" s="18">
        <f>KE$37+KF$36</f>
        <v/>
      </c>
      <c r="KG37" s="18">
        <f>KF$37+KG$36</f>
        <v/>
      </c>
      <c r="KH37" s="18">
        <f>KG$37+KH$36</f>
        <v/>
      </c>
      <c r="KI37" s="18">
        <f>KH$37+KI$36</f>
        <v/>
      </c>
      <c r="KJ37" s="18">
        <f>KI$37+KJ$36</f>
        <v/>
      </c>
      <c r="KK37" s="18">
        <f>KJ$37+KK$36</f>
        <v/>
      </c>
      <c r="KL37" s="18">
        <f>KK$37+KL$36</f>
        <v/>
      </c>
      <c r="KM37" s="18">
        <f>KL$37+KM$36</f>
        <v/>
      </c>
      <c r="KN37" s="18">
        <f>KM$37+KN$36</f>
        <v/>
      </c>
      <c r="KO37" s="18">
        <f>KN$37+KO$36</f>
        <v/>
      </c>
      <c r="KP37" s="18">
        <f>KO$37+KP$36</f>
        <v/>
      </c>
      <c r="KQ37" s="18">
        <f>KP$37+KQ$36</f>
        <v/>
      </c>
      <c r="KR37" s="18">
        <f>KQ$37+KR$36</f>
        <v/>
      </c>
      <c r="KS37" s="18">
        <f>KR$37+KS$36</f>
        <v/>
      </c>
      <c r="KT37" s="18">
        <f>KS$37+KT$36</f>
        <v/>
      </c>
      <c r="KU37" s="18">
        <f>KT$37+KU$36</f>
        <v/>
      </c>
      <c r="KV37" s="18">
        <f>KU$37+KV$36</f>
        <v/>
      </c>
      <c r="KW37" s="18">
        <f>KV$37+KW$36</f>
        <v/>
      </c>
      <c r="KX37" s="18">
        <f>KW$37+KX$36</f>
        <v/>
      </c>
      <c r="KY37" s="18">
        <f>KX$37+KY$36</f>
        <v/>
      </c>
      <c r="KZ37" s="18">
        <f>KY$37+KZ$36</f>
        <v/>
      </c>
      <c r="LA37" s="18">
        <f>KZ$37+LA$36</f>
        <v/>
      </c>
      <c r="LB37" s="18">
        <f>LA$37+LB$36</f>
        <v/>
      </c>
      <c r="LC37" s="18">
        <f>LB$37+LC$36</f>
        <v/>
      </c>
      <c r="LD37" s="18">
        <f>LC$37+LD$36</f>
        <v/>
      </c>
      <c r="LE37" s="18">
        <f>LD$37+LE$36</f>
        <v/>
      </c>
      <c r="LF37" s="18">
        <f>LE$37+LF$36</f>
        <v/>
      </c>
      <c r="LG37" s="18">
        <f>LF$37+LG$36</f>
        <v/>
      </c>
      <c r="LH37" s="18">
        <f>LG$37+LH$36</f>
        <v/>
      </c>
      <c r="LI37" s="18">
        <f>LH$37+LI$36</f>
        <v/>
      </c>
      <c r="LJ37" s="18">
        <f>LI$37+LJ$36</f>
        <v/>
      </c>
      <c r="LK37" s="18">
        <f>LJ$37+LK$36</f>
        <v/>
      </c>
      <c r="LL37" s="18">
        <f>LK$37+LL$36</f>
        <v/>
      </c>
      <c r="LM37" s="18">
        <f>LL$37+LM$36</f>
        <v/>
      </c>
      <c r="LN37" s="18">
        <f>LM$37+LN$36</f>
        <v/>
      </c>
      <c r="LO37" s="18">
        <f>LN$37+LO$36</f>
        <v/>
      </c>
      <c r="LP37" s="18">
        <f>LO$37+LP$36</f>
        <v/>
      </c>
      <c r="LQ37" s="18">
        <f>LP$37+LQ$36</f>
        <v/>
      </c>
      <c r="LR37" s="18">
        <f>LQ$37+LR$36</f>
        <v/>
      </c>
      <c r="LS37" s="18">
        <f>LR$37+LS$36</f>
        <v/>
      </c>
      <c r="LT37" s="18">
        <f>LS$37+LT$36</f>
        <v/>
      </c>
      <c r="LU37" s="18">
        <f>LT$37+LU$36</f>
        <v/>
      </c>
      <c r="LV37" s="18">
        <f>LU$37+LV$36</f>
        <v/>
      </c>
      <c r="LW37" s="18">
        <f>LV$37+LW$36</f>
        <v/>
      </c>
      <c r="LX37" s="18">
        <f>LW$37+LX$36</f>
        <v/>
      </c>
      <c r="LY37" s="18">
        <f>LX$37+LY$36</f>
        <v/>
      </c>
      <c r="LZ37" s="18">
        <f>LY$37+LZ$36</f>
        <v/>
      </c>
      <c r="MA37" s="18">
        <f>LZ$37+MA$36</f>
        <v/>
      </c>
      <c r="MB37" s="18">
        <f>MA$37+MB$36</f>
        <v/>
      </c>
      <c r="MC37" s="18">
        <f>MB$37+MC$36</f>
        <v/>
      </c>
      <c r="MD37" s="18">
        <f>MC$37+MD$36</f>
        <v/>
      </c>
      <c r="ME37" s="18">
        <f>MD$37+ME$36</f>
        <v/>
      </c>
      <c r="MF37" s="18">
        <f>ME$37+MF$36</f>
        <v/>
      </c>
      <c r="MG37" s="18">
        <f>MF$37+MG$36</f>
        <v/>
      </c>
      <c r="MH37" s="18">
        <f>MG$37+MH$36</f>
        <v/>
      </c>
      <c r="MI37" s="18">
        <f>MH$37+MI$36</f>
        <v/>
      </c>
      <c r="MJ37" s="18">
        <f>MI$37+MJ$36</f>
        <v/>
      </c>
      <c r="MK37" s="18">
        <f>MJ$37+MK$36</f>
        <v/>
      </c>
      <c r="ML37" s="18">
        <f>MK$37+ML$36</f>
        <v/>
      </c>
      <c r="MM37" s="18">
        <f>ML$37+MM$36</f>
        <v/>
      </c>
      <c r="MN37" s="18">
        <f>MM$37+MN$36</f>
        <v/>
      </c>
      <c r="MO37" s="18">
        <f>MN$37+MO$36</f>
        <v/>
      </c>
      <c r="MP37" s="18">
        <f>MO$37+MP$36</f>
        <v/>
      </c>
      <c r="MQ37" s="18">
        <f>MP$37+MQ$36</f>
        <v/>
      </c>
      <c r="MR37" s="18">
        <f>MQ$37+MR$36</f>
        <v/>
      </c>
      <c r="MS37" s="18">
        <f>MR$37+MS$36</f>
        <v/>
      </c>
      <c r="MT37" s="18">
        <f>MS$37+MT$36</f>
        <v/>
      </c>
      <c r="MU37" s="18">
        <f>MT$37+MU$36</f>
        <v/>
      </c>
      <c r="MV37" s="18">
        <f>MU$37+MV$36</f>
        <v/>
      </c>
      <c r="MW37" s="18">
        <f>MV$37+MW$36</f>
        <v/>
      </c>
      <c r="MX37" s="18">
        <f>MW$37+MX$36</f>
        <v/>
      </c>
      <c r="MY37" s="18">
        <f>MX$37+MY$36</f>
        <v/>
      </c>
      <c r="MZ37" s="18">
        <f>MY$37+MZ$36</f>
        <v/>
      </c>
      <c r="NA37" s="18">
        <f>MZ$37+NA$36</f>
        <v/>
      </c>
      <c r="NB37" s="18">
        <f>NA$37+NB$36</f>
        <v/>
      </c>
      <c r="NC37" s="18">
        <f>NB$37+NC$36</f>
        <v/>
      </c>
      <c r="ND37" s="18">
        <f>NC$37+ND$36</f>
        <v/>
      </c>
      <c r="NE37" s="18">
        <f>ND$37+NE$36</f>
        <v/>
      </c>
      <c r="NF37" s="18">
        <f>NE$37+NF$36</f>
        <v/>
      </c>
      <c r="NG37" s="18">
        <f>NF$37+NG$36</f>
        <v/>
      </c>
      <c r="NH37" s="18">
        <f>NG$37+NH$36</f>
        <v/>
      </c>
      <c r="NI37" s="18">
        <f>NH$37+NI$36</f>
        <v/>
      </c>
      <c r="NJ37" s="18">
        <f>NI$37+NJ$36</f>
        <v/>
      </c>
      <c r="NK37" s="18">
        <f>NJ$37+NK$36</f>
        <v/>
      </c>
    </row>
    <row r="38">
      <c r="A38" s="5" t="inlineStr">
        <is>
          <t>Construction-Period Property Tax</t>
        </is>
      </c>
      <c r="C38" s="41">
        <f>SUM(D38:NK38)</f>
        <v/>
      </c>
      <c r="D38" s="18">
        <f>IF(AND(1&gt;=MS_Initial_Closing_Start,1&lt;StabMonth),(LandCost+D$37)*EffTaxRateOnValue/12,0)</f>
        <v/>
      </c>
      <c r="E38" s="18">
        <f>IF(AND(2&gt;=MS_Initial_Closing_Start,2&lt;StabMonth),(LandCost+E$37)*EffTaxRateOnValue/12,0)</f>
        <v/>
      </c>
      <c r="F38" s="18">
        <f>IF(AND(3&gt;=MS_Initial_Closing_Start,3&lt;StabMonth),(LandCost+F$37)*EffTaxRateOnValue/12,0)</f>
        <v/>
      </c>
      <c r="G38" s="18">
        <f>IF(AND(4&gt;=MS_Initial_Closing_Start,4&lt;StabMonth),(LandCost+G$37)*EffTaxRateOnValue/12,0)</f>
        <v/>
      </c>
      <c r="H38" s="18">
        <f>IF(AND(5&gt;=MS_Initial_Closing_Start,5&lt;StabMonth),(LandCost+H$37)*EffTaxRateOnValue/12,0)</f>
        <v/>
      </c>
      <c r="I38" s="18">
        <f>IF(AND(6&gt;=MS_Initial_Closing_Start,6&lt;StabMonth),(LandCost+I$37)*EffTaxRateOnValue/12,0)</f>
        <v/>
      </c>
      <c r="J38" s="18">
        <f>IF(AND(7&gt;=MS_Initial_Closing_Start,7&lt;StabMonth),(LandCost+J$37)*EffTaxRateOnValue/12,0)</f>
        <v/>
      </c>
      <c r="K38" s="18">
        <f>IF(AND(8&gt;=MS_Initial_Closing_Start,8&lt;StabMonth),(LandCost+K$37)*EffTaxRateOnValue/12,0)</f>
        <v/>
      </c>
      <c r="L38" s="18">
        <f>IF(AND(9&gt;=MS_Initial_Closing_Start,9&lt;StabMonth),(LandCost+L$37)*EffTaxRateOnValue/12,0)</f>
        <v/>
      </c>
      <c r="M38" s="18">
        <f>IF(AND(10&gt;=MS_Initial_Closing_Start,10&lt;StabMonth),(LandCost+M$37)*EffTaxRateOnValue/12,0)</f>
        <v/>
      </c>
      <c r="N38" s="18">
        <f>IF(AND(11&gt;=MS_Initial_Closing_Start,11&lt;StabMonth),(LandCost+N$37)*EffTaxRateOnValue/12,0)</f>
        <v/>
      </c>
      <c r="O38" s="18">
        <f>IF(AND(12&gt;=MS_Initial_Closing_Start,12&lt;StabMonth),(LandCost+O$37)*EffTaxRateOnValue/12,0)</f>
        <v/>
      </c>
      <c r="P38" s="18">
        <f>IF(AND(13&gt;=MS_Initial_Closing_Start,13&lt;StabMonth),(LandCost+P$37)*EffTaxRateOnValue/12,0)</f>
        <v/>
      </c>
      <c r="Q38" s="18">
        <f>IF(AND(14&gt;=MS_Initial_Closing_Start,14&lt;StabMonth),(LandCost+Q$37)*EffTaxRateOnValue/12,0)</f>
        <v/>
      </c>
      <c r="R38" s="18">
        <f>IF(AND(15&gt;=MS_Initial_Closing_Start,15&lt;StabMonth),(LandCost+R$37)*EffTaxRateOnValue/12,0)</f>
        <v/>
      </c>
      <c r="S38" s="18">
        <f>IF(AND(16&gt;=MS_Initial_Closing_Start,16&lt;StabMonth),(LandCost+S$37)*EffTaxRateOnValue/12,0)</f>
        <v/>
      </c>
      <c r="T38" s="18">
        <f>IF(AND(17&gt;=MS_Initial_Closing_Start,17&lt;StabMonth),(LandCost+T$37)*EffTaxRateOnValue/12,0)</f>
        <v/>
      </c>
      <c r="U38" s="18">
        <f>IF(AND(18&gt;=MS_Initial_Closing_Start,18&lt;StabMonth),(LandCost+U$37)*EffTaxRateOnValue/12,0)</f>
        <v/>
      </c>
      <c r="V38" s="18">
        <f>IF(AND(19&gt;=MS_Initial_Closing_Start,19&lt;StabMonth),(LandCost+V$37)*EffTaxRateOnValue/12,0)</f>
        <v/>
      </c>
      <c r="W38" s="18">
        <f>IF(AND(20&gt;=MS_Initial_Closing_Start,20&lt;StabMonth),(LandCost+W$37)*EffTaxRateOnValue/12,0)</f>
        <v/>
      </c>
      <c r="X38" s="18">
        <f>IF(AND(21&gt;=MS_Initial_Closing_Start,21&lt;StabMonth),(LandCost+X$37)*EffTaxRateOnValue/12,0)</f>
        <v/>
      </c>
      <c r="Y38" s="18">
        <f>IF(AND(22&gt;=MS_Initial_Closing_Start,22&lt;StabMonth),(LandCost+Y$37)*EffTaxRateOnValue/12,0)</f>
        <v/>
      </c>
      <c r="Z38" s="18">
        <f>IF(AND(23&gt;=MS_Initial_Closing_Start,23&lt;StabMonth),(LandCost+Z$37)*EffTaxRateOnValue/12,0)</f>
        <v/>
      </c>
      <c r="AA38" s="18">
        <f>IF(AND(24&gt;=MS_Initial_Closing_Start,24&lt;StabMonth),(LandCost+AA$37)*EffTaxRateOnValue/12,0)</f>
        <v/>
      </c>
      <c r="AB38" s="18">
        <f>IF(AND(25&gt;=MS_Initial_Closing_Start,25&lt;StabMonth),(LandCost+AB$37)*EffTaxRateOnValue/12,0)</f>
        <v/>
      </c>
      <c r="AC38" s="18">
        <f>IF(AND(26&gt;=MS_Initial_Closing_Start,26&lt;StabMonth),(LandCost+AC$37)*EffTaxRateOnValue/12,0)</f>
        <v/>
      </c>
      <c r="AD38" s="18">
        <f>IF(AND(27&gt;=MS_Initial_Closing_Start,27&lt;StabMonth),(LandCost+AD$37)*EffTaxRateOnValue/12,0)</f>
        <v/>
      </c>
      <c r="AE38" s="18">
        <f>IF(AND(28&gt;=MS_Initial_Closing_Start,28&lt;StabMonth),(LandCost+AE$37)*EffTaxRateOnValue/12,0)</f>
        <v/>
      </c>
      <c r="AF38" s="18">
        <f>IF(AND(29&gt;=MS_Initial_Closing_Start,29&lt;StabMonth),(LandCost+AF$37)*EffTaxRateOnValue/12,0)</f>
        <v/>
      </c>
      <c r="AG38" s="18">
        <f>IF(AND(30&gt;=MS_Initial_Closing_Start,30&lt;StabMonth),(LandCost+AG$37)*EffTaxRateOnValue/12,0)</f>
        <v/>
      </c>
      <c r="AH38" s="18">
        <f>IF(AND(31&gt;=MS_Initial_Closing_Start,31&lt;StabMonth),(LandCost+AH$37)*EffTaxRateOnValue/12,0)</f>
        <v/>
      </c>
      <c r="AI38" s="18">
        <f>IF(AND(32&gt;=MS_Initial_Closing_Start,32&lt;StabMonth),(LandCost+AI$37)*EffTaxRateOnValue/12,0)</f>
        <v/>
      </c>
      <c r="AJ38" s="18">
        <f>IF(AND(33&gt;=MS_Initial_Closing_Start,33&lt;StabMonth),(LandCost+AJ$37)*EffTaxRateOnValue/12,0)</f>
        <v/>
      </c>
      <c r="AK38" s="18">
        <f>IF(AND(34&gt;=MS_Initial_Closing_Start,34&lt;StabMonth),(LandCost+AK$37)*EffTaxRateOnValue/12,0)</f>
        <v/>
      </c>
      <c r="AL38" s="18">
        <f>IF(AND(35&gt;=MS_Initial_Closing_Start,35&lt;StabMonth),(LandCost+AL$37)*EffTaxRateOnValue/12,0)</f>
        <v/>
      </c>
      <c r="AM38" s="18">
        <f>IF(AND(36&gt;=MS_Initial_Closing_Start,36&lt;StabMonth),(LandCost+AM$37)*EffTaxRateOnValue/12,0)</f>
        <v/>
      </c>
      <c r="AN38" s="18">
        <f>IF(AND(37&gt;=MS_Initial_Closing_Start,37&lt;StabMonth),(LandCost+AN$37)*EffTaxRateOnValue/12,0)</f>
        <v/>
      </c>
      <c r="AO38" s="18">
        <f>IF(AND(38&gt;=MS_Initial_Closing_Start,38&lt;StabMonth),(LandCost+AO$37)*EffTaxRateOnValue/12,0)</f>
        <v/>
      </c>
      <c r="AP38" s="18">
        <f>IF(AND(39&gt;=MS_Initial_Closing_Start,39&lt;StabMonth),(LandCost+AP$37)*EffTaxRateOnValue/12,0)</f>
        <v/>
      </c>
      <c r="AQ38" s="18">
        <f>IF(AND(40&gt;=MS_Initial_Closing_Start,40&lt;StabMonth),(LandCost+AQ$37)*EffTaxRateOnValue/12,0)</f>
        <v/>
      </c>
      <c r="AR38" s="18">
        <f>IF(AND(41&gt;=MS_Initial_Closing_Start,41&lt;StabMonth),(LandCost+AR$37)*EffTaxRateOnValue/12,0)</f>
        <v/>
      </c>
      <c r="AS38" s="18">
        <f>IF(AND(42&gt;=MS_Initial_Closing_Start,42&lt;StabMonth),(LandCost+AS$37)*EffTaxRateOnValue/12,0)</f>
        <v/>
      </c>
      <c r="AT38" s="18">
        <f>IF(AND(43&gt;=MS_Initial_Closing_Start,43&lt;StabMonth),(LandCost+AT$37)*EffTaxRateOnValue/12,0)</f>
        <v/>
      </c>
      <c r="AU38" s="18">
        <f>IF(AND(44&gt;=MS_Initial_Closing_Start,44&lt;StabMonth),(LandCost+AU$37)*EffTaxRateOnValue/12,0)</f>
        <v/>
      </c>
      <c r="AV38" s="18">
        <f>IF(AND(45&gt;=MS_Initial_Closing_Start,45&lt;StabMonth),(LandCost+AV$37)*EffTaxRateOnValue/12,0)</f>
        <v/>
      </c>
      <c r="AW38" s="18">
        <f>IF(AND(46&gt;=MS_Initial_Closing_Start,46&lt;StabMonth),(LandCost+AW$37)*EffTaxRateOnValue/12,0)</f>
        <v/>
      </c>
      <c r="AX38" s="18">
        <f>IF(AND(47&gt;=MS_Initial_Closing_Start,47&lt;StabMonth),(LandCost+AX$37)*EffTaxRateOnValue/12,0)</f>
        <v/>
      </c>
      <c r="AY38" s="18">
        <f>IF(AND(48&gt;=MS_Initial_Closing_Start,48&lt;StabMonth),(LandCost+AY$37)*EffTaxRateOnValue/12,0)</f>
        <v/>
      </c>
      <c r="AZ38" s="18">
        <f>IF(AND(49&gt;=MS_Initial_Closing_Start,49&lt;StabMonth),(LandCost+AZ$37)*EffTaxRateOnValue/12,0)</f>
        <v/>
      </c>
      <c r="BA38" s="18">
        <f>IF(AND(50&gt;=MS_Initial_Closing_Start,50&lt;StabMonth),(LandCost+BA$37)*EffTaxRateOnValue/12,0)</f>
        <v/>
      </c>
      <c r="BB38" s="18">
        <f>IF(AND(51&gt;=MS_Initial_Closing_Start,51&lt;StabMonth),(LandCost+BB$37)*EffTaxRateOnValue/12,0)</f>
        <v/>
      </c>
      <c r="BC38" s="18">
        <f>IF(AND(52&gt;=MS_Initial_Closing_Start,52&lt;StabMonth),(LandCost+BC$37)*EffTaxRateOnValue/12,0)</f>
        <v/>
      </c>
      <c r="BD38" s="18">
        <f>IF(AND(53&gt;=MS_Initial_Closing_Start,53&lt;StabMonth),(LandCost+BD$37)*EffTaxRateOnValue/12,0)</f>
        <v/>
      </c>
      <c r="BE38" s="18">
        <f>IF(AND(54&gt;=MS_Initial_Closing_Start,54&lt;StabMonth),(LandCost+BE$37)*EffTaxRateOnValue/12,0)</f>
        <v/>
      </c>
      <c r="BF38" s="18">
        <f>IF(AND(55&gt;=MS_Initial_Closing_Start,55&lt;StabMonth),(LandCost+BF$37)*EffTaxRateOnValue/12,0)</f>
        <v/>
      </c>
      <c r="BG38" s="18">
        <f>IF(AND(56&gt;=MS_Initial_Closing_Start,56&lt;StabMonth),(LandCost+BG$37)*EffTaxRateOnValue/12,0)</f>
        <v/>
      </c>
      <c r="BH38" s="18">
        <f>IF(AND(57&gt;=MS_Initial_Closing_Start,57&lt;StabMonth),(LandCost+BH$37)*EffTaxRateOnValue/12,0)</f>
        <v/>
      </c>
      <c r="BI38" s="18">
        <f>IF(AND(58&gt;=MS_Initial_Closing_Start,58&lt;StabMonth),(LandCost+BI$37)*EffTaxRateOnValue/12,0)</f>
        <v/>
      </c>
      <c r="BJ38" s="18">
        <f>IF(AND(59&gt;=MS_Initial_Closing_Start,59&lt;StabMonth),(LandCost+BJ$37)*EffTaxRateOnValue/12,0)</f>
        <v/>
      </c>
      <c r="BK38" s="18">
        <f>IF(AND(60&gt;=MS_Initial_Closing_Start,60&lt;StabMonth),(LandCost+BK$37)*EffTaxRateOnValue/12,0)</f>
        <v/>
      </c>
      <c r="BL38" s="18">
        <f>IF(AND(61&gt;=MS_Initial_Closing_Start,61&lt;StabMonth),(LandCost+BL$37)*EffTaxRateOnValue/12,0)</f>
        <v/>
      </c>
      <c r="BM38" s="18">
        <f>IF(AND(62&gt;=MS_Initial_Closing_Start,62&lt;StabMonth),(LandCost+BM$37)*EffTaxRateOnValue/12,0)</f>
        <v/>
      </c>
      <c r="BN38" s="18">
        <f>IF(AND(63&gt;=MS_Initial_Closing_Start,63&lt;StabMonth),(LandCost+BN$37)*EffTaxRateOnValue/12,0)</f>
        <v/>
      </c>
      <c r="BO38" s="18">
        <f>IF(AND(64&gt;=MS_Initial_Closing_Start,64&lt;StabMonth),(LandCost+BO$37)*EffTaxRateOnValue/12,0)</f>
        <v/>
      </c>
      <c r="BP38" s="18">
        <f>IF(AND(65&gt;=MS_Initial_Closing_Start,65&lt;StabMonth),(LandCost+BP$37)*EffTaxRateOnValue/12,0)</f>
        <v/>
      </c>
      <c r="BQ38" s="18">
        <f>IF(AND(66&gt;=MS_Initial_Closing_Start,66&lt;StabMonth),(LandCost+BQ$37)*EffTaxRateOnValue/12,0)</f>
        <v/>
      </c>
      <c r="BR38" s="18">
        <f>IF(AND(67&gt;=MS_Initial_Closing_Start,67&lt;StabMonth),(LandCost+BR$37)*EffTaxRateOnValue/12,0)</f>
        <v/>
      </c>
      <c r="BS38" s="18">
        <f>IF(AND(68&gt;=MS_Initial_Closing_Start,68&lt;StabMonth),(LandCost+BS$37)*EffTaxRateOnValue/12,0)</f>
        <v/>
      </c>
      <c r="BT38" s="18">
        <f>IF(AND(69&gt;=MS_Initial_Closing_Start,69&lt;StabMonth),(LandCost+BT$37)*EffTaxRateOnValue/12,0)</f>
        <v/>
      </c>
      <c r="BU38" s="18">
        <f>IF(AND(70&gt;=MS_Initial_Closing_Start,70&lt;StabMonth),(LandCost+BU$37)*EffTaxRateOnValue/12,0)</f>
        <v/>
      </c>
      <c r="BV38" s="18">
        <f>IF(AND(71&gt;=MS_Initial_Closing_Start,71&lt;StabMonth),(LandCost+BV$37)*EffTaxRateOnValue/12,0)</f>
        <v/>
      </c>
      <c r="BW38" s="18">
        <f>IF(AND(72&gt;=MS_Initial_Closing_Start,72&lt;StabMonth),(LandCost+BW$37)*EffTaxRateOnValue/12,0)</f>
        <v/>
      </c>
      <c r="BX38" s="18">
        <f>IF(AND(73&gt;=MS_Initial_Closing_Start,73&lt;StabMonth),(LandCost+BX$37)*EffTaxRateOnValue/12,0)</f>
        <v/>
      </c>
      <c r="BY38" s="18">
        <f>IF(AND(74&gt;=MS_Initial_Closing_Start,74&lt;StabMonth),(LandCost+BY$37)*EffTaxRateOnValue/12,0)</f>
        <v/>
      </c>
      <c r="BZ38" s="18">
        <f>IF(AND(75&gt;=MS_Initial_Closing_Start,75&lt;StabMonth),(LandCost+BZ$37)*EffTaxRateOnValue/12,0)</f>
        <v/>
      </c>
      <c r="CA38" s="18">
        <f>IF(AND(76&gt;=MS_Initial_Closing_Start,76&lt;StabMonth),(LandCost+CA$37)*EffTaxRateOnValue/12,0)</f>
        <v/>
      </c>
      <c r="CB38" s="18">
        <f>IF(AND(77&gt;=MS_Initial_Closing_Start,77&lt;StabMonth),(LandCost+CB$37)*EffTaxRateOnValue/12,0)</f>
        <v/>
      </c>
      <c r="CC38" s="18">
        <f>IF(AND(78&gt;=MS_Initial_Closing_Start,78&lt;StabMonth),(LandCost+CC$37)*EffTaxRateOnValue/12,0)</f>
        <v/>
      </c>
      <c r="CD38" s="18">
        <f>IF(AND(79&gt;=MS_Initial_Closing_Start,79&lt;StabMonth),(LandCost+CD$37)*EffTaxRateOnValue/12,0)</f>
        <v/>
      </c>
      <c r="CE38" s="18">
        <f>IF(AND(80&gt;=MS_Initial_Closing_Start,80&lt;StabMonth),(LandCost+CE$37)*EffTaxRateOnValue/12,0)</f>
        <v/>
      </c>
      <c r="CF38" s="18">
        <f>IF(AND(81&gt;=MS_Initial_Closing_Start,81&lt;StabMonth),(LandCost+CF$37)*EffTaxRateOnValue/12,0)</f>
        <v/>
      </c>
      <c r="CG38" s="18">
        <f>IF(AND(82&gt;=MS_Initial_Closing_Start,82&lt;StabMonth),(LandCost+CG$37)*EffTaxRateOnValue/12,0)</f>
        <v/>
      </c>
      <c r="CH38" s="18">
        <f>IF(AND(83&gt;=MS_Initial_Closing_Start,83&lt;StabMonth),(LandCost+CH$37)*EffTaxRateOnValue/12,0)</f>
        <v/>
      </c>
      <c r="CI38" s="18">
        <f>IF(AND(84&gt;=MS_Initial_Closing_Start,84&lt;StabMonth),(LandCost+CI$37)*EffTaxRateOnValue/12,0)</f>
        <v/>
      </c>
      <c r="CJ38" s="18">
        <f>IF(AND(85&gt;=MS_Initial_Closing_Start,85&lt;StabMonth),(LandCost+CJ$37)*EffTaxRateOnValue/12,0)</f>
        <v/>
      </c>
      <c r="CK38" s="18">
        <f>IF(AND(86&gt;=MS_Initial_Closing_Start,86&lt;StabMonth),(LandCost+CK$37)*EffTaxRateOnValue/12,0)</f>
        <v/>
      </c>
      <c r="CL38" s="18">
        <f>IF(AND(87&gt;=MS_Initial_Closing_Start,87&lt;StabMonth),(LandCost+CL$37)*EffTaxRateOnValue/12,0)</f>
        <v/>
      </c>
      <c r="CM38" s="18">
        <f>IF(AND(88&gt;=MS_Initial_Closing_Start,88&lt;StabMonth),(LandCost+CM$37)*EffTaxRateOnValue/12,0)</f>
        <v/>
      </c>
      <c r="CN38" s="18">
        <f>IF(AND(89&gt;=MS_Initial_Closing_Start,89&lt;StabMonth),(LandCost+CN$37)*EffTaxRateOnValue/12,0)</f>
        <v/>
      </c>
      <c r="CO38" s="18">
        <f>IF(AND(90&gt;=MS_Initial_Closing_Start,90&lt;StabMonth),(LandCost+CO$37)*EffTaxRateOnValue/12,0)</f>
        <v/>
      </c>
      <c r="CP38" s="18">
        <f>IF(AND(91&gt;=MS_Initial_Closing_Start,91&lt;StabMonth),(LandCost+CP$37)*EffTaxRateOnValue/12,0)</f>
        <v/>
      </c>
      <c r="CQ38" s="18">
        <f>IF(AND(92&gt;=MS_Initial_Closing_Start,92&lt;StabMonth),(LandCost+CQ$37)*EffTaxRateOnValue/12,0)</f>
        <v/>
      </c>
      <c r="CR38" s="18">
        <f>IF(AND(93&gt;=MS_Initial_Closing_Start,93&lt;StabMonth),(LandCost+CR$37)*EffTaxRateOnValue/12,0)</f>
        <v/>
      </c>
      <c r="CS38" s="18">
        <f>IF(AND(94&gt;=MS_Initial_Closing_Start,94&lt;StabMonth),(LandCost+CS$37)*EffTaxRateOnValue/12,0)</f>
        <v/>
      </c>
      <c r="CT38" s="18">
        <f>IF(AND(95&gt;=MS_Initial_Closing_Start,95&lt;StabMonth),(LandCost+CT$37)*EffTaxRateOnValue/12,0)</f>
        <v/>
      </c>
      <c r="CU38" s="18">
        <f>IF(AND(96&gt;=MS_Initial_Closing_Start,96&lt;StabMonth),(LandCost+CU$37)*EffTaxRateOnValue/12,0)</f>
        <v/>
      </c>
      <c r="CV38" s="18">
        <f>IF(AND(97&gt;=MS_Initial_Closing_Start,97&lt;StabMonth),(LandCost+CV$37)*EffTaxRateOnValue/12,0)</f>
        <v/>
      </c>
      <c r="CW38" s="18">
        <f>IF(AND(98&gt;=MS_Initial_Closing_Start,98&lt;StabMonth),(LandCost+CW$37)*EffTaxRateOnValue/12,0)</f>
        <v/>
      </c>
      <c r="CX38" s="18">
        <f>IF(AND(99&gt;=MS_Initial_Closing_Start,99&lt;StabMonth),(LandCost+CX$37)*EffTaxRateOnValue/12,0)</f>
        <v/>
      </c>
      <c r="CY38" s="18">
        <f>IF(AND(100&gt;=MS_Initial_Closing_Start,100&lt;StabMonth),(LandCost+CY$37)*EffTaxRateOnValue/12,0)</f>
        <v/>
      </c>
      <c r="CZ38" s="18">
        <f>IF(AND(101&gt;=MS_Initial_Closing_Start,101&lt;StabMonth),(LandCost+CZ$37)*EffTaxRateOnValue/12,0)</f>
        <v/>
      </c>
      <c r="DA38" s="18">
        <f>IF(AND(102&gt;=MS_Initial_Closing_Start,102&lt;StabMonth),(LandCost+DA$37)*EffTaxRateOnValue/12,0)</f>
        <v/>
      </c>
      <c r="DB38" s="18">
        <f>IF(AND(103&gt;=MS_Initial_Closing_Start,103&lt;StabMonth),(LandCost+DB$37)*EffTaxRateOnValue/12,0)</f>
        <v/>
      </c>
      <c r="DC38" s="18">
        <f>IF(AND(104&gt;=MS_Initial_Closing_Start,104&lt;StabMonth),(LandCost+DC$37)*EffTaxRateOnValue/12,0)</f>
        <v/>
      </c>
      <c r="DD38" s="18">
        <f>IF(AND(105&gt;=MS_Initial_Closing_Start,105&lt;StabMonth),(LandCost+DD$37)*EffTaxRateOnValue/12,0)</f>
        <v/>
      </c>
      <c r="DE38" s="18">
        <f>IF(AND(106&gt;=MS_Initial_Closing_Start,106&lt;StabMonth),(LandCost+DE$37)*EffTaxRateOnValue/12,0)</f>
        <v/>
      </c>
      <c r="DF38" s="18">
        <f>IF(AND(107&gt;=MS_Initial_Closing_Start,107&lt;StabMonth),(LandCost+DF$37)*EffTaxRateOnValue/12,0)</f>
        <v/>
      </c>
      <c r="DG38" s="18">
        <f>IF(AND(108&gt;=MS_Initial_Closing_Start,108&lt;StabMonth),(LandCost+DG$37)*EffTaxRateOnValue/12,0)</f>
        <v/>
      </c>
      <c r="DH38" s="18">
        <f>IF(AND(109&gt;=MS_Initial_Closing_Start,109&lt;StabMonth),(LandCost+DH$37)*EffTaxRateOnValue/12,0)</f>
        <v/>
      </c>
      <c r="DI38" s="18">
        <f>IF(AND(110&gt;=MS_Initial_Closing_Start,110&lt;StabMonth),(LandCost+DI$37)*EffTaxRateOnValue/12,0)</f>
        <v/>
      </c>
      <c r="DJ38" s="18">
        <f>IF(AND(111&gt;=MS_Initial_Closing_Start,111&lt;StabMonth),(LandCost+DJ$37)*EffTaxRateOnValue/12,0)</f>
        <v/>
      </c>
      <c r="DK38" s="18">
        <f>IF(AND(112&gt;=MS_Initial_Closing_Start,112&lt;StabMonth),(LandCost+DK$37)*EffTaxRateOnValue/12,0)</f>
        <v/>
      </c>
      <c r="DL38" s="18">
        <f>IF(AND(113&gt;=MS_Initial_Closing_Start,113&lt;StabMonth),(LandCost+DL$37)*EffTaxRateOnValue/12,0)</f>
        <v/>
      </c>
      <c r="DM38" s="18">
        <f>IF(AND(114&gt;=MS_Initial_Closing_Start,114&lt;StabMonth),(LandCost+DM$37)*EffTaxRateOnValue/12,0)</f>
        <v/>
      </c>
      <c r="DN38" s="18">
        <f>IF(AND(115&gt;=MS_Initial_Closing_Start,115&lt;StabMonth),(LandCost+DN$37)*EffTaxRateOnValue/12,0)</f>
        <v/>
      </c>
      <c r="DO38" s="18">
        <f>IF(AND(116&gt;=MS_Initial_Closing_Start,116&lt;StabMonth),(LandCost+DO$37)*EffTaxRateOnValue/12,0)</f>
        <v/>
      </c>
      <c r="DP38" s="18">
        <f>IF(AND(117&gt;=MS_Initial_Closing_Start,117&lt;StabMonth),(LandCost+DP$37)*EffTaxRateOnValue/12,0)</f>
        <v/>
      </c>
      <c r="DQ38" s="18">
        <f>IF(AND(118&gt;=MS_Initial_Closing_Start,118&lt;StabMonth),(LandCost+DQ$37)*EffTaxRateOnValue/12,0)</f>
        <v/>
      </c>
      <c r="DR38" s="18">
        <f>IF(AND(119&gt;=MS_Initial_Closing_Start,119&lt;StabMonth),(LandCost+DR$37)*EffTaxRateOnValue/12,0)</f>
        <v/>
      </c>
      <c r="DS38" s="18">
        <f>IF(AND(120&gt;=MS_Initial_Closing_Start,120&lt;StabMonth),(LandCost+DS$37)*EffTaxRateOnValue/12,0)</f>
        <v/>
      </c>
      <c r="DT38" s="18">
        <f>IF(AND(121&gt;=MS_Initial_Closing_Start,121&lt;StabMonth),(LandCost+DT$37)*EffTaxRateOnValue/12,0)</f>
        <v/>
      </c>
      <c r="DU38" s="18">
        <f>IF(AND(122&gt;=MS_Initial_Closing_Start,122&lt;StabMonth),(LandCost+DU$37)*EffTaxRateOnValue/12,0)</f>
        <v/>
      </c>
      <c r="DV38" s="18">
        <f>IF(AND(123&gt;=MS_Initial_Closing_Start,123&lt;StabMonth),(LandCost+DV$37)*EffTaxRateOnValue/12,0)</f>
        <v/>
      </c>
      <c r="DW38" s="18">
        <f>IF(AND(124&gt;=MS_Initial_Closing_Start,124&lt;StabMonth),(LandCost+DW$37)*EffTaxRateOnValue/12,0)</f>
        <v/>
      </c>
      <c r="DX38" s="18">
        <f>IF(AND(125&gt;=MS_Initial_Closing_Start,125&lt;StabMonth),(LandCost+DX$37)*EffTaxRateOnValue/12,0)</f>
        <v/>
      </c>
      <c r="DY38" s="18">
        <f>IF(AND(126&gt;=MS_Initial_Closing_Start,126&lt;StabMonth),(LandCost+DY$37)*EffTaxRateOnValue/12,0)</f>
        <v/>
      </c>
      <c r="DZ38" s="18">
        <f>IF(AND(127&gt;=MS_Initial_Closing_Start,127&lt;StabMonth),(LandCost+DZ$37)*EffTaxRateOnValue/12,0)</f>
        <v/>
      </c>
      <c r="EA38" s="18">
        <f>IF(AND(128&gt;=MS_Initial_Closing_Start,128&lt;StabMonth),(LandCost+EA$37)*EffTaxRateOnValue/12,0)</f>
        <v/>
      </c>
      <c r="EB38" s="18">
        <f>IF(AND(129&gt;=MS_Initial_Closing_Start,129&lt;StabMonth),(LandCost+EB$37)*EffTaxRateOnValue/12,0)</f>
        <v/>
      </c>
      <c r="EC38" s="18">
        <f>IF(AND(130&gt;=MS_Initial_Closing_Start,130&lt;StabMonth),(LandCost+EC$37)*EffTaxRateOnValue/12,0)</f>
        <v/>
      </c>
      <c r="ED38" s="18">
        <f>IF(AND(131&gt;=MS_Initial_Closing_Start,131&lt;StabMonth),(LandCost+ED$37)*EffTaxRateOnValue/12,0)</f>
        <v/>
      </c>
      <c r="EE38" s="18">
        <f>IF(AND(132&gt;=MS_Initial_Closing_Start,132&lt;StabMonth),(LandCost+EE$37)*EffTaxRateOnValue/12,0)</f>
        <v/>
      </c>
      <c r="EF38" s="18">
        <f>IF(AND(133&gt;=MS_Initial_Closing_Start,133&lt;StabMonth),(LandCost+EF$37)*EffTaxRateOnValue/12,0)</f>
        <v/>
      </c>
      <c r="EG38" s="18">
        <f>IF(AND(134&gt;=MS_Initial_Closing_Start,134&lt;StabMonth),(LandCost+EG$37)*EffTaxRateOnValue/12,0)</f>
        <v/>
      </c>
      <c r="EH38" s="18">
        <f>IF(AND(135&gt;=MS_Initial_Closing_Start,135&lt;StabMonth),(LandCost+EH$37)*EffTaxRateOnValue/12,0)</f>
        <v/>
      </c>
      <c r="EI38" s="18">
        <f>IF(AND(136&gt;=MS_Initial_Closing_Start,136&lt;StabMonth),(LandCost+EI$37)*EffTaxRateOnValue/12,0)</f>
        <v/>
      </c>
      <c r="EJ38" s="18">
        <f>IF(AND(137&gt;=MS_Initial_Closing_Start,137&lt;StabMonth),(LandCost+EJ$37)*EffTaxRateOnValue/12,0)</f>
        <v/>
      </c>
      <c r="EK38" s="18">
        <f>IF(AND(138&gt;=MS_Initial_Closing_Start,138&lt;StabMonth),(LandCost+EK$37)*EffTaxRateOnValue/12,0)</f>
        <v/>
      </c>
      <c r="EL38" s="18">
        <f>IF(AND(139&gt;=MS_Initial_Closing_Start,139&lt;StabMonth),(LandCost+EL$37)*EffTaxRateOnValue/12,0)</f>
        <v/>
      </c>
      <c r="EM38" s="18">
        <f>IF(AND(140&gt;=MS_Initial_Closing_Start,140&lt;StabMonth),(LandCost+EM$37)*EffTaxRateOnValue/12,0)</f>
        <v/>
      </c>
      <c r="EN38" s="18">
        <f>IF(AND(141&gt;=MS_Initial_Closing_Start,141&lt;StabMonth),(LandCost+EN$37)*EffTaxRateOnValue/12,0)</f>
        <v/>
      </c>
      <c r="EO38" s="18">
        <f>IF(AND(142&gt;=MS_Initial_Closing_Start,142&lt;StabMonth),(LandCost+EO$37)*EffTaxRateOnValue/12,0)</f>
        <v/>
      </c>
      <c r="EP38" s="18">
        <f>IF(AND(143&gt;=MS_Initial_Closing_Start,143&lt;StabMonth),(LandCost+EP$37)*EffTaxRateOnValue/12,0)</f>
        <v/>
      </c>
      <c r="EQ38" s="18">
        <f>IF(AND(144&gt;=MS_Initial_Closing_Start,144&lt;StabMonth),(LandCost+EQ$37)*EffTaxRateOnValue/12,0)</f>
        <v/>
      </c>
      <c r="ER38" s="18">
        <f>IF(AND(145&gt;=MS_Initial_Closing_Start,145&lt;StabMonth),(LandCost+ER$37)*EffTaxRateOnValue/12,0)</f>
        <v/>
      </c>
      <c r="ES38" s="18">
        <f>IF(AND(146&gt;=MS_Initial_Closing_Start,146&lt;StabMonth),(LandCost+ES$37)*EffTaxRateOnValue/12,0)</f>
        <v/>
      </c>
      <c r="ET38" s="18">
        <f>IF(AND(147&gt;=MS_Initial_Closing_Start,147&lt;StabMonth),(LandCost+ET$37)*EffTaxRateOnValue/12,0)</f>
        <v/>
      </c>
      <c r="EU38" s="18">
        <f>IF(AND(148&gt;=MS_Initial_Closing_Start,148&lt;StabMonth),(LandCost+EU$37)*EffTaxRateOnValue/12,0)</f>
        <v/>
      </c>
      <c r="EV38" s="18">
        <f>IF(AND(149&gt;=MS_Initial_Closing_Start,149&lt;StabMonth),(LandCost+EV$37)*EffTaxRateOnValue/12,0)</f>
        <v/>
      </c>
      <c r="EW38" s="18">
        <f>IF(AND(150&gt;=MS_Initial_Closing_Start,150&lt;StabMonth),(LandCost+EW$37)*EffTaxRateOnValue/12,0)</f>
        <v/>
      </c>
      <c r="EX38" s="18">
        <f>IF(AND(151&gt;=MS_Initial_Closing_Start,151&lt;StabMonth),(LandCost+EX$37)*EffTaxRateOnValue/12,0)</f>
        <v/>
      </c>
      <c r="EY38" s="18">
        <f>IF(AND(152&gt;=MS_Initial_Closing_Start,152&lt;StabMonth),(LandCost+EY$37)*EffTaxRateOnValue/12,0)</f>
        <v/>
      </c>
      <c r="EZ38" s="18">
        <f>IF(AND(153&gt;=MS_Initial_Closing_Start,153&lt;StabMonth),(LandCost+EZ$37)*EffTaxRateOnValue/12,0)</f>
        <v/>
      </c>
      <c r="FA38" s="18">
        <f>IF(AND(154&gt;=MS_Initial_Closing_Start,154&lt;StabMonth),(LandCost+FA$37)*EffTaxRateOnValue/12,0)</f>
        <v/>
      </c>
      <c r="FB38" s="18">
        <f>IF(AND(155&gt;=MS_Initial_Closing_Start,155&lt;StabMonth),(LandCost+FB$37)*EffTaxRateOnValue/12,0)</f>
        <v/>
      </c>
      <c r="FC38" s="18">
        <f>IF(AND(156&gt;=MS_Initial_Closing_Start,156&lt;StabMonth),(LandCost+FC$37)*EffTaxRateOnValue/12,0)</f>
        <v/>
      </c>
      <c r="FD38" s="18">
        <f>IF(AND(157&gt;=MS_Initial_Closing_Start,157&lt;StabMonth),(LandCost+FD$37)*EffTaxRateOnValue/12,0)</f>
        <v/>
      </c>
      <c r="FE38" s="18">
        <f>IF(AND(158&gt;=MS_Initial_Closing_Start,158&lt;StabMonth),(LandCost+FE$37)*EffTaxRateOnValue/12,0)</f>
        <v/>
      </c>
      <c r="FF38" s="18">
        <f>IF(AND(159&gt;=MS_Initial_Closing_Start,159&lt;StabMonth),(LandCost+FF$37)*EffTaxRateOnValue/12,0)</f>
        <v/>
      </c>
      <c r="FG38" s="18">
        <f>IF(AND(160&gt;=MS_Initial_Closing_Start,160&lt;StabMonth),(LandCost+FG$37)*EffTaxRateOnValue/12,0)</f>
        <v/>
      </c>
      <c r="FH38" s="18">
        <f>IF(AND(161&gt;=MS_Initial_Closing_Start,161&lt;StabMonth),(LandCost+FH$37)*EffTaxRateOnValue/12,0)</f>
        <v/>
      </c>
      <c r="FI38" s="18">
        <f>IF(AND(162&gt;=MS_Initial_Closing_Start,162&lt;StabMonth),(LandCost+FI$37)*EffTaxRateOnValue/12,0)</f>
        <v/>
      </c>
      <c r="FJ38" s="18">
        <f>IF(AND(163&gt;=MS_Initial_Closing_Start,163&lt;StabMonth),(LandCost+FJ$37)*EffTaxRateOnValue/12,0)</f>
        <v/>
      </c>
      <c r="FK38" s="18">
        <f>IF(AND(164&gt;=MS_Initial_Closing_Start,164&lt;StabMonth),(LandCost+FK$37)*EffTaxRateOnValue/12,0)</f>
        <v/>
      </c>
      <c r="FL38" s="18">
        <f>IF(AND(165&gt;=MS_Initial_Closing_Start,165&lt;StabMonth),(LandCost+FL$37)*EffTaxRateOnValue/12,0)</f>
        <v/>
      </c>
      <c r="FM38" s="18">
        <f>IF(AND(166&gt;=MS_Initial_Closing_Start,166&lt;StabMonth),(LandCost+FM$37)*EffTaxRateOnValue/12,0)</f>
        <v/>
      </c>
      <c r="FN38" s="18">
        <f>IF(AND(167&gt;=MS_Initial_Closing_Start,167&lt;StabMonth),(LandCost+FN$37)*EffTaxRateOnValue/12,0)</f>
        <v/>
      </c>
      <c r="FO38" s="18">
        <f>IF(AND(168&gt;=MS_Initial_Closing_Start,168&lt;StabMonth),(LandCost+FO$37)*EffTaxRateOnValue/12,0)</f>
        <v/>
      </c>
      <c r="FP38" s="18">
        <f>IF(AND(169&gt;=MS_Initial_Closing_Start,169&lt;StabMonth),(LandCost+FP$37)*EffTaxRateOnValue/12,0)</f>
        <v/>
      </c>
      <c r="FQ38" s="18">
        <f>IF(AND(170&gt;=MS_Initial_Closing_Start,170&lt;StabMonth),(LandCost+FQ$37)*EffTaxRateOnValue/12,0)</f>
        <v/>
      </c>
      <c r="FR38" s="18">
        <f>IF(AND(171&gt;=MS_Initial_Closing_Start,171&lt;StabMonth),(LandCost+FR$37)*EffTaxRateOnValue/12,0)</f>
        <v/>
      </c>
      <c r="FS38" s="18">
        <f>IF(AND(172&gt;=MS_Initial_Closing_Start,172&lt;StabMonth),(LandCost+FS$37)*EffTaxRateOnValue/12,0)</f>
        <v/>
      </c>
      <c r="FT38" s="18">
        <f>IF(AND(173&gt;=MS_Initial_Closing_Start,173&lt;StabMonth),(LandCost+FT$37)*EffTaxRateOnValue/12,0)</f>
        <v/>
      </c>
      <c r="FU38" s="18">
        <f>IF(AND(174&gt;=MS_Initial_Closing_Start,174&lt;StabMonth),(LandCost+FU$37)*EffTaxRateOnValue/12,0)</f>
        <v/>
      </c>
      <c r="FV38" s="18">
        <f>IF(AND(175&gt;=MS_Initial_Closing_Start,175&lt;StabMonth),(LandCost+FV$37)*EffTaxRateOnValue/12,0)</f>
        <v/>
      </c>
      <c r="FW38" s="18">
        <f>IF(AND(176&gt;=MS_Initial_Closing_Start,176&lt;StabMonth),(LandCost+FW$37)*EffTaxRateOnValue/12,0)</f>
        <v/>
      </c>
      <c r="FX38" s="18">
        <f>IF(AND(177&gt;=MS_Initial_Closing_Start,177&lt;StabMonth),(LandCost+FX$37)*EffTaxRateOnValue/12,0)</f>
        <v/>
      </c>
      <c r="FY38" s="18">
        <f>IF(AND(178&gt;=MS_Initial_Closing_Start,178&lt;StabMonth),(LandCost+FY$37)*EffTaxRateOnValue/12,0)</f>
        <v/>
      </c>
      <c r="FZ38" s="18">
        <f>IF(AND(179&gt;=MS_Initial_Closing_Start,179&lt;StabMonth),(LandCost+FZ$37)*EffTaxRateOnValue/12,0)</f>
        <v/>
      </c>
      <c r="GA38" s="18">
        <f>IF(AND(180&gt;=MS_Initial_Closing_Start,180&lt;StabMonth),(LandCost+GA$37)*EffTaxRateOnValue/12,0)</f>
        <v/>
      </c>
      <c r="GB38" s="18">
        <f>IF(AND(181&gt;=MS_Initial_Closing_Start,181&lt;StabMonth),(LandCost+GB$37)*EffTaxRateOnValue/12,0)</f>
        <v/>
      </c>
      <c r="GC38" s="18">
        <f>IF(AND(182&gt;=MS_Initial_Closing_Start,182&lt;StabMonth),(LandCost+GC$37)*EffTaxRateOnValue/12,0)</f>
        <v/>
      </c>
      <c r="GD38" s="18">
        <f>IF(AND(183&gt;=MS_Initial_Closing_Start,183&lt;StabMonth),(LandCost+GD$37)*EffTaxRateOnValue/12,0)</f>
        <v/>
      </c>
      <c r="GE38" s="18">
        <f>IF(AND(184&gt;=MS_Initial_Closing_Start,184&lt;StabMonth),(LandCost+GE$37)*EffTaxRateOnValue/12,0)</f>
        <v/>
      </c>
      <c r="GF38" s="18">
        <f>IF(AND(185&gt;=MS_Initial_Closing_Start,185&lt;StabMonth),(LandCost+GF$37)*EffTaxRateOnValue/12,0)</f>
        <v/>
      </c>
      <c r="GG38" s="18">
        <f>IF(AND(186&gt;=MS_Initial_Closing_Start,186&lt;StabMonth),(LandCost+GG$37)*EffTaxRateOnValue/12,0)</f>
        <v/>
      </c>
      <c r="GH38" s="18">
        <f>IF(AND(187&gt;=MS_Initial_Closing_Start,187&lt;StabMonth),(LandCost+GH$37)*EffTaxRateOnValue/12,0)</f>
        <v/>
      </c>
      <c r="GI38" s="18">
        <f>IF(AND(188&gt;=MS_Initial_Closing_Start,188&lt;StabMonth),(LandCost+GI$37)*EffTaxRateOnValue/12,0)</f>
        <v/>
      </c>
      <c r="GJ38" s="18">
        <f>IF(AND(189&gt;=MS_Initial_Closing_Start,189&lt;StabMonth),(LandCost+GJ$37)*EffTaxRateOnValue/12,0)</f>
        <v/>
      </c>
      <c r="GK38" s="18">
        <f>IF(AND(190&gt;=MS_Initial_Closing_Start,190&lt;StabMonth),(LandCost+GK$37)*EffTaxRateOnValue/12,0)</f>
        <v/>
      </c>
      <c r="GL38" s="18">
        <f>IF(AND(191&gt;=MS_Initial_Closing_Start,191&lt;StabMonth),(LandCost+GL$37)*EffTaxRateOnValue/12,0)</f>
        <v/>
      </c>
      <c r="GM38" s="18">
        <f>IF(AND(192&gt;=MS_Initial_Closing_Start,192&lt;StabMonth),(LandCost+GM$37)*EffTaxRateOnValue/12,0)</f>
        <v/>
      </c>
      <c r="GN38" s="18">
        <f>IF(AND(193&gt;=MS_Initial_Closing_Start,193&lt;StabMonth),(LandCost+GN$37)*EffTaxRateOnValue/12,0)</f>
        <v/>
      </c>
      <c r="GO38" s="18">
        <f>IF(AND(194&gt;=MS_Initial_Closing_Start,194&lt;StabMonth),(LandCost+GO$37)*EffTaxRateOnValue/12,0)</f>
        <v/>
      </c>
      <c r="GP38" s="18">
        <f>IF(AND(195&gt;=MS_Initial_Closing_Start,195&lt;StabMonth),(LandCost+GP$37)*EffTaxRateOnValue/12,0)</f>
        <v/>
      </c>
      <c r="GQ38" s="18">
        <f>IF(AND(196&gt;=MS_Initial_Closing_Start,196&lt;StabMonth),(LandCost+GQ$37)*EffTaxRateOnValue/12,0)</f>
        <v/>
      </c>
      <c r="GR38" s="18">
        <f>IF(AND(197&gt;=MS_Initial_Closing_Start,197&lt;StabMonth),(LandCost+GR$37)*EffTaxRateOnValue/12,0)</f>
        <v/>
      </c>
      <c r="GS38" s="18">
        <f>IF(AND(198&gt;=MS_Initial_Closing_Start,198&lt;StabMonth),(LandCost+GS$37)*EffTaxRateOnValue/12,0)</f>
        <v/>
      </c>
      <c r="GT38" s="18">
        <f>IF(AND(199&gt;=MS_Initial_Closing_Start,199&lt;StabMonth),(LandCost+GT$37)*EffTaxRateOnValue/12,0)</f>
        <v/>
      </c>
      <c r="GU38" s="18">
        <f>IF(AND(200&gt;=MS_Initial_Closing_Start,200&lt;StabMonth),(LandCost+GU$37)*EffTaxRateOnValue/12,0)</f>
        <v/>
      </c>
      <c r="GV38" s="18">
        <f>IF(AND(201&gt;=MS_Initial_Closing_Start,201&lt;StabMonth),(LandCost+GV$37)*EffTaxRateOnValue/12,0)</f>
        <v/>
      </c>
      <c r="GW38" s="18">
        <f>IF(AND(202&gt;=MS_Initial_Closing_Start,202&lt;StabMonth),(LandCost+GW$37)*EffTaxRateOnValue/12,0)</f>
        <v/>
      </c>
      <c r="GX38" s="18">
        <f>IF(AND(203&gt;=MS_Initial_Closing_Start,203&lt;StabMonth),(LandCost+GX$37)*EffTaxRateOnValue/12,0)</f>
        <v/>
      </c>
      <c r="GY38" s="18">
        <f>IF(AND(204&gt;=MS_Initial_Closing_Start,204&lt;StabMonth),(LandCost+GY$37)*EffTaxRateOnValue/12,0)</f>
        <v/>
      </c>
      <c r="GZ38" s="18">
        <f>IF(AND(205&gt;=MS_Initial_Closing_Start,205&lt;StabMonth),(LandCost+GZ$37)*EffTaxRateOnValue/12,0)</f>
        <v/>
      </c>
      <c r="HA38" s="18">
        <f>IF(AND(206&gt;=MS_Initial_Closing_Start,206&lt;StabMonth),(LandCost+HA$37)*EffTaxRateOnValue/12,0)</f>
        <v/>
      </c>
      <c r="HB38" s="18">
        <f>IF(AND(207&gt;=MS_Initial_Closing_Start,207&lt;StabMonth),(LandCost+HB$37)*EffTaxRateOnValue/12,0)</f>
        <v/>
      </c>
      <c r="HC38" s="18">
        <f>IF(AND(208&gt;=MS_Initial_Closing_Start,208&lt;StabMonth),(LandCost+HC$37)*EffTaxRateOnValue/12,0)</f>
        <v/>
      </c>
      <c r="HD38" s="18">
        <f>IF(AND(209&gt;=MS_Initial_Closing_Start,209&lt;StabMonth),(LandCost+HD$37)*EffTaxRateOnValue/12,0)</f>
        <v/>
      </c>
      <c r="HE38" s="18">
        <f>IF(AND(210&gt;=MS_Initial_Closing_Start,210&lt;StabMonth),(LandCost+HE$37)*EffTaxRateOnValue/12,0)</f>
        <v/>
      </c>
      <c r="HF38" s="18">
        <f>IF(AND(211&gt;=MS_Initial_Closing_Start,211&lt;StabMonth),(LandCost+HF$37)*EffTaxRateOnValue/12,0)</f>
        <v/>
      </c>
      <c r="HG38" s="18">
        <f>IF(AND(212&gt;=MS_Initial_Closing_Start,212&lt;StabMonth),(LandCost+HG$37)*EffTaxRateOnValue/12,0)</f>
        <v/>
      </c>
      <c r="HH38" s="18">
        <f>IF(AND(213&gt;=MS_Initial_Closing_Start,213&lt;StabMonth),(LandCost+HH$37)*EffTaxRateOnValue/12,0)</f>
        <v/>
      </c>
      <c r="HI38" s="18">
        <f>IF(AND(214&gt;=MS_Initial_Closing_Start,214&lt;StabMonth),(LandCost+HI$37)*EffTaxRateOnValue/12,0)</f>
        <v/>
      </c>
      <c r="HJ38" s="18">
        <f>IF(AND(215&gt;=MS_Initial_Closing_Start,215&lt;StabMonth),(LandCost+HJ$37)*EffTaxRateOnValue/12,0)</f>
        <v/>
      </c>
      <c r="HK38" s="18">
        <f>IF(AND(216&gt;=MS_Initial_Closing_Start,216&lt;StabMonth),(LandCost+HK$37)*EffTaxRateOnValue/12,0)</f>
        <v/>
      </c>
      <c r="HL38" s="18">
        <f>IF(AND(217&gt;=MS_Initial_Closing_Start,217&lt;StabMonth),(LandCost+HL$37)*EffTaxRateOnValue/12,0)</f>
        <v/>
      </c>
      <c r="HM38" s="18">
        <f>IF(AND(218&gt;=MS_Initial_Closing_Start,218&lt;StabMonth),(LandCost+HM$37)*EffTaxRateOnValue/12,0)</f>
        <v/>
      </c>
      <c r="HN38" s="18">
        <f>IF(AND(219&gt;=MS_Initial_Closing_Start,219&lt;StabMonth),(LandCost+HN$37)*EffTaxRateOnValue/12,0)</f>
        <v/>
      </c>
      <c r="HO38" s="18">
        <f>IF(AND(220&gt;=MS_Initial_Closing_Start,220&lt;StabMonth),(LandCost+HO$37)*EffTaxRateOnValue/12,0)</f>
        <v/>
      </c>
      <c r="HP38" s="18">
        <f>IF(AND(221&gt;=MS_Initial_Closing_Start,221&lt;StabMonth),(LandCost+HP$37)*EffTaxRateOnValue/12,0)</f>
        <v/>
      </c>
      <c r="HQ38" s="18">
        <f>IF(AND(222&gt;=MS_Initial_Closing_Start,222&lt;StabMonth),(LandCost+HQ$37)*EffTaxRateOnValue/12,0)</f>
        <v/>
      </c>
      <c r="HR38" s="18">
        <f>IF(AND(223&gt;=MS_Initial_Closing_Start,223&lt;StabMonth),(LandCost+HR$37)*EffTaxRateOnValue/12,0)</f>
        <v/>
      </c>
      <c r="HS38" s="18">
        <f>IF(AND(224&gt;=MS_Initial_Closing_Start,224&lt;StabMonth),(LandCost+HS$37)*EffTaxRateOnValue/12,0)</f>
        <v/>
      </c>
      <c r="HT38" s="18">
        <f>IF(AND(225&gt;=MS_Initial_Closing_Start,225&lt;StabMonth),(LandCost+HT$37)*EffTaxRateOnValue/12,0)</f>
        <v/>
      </c>
      <c r="HU38" s="18">
        <f>IF(AND(226&gt;=MS_Initial_Closing_Start,226&lt;StabMonth),(LandCost+HU$37)*EffTaxRateOnValue/12,0)</f>
        <v/>
      </c>
      <c r="HV38" s="18">
        <f>IF(AND(227&gt;=MS_Initial_Closing_Start,227&lt;StabMonth),(LandCost+HV$37)*EffTaxRateOnValue/12,0)</f>
        <v/>
      </c>
      <c r="HW38" s="18">
        <f>IF(AND(228&gt;=MS_Initial_Closing_Start,228&lt;StabMonth),(LandCost+HW$37)*EffTaxRateOnValue/12,0)</f>
        <v/>
      </c>
      <c r="HX38" s="18">
        <f>IF(AND(229&gt;=MS_Initial_Closing_Start,229&lt;StabMonth),(LandCost+HX$37)*EffTaxRateOnValue/12,0)</f>
        <v/>
      </c>
      <c r="HY38" s="18">
        <f>IF(AND(230&gt;=MS_Initial_Closing_Start,230&lt;StabMonth),(LandCost+HY$37)*EffTaxRateOnValue/12,0)</f>
        <v/>
      </c>
      <c r="HZ38" s="18">
        <f>IF(AND(231&gt;=MS_Initial_Closing_Start,231&lt;StabMonth),(LandCost+HZ$37)*EffTaxRateOnValue/12,0)</f>
        <v/>
      </c>
      <c r="IA38" s="18">
        <f>IF(AND(232&gt;=MS_Initial_Closing_Start,232&lt;StabMonth),(LandCost+IA$37)*EffTaxRateOnValue/12,0)</f>
        <v/>
      </c>
      <c r="IB38" s="18">
        <f>IF(AND(233&gt;=MS_Initial_Closing_Start,233&lt;StabMonth),(LandCost+IB$37)*EffTaxRateOnValue/12,0)</f>
        <v/>
      </c>
      <c r="IC38" s="18">
        <f>IF(AND(234&gt;=MS_Initial_Closing_Start,234&lt;StabMonth),(LandCost+IC$37)*EffTaxRateOnValue/12,0)</f>
        <v/>
      </c>
      <c r="ID38" s="18">
        <f>IF(AND(235&gt;=MS_Initial_Closing_Start,235&lt;StabMonth),(LandCost+ID$37)*EffTaxRateOnValue/12,0)</f>
        <v/>
      </c>
      <c r="IE38" s="18">
        <f>IF(AND(236&gt;=MS_Initial_Closing_Start,236&lt;StabMonth),(LandCost+IE$37)*EffTaxRateOnValue/12,0)</f>
        <v/>
      </c>
      <c r="IF38" s="18">
        <f>IF(AND(237&gt;=MS_Initial_Closing_Start,237&lt;StabMonth),(LandCost+IF$37)*EffTaxRateOnValue/12,0)</f>
        <v/>
      </c>
      <c r="IG38" s="18">
        <f>IF(AND(238&gt;=MS_Initial_Closing_Start,238&lt;StabMonth),(LandCost+IG$37)*EffTaxRateOnValue/12,0)</f>
        <v/>
      </c>
      <c r="IH38" s="18">
        <f>IF(AND(239&gt;=MS_Initial_Closing_Start,239&lt;StabMonth),(LandCost+IH$37)*EffTaxRateOnValue/12,0)</f>
        <v/>
      </c>
      <c r="II38" s="18">
        <f>IF(AND(240&gt;=MS_Initial_Closing_Start,240&lt;StabMonth),(LandCost+II$37)*EffTaxRateOnValue/12,0)</f>
        <v/>
      </c>
      <c r="IJ38" s="18">
        <f>IF(AND(241&gt;=MS_Initial_Closing_Start,241&lt;StabMonth),(LandCost+IJ$37)*EffTaxRateOnValue/12,0)</f>
        <v/>
      </c>
      <c r="IK38" s="18">
        <f>IF(AND(242&gt;=MS_Initial_Closing_Start,242&lt;StabMonth),(LandCost+IK$37)*EffTaxRateOnValue/12,0)</f>
        <v/>
      </c>
      <c r="IL38" s="18">
        <f>IF(AND(243&gt;=MS_Initial_Closing_Start,243&lt;StabMonth),(LandCost+IL$37)*EffTaxRateOnValue/12,0)</f>
        <v/>
      </c>
      <c r="IM38" s="18">
        <f>IF(AND(244&gt;=MS_Initial_Closing_Start,244&lt;StabMonth),(LandCost+IM$37)*EffTaxRateOnValue/12,0)</f>
        <v/>
      </c>
      <c r="IN38" s="18">
        <f>IF(AND(245&gt;=MS_Initial_Closing_Start,245&lt;StabMonth),(LandCost+IN$37)*EffTaxRateOnValue/12,0)</f>
        <v/>
      </c>
      <c r="IO38" s="18">
        <f>IF(AND(246&gt;=MS_Initial_Closing_Start,246&lt;StabMonth),(LandCost+IO$37)*EffTaxRateOnValue/12,0)</f>
        <v/>
      </c>
      <c r="IP38" s="18">
        <f>IF(AND(247&gt;=MS_Initial_Closing_Start,247&lt;StabMonth),(LandCost+IP$37)*EffTaxRateOnValue/12,0)</f>
        <v/>
      </c>
      <c r="IQ38" s="18">
        <f>IF(AND(248&gt;=MS_Initial_Closing_Start,248&lt;StabMonth),(LandCost+IQ$37)*EffTaxRateOnValue/12,0)</f>
        <v/>
      </c>
      <c r="IR38" s="18">
        <f>IF(AND(249&gt;=MS_Initial_Closing_Start,249&lt;StabMonth),(LandCost+IR$37)*EffTaxRateOnValue/12,0)</f>
        <v/>
      </c>
      <c r="IS38" s="18">
        <f>IF(AND(250&gt;=MS_Initial_Closing_Start,250&lt;StabMonth),(LandCost+IS$37)*EffTaxRateOnValue/12,0)</f>
        <v/>
      </c>
      <c r="IT38" s="18">
        <f>IF(AND(251&gt;=MS_Initial_Closing_Start,251&lt;StabMonth),(LandCost+IT$37)*EffTaxRateOnValue/12,0)</f>
        <v/>
      </c>
      <c r="IU38" s="18">
        <f>IF(AND(252&gt;=MS_Initial_Closing_Start,252&lt;StabMonth),(LandCost+IU$37)*EffTaxRateOnValue/12,0)</f>
        <v/>
      </c>
      <c r="IV38" s="18">
        <f>IF(AND(253&gt;=MS_Initial_Closing_Start,253&lt;StabMonth),(LandCost+IV$37)*EffTaxRateOnValue/12,0)</f>
        <v/>
      </c>
      <c r="IW38" s="18">
        <f>IF(AND(254&gt;=MS_Initial_Closing_Start,254&lt;StabMonth),(LandCost+IW$37)*EffTaxRateOnValue/12,0)</f>
        <v/>
      </c>
      <c r="IX38" s="18">
        <f>IF(AND(255&gt;=MS_Initial_Closing_Start,255&lt;StabMonth),(LandCost+IX$37)*EffTaxRateOnValue/12,0)</f>
        <v/>
      </c>
      <c r="IY38" s="18">
        <f>IF(AND(256&gt;=MS_Initial_Closing_Start,256&lt;StabMonth),(LandCost+IY$37)*EffTaxRateOnValue/12,0)</f>
        <v/>
      </c>
      <c r="IZ38" s="18">
        <f>IF(AND(257&gt;=MS_Initial_Closing_Start,257&lt;StabMonth),(LandCost+IZ$37)*EffTaxRateOnValue/12,0)</f>
        <v/>
      </c>
      <c r="JA38" s="18">
        <f>IF(AND(258&gt;=MS_Initial_Closing_Start,258&lt;StabMonth),(LandCost+JA$37)*EffTaxRateOnValue/12,0)</f>
        <v/>
      </c>
      <c r="JB38" s="18">
        <f>IF(AND(259&gt;=MS_Initial_Closing_Start,259&lt;StabMonth),(LandCost+JB$37)*EffTaxRateOnValue/12,0)</f>
        <v/>
      </c>
      <c r="JC38" s="18">
        <f>IF(AND(260&gt;=MS_Initial_Closing_Start,260&lt;StabMonth),(LandCost+JC$37)*EffTaxRateOnValue/12,0)</f>
        <v/>
      </c>
      <c r="JD38" s="18">
        <f>IF(AND(261&gt;=MS_Initial_Closing_Start,261&lt;StabMonth),(LandCost+JD$37)*EffTaxRateOnValue/12,0)</f>
        <v/>
      </c>
      <c r="JE38" s="18">
        <f>IF(AND(262&gt;=MS_Initial_Closing_Start,262&lt;StabMonth),(LandCost+JE$37)*EffTaxRateOnValue/12,0)</f>
        <v/>
      </c>
      <c r="JF38" s="18">
        <f>IF(AND(263&gt;=MS_Initial_Closing_Start,263&lt;StabMonth),(LandCost+JF$37)*EffTaxRateOnValue/12,0)</f>
        <v/>
      </c>
      <c r="JG38" s="18">
        <f>IF(AND(264&gt;=MS_Initial_Closing_Start,264&lt;StabMonth),(LandCost+JG$37)*EffTaxRateOnValue/12,0)</f>
        <v/>
      </c>
      <c r="JH38" s="18">
        <f>IF(AND(265&gt;=MS_Initial_Closing_Start,265&lt;StabMonth),(LandCost+JH$37)*EffTaxRateOnValue/12,0)</f>
        <v/>
      </c>
      <c r="JI38" s="18">
        <f>IF(AND(266&gt;=MS_Initial_Closing_Start,266&lt;StabMonth),(LandCost+JI$37)*EffTaxRateOnValue/12,0)</f>
        <v/>
      </c>
      <c r="JJ38" s="18">
        <f>IF(AND(267&gt;=MS_Initial_Closing_Start,267&lt;StabMonth),(LandCost+JJ$37)*EffTaxRateOnValue/12,0)</f>
        <v/>
      </c>
      <c r="JK38" s="18">
        <f>IF(AND(268&gt;=MS_Initial_Closing_Start,268&lt;StabMonth),(LandCost+JK$37)*EffTaxRateOnValue/12,0)</f>
        <v/>
      </c>
      <c r="JL38" s="18">
        <f>IF(AND(269&gt;=MS_Initial_Closing_Start,269&lt;StabMonth),(LandCost+JL$37)*EffTaxRateOnValue/12,0)</f>
        <v/>
      </c>
      <c r="JM38" s="18">
        <f>IF(AND(270&gt;=MS_Initial_Closing_Start,270&lt;StabMonth),(LandCost+JM$37)*EffTaxRateOnValue/12,0)</f>
        <v/>
      </c>
      <c r="JN38" s="18">
        <f>IF(AND(271&gt;=MS_Initial_Closing_Start,271&lt;StabMonth),(LandCost+JN$37)*EffTaxRateOnValue/12,0)</f>
        <v/>
      </c>
      <c r="JO38" s="18">
        <f>IF(AND(272&gt;=MS_Initial_Closing_Start,272&lt;StabMonth),(LandCost+JO$37)*EffTaxRateOnValue/12,0)</f>
        <v/>
      </c>
      <c r="JP38" s="18">
        <f>IF(AND(273&gt;=MS_Initial_Closing_Start,273&lt;StabMonth),(LandCost+JP$37)*EffTaxRateOnValue/12,0)</f>
        <v/>
      </c>
      <c r="JQ38" s="18">
        <f>IF(AND(274&gt;=MS_Initial_Closing_Start,274&lt;StabMonth),(LandCost+JQ$37)*EffTaxRateOnValue/12,0)</f>
        <v/>
      </c>
      <c r="JR38" s="18">
        <f>IF(AND(275&gt;=MS_Initial_Closing_Start,275&lt;StabMonth),(LandCost+JR$37)*EffTaxRateOnValue/12,0)</f>
        <v/>
      </c>
      <c r="JS38" s="18">
        <f>IF(AND(276&gt;=MS_Initial_Closing_Start,276&lt;StabMonth),(LandCost+JS$37)*EffTaxRateOnValue/12,0)</f>
        <v/>
      </c>
      <c r="JT38" s="18">
        <f>IF(AND(277&gt;=MS_Initial_Closing_Start,277&lt;StabMonth),(LandCost+JT$37)*EffTaxRateOnValue/12,0)</f>
        <v/>
      </c>
      <c r="JU38" s="18">
        <f>IF(AND(278&gt;=MS_Initial_Closing_Start,278&lt;StabMonth),(LandCost+JU$37)*EffTaxRateOnValue/12,0)</f>
        <v/>
      </c>
      <c r="JV38" s="18">
        <f>IF(AND(279&gt;=MS_Initial_Closing_Start,279&lt;StabMonth),(LandCost+JV$37)*EffTaxRateOnValue/12,0)</f>
        <v/>
      </c>
      <c r="JW38" s="18">
        <f>IF(AND(280&gt;=MS_Initial_Closing_Start,280&lt;StabMonth),(LandCost+JW$37)*EffTaxRateOnValue/12,0)</f>
        <v/>
      </c>
      <c r="JX38" s="18">
        <f>IF(AND(281&gt;=MS_Initial_Closing_Start,281&lt;StabMonth),(LandCost+JX$37)*EffTaxRateOnValue/12,0)</f>
        <v/>
      </c>
      <c r="JY38" s="18">
        <f>IF(AND(282&gt;=MS_Initial_Closing_Start,282&lt;StabMonth),(LandCost+JY$37)*EffTaxRateOnValue/12,0)</f>
        <v/>
      </c>
      <c r="JZ38" s="18">
        <f>IF(AND(283&gt;=MS_Initial_Closing_Start,283&lt;StabMonth),(LandCost+JZ$37)*EffTaxRateOnValue/12,0)</f>
        <v/>
      </c>
      <c r="KA38" s="18">
        <f>IF(AND(284&gt;=MS_Initial_Closing_Start,284&lt;StabMonth),(LandCost+KA$37)*EffTaxRateOnValue/12,0)</f>
        <v/>
      </c>
      <c r="KB38" s="18">
        <f>IF(AND(285&gt;=MS_Initial_Closing_Start,285&lt;StabMonth),(LandCost+KB$37)*EffTaxRateOnValue/12,0)</f>
        <v/>
      </c>
      <c r="KC38" s="18">
        <f>IF(AND(286&gt;=MS_Initial_Closing_Start,286&lt;StabMonth),(LandCost+KC$37)*EffTaxRateOnValue/12,0)</f>
        <v/>
      </c>
      <c r="KD38" s="18">
        <f>IF(AND(287&gt;=MS_Initial_Closing_Start,287&lt;StabMonth),(LandCost+KD$37)*EffTaxRateOnValue/12,0)</f>
        <v/>
      </c>
      <c r="KE38" s="18">
        <f>IF(AND(288&gt;=MS_Initial_Closing_Start,288&lt;StabMonth),(LandCost+KE$37)*EffTaxRateOnValue/12,0)</f>
        <v/>
      </c>
      <c r="KF38" s="18">
        <f>IF(AND(289&gt;=MS_Initial_Closing_Start,289&lt;StabMonth),(LandCost+KF$37)*EffTaxRateOnValue/12,0)</f>
        <v/>
      </c>
      <c r="KG38" s="18">
        <f>IF(AND(290&gt;=MS_Initial_Closing_Start,290&lt;StabMonth),(LandCost+KG$37)*EffTaxRateOnValue/12,0)</f>
        <v/>
      </c>
      <c r="KH38" s="18">
        <f>IF(AND(291&gt;=MS_Initial_Closing_Start,291&lt;StabMonth),(LandCost+KH$37)*EffTaxRateOnValue/12,0)</f>
        <v/>
      </c>
      <c r="KI38" s="18">
        <f>IF(AND(292&gt;=MS_Initial_Closing_Start,292&lt;StabMonth),(LandCost+KI$37)*EffTaxRateOnValue/12,0)</f>
        <v/>
      </c>
      <c r="KJ38" s="18">
        <f>IF(AND(293&gt;=MS_Initial_Closing_Start,293&lt;StabMonth),(LandCost+KJ$37)*EffTaxRateOnValue/12,0)</f>
        <v/>
      </c>
      <c r="KK38" s="18">
        <f>IF(AND(294&gt;=MS_Initial_Closing_Start,294&lt;StabMonth),(LandCost+KK$37)*EffTaxRateOnValue/12,0)</f>
        <v/>
      </c>
      <c r="KL38" s="18">
        <f>IF(AND(295&gt;=MS_Initial_Closing_Start,295&lt;StabMonth),(LandCost+KL$37)*EffTaxRateOnValue/12,0)</f>
        <v/>
      </c>
      <c r="KM38" s="18">
        <f>IF(AND(296&gt;=MS_Initial_Closing_Start,296&lt;StabMonth),(LandCost+KM$37)*EffTaxRateOnValue/12,0)</f>
        <v/>
      </c>
      <c r="KN38" s="18">
        <f>IF(AND(297&gt;=MS_Initial_Closing_Start,297&lt;StabMonth),(LandCost+KN$37)*EffTaxRateOnValue/12,0)</f>
        <v/>
      </c>
      <c r="KO38" s="18">
        <f>IF(AND(298&gt;=MS_Initial_Closing_Start,298&lt;StabMonth),(LandCost+KO$37)*EffTaxRateOnValue/12,0)</f>
        <v/>
      </c>
      <c r="KP38" s="18">
        <f>IF(AND(299&gt;=MS_Initial_Closing_Start,299&lt;StabMonth),(LandCost+KP$37)*EffTaxRateOnValue/12,0)</f>
        <v/>
      </c>
      <c r="KQ38" s="18">
        <f>IF(AND(300&gt;=MS_Initial_Closing_Start,300&lt;StabMonth),(LandCost+KQ$37)*EffTaxRateOnValue/12,0)</f>
        <v/>
      </c>
      <c r="KR38" s="18">
        <f>IF(AND(301&gt;=MS_Initial_Closing_Start,301&lt;StabMonth),(LandCost+KR$37)*EffTaxRateOnValue/12,0)</f>
        <v/>
      </c>
      <c r="KS38" s="18">
        <f>IF(AND(302&gt;=MS_Initial_Closing_Start,302&lt;StabMonth),(LandCost+KS$37)*EffTaxRateOnValue/12,0)</f>
        <v/>
      </c>
      <c r="KT38" s="18">
        <f>IF(AND(303&gt;=MS_Initial_Closing_Start,303&lt;StabMonth),(LandCost+KT$37)*EffTaxRateOnValue/12,0)</f>
        <v/>
      </c>
      <c r="KU38" s="18">
        <f>IF(AND(304&gt;=MS_Initial_Closing_Start,304&lt;StabMonth),(LandCost+KU$37)*EffTaxRateOnValue/12,0)</f>
        <v/>
      </c>
      <c r="KV38" s="18">
        <f>IF(AND(305&gt;=MS_Initial_Closing_Start,305&lt;StabMonth),(LandCost+KV$37)*EffTaxRateOnValue/12,0)</f>
        <v/>
      </c>
      <c r="KW38" s="18">
        <f>IF(AND(306&gt;=MS_Initial_Closing_Start,306&lt;StabMonth),(LandCost+KW$37)*EffTaxRateOnValue/12,0)</f>
        <v/>
      </c>
      <c r="KX38" s="18">
        <f>IF(AND(307&gt;=MS_Initial_Closing_Start,307&lt;StabMonth),(LandCost+KX$37)*EffTaxRateOnValue/12,0)</f>
        <v/>
      </c>
      <c r="KY38" s="18">
        <f>IF(AND(308&gt;=MS_Initial_Closing_Start,308&lt;StabMonth),(LandCost+KY$37)*EffTaxRateOnValue/12,0)</f>
        <v/>
      </c>
      <c r="KZ38" s="18">
        <f>IF(AND(309&gt;=MS_Initial_Closing_Start,309&lt;StabMonth),(LandCost+KZ$37)*EffTaxRateOnValue/12,0)</f>
        <v/>
      </c>
      <c r="LA38" s="18">
        <f>IF(AND(310&gt;=MS_Initial_Closing_Start,310&lt;StabMonth),(LandCost+LA$37)*EffTaxRateOnValue/12,0)</f>
        <v/>
      </c>
      <c r="LB38" s="18">
        <f>IF(AND(311&gt;=MS_Initial_Closing_Start,311&lt;StabMonth),(LandCost+LB$37)*EffTaxRateOnValue/12,0)</f>
        <v/>
      </c>
      <c r="LC38" s="18">
        <f>IF(AND(312&gt;=MS_Initial_Closing_Start,312&lt;StabMonth),(LandCost+LC$37)*EffTaxRateOnValue/12,0)</f>
        <v/>
      </c>
      <c r="LD38" s="18">
        <f>IF(AND(313&gt;=MS_Initial_Closing_Start,313&lt;StabMonth),(LandCost+LD$37)*EffTaxRateOnValue/12,0)</f>
        <v/>
      </c>
      <c r="LE38" s="18">
        <f>IF(AND(314&gt;=MS_Initial_Closing_Start,314&lt;StabMonth),(LandCost+LE$37)*EffTaxRateOnValue/12,0)</f>
        <v/>
      </c>
      <c r="LF38" s="18">
        <f>IF(AND(315&gt;=MS_Initial_Closing_Start,315&lt;StabMonth),(LandCost+LF$37)*EffTaxRateOnValue/12,0)</f>
        <v/>
      </c>
      <c r="LG38" s="18">
        <f>IF(AND(316&gt;=MS_Initial_Closing_Start,316&lt;StabMonth),(LandCost+LG$37)*EffTaxRateOnValue/12,0)</f>
        <v/>
      </c>
      <c r="LH38" s="18">
        <f>IF(AND(317&gt;=MS_Initial_Closing_Start,317&lt;StabMonth),(LandCost+LH$37)*EffTaxRateOnValue/12,0)</f>
        <v/>
      </c>
      <c r="LI38" s="18">
        <f>IF(AND(318&gt;=MS_Initial_Closing_Start,318&lt;StabMonth),(LandCost+LI$37)*EffTaxRateOnValue/12,0)</f>
        <v/>
      </c>
      <c r="LJ38" s="18">
        <f>IF(AND(319&gt;=MS_Initial_Closing_Start,319&lt;StabMonth),(LandCost+LJ$37)*EffTaxRateOnValue/12,0)</f>
        <v/>
      </c>
      <c r="LK38" s="18">
        <f>IF(AND(320&gt;=MS_Initial_Closing_Start,320&lt;StabMonth),(LandCost+LK$37)*EffTaxRateOnValue/12,0)</f>
        <v/>
      </c>
      <c r="LL38" s="18">
        <f>IF(AND(321&gt;=MS_Initial_Closing_Start,321&lt;StabMonth),(LandCost+LL$37)*EffTaxRateOnValue/12,0)</f>
        <v/>
      </c>
      <c r="LM38" s="18">
        <f>IF(AND(322&gt;=MS_Initial_Closing_Start,322&lt;StabMonth),(LandCost+LM$37)*EffTaxRateOnValue/12,0)</f>
        <v/>
      </c>
      <c r="LN38" s="18">
        <f>IF(AND(323&gt;=MS_Initial_Closing_Start,323&lt;StabMonth),(LandCost+LN$37)*EffTaxRateOnValue/12,0)</f>
        <v/>
      </c>
      <c r="LO38" s="18">
        <f>IF(AND(324&gt;=MS_Initial_Closing_Start,324&lt;StabMonth),(LandCost+LO$37)*EffTaxRateOnValue/12,0)</f>
        <v/>
      </c>
      <c r="LP38" s="18">
        <f>IF(AND(325&gt;=MS_Initial_Closing_Start,325&lt;StabMonth),(LandCost+LP$37)*EffTaxRateOnValue/12,0)</f>
        <v/>
      </c>
      <c r="LQ38" s="18">
        <f>IF(AND(326&gt;=MS_Initial_Closing_Start,326&lt;StabMonth),(LandCost+LQ$37)*EffTaxRateOnValue/12,0)</f>
        <v/>
      </c>
      <c r="LR38" s="18">
        <f>IF(AND(327&gt;=MS_Initial_Closing_Start,327&lt;StabMonth),(LandCost+LR$37)*EffTaxRateOnValue/12,0)</f>
        <v/>
      </c>
      <c r="LS38" s="18">
        <f>IF(AND(328&gt;=MS_Initial_Closing_Start,328&lt;StabMonth),(LandCost+LS$37)*EffTaxRateOnValue/12,0)</f>
        <v/>
      </c>
      <c r="LT38" s="18">
        <f>IF(AND(329&gt;=MS_Initial_Closing_Start,329&lt;StabMonth),(LandCost+LT$37)*EffTaxRateOnValue/12,0)</f>
        <v/>
      </c>
      <c r="LU38" s="18">
        <f>IF(AND(330&gt;=MS_Initial_Closing_Start,330&lt;StabMonth),(LandCost+LU$37)*EffTaxRateOnValue/12,0)</f>
        <v/>
      </c>
      <c r="LV38" s="18">
        <f>IF(AND(331&gt;=MS_Initial_Closing_Start,331&lt;StabMonth),(LandCost+LV$37)*EffTaxRateOnValue/12,0)</f>
        <v/>
      </c>
      <c r="LW38" s="18">
        <f>IF(AND(332&gt;=MS_Initial_Closing_Start,332&lt;StabMonth),(LandCost+LW$37)*EffTaxRateOnValue/12,0)</f>
        <v/>
      </c>
      <c r="LX38" s="18">
        <f>IF(AND(333&gt;=MS_Initial_Closing_Start,333&lt;StabMonth),(LandCost+LX$37)*EffTaxRateOnValue/12,0)</f>
        <v/>
      </c>
      <c r="LY38" s="18">
        <f>IF(AND(334&gt;=MS_Initial_Closing_Start,334&lt;StabMonth),(LandCost+LY$37)*EffTaxRateOnValue/12,0)</f>
        <v/>
      </c>
      <c r="LZ38" s="18">
        <f>IF(AND(335&gt;=MS_Initial_Closing_Start,335&lt;StabMonth),(LandCost+LZ$37)*EffTaxRateOnValue/12,0)</f>
        <v/>
      </c>
      <c r="MA38" s="18">
        <f>IF(AND(336&gt;=MS_Initial_Closing_Start,336&lt;StabMonth),(LandCost+MA$37)*EffTaxRateOnValue/12,0)</f>
        <v/>
      </c>
      <c r="MB38" s="18">
        <f>IF(AND(337&gt;=MS_Initial_Closing_Start,337&lt;StabMonth),(LandCost+MB$37)*EffTaxRateOnValue/12,0)</f>
        <v/>
      </c>
      <c r="MC38" s="18">
        <f>IF(AND(338&gt;=MS_Initial_Closing_Start,338&lt;StabMonth),(LandCost+MC$37)*EffTaxRateOnValue/12,0)</f>
        <v/>
      </c>
      <c r="MD38" s="18">
        <f>IF(AND(339&gt;=MS_Initial_Closing_Start,339&lt;StabMonth),(LandCost+MD$37)*EffTaxRateOnValue/12,0)</f>
        <v/>
      </c>
      <c r="ME38" s="18">
        <f>IF(AND(340&gt;=MS_Initial_Closing_Start,340&lt;StabMonth),(LandCost+ME$37)*EffTaxRateOnValue/12,0)</f>
        <v/>
      </c>
      <c r="MF38" s="18">
        <f>IF(AND(341&gt;=MS_Initial_Closing_Start,341&lt;StabMonth),(LandCost+MF$37)*EffTaxRateOnValue/12,0)</f>
        <v/>
      </c>
      <c r="MG38" s="18">
        <f>IF(AND(342&gt;=MS_Initial_Closing_Start,342&lt;StabMonth),(LandCost+MG$37)*EffTaxRateOnValue/12,0)</f>
        <v/>
      </c>
      <c r="MH38" s="18">
        <f>IF(AND(343&gt;=MS_Initial_Closing_Start,343&lt;StabMonth),(LandCost+MH$37)*EffTaxRateOnValue/12,0)</f>
        <v/>
      </c>
      <c r="MI38" s="18">
        <f>IF(AND(344&gt;=MS_Initial_Closing_Start,344&lt;StabMonth),(LandCost+MI$37)*EffTaxRateOnValue/12,0)</f>
        <v/>
      </c>
      <c r="MJ38" s="18">
        <f>IF(AND(345&gt;=MS_Initial_Closing_Start,345&lt;StabMonth),(LandCost+MJ$37)*EffTaxRateOnValue/12,0)</f>
        <v/>
      </c>
      <c r="MK38" s="18">
        <f>IF(AND(346&gt;=MS_Initial_Closing_Start,346&lt;StabMonth),(LandCost+MK$37)*EffTaxRateOnValue/12,0)</f>
        <v/>
      </c>
      <c r="ML38" s="18">
        <f>IF(AND(347&gt;=MS_Initial_Closing_Start,347&lt;StabMonth),(LandCost+ML$37)*EffTaxRateOnValue/12,0)</f>
        <v/>
      </c>
      <c r="MM38" s="18">
        <f>IF(AND(348&gt;=MS_Initial_Closing_Start,348&lt;StabMonth),(LandCost+MM$37)*EffTaxRateOnValue/12,0)</f>
        <v/>
      </c>
      <c r="MN38" s="18">
        <f>IF(AND(349&gt;=MS_Initial_Closing_Start,349&lt;StabMonth),(LandCost+MN$37)*EffTaxRateOnValue/12,0)</f>
        <v/>
      </c>
      <c r="MO38" s="18">
        <f>IF(AND(350&gt;=MS_Initial_Closing_Start,350&lt;StabMonth),(LandCost+MO$37)*EffTaxRateOnValue/12,0)</f>
        <v/>
      </c>
      <c r="MP38" s="18">
        <f>IF(AND(351&gt;=MS_Initial_Closing_Start,351&lt;StabMonth),(LandCost+MP$37)*EffTaxRateOnValue/12,0)</f>
        <v/>
      </c>
      <c r="MQ38" s="18">
        <f>IF(AND(352&gt;=MS_Initial_Closing_Start,352&lt;StabMonth),(LandCost+MQ$37)*EffTaxRateOnValue/12,0)</f>
        <v/>
      </c>
      <c r="MR38" s="18">
        <f>IF(AND(353&gt;=MS_Initial_Closing_Start,353&lt;StabMonth),(LandCost+MR$37)*EffTaxRateOnValue/12,0)</f>
        <v/>
      </c>
      <c r="MS38" s="18">
        <f>IF(AND(354&gt;=MS_Initial_Closing_Start,354&lt;StabMonth),(LandCost+MS$37)*EffTaxRateOnValue/12,0)</f>
        <v/>
      </c>
      <c r="MT38" s="18">
        <f>IF(AND(355&gt;=MS_Initial_Closing_Start,355&lt;StabMonth),(LandCost+MT$37)*EffTaxRateOnValue/12,0)</f>
        <v/>
      </c>
      <c r="MU38" s="18">
        <f>IF(AND(356&gt;=MS_Initial_Closing_Start,356&lt;StabMonth),(LandCost+MU$37)*EffTaxRateOnValue/12,0)</f>
        <v/>
      </c>
      <c r="MV38" s="18">
        <f>IF(AND(357&gt;=MS_Initial_Closing_Start,357&lt;StabMonth),(LandCost+MV$37)*EffTaxRateOnValue/12,0)</f>
        <v/>
      </c>
      <c r="MW38" s="18">
        <f>IF(AND(358&gt;=MS_Initial_Closing_Start,358&lt;StabMonth),(LandCost+MW$37)*EffTaxRateOnValue/12,0)</f>
        <v/>
      </c>
      <c r="MX38" s="18">
        <f>IF(AND(359&gt;=MS_Initial_Closing_Start,359&lt;StabMonth),(LandCost+MX$37)*EffTaxRateOnValue/12,0)</f>
        <v/>
      </c>
      <c r="MY38" s="18">
        <f>IF(AND(360&gt;=MS_Initial_Closing_Start,360&lt;StabMonth),(LandCost+MY$37)*EffTaxRateOnValue/12,0)</f>
        <v/>
      </c>
      <c r="MZ38" s="18">
        <f>IF(AND(361&gt;=MS_Initial_Closing_Start,361&lt;StabMonth),(LandCost+MZ$37)*EffTaxRateOnValue/12,0)</f>
        <v/>
      </c>
      <c r="NA38" s="18">
        <f>IF(AND(362&gt;=MS_Initial_Closing_Start,362&lt;StabMonth),(LandCost+NA$37)*EffTaxRateOnValue/12,0)</f>
        <v/>
      </c>
      <c r="NB38" s="18">
        <f>IF(AND(363&gt;=MS_Initial_Closing_Start,363&lt;StabMonth),(LandCost+NB$37)*EffTaxRateOnValue/12,0)</f>
        <v/>
      </c>
      <c r="NC38" s="18">
        <f>IF(AND(364&gt;=MS_Initial_Closing_Start,364&lt;StabMonth),(LandCost+NC$37)*EffTaxRateOnValue/12,0)</f>
        <v/>
      </c>
      <c r="ND38" s="18">
        <f>IF(AND(365&gt;=MS_Initial_Closing_Start,365&lt;StabMonth),(LandCost+ND$37)*EffTaxRateOnValue/12,0)</f>
        <v/>
      </c>
      <c r="NE38" s="18">
        <f>IF(AND(366&gt;=MS_Initial_Closing_Start,366&lt;StabMonth),(LandCost+NE$37)*EffTaxRateOnValue/12,0)</f>
        <v/>
      </c>
      <c r="NF38" s="18">
        <f>IF(AND(367&gt;=MS_Initial_Closing_Start,367&lt;StabMonth),(LandCost+NF$37)*EffTaxRateOnValue/12,0)</f>
        <v/>
      </c>
      <c r="NG38" s="18">
        <f>IF(AND(368&gt;=MS_Initial_Closing_Start,368&lt;StabMonth),(LandCost+NG$37)*EffTaxRateOnValue/12,0)</f>
        <v/>
      </c>
      <c r="NH38" s="18">
        <f>IF(AND(369&gt;=MS_Initial_Closing_Start,369&lt;StabMonth),(LandCost+NH$37)*EffTaxRateOnValue/12,0)</f>
        <v/>
      </c>
      <c r="NI38" s="18">
        <f>IF(AND(370&gt;=MS_Initial_Closing_Start,370&lt;StabMonth),(LandCost+NI$37)*EffTaxRateOnValue/12,0)</f>
        <v/>
      </c>
      <c r="NJ38" s="18">
        <f>IF(AND(371&gt;=MS_Initial_Closing_Start,371&lt;StabMonth),(LandCost+NJ$37)*EffTaxRateOnValue/12,0)</f>
        <v/>
      </c>
      <c r="NK38" s="18">
        <f>IF(AND(372&gt;=MS_Initial_Closing_Start,372&lt;StabMonth),(LandCost+NK$37)*EffTaxRateOnValue/12,0)</f>
        <v/>
      </c>
    </row>
    <row r="39">
      <c r="A39" s="21" t="inlineStr">
        <is>
          <t>Construction-Period Tax — Total</t>
        </is>
      </c>
      <c r="C39" s="44">
        <f>'DevSpend'!$C$38</f>
        <v/>
      </c>
    </row>
    <row r="41">
      <c r="A41" s="3" t="inlineStr">
        <is>
          <t>Cost-Curve Reconciliation</t>
        </is>
      </c>
      <c r="B41" s="4" t="n"/>
      <c r="C41" s="4" t="n"/>
    </row>
    <row r="42">
      <c r="A42" s="5" t="inlineStr">
        <is>
          <t>Max |line curve sum − Budget total|</t>
        </is>
      </c>
      <c r="C42" s="43">
        <f>MAX(ABS('DevSpend'!$C$6-Budget!I5),ABS('DevSpend'!$C$7-Budget!I6),ABS('DevSpend'!$C$8-Budget!I7),ABS('DevSpend'!$C$9-Budget!I8),ABS('DevSpend'!$C$10-Budget!I9),ABS('DevSpend'!$C$11-Budget!I10),ABS('DevSpend'!$C$12-Budget!I11),ABS('DevSpend'!$C$13-Budget!I12),ABS('DevSpend'!$C$14-Budget!I13),ABS('DevSpend'!$C$15-Budget!I14),ABS('DevSpend'!$C$16-Budget!I15),ABS('DevSpend'!$C$17-Budget!I16),ABS('DevSpend'!$C$18-Budget!I17),ABS('DevSpend'!$C$19-Budget!I18),ABS('DevSpend'!$C$20-Budget!I19),ABS('DevSpend'!$C$21-Budget!I20),ABS('DevSpend'!$C$22-Budget!I21),ABS('DevSpend'!$C$23-Budget!I22),ABS('DevSpend'!$C$24-Budget!I23),ABS('DevSpend'!$C$25-Budget!I24),ABS('DevSpend'!$C$26-Budget!I25),ABS('DevSpend'!$C$27-Budget!I26),ABS('DevSpend'!$C$28-Budget!I27),ABS('DevSpend'!$C$29-Budget!I28),ABS('DevSpend'!$C$30-Budget!I29),ABS('DevSpend'!$C$31-Budget!I30),ABS('DevSpend'!$C$32-Budget!I31))</f>
        <v/>
      </c>
    </row>
    <row r="43">
      <c r="A43" s="5" t="inlineStr">
        <is>
          <t>Dev fee curve sum − DevFee</t>
        </is>
      </c>
      <c r="C43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3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DirectCosts+DevFee+ConOtherCosts+ConTaxTotal+OpReserve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DirectCosts+DevFee+ConOtherCosts+ConTaxTotal+ConPoints+RecourseFee+OpReserve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'DevSpend'!D$34+'DevSpend'!D$35+'DevSpend'!D$38+IF(1=MS_Initial_Closing_Start,ConOtherCosts+ConPoints+RecourseFee+OpReserve,0)</f>
        <v/>
      </c>
      <c r="E26" s="18">
        <f>'DevSpend'!E$34+'DevSpend'!E$35+'DevSpend'!E$38+IF(2=MS_Initial_Closing_Start,ConOtherCosts+ConPoints+RecourseFee+OpReserve,0)</f>
        <v/>
      </c>
      <c r="F26" s="18">
        <f>'DevSpend'!F$34+'DevSpend'!F$35+'DevSpend'!F$38+IF(3=MS_Initial_Closing_Start,ConOtherCosts+ConPoints+RecourseFee+OpReserve,0)</f>
        <v/>
      </c>
      <c r="G26" s="18">
        <f>'DevSpend'!G$34+'DevSpend'!G$35+'DevSpend'!G$38+IF(4=MS_Initial_Closing_Start,ConOtherCosts+ConPoints+RecourseFee+OpReserve,0)</f>
        <v/>
      </c>
      <c r="H26" s="18">
        <f>'DevSpend'!H$34+'DevSpend'!H$35+'DevSpend'!H$38+IF(5=MS_Initial_Closing_Start,ConOtherCosts+ConPoints+RecourseFee+OpReserve,0)</f>
        <v/>
      </c>
      <c r="I26" s="18">
        <f>'DevSpend'!I$34+'DevSpend'!I$35+'DevSpend'!I$38+IF(6=MS_Initial_Closing_Start,ConOtherCosts+ConPoints+RecourseFee+OpReserve,0)</f>
        <v/>
      </c>
      <c r="J26" s="18">
        <f>'DevSpend'!J$34+'DevSpend'!J$35+'DevSpend'!J$38+IF(7=MS_Initial_Closing_Start,ConOtherCosts+ConPoints+RecourseFee+OpReserve,0)</f>
        <v/>
      </c>
      <c r="K26" s="18">
        <f>'DevSpend'!K$34+'DevSpend'!K$35+'DevSpend'!K$38+IF(8=MS_Initial_Closing_Start,ConOtherCosts+ConPoints+RecourseFee+OpReserve,0)</f>
        <v/>
      </c>
      <c r="L26" s="18">
        <f>'DevSpend'!L$34+'DevSpend'!L$35+'DevSpend'!L$38+IF(9=MS_Initial_Closing_Start,ConOtherCosts+ConPoints+RecourseFee+OpReserve,0)</f>
        <v/>
      </c>
      <c r="M26" s="18">
        <f>'DevSpend'!M$34+'DevSpend'!M$35+'DevSpend'!M$38+IF(10=MS_Initial_Closing_Start,ConOtherCosts+ConPoints+RecourseFee+OpReserve,0)</f>
        <v/>
      </c>
      <c r="N26" s="18">
        <f>'DevSpend'!N$34+'DevSpend'!N$35+'DevSpend'!N$38+IF(11=MS_Initial_Closing_Start,ConOtherCosts+ConPoints+RecourseFee+OpReserve,0)</f>
        <v/>
      </c>
      <c r="O26" s="18">
        <f>'DevSpend'!O$34+'DevSpend'!O$35+'DevSpend'!O$38+IF(12=MS_Initial_Closing_Start,ConOtherCosts+ConPoints+RecourseFee+OpReserve,0)</f>
        <v/>
      </c>
      <c r="P26" s="18">
        <f>'DevSpend'!P$34+'DevSpend'!P$35+'DevSpend'!P$38+IF(13=MS_Initial_Closing_Start,ConOtherCosts+ConPoints+RecourseFee+OpReserve,0)</f>
        <v/>
      </c>
      <c r="Q26" s="18">
        <f>'DevSpend'!Q$34+'DevSpend'!Q$35+'DevSpend'!Q$38+IF(14=MS_Initial_Closing_Start,ConOtherCosts+ConPoints+RecourseFee+OpReserve,0)</f>
        <v/>
      </c>
      <c r="R26" s="18">
        <f>'DevSpend'!R$34+'DevSpend'!R$35+'DevSpend'!R$38+IF(15=MS_Initial_Closing_Start,ConOtherCosts+ConPoints+RecourseFee+OpReserve,0)</f>
        <v/>
      </c>
      <c r="S26" s="18">
        <f>'DevSpend'!S$34+'DevSpend'!S$35+'DevSpend'!S$38+IF(16=MS_Initial_Closing_Start,ConOtherCosts+ConPoints+RecourseFee+OpReserve,0)</f>
        <v/>
      </c>
      <c r="T26" s="18">
        <f>'DevSpend'!T$34+'DevSpend'!T$35+'DevSpend'!T$38+IF(17=MS_Initial_Closing_Start,ConOtherCosts+ConPoints+RecourseFee+OpReserve,0)</f>
        <v/>
      </c>
      <c r="U26" s="18">
        <f>'DevSpend'!U$34+'DevSpend'!U$35+'DevSpend'!U$38+IF(18=MS_Initial_Closing_Start,ConOtherCosts+ConPoints+RecourseFee+OpReserve,0)</f>
        <v/>
      </c>
      <c r="V26" s="18">
        <f>'DevSpend'!V$34+'DevSpend'!V$35+'DevSpend'!V$38+IF(19=MS_Initial_Closing_Start,ConOtherCosts+ConPoints+RecourseFee+OpReserve,0)</f>
        <v/>
      </c>
      <c r="W26" s="18">
        <f>'DevSpend'!W$34+'DevSpend'!W$35+'DevSpend'!W$38+IF(20=MS_Initial_Closing_Start,ConOtherCosts+ConPoints+RecourseFee+OpReserve,0)</f>
        <v/>
      </c>
      <c r="X26" s="18">
        <f>'DevSpend'!X$34+'DevSpend'!X$35+'DevSpend'!X$38+IF(21=MS_Initial_Closing_Start,ConOtherCosts+ConPoints+RecourseFee+OpReserve,0)</f>
        <v/>
      </c>
      <c r="Y26" s="18">
        <f>'DevSpend'!Y$34+'DevSpend'!Y$35+'DevSpend'!Y$38+IF(22=MS_Initial_Closing_Start,ConOtherCosts+ConPoints+RecourseFee+OpReserve,0)</f>
        <v/>
      </c>
      <c r="Z26" s="18">
        <f>'DevSpend'!Z$34+'DevSpend'!Z$35+'DevSpend'!Z$38+IF(23=MS_Initial_Closing_Start,ConOtherCosts+ConPoints+RecourseFee+OpReserve,0)</f>
        <v/>
      </c>
      <c r="AA26" s="18">
        <f>'DevSpend'!AA$34+'DevSpend'!AA$35+'DevSpend'!AA$38+IF(24=MS_Initial_Closing_Start,ConOtherCosts+ConPoints+RecourseFee+OpReserve,0)</f>
        <v/>
      </c>
      <c r="AB26" s="18">
        <f>'DevSpend'!AB$34+'DevSpend'!AB$35+'DevSpend'!AB$38+IF(25=MS_Initial_Closing_Start,ConOtherCosts+ConPoints+RecourseFee+OpReserve,0)</f>
        <v/>
      </c>
      <c r="AC26" s="18">
        <f>'DevSpend'!AC$34+'DevSpend'!AC$35+'DevSpend'!AC$38+IF(26=MS_Initial_Closing_Start,ConOtherCosts+ConPoints+RecourseFee+OpReserve,0)</f>
        <v/>
      </c>
      <c r="AD26" s="18">
        <f>'DevSpend'!AD$34+'DevSpend'!AD$35+'DevSpend'!AD$38+IF(27=MS_Initial_Closing_Start,ConOtherCosts+ConPoints+RecourseFee+OpReserve,0)</f>
        <v/>
      </c>
      <c r="AE26" s="18">
        <f>'DevSpend'!AE$34+'DevSpend'!AE$35+'DevSpend'!AE$38+IF(28=MS_Initial_Closing_Start,ConOtherCosts+ConPoints+RecourseFee+OpReserve,0)</f>
        <v/>
      </c>
      <c r="AF26" s="18">
        <f>'DevSpend'!AF$34+'DevSpend'!AF$35+'DevSpend'!AF$38+IF(29=MS_Initial_Closing_Start,ConOtherCosts+ConPoints+RecourseFee+OpReserve,0)</f>
        <v/>
      </c>
      <c r="AG26" s="18">
        <f>'DevSpend'!AG$34+'DevSpend'!AG$35+'DevSpend'!AG$38+IF(30=MS_Initial_Closing_Start,ConOtherCosts+ConPoints+RecourseFee+OpReserve,0)</f>
        <v/>
      </c>
      <c r="AH26" s="18">
        <f>'DevSpend'!AH$34+'DevSpend'!AH$35+'DevSpend'!AH$38+IF(31=MS_Initial_Closing_Start,ConOtherCosts+ConPoints+RecourseFee+OpReserve,0)</f>
        <v/>
      </c>
      <c r="AI26" s="18">
        <f>'DevSpend'!AI$34+'DevSpend'!AI$35+'DevSpend'!AI$38+IF(32=MS_Initial_Closing_Start,ConOtherCosts+ConPoints+RecourseFee+OpReserve,0)</f>
        <v/>
      </c>
      <c r="AJ26" s="18">
        <f>'DevSpend'!AJ$34+'DevSpend'!AJ$35+'DevSpend'!AJ$38+IF(33=MS_Initial_Closing_Start,ConOtherCosts+ConPoints+RecourseFee+OpReserve,0)</f>
        <v/>
      </c>
      <c r="AK26" s="18">
        <f>'DevSpend'!AK$34+'DevSpend'!AK$35+'DevSpend'!AK$38+IF(34=MS_Initial_Closing_Start,ConOtherCosts+ConPoints+RecourseFee+OpReserve,0)</f>
        <v/>
      </c>
      <c r="AL26" s="18">
        <f>'DevSpend'!AL$34+'DevSpend'!AL$35+'DevSpend'!AL$38+IF(35=MS_Initial_Closing_Start,ConOtherCosts+ConPoints+RecourseFee+OpReserve,0)</f>
        <v/>
      </c>
      <c r="AM26" s="18">
        <f>'DevSpend'!AM$34+'DevSpend'!AM$35+'DevSpend'!AM$38+IF(36=MS_Initial_Closing_Start,ConOtherCosts+ConPoints+RecourseFee+OpReserve,0)</f>
        <v/>
      </c>
      <c r="AN26" s="18">
        <f>'DevSpend'!AN$34+'DevSpend'!AN$35+'DevSpend'!AN$38+IF(37=MS_Initial_Closing_Start,ConOtherCosts+ConPoints+RecourseFee+OpReserve,0)</f>
        <v/>
      </c>
      <c r="AO26" s="18">
        <f>'DevSpend'!AO$34+'DevSpend'!AO$35+'DevSpend'!AO$38+IF(38=MS_Initial_Closing_Start,ConOtherCosts+ConPoints+RecourseFee+OpReserve,0)</f>
        <v/>
      </c>
      <c r="AP26" s="18">
        <f>'DevSpend'!AP$34+'DevSpend'!AP$35+'DevSpend'!AP$38+IF(39=MS_Initial_Closing_Start,ConOtherCosts+ConPoints+RecourseFee+OpReserve,0)</f>
        <v/>
      </c>
      <c r="AQ26" s="18">
        <f>'DevSpend'!AQ$34+'DevSpend'!AQ$35+'DevSpend'!AQ$38+IF(40=MS_Initial_Closing_Start,ConOtherCosts+ConPoints+RecourseFee+OpReserve,0)</f>
        <v/>
      </c>
      <c r="AR26" s="18">
        <f>'DevSpend'!AR$34+'DevSpend'!AR$35+'DevSpend'!AR$38+IF(41=MS_Initial_Closing_Start,ConOtherCosts+ConPoints+RecourseFee+OpReserve,0)</f>
        <v/>
      </c>
      <c r="AS26" s="18">
        <f>'DevSpend'!AS$34+'DevSpend'!AS$35+'DevSpend'!AS$38+IF(42=MS_Initial_Closing_Start,ConOtherCosts+ConPoints+RecourseFee+OpReserve,0)</f>
        <v/>
      </c>
      <c r="AT26" s="18">
        <f>'DevSpend'!AT$34+'DevSpend'!AT$35+'DevSpend'!AT$38+IF(43=MS_Initial_Closing_Start,ConOtherCosts+ConPoints+RecourseFee+OpReserve,0)</f>
        <v/>
      </c>
      <c r="AU26" s="18">
        <f>'DevSpend'!AU$34+'DevSpend'!AU$35+'DevSpend'!AU$38+IF(44=MS_Initial_Closing_Start,ConOtherCosts+ConPoints+RecourseFee+OpReserve,0)</f>
        <v/>
      </c>
      <c r="AV26" s="18">
        <f>'DevSpend'!AV$34+'DevSpend'!AV$35+'DevSpend'!AV$38+IF(45=MS_Initial_Closing_Start,ConOtherCosts+ConPoints+RecourseFee+OpReserve,0)</f>
        <v/>
      </c>
      <c r="AW26" s="18">
        <f>'DevSpend'!AW$34+'DevSpend'!AW$35+'DevSpend'!AW$38+IF(46=MS_Initial_Closing_Start,ConOtherCosts+ConPoints+RecourseFee+OpReserve,0)</f>
        <v/>
      </c>
      <c r="AX26" s="18">
        <f>'DevSpend'!AX$34+'DevSpend'!AX$35+'DevSpend'!AX$38+IF(47=MS_Initial_Closing_Start,ConOtherCosts+ConPoints+RecourseFee+OpReserve,0)</f>
        <v/>
      </c>
      <c r="AY26" s="18">
        <f>'DevSpend'!AY$34+'DevSpend'!AY$35+'DevSpend'!AY$38+IF(48=MS_Initial_Closing_Start,ConOtherCosts+ConPoints+RecourseFee+OpReserve,0)</f>
        <v/>
      </c>
      <c r="AZ26" s="18">
        <f>'DevSpend'!AZ$34+'DevSpend'!AZ$35+'DevSpend'!AZ$38+IF(49=MS_Initial_Closing_Start,ConOtherCosts+ConPoints+RecourseFee+OpReserve,0)</f>
        <v/>
      </c>
      <c r="BA26" s="18">
        <f>'DevSpend'!BA$34+'DevSpend'!BA$35+'DevSpend'!BA$38+IF(50=MS_Initial_Closing_Start,ConOtherCosts+ConPoints+RecourseFee+OpReserve,0)</f>
        <v/>
      </c>
      <c r="BB26" s="18">
        <f>'DevSpend'!BB$34+'DevSpend'!BB$35+'DevSpend'!BB$38+IF(51=MS_Initial_Closing_Start,ConOtherCosts+ConPoints+RecourseFee+OpReserve,0)</f>
        <v/>
      </c>
      <c r="BC26" s="18">
        <f>'DevSpend'!BC$34+'DevSpend'!BC$35+'DevSpend'!BC$38+IF(52=MS_Initial_Closing_Start,ConOtherCosts+ConPoints+RecourseFee+OpReserve,0)</f>
        <v/>
      </c>
      <c r="BD26" s="18">
        <f>'DevSpend'!BD$34+'DevSpend'!BD$35+'DevSpend'!BD$38+IF(53=MS_Initial_Closing_Start,ConOtherCosts+ConPoints+RecourseFee+OpReserve,0)</f>
        <v/>
      </c>
      <c r="BE26" s="18">
        <f>'DevSpend'!BE$34+'DevSpend'!BE$35+'DevSpend'!BE$38+IF(54=MS_Initial_Closing_Start,ConOtherCosts+ConPoints+RecourseFee+OpReserve,0)</f>
        <v/>
      </c>
      <c r="BF26" s="18">
        <f>'DevSpend'!BF$34+'DevSpend'!BF$35+'DevSpend'!BF$38+IF(55=MS_Initial_Closing_Start,ConOtherCosts+ConPoints+RecourseFee+OpReserve,0)</f>
        <v/>
      </c>
      <c r="BG26" s="18">
        <f>'DevSpend'!BG$34+'DevSpend'!BG$35+'DevSpend'!BG$38+IF(56=MS_Initial_Closing_Start,ConOtherCosts+ConPoints+RecourseFee+OpReserve,0)</f>
        <v/>
      </c>
      <c r="BH26" s="18">
        <f>'DevSpend'!BH$34+'DevSpend'!BH$35+'DevSpend'!BH$38+IF(57=MS_Initial_Closing_Start,ConOtherCosts+ConPoints+RecourseFee+OpReserve,0)</f>
        <v/>
      </c>
      <c r="BI26" s="18">
        <f>'DevSpend'!BI$34+'DevSpend'!BI$35+'DevSpend'!BI$38+IF(58=MS_Initial_Closing_Start,ConOtherCosts+ConPoints+RecourseFee+OpReserve,0)</f>
        <v/>
      </c>
      <c r="BJ26" s="18">
        <f>'DevSpend'!BJ$34+'DevSpend'!BJ$35+'DevSpend'!BJ$38+IF(59=MS_Initial_Closing_Start,ConOtherCosts+ConPoints+RecourseFee+OpReserve,0)</f>
        <v/>
      </c>
      <c r="BK26" s="18">
        <f>'DevSpend'!BK$34+'DevSpend'!BK$35+'DevSpend'!BK$38+IF(60=MS_Initial_Closing_Start,ConOtherCosts+ConPoints+RecourseFee+OpReserve,0)</f>
        <v/>
      </c>
      <c r="BL26" s="18">
        <f>'DevSpend'!BL$34+'DevSpend'!BL$35+'DevSpend'!BL$38+IF(61=MS_Initial_Closing_Start,ConOtherCosts+ConPoints+RecourseFee+OpReserve,0)</f>
        <v/>
      </c>
      <c r="BM26" s="18">
        <f>'DevSpend'!BM$34+'DevSpend'!BM$35+'DevSpend'!BM$38+IF(62=MS_Initial_Closing_Start,ConOtherCosts+ConPoints+RecourseFee+OpReserve,0)</f>
        <v/>
      </c>
      <c r="BN26" s="18">
        <f>'DevSpend'!BN$34+'DevSpend'!BN$35+'DevSpend'!BN$38+IF(63=MS_Initial_Closing_Start,ConOtherCosts+ConPoints+RecourseFee+OpReserve,0)</f>
        <v/>
      </c>
      <c r="BO26" s="18">
        <f>'DevSpend'!BO$34+'DevSpend'!BO$35+'DevSpend'!BO$38+IF(64=MS_Initial_Closing_Start,ConOtherCosts+ConPoints+RecourseFee+OpReserve,0)</f>
        <v/>
      </c>
      <c r="BP26" s="18">
        <f>'DevSpend'!BP$34+'DevSpend'!BP$35+'DevSpend'!BP$38+IF(65=MS_Initial_Closing_Start,ConOtherCosts+ConPoints+RecourseFee+OpReserve,0)</f>
        <v/>
      </c>
      <c r="BQ26" s="18">
        <f>'DevSpend'!BQ$34+'DevSpend'!BQ$35+'DevSpend'!BQ$38+IF(66=MS_Initial_Closing_Start,ConOtherCosts+ConPoints+RecourseFee+OpReserve,0)</f>
        <v/>
      </c>
      <c r="BR26" s="18">
        <f>'DevSpend'!BR$34+'DevSpend'!BR$35+'DevSpend'!BR$38+IF(67=MS_Initial_Closing_Start,ConOtherCosts+ConPoints+RecourseFee+OpReserve,0)</f>
        <v/>
      </c>
      <c r="BS26" s="18">
        <f>'DevSpend'!BS$34+'DevSpend'!BS$35+'DevSpend'!BS$38+IF(68=MS_Initial_Closing_Start,ConOtherCosts+ConPoints+RecourseFee+OpReserve,0)</f>
        <v/>
      </c>
      <c r="BT26" s="18">
        <f>'DevSpend'!BT$34+'DevSpend'!BT$35+'DevSpend'!BT$38+IF(69=MS_Initial_Closing_Start,ConOtherCosts+ConPoints+RecourseFee+OpReserve,0)</f>
        <v/>
      </c>
      <c r="BU26" s="18">
        <f>'DevSpend'!BU$34+'DevSpend'!BU$35+'DevSpend'!BU$38+IF(70=MS_Initial_Closing_Start,ConOtherCosts+ConPoints+RecourseFee+OpReserve,0)</f>
        <v/>
      </c>
      <c r="BV26" s="18">
        <f>'DevSpend'!BV$34+'DevSpend'!BV$35+'DevSpend'!BV$38+IF(71=MS_Initial_Closing_Start,ConOtherCosts+ConPoints+RecourseFee+OpReserve,0)</f>
        <v/>
      </c>
      <c r="BW26" s="18">
        <f>'DevSpend'!BW$34+'DevSpend'!BW$35+'DevSpend'!BW$38+IF(72=MS_Initial_Closing_Start,ConOtherCosts+ConPoints+RecourseFee+OpReserve,0)</f>
        <v/>
      </c>
      <c r="BX26" s="18">
        <f>'DevSpend'!BX$34+'DevSpend'!BX$35+'DevSpend'!BX$38+IF(73=MS_Initial_Closing_Start,ConOtherCosts+ConPoints+RecourseFee+OpReserve,0)</f>
        <v/>
      </c>
      <c r="BY26" s="18">
        <f>'DevSpend'!BY$34+'DevSpend'!BY$35+'DevSpend'!BY$38+IF(74=MS_Initial_Closing_Start,ConOtherCosts+ConPoints+RecourseFee+OpReserve,0)</f>
        <v/>
      </c>
      <c r="BZ26" s="18">
        <f>'DevSpend'!BZ$34+'DevSpend'!BZ$35+'DevSpend'!BZ$38+IF(75=MS_Initial_Closing_Start,ConOtherCosts+ConPoints+RecourseFee+OpReserve,0)</f>
        <v/>
      </c>
      <c r="CA26" s="18">
        <f>'DevSpend'!CA$34+'DevSpend'!CA$35+'DevSpend'!CA$38+IF(76=MS_Initial_Closing_Start,ConOtherCosts+ConPoints+RecourseFee+OpReserve,0)</f>
        <v/>
      </c>
      <c r="CB26" s="18">
        <f>'DevSpend'!CB$34+'DevSpend'!CB$35+'DevSpend'!CB$38+IF(77=MS_Initial_Closing_Start,ConOtherCosts+ConPoints+RecourseFee+OpReserve,0)</f>
        <v/>
      </c>
      <c r="CC26" s="18">
        <f>'DevSpend'!CC$34+'DevSpend'!CC$35+'DevSpend'!CC$38+IF(78=MS_Initial_Closing_Start,ConOtherCosts+ConPoints+RecourseFee+OpReserve,0)</f>
        <v/>
      </c>
      <c r="CD26" s="18">
        <f>'DevSpend'!CD$34+'DevSpend'!CD$35+'DevSpend'!CD$38+IF(79=MS_Initial_Closing_Start,ConOtherCosts+ConPoints+RecourseFee+OpReserve,0)</f>
        <v/>
      </c>
      <c r="CE26" s="18">
        <f>'DevSpend'!CE$34+'DevSpend'!CE$35+'DevSpend'!CE$38+IF(80=MS_Initial_Closing_Start,ConOtherCosts+ConPoints+RecourseFee+OpReserve,0)</f>
        <v/>
      </c>
      <c r="CF26" s="18">
        <f>'DevSpend'!CF$34+'DevSpend'!CF$35+'DevSpend'!CF$38+IF(81=MS_Initial_Closing_Start,ConOtherCosts+ConPoints+RecourseFee+OpReserve,0)</f>
        <v/>
      </c>
      <c r="CG26" s="18">
        <f>'DevSpend'!CG$34+'DevSpend'!CG$35+'DevSpend'!CG$38+IF(82=MS_Initial_Closing_Start,ConOtherCosts+ConPoints+RecourseFee+OpReserve,0)</f>
        <v/>
      </c>
      <c r="CH26" s="18">
        <f>'DevSpend'!CH$34+'DevSpend'!CH$35+'DevSpend'!CH$38+IF(83=MS_Initial_Closing_Start,ConOtherCosts+ConPoints+RecourseFee+OpReserve,0)</f>
        <v/>
      </c>
      <c r="CI26" s="18">
        <f>'DevSpend'!CI$34+'DevSpend'!CI$35+'DevSpend'!CI$38+IF(84=MS_Initial_Closing_Start,ConOtherCosts+ConPoints+RecourseFee+OpReserve,0)</f>
        <v/>
      </c>
      <c r="CJ26" s="18">
        <f>'DevSpend'!CJ$34+'DevSpend'!CJ$35+'DevSpend'!CJ$38+IF(85=MS_Initial_Closing_Start,ConOtherCosts+ConPoints+RecourseFee+OpReserve,0)</f>
        <v/>
      </c>
      <c r="CK26" s="18">
        <f>'DevSpend'!CK$34+'DevSpend'!CK$35+'DevSpend'!CK$38+IF(86=MS_Initial_Closing_Start,ConOtherCosts+ConPoints+RecourseFee+OpReserve,0)</f>
        <v/>
      </c>
      <c r="CL26" s="18">
        <f>'DevSpend'!CL$34+'DevSpend'!CL$35+'DevSpend'!CL$38+IF(87=MS_Initial_Closing_Start,ConOtherCosts+ConPoints+RecourseFee+OpReserve,0)</f>
        <v/>
      </c>
      <c r="CM26" s="18">
        <f>'DevSpend'!CM$34+'DevSpend'!CM$35+'DevSpend'!CM$38+IF(88=MS_Initial_Closing_Start,ConOtherCosts+ConPoints+RecourseFee+OpReserve,0)</f>
        <v/>
      </c>
      <c r="CN26" s="18">
        <f>'DevSpend'!CN$34+'DevSpend'!CN$35+'DevSpend'!CN$38+IF(89=MS_Initial_Closing_Start,ConOtherCosts+ConPoints+RecourseFee+OpReserve,0)</f>
        <v/>
      </c>
      <c r="CO26" s="18">
        <f>'DevSpend'!CO$34+'DevSpend'!CO$35+'DevSpend'!CO$38+IF(90=MS_Initial_Closing_Start,ConOtherCosts+ConPoints+RecourseFee+OpReserve,0)</f>
        <v/>
      </c>
      <c r="CP26" s="18">
        <f>'DevSpend'!CP$34+'DevSpend'!CP$35+'DevSpend'!CP$38+IF(91=MS_Initial_Closing_Start,ConOtherCosts+ConPoints+RecourseFee+OpReserve,0)</f>
        <v/>
      </c>
      <c r="CQ26" s="18">
        <f>'DevSpend'!CQ$34+'DevSpend'!CQ$35+'DevSpend'!CQ$38+IF(92=MS_Initial_Closing_Start,ConOtherCosts+ConPoints+RecourseFee+OpReserve,0)</f>
        <v/>
      </c>
      <c r="CR26" s="18">
        <f>'DevSpend'!CR$34+'DevSpend'!CR$35+'DevSpend'!CR$38+IF(93=MS_Initial_Closing_Start,ConOtherCosts+ConPoints+RecourseFee+OpReserve,0)</f>
        <v/>
      </c>
      <c r="CS26" s="18">
        <f>'DevSpend'!CS$34+'DevSpend'!CS$35+'DevSpend'!CS$38+IF(94=MS_Initial_Closing_Start,ConOtherCosts+ConPoints+RecourseFee+OpReserve,0)</f>
        <v/>
      </c>
      <c r="CT26" s="18">
        <f>'DevSpend'!CT$34+'DevSpend'!CT$35+'DevSpend'!CT$38+IF(95=MS_Initial_Closing_Start,ConOtherCosts+ConPoints+RecourseFee+OpReserve,0)</f>
        <v/>
      </c>
      <c r="CU26" s="18">
        <f>'DevSpend'!CU$34+'DevSpend'!CU$35+'DevSpend'!CU$38+IF(96=MS_Initial_Closing_Start,ConOtherCosts+ConPoints+RecourseFee+OpReserve,0)</f>
        <v/>
      </c>
      <c r="CV26" s="18">
        <f>'DevSpend'!CV$34+'DevSpend'!CV$35+'DevSpend'!CV$38+IF(97=MS_Initial_Closing_Start,ConOtherCosts+ConPoints+RecourseFee+OpReserve,0)</f>
        <v/>
      </c>
      <c r="CW26" s="18">
        <f>'DevSpend'!CW$34+'DevSpend'!CW$35+'DevSpend'!CW$38+IF(98=MS_Initial_Closing_Start,ConOtherCosts+ConPoints+RecourseFee+OpReserve,0)</f>
        <v/>
      </c>
      <c r="CX26" s="18">
        <f>'DevSpend'!CX$34+'DevSpend'!CX$35+'DevSpend'!CX$38+IF(99=MS_Initial_Closing_Start,ConOtherCosts+ConPoints+RecourseFee+OpReserve,0)</f>
        <v/>
      </c>
      <c r="CY26" s="18">
        <f>'DevSpend'!CY$34+'DevSpend'!CY$35+'DevSpend'!CY$38+IF(100=MS_Initial_Closing_Start,ConOtherCosts+ConPoints+RecourseFee+OpReserve,0)</f>
        <v/>
      </c>
      <c r="CZ26" s="18">
        <f>'DevSpend'!CZ$34+'DevSpend'!CZ$35+'DevSpend'!CZ$38+IF(101=MS_Initial_Closing_Start,ConOtherCosts+ConPoints+RecourseFee+OpReserve,0)</f>
        <v/>
      </c>
      <c r="DA26" s="18">
        <f>'DevSpend'!DA$34+'DevSpend'!DA$35+'DevSpend'!DA$38+IF(102=MS_Initial_Closing_Start,ConOtherCosts+ConPoints+RecourseFee+OpReserve,0)</f>
        <v/>
      </c>
      <c r="DB26" s="18">
        <f>'DevSpend'!DB$34+'DevSpend'!DB$35+'DevSpend'!DB$38+IF(103=MS_Initial_Closing_Start,ConOtherCosts+ConPoints+RecourseFee+OpReserve,0)</f>
        <v/>
      </c>
      <c r="DC26" s="18">
        <f>'DevSpend'!DC$34+'DevSpend'!DC$35+'DevSpend'!DC$38+IF(104=MS_Initial_Closing_Start,ConOtherCosts+ConPoints+RecourseFee+OpReserve,0)</f>
        <v/>
      </c>
      <c r="DD26" s="18">
        <f>'DevSpend'!DD$34+'DevSpend'!DD$35+'DevSpend'!DD$38+IF(105=MS_Initial_Closing_Start,ConOtherCosts+ConPoints+RecourseFee+OpReserve,0)</f>
        <v/>
      </c>
      <c r="DE26" s="18">
        <f>'DevSpend'!DE$34+'DevSpend'!DE$35+'DevSpend'!DE$38+IF(106=MS_Initial_Closing_Start,ConOtherCosts+ConPoints+RecourseFee+OpReserve,0)</f>
        <v/>
      </c>
      <c r="DF26" s="18">
        <f>'DevSpend'!DF$34+'DevSpend'!DF$35+'DevSpend'!DF$38+IF(107=MS_Initial_Closing_Start,ConOtherCosts+ConPoints+RecourseFee+OpReserve,0)</f>
        <v/>
      </c>
      <c r="DG26" s="18">
        <f>'DevSpend'!DG$34+'DevSpend'!DG$35+'DevSpend'!DG$38+IF(108=MS_Initial_Closing_Start,ConOtherCosts+ConPoints+RecourseFee+OpReserve,0)</f>
        <v/>
      </c>
      <c r="DH26" s="18">
        <f>'DevSpend'!DH$34+'DevSpend'!DH$35+'DevSpend'!DH$38+IF(109=MS_Initial_Closing_Start,ConOtherCosts+ConPoints+RecourseFee+OpReserve,0)</f>
        <v/>
      </c>
      <c r="DI26" s="18">
        <f>'DevSpend'!DI$34+'DevSpend'!DI$35+'DevSpend'!DI$38+IF(110=MS_Initial_Closing_Start,ConOtherCosts+ConPoints+RecourseFee+OpReserve,0)</f>
        <v/>
      </c>
      <c r="DJ26" s="18">
        <f>'DevSpend'!DJ$34+'DevSpend'!DJ$35+'DevSpend'!DJ$38+IF(111=MS_Initial_Closing_Start,ConOtherCosts+ConPoints+RecourseFee+OpReserve,0)</f>
        <v/>
      </c>
      <c r="DK26" s="18">
        <f>'DevSpend'!DK$34+'DevSpend'!DK$35+'DevSpend'!DK$38+IF(112=MS_Initial_Closing_Start,ConOtherCosts+ConPoints+RecourseFee+OpReserve,0)</f>
        <v/>
      </c>
      <c r="DL26" s="18">
        <f>'DevSpend'!DL$34+'DevSpend'!DL$35+'DevSpend'!DL$38+IF(113=MS_Initial_Closing_Start,ConOtherCosts+ConPoints+RecourseFee+OpReserve,0)</f>
        <v/>
      </c>
      <c r="DM26" s="18">
        <f>'DevSpend'!DM$34+'DevSpend'!DM$35+'DevSpend'!DM$38+IF(114=MS_Initial_Closing_Start,ConOtherCosts+ConPoints+RecourseFee+OpReserve,0)</f>
        <v/>
      </c>
      <c r="DN26" s="18">
        <f>'DevSpend'!DN$34+'DevSpend'!DN$35+'DevSpend'!DN$38+IF(115=MS_Initial_Closing_Start,ConOtherCosts+ConPoints+RecourseFee+OpReserve,0)</f>
        <v/>
      </c>
      <c r="DO26" s="18">
        <f>'DevSpend'!DO$34+'DevSpend'!DO$35+'DevSpend'!DO$38+IF(116=MS_Initial_Closing_Start,ConOtherCosts+ConPoints+RecourseFee+OpReserve,0)</f>
        <v/>
      </c>
      <c r="DP26" s="18">
        <f>'DevSpend'!DP$34+'DevSpend'!DP$35+'DevSpend'!DP$38+IF(117=MS_Initial_Closing_Start,ConOtherCosts+ConPoints+RecourseFee+OpReserve,0)</f>
        <v/>
      </c>
      <c r="DQ26" s="18">
        <f>'DevSpend'!DQ$34+'DevSpend'!DQ$35+'DevSpend'!DQ$38+IF(118=MS_Initial_Closing_Start,ConOtherCosts+ConPoints+RecourseFee+OpReserve,0)</f>
        <v/>
      </c>
      <c r="DR26" s="18">
        <f>'DevSpend'!DR$34+'DevSpend'!DR$35+'DevSpend'!DR$38+IF(119=MS_Initial_Closing_Start,ConOtherCosts+ConPoints+RecourseFee+OpReserve,0)</f>
        <v/>
      </c>
      <c r="DS26" s="18">
        <f>'DevSpend'!DS$34+'DevSpend'!DS$35+'DevSpend'!DS$38+IF(120=MS_Initial_Closing_Start,ConOtherCosts+ConPoints+RecourseFee+OpReserve,0)</f>
        <v/>
      </c>
      <c r="DT26" s="18">
        <f>'DevSpend'!DT$34+'DevSpend'!DT$35+'DevSpend'!DT$38+IF(121=MS_Initial_Closing_Start,ConOtherCosts+ConPoints+RecourseFee+OpReserve,0)</f>
        <v/>
      </c>
      <c r="DU26" s="18">
        <f>'DevSpend'!DU$34+'DevSpend'!DU$35+'DevSpend'!DU$38+IF(122=MS_Initial_Closing_Start,ConOtherCosts+ConPoints+RecourseFee+OpReserve,0)</f>
        <v/>
      </c>
      <c r="DV26" s="18">
        <f>'DevSpend'!DV$34+'DevSpend'!DV$35+'DevSpend'!DV$38+IF(123=MS_Initial_Closing_Start,ConOtherCosts+ConPoints+RecourseFee+OpReserve,0)</f>
        <v/>
      </c>
      <c r="DW26" s="18">
        <f>'DevSpend'!DW$34+'DevSpend'!DW$35+'DevSpend'!DW$38+IF(124=MS_Initial_Closing_Start,ConOtherCosts+ConPoints+RecourseFee+OpReserve,0)</f>
        <v/>
      </c>
      <c r="DX26" s="18">
        <f>'DevSpend'!DX$34+'DevSpend'!DX$35+'DevSpend'!DX$38+IF(125=MS_Initial_Closing_Start,ConOtherCosts+ConPoints+RecourseFee+OpReserve,0)</f>
        <v/>
      </c>
      <c r="DY26" s="18">
        <f>'DevSpend'!DY$34+'DevSpend'!DY$35+'DevSpend'!DY$38+IF(126=MS_Initial_Closing_Start,ConOtherCosts+ConPoints+RecourseFee+OpReserve,0)</f>
        <v/>
      </c>
      <c r="DZ26" s="18">
        <f>'DevSpend'!DZ$34+'DevSpend'!DZ$35+'DevSpend'!DZ$38+IF(127=MS_Initial_Closing_Start,ConOtherCosts+ConPoints+RecourseFee+OpReserve,0)</f>
        <v/>
      </c>
      <c r="EA26" s="18">
        <f>'DevSpend'!EA$34+'DevSpend'!EA$35+'DevSpend'!EA$38+IF(128=MS_Initial_Closing_Start,ConOtherCosts+ConPoints+RecourseFee+OpReserve,0)</f>
        <v/>
      </c>
      <c r="EB26" s="18">
        <f>'DevSpend'!EB$34+'DevSpend'!EB$35+'DevSpend'!EB$38+IF(129=MS_Initial_Closing_Start,ConOtherCosts+ConPoints+RecourseFee+OpReserve,0)</f>
        <v/>
      </c>
      <c r="EC26" s="18">
        <f>'DevSpend'!EC$34+'DevSpend'!EC$35+'DevSpend'!EC$38+IF(130=MS_Initial_Closing_Start,ConOtherCosts+ConPoints+RecourseFee+OpReserve,0)</f>
        <v/>
      </c>
      <c r="ED26" s="18">
        <f>'DevSpend'!ED$34+'DevSpend'!ED$35+'DevSpend'!ED$38+IF(131=MS_Initial_Closing_Start,ConOtherCosts+ConPoints+RecourseFee+OpReserve,0)</f>
        <v/>
      </c>
      <c r="EE26" s="18">
        <f>'DevSpend'!EE$34+'DevSpend'!EE$35+'DevSpend'!EE$38+IF(132=MS_Initial_Closing_Start,ConOtherCosts+ConPoints+RecourseFee+OpReserve,0)</f>
        <v/>
      </c>
      <c r="EF26" s="18">
        <f>'DevSpend'!EF$34+'DevSpend'!EF$35+'DevSpend'!EF$38+IF(133=MS_Initial_Closing_Start,ConOtherCosts+ConPoints+RecourseFee+OpReserve,0)</f>
        <v/>
      </c>
      <c r="EG26" s="18">
        <f>'DevSpend'!EG$34+'DevSpend'!EG$35+'DevSpend'!EG$38+IF(134=MS_Initial_Closing_Start,ConOtherCosts+ConPoints+RecourseFee+OpReserve,0)</f>
        <v/>
      </c>
      <c r="EH26" s="18">
        <f>'DevSpend'!EH$34+'DevSpend'!EH$35+'DevSpend'!EH$38+IF(135=MS_Initial_Closing_Start,ConOtherCosts+ConPoints+RecourseFee+OpReserve,0)</f>
        <v/>
      </c>
      <c r="EI26" s="18">
        <f>'DevSpend'!EI$34+'DevSpend'!EI$35+'DevSpend'!EI$38+IF(136=MS_Initial_Closing_Start,ConOtherCosts+ConPoints+RecourseFee+OpReserve,0)</f>
        <v/>
      </c>
      <c r="EJ26" s="18">
        <f>'DevSpend'!EJ$34+'DevSpend'!EJ$35+'DevSpend'!EJ$38+IF(137=MS_Initial_Closing_Start,ConOtherCosts+ConPoints+RecourseFee+OpReserve,0)</f>
        <v/>
      </c>
      <c r="EK26" s="18">
        <f>'DevSpend'!EK$34+'DevSpend'!EK$35+'DevSpend'!EK$38+IF(138=MS_Initial_Closing_Start,ConOtherCosts+ConPoints+RecourseFee+OpReserve,0)</f>
        <v/>
      </c>
      <c r="EL26" s="18">
        <f>'DevSpend'!EL$34+'DevSpend'!EL$35+'DevSpend'!EL$38+IF(139=MS_Initial_Closing_Start,ConOtherCosts+ConPoints+RecourseFee+OpReserve,0)</f>
        <v/>
      </c>
      <c r="EM26" s="18">
        <f>'DevSpend'!EM$34+'DevSpend'!EM$35+'DevSpend'!EM$38+IF(140=MS_Initial_Closing_Start,ConOtherCosts+ConPoints+RecourseFee+OpReserve,0)</f>
        <v/>
      </c>
      <c r="EN26" s="18">
        <f>'DevSpend'!EN$34+'DevSpend'!EN$35+'DevSpend'!EN$38+IF(141=MS_Initial_Closing_Start,ConOtherCosts+ConPoints+RecourseFee+OpReserve,0)</f>
        <v/>
      </c>
      <c r="EO26" s="18">
        <f>'DevSpend'!EO$34+'DevSpend'!EO$35+'DevSpend'!EO$38+IF(142=MS_Initial_Closing_Start,ConOtherCosts+ConPoints+RecourseFee+OpReserve,0)</f>
        <v/>
      </c>
      <c r="EP26" s="18">
        <f>'DevSpend'!EP$34+'DevSpend'!EP$35+'DevSpend'!EP$38+IF(143=MS_Initial_Closing_Start,ConOtherCosts+ConPoints+RecourseFee+OpReserve,0)</f>
        <v/>
      </c>
      <c r="EQ26" s="18">
        <f>'DevSpend'!EQ$34+'DevSpend'!EQ$35+'DevSpend'!EQ$38+IF(144=MS_Initial_Closing_Start,ConOtherCosts+ConPoints+RecourseFee+OpReserve,0)</f>
        <v/>
      </c>
      <c r="ER26" s="18">
        <f>'DevSpend'!ER$34+'DevSpend'!ER$35+'DevSpend'!ER$38+IF(145=MS_Initial_Closing_Start,ConOtherCosts+ConPoints+RecourseFee+OpReserve,0)</f>
        <v/>
      </c>
      <c r="ES26" s="18">
        <f>'DevSpend'!ES$34+'DevSpend'!ES$35+'DevSpend'!ES$38+IF(146=MS_Initial_Closing_Start,ConOtherCosts+ConPoints+RecourseFee+OpReserve,0)</f>
        <v/>
      </c>
      <c r="ET26" s="18">
        <f>'DevSpend'!ET$34+'DevSpend'!ET$35+'DevSpend'!ET$38+IF(147=MS_Initial_Closing_Start,ConOtherCosts+ConPoints+RecourseFee+OpReserve,0)</f>
        <v/>
      </c>
      <c r="EU26" s="18">
        <f>'DevSpend'!EU$34+'DevSpend'!EU$35+'DevSpend'!EU$38+IF(148=MS_Initial_Closing_Start,ConOtherCosts+ConPoints+RecourseFee+OpReserve,0)</f>
        <v/>
      </c>
      <c r="EV26" s="18">
        <f>'DevSpend'!EV$34+'DevSpend'!EV$35+'DevSpend'!EV$38+IF(149=MS_Initial_Closing_Start,ConOtherCosts+ConPoints+RecourseFee+OpReserve,0)</f>
        <v/>
      </c>
      <c r="EW26" s="18">
        <f>'DevSpend'!EW$34+'DevSpend'!EW$35+'DevSpend'!EW$38+IF(150=MS_Initial_Closing_Start,ConOtherCosts+ConPoints+RecourseFee+OpReserve,0)</f>
        <v/>
      </c>
      <c r="EX26" s="18">
        <f>'DevSpend'!EX$34+'DevSpend'!EX$35+'DevSpend'!EX$38+IF(151=MS_Initial_Closing_Start,ConOtherCosts+ConPoints+RecourseFee+OpReserve,0)</f>
        <v/>
      </c>
      <c r="EY26" s="18">
        <f>'DevSpend'!EY$34+'DevSpend'!EY$35+'DevSpend'!EY$38+IF(152=MS_Initial_Closing_Start,ConOtherCosts+ConPoints+RecourseFee+OpReserve,0)</f>
        <v/>
      </c>
      <c r="EZ26" s="18">
        <f>'DevSpend'!EZ$34+'DevSpend'!EZ$35+'DevSpend'!EZ$38+IF(153=MS_Initial_Closing_Start,ConOtherCosts+ConPoints+RecourseFee+OpReserve,0)</f>
        <v/>
      </c>
      <c r="FA26" s="18">
        <f>'DevSpend'!FA$34+'DevSpend'!FA$35+'DevSpend'!FA$38+IF(154=MS_Initial_Closing_Start,ConOtherCosts+ConPoints+RecourseFee+OpReserve,0)</f>
        <v/>
      </c>
      <c r="FB26" s="18">
        <f>'DevSpend'!FB$34+'DevSpend'!FB$35+'DevSpend'!FB$38+IF(155=MS_Initial_Closing_Start,ConOtherCosts+ConPoints+RecourseFee+OpReserve,0)</f>
        <v/>
      </c>
      <c r="FC26" s="18">
        <f>'DevSpend'!FC$34+'DevSpend'!FC$35+'DevSpend'!FC$38+IF(156=MS_Initial_Closing_Start,ConOtherCosts+ConPoints+RecourseFee+OpReserve,0)</f>
        <v/>
      </c>
      <c r="FD26" s="18">
        <f>'DevSpend'!FD$34+'DevSpend'!FD$35+'DevSpend'!FD$38+IF(157=MS_Initial_Closing_Start,ConOtherCosts+ConPoints+RecourseFee+OpReserve,0)</f>
        <v/>
      </c>
      <c r="FE26" s="18">
        <f>'DevSpend'!FE$34+'DevSpend'!FE$35+'DevSpend'!FE$38+IF(158=MS_Initial_Closing_Start,ConOtherCosts+ConPoints+RecourseFee+OpReserve,0)</f>
        <v/>
      </c>
      <c r="FF26" s="18">
        <f>'DevSpend'!FF$34+'DevSpend'!FF$35+'DevSpend'!FF$38+IF(159=MS_Initial_Closing_Start,ConOtherCosts+ConPoints+RecourseFee+OpReserve,0)</f>
        <v/>
      </c>
      <c r="FG26" s="18">
        <f>'DevSpend'!FG$34+'DevSpend'!FG$35+'DevSpend'!FG$38+IF(160=MS_Initial_Closing_Start,ConOtherCosts+ConPoints+RecourseFee+OpReserve,0)</f>
        <v/>
      </c>
      <c r="FH26" s="18">
        <f>'DevSpend'!FH$34+'DevSpend'!FH$35+'DevSpend'!FH$38+IF(161=MS_Initial_Closing_Start,ConOtherCosts+ConPoints+RecourseFee+OpReserve,0)</f>
        <v/>
      </c>
      <c r="FI26" s="18">
        <f>'DevSpend'!FI$34+'DevSpend'!FI$35+'DevSpend'!FI$38+IF(162=MS_Initial_Closing_Start,ConOtherCosts+ConPoints+RecourseFee+OpReserve,0)</f>
        <v/>
      </c>
      <c r="FJ26" s="18">
        <f>'DevSpend'!FJ$34+'DevSpend'!FJ$35+'DevSpend'!FJ$38+IF(163=MS_Initial_Closing_Start,ConOtherCosts+ConPoints+RecourseFee+OpReserve,0)</f>
        <v/>
      </c>
      <c r="FK26" s="18">
        <f>'DevSpend'!FK$34+'DevSpend'!FK$35+'DevSpend'!FK$38+IF(164=MS_Initial_Closing_Start,ConOtherCosts+ConPoints+RecourseFee+OpReserve,0)</f>
        <v/>
      </c>
      <c r="FL26" s="18">
        <f>'DevSpend'!FL$34+'DevSpend'!FL$35+'DevSpend'!FL$38+IF(165=MS_Initial_Closing_Start,ConOtherCosts+ConPoints+RecourseFee+OpReserve,0)</f>
        <v/>
      </c>
      <c r="FM26" s="18">
        <f>'DevSpend'!FM$34+'DevSpend'!FM$35+'DevSpend'!FM$38+IF(166=MS_Initial_Closing_Start,ConOtherCosts+ConPoints+RecourseFee+OpReserve,0)</f>
        <v/>
      </c>
      <c r="FN26" s="18">
        <f>'DevSpend'!FN$34+'DevSpend'!FN$35+'DevSpend'!FN$38+IF(167=MS_Initial_Closing_Start,ConOtherCosts+ConPoints+RecourseFee+OpReserve,0)</f>
        <v/>
      </c>
      <c r="FO26" s="18">
        <f>'DevSpend'!FO$34+'DevSpend'!FO$35+'DevSpend'!FO$38+IF(168=MS_Initial_Closing_Start,ConOtherCosts+ConPoints+RecourseFee+OpReserve,0)</f>
        <v/>
      </c>
      <c r="FP26" s="18">
        <f>'DevSpend'!FP$34+'DevSpend'!FP$35+'DevSpend'!FP$38+IF(169=MS_Initial_Closing_Start,ConOtherCosts+ConPoints+RecourseFee+OpReserve,0)</f>
        <v/>
      </c>
      <c r="FQ26" s="18">
        <f>'DevSpend'!FQ$34+'DevSpend'!FQ$35+'DevSpend'!FQ$38+IF(170=MS_Initial_Closing_Start,ConOtherCosts+ConPoints+RecourseFee+OpReserve,0)</f>
        <v/>
      </c>
      <c r="FR26" s="18">
        <f>'DevSpend'!FR$34+'DevSpend'!FR$35+'DevSpend'!FR$38+IF(171=MS_Initial_Closing_Start,ConOtherCosts+ConPoints+RecourseFee+OpReserve,0)</f>
        <v/>
      </c>
      <c r="FS26" s="18">
        <f>'DevSpend'!FS$34+'DevSpend'!FS$35+'DevSpend'!FS$38+IF(172=MS_Initial_Closing_Start,ConOtherCosts+ConPoints+RecourseFee+OpReserve,0)</f>
        <v/>
      </c>
      <c r="FT26" s="18">
        <f>'DevSpend'!FT$34+'DevSpend'!FT$35+'DevSpend'!FT$38+IF(173=MS_Initial_Closing_Start,ConOtherCosts+ConPoints+RecourseFee+OpReserve,0)</f>
        <v/>
      </c>
      <c r="FU26" s="18">
        <f>'DevSpend'!FU$34+'DevSpend'!FU$35+'DevSpend'!FU$38+IF(174=MS_Initial_Closing_Start,ConOtherCosts+ConPoints+RecourseFee+OpReserve,0)</f>
        <v/>
      </c>
      <c r="FV26" s="18">
        <f>'DevSpend'!FV$34+'DevSpend'!FV$35+'DevSpend'!FV$38+IF(175=MS_Initial_Closing_Start,ConOtherCosts+ConPoints+RecourseFee+OpReserve,0)</f>
        <v/>
      </c>
      <c r="FW26" s="18">
        <f>'DevSpend'!FW$34+'DevSpend'!FW$35+'DevSpend'!FW$38+IF(176=MS_Initial_Closing_Start,ConOtherCosts+ConPoints+RecourseFee+OpReserve,0)</f>
        <v/>
      </c>
      <c r="FX26" s="18">
        <f>'DevSpend'!FX$34+'DevSpend'!FX$35+'DevSpend'!FX$38+IF(177=MS_Initial_Closing_Start,ConOtherCosts+ConPoints+RecourseFee+OpReserve,0)</f>
        <v/>
      </c>
      <c r="FY26" s="18">
        <f>'DevSpend'!FY$34+'DevSpend'!FY$35+'DevSpend'!FY$38+IF(178=MS_Initial_Closing_Start,ConOtherCosts+ConPoints+RecourseFee+OpReserve,0)</f>
        <v/>
      </c>
      <c r="FZ26" s="18">
        <f>'DevSpend'!FZ$34+'DevSpend'!FZ$35+'DevSpend'!FZ$38+IF(179=MS_Initial_Closing_Start,ConOtherCosts+ConPoints+RecourseFee+OpReserve,0)</f>
        <v/>
      </c>
      <c r="GA26" s="18">
        <f>'DevSpend'!GA$34+'DevSpend'!GA$35+'DevSpend'!GA$38+IF(180=MS_Initial_Closing_Start,ConOtherCosts+ConPoints+RecourseFee+OpReserve,0)</f>
        <v/>
      </c>
      <c r="GB26" s="18">
        <f>'DevSpend'!GB$34+'DevSpend'!GB$35+'DevSpend'!GB$38+IF(181=MS_Initial_Closing_Start,ConOtherCosts+ConPoints+RecourseFee+OpReserve,0)</f>
        <v/>
      </c>
      <c r="GC26" s="18">
        <f>'DevSpend'!GC$34+'DevSpend'!GC$35+'DevSpend'!GC$38+IF(182=MS_Initial_Closing_Start,ConOtherCosts+ConPoints+RecourseFee+OpReserve,0)</f>
        <v/>
      </c>
      <c r="GD26" s="18">
        <f>'DevSpend'!GD$34+'DevSpend'!GD$35+'DevSpend'!GD$38+IF(183=MS_Initial_Closing_Start,ConOtherCosts+ConPoints+RecourseFee+OpReserve,0)</f>
        <v/>
      </c>
      <c r="GE26" s="18">
        <f>'DevSpend'!GE$34+'DevSpend'!GE$35+'DevSpend'!GE$38+IF(184=MS_Initial_Closing_Start,ConOtherCosts+ConPoints+RecourseFee+OpReserve,0)</f>
        <v/>
      </c>
      <c r="GF26" s="18">
        <f>'DevSpend'!GF$34+'DevSpend'!GF$35+'DevSpend'!GF$38+IF(185=MS_Initial_Closing_Start,ConOtherCosts+ConPoints+RecourseFee+OpReserve,0)</f>
        <v/>
      </c>
      <c r="GG26" s="18">
        <f>'DevSpend'!GG$34+'DevSpend'!GG$35+'DevSpend'!GG$38+IF(186=MS_Initial_Closing_Start,ConOtherCosts+ConPoints+RecourseFee+OpReserve,0)</f>
        <v/>
      </c>
      <c r="GH26" s="18">
        <f>'DevSpend'!GH$34+'DevSpend'!GH$35+'DevSpend'!GH$38+IF(187=MS_Initial_Closing_Start,ConOtherCosts+ConPoints+RecourseFee+OpReserve,0)</f>
        <v/>
      </c>
      <c r="GI26" s="18">
        <f>'DevSpend'!GI$34+'DevSpend'!GI$35+'DevSpend'!GI$38+IF(188=MS_Initial_Closing_Start,ConOtherCosts+ConPoints+RecourseFee+OpReserve,0)</f>
        <v/>
      </c>
      <c r="GJ26" s="18">
        <f>'DevSpend'!GJ$34+'DevSpend'!GJ$35+'DevSpend'!GJ$38+IF(189=MS_Initial_Closing_Start,ConOtherCosts+ConPoints+RecourseFee+OpReserve,0)</f>
        <v/>
      </c>
      <c r="GK26" s="18">
        <f>'DevSpend'!GK$34+'DevSpend'!GK$35+'DevSpend'!GK$38+IF(190=MS_Initial_Closing_Start,ConOtherCosts+ConPoints+RecourseFee+OpReserve,0)</f>
        <v/>
      </c>
      <c r="GL26" s="18">
        <f>'DevSpend'!GL$34+'DevSpend'!GL$35+'DevSpend'!GL$38+IF(191=MS_Initial_Closing_Start,ConOtherCosts+ConPoints+RecourseFee+OpReserve,0)</f>
        <v/>
      </c>
      <c r="GM26" s="18">
        <f>'DevSpend'!GM$34+'DevSpend'!GM$35+'DevSpend'!GM$38+IF(192=MS_Initial_Closing_Start,ConOtherCosts+ConPoints+RecourseFee+OpReserve,0)</f>
        <v/>
      </c>
      <c r="GN26" s="18">
        <f>'DevSpend'!GN$34+'DevSpend'!GN$35+'DevSpend'!GN$38+IF(193=MS_Initial_Closing_Start,ConOtherCosts+ConPoints+RecourseFee+OpReserve,0)</f>
        <v/>
      </c>
      <c r="GO26" s="18">
        <f>'DevSpend'!GO$34+'DevSpend'!GO$35+'DevSpend'!GO$38+IF(194=MS_Initial_Closing_Start,ConOtherCosts+ConPoints+RecourseFee+OpReserve,0)</f>
        <v/>
      </c>
      <c r="GP26" s="18">
        <f>'DevSpend'!GP$34+'DevSpend'!GP$35+'DevSpend'!GP$38+IF(195=MS_Initial_Closing_Start,ConOtherCosts+ConPoints+RecourseFee+OpReserve,0)</f>
        <v/>
      </c>
      <c r="GQ26" s="18">
        <f>'DevSpend'!GQ$34+'DevSpend'!GQ$35+'DevSpend'!GQ$38+IF(196=MS_Initial_Closing_Start,ConOtherCosts+ConPoints+RecourseFee+OpReserve,0)</f>
        <v/>
      </c>
      <c r="GR26" s="18">
        <f>'DevSpend'!GR$34+'DevSpend'!GR$35+'DevSpend'!GR$38+IF(197=MS_Initial_Closing_Start,ConOtherCosts+ConPoints+RecourseFee+OpReserve,0)</f>
        <v/>
      </c>
      <c r="GS26" s="18">
        <f>'DevSpend'!GS$34+'DevSpend'!GS$35+'DevSpend'!GS$38+IF(198=MS_Initial_Closing_Start,ConOtherCosts+ConPoints+RecourseFee+OpReserve,0)</f>
        <v/>
      </c>
      <c r="GT26" s="18">
        <f>'DevSpend'!GT$34+'DevSpend'!GT$35+'DevSpend'!GT$38+IF(199=MS_Initial_Closing_Start,ConOtherCosts+ConPoints+RecourseFee+OpReserve,0)</f>
        <v/>
      </c>
      <c r="GU26" s="18">
        <f>'DevSpend'!GU$34+'DevSpend'!GU$35+'DevSpend'!GU$38+IF(200=MS_Initial_Closing_Start,ConOtherCosts+ConPoints+RecourseFee+OpReserve,0)</f>
        <v/>
      </c>
      <c r="GV26" s="18">
        <f>'DevSpend'!GV$34+'DevSpend'!GV$35+'DevSpend'!GV$38+IF(201=MS_Initial_Closing_Start,ConOtherCosts+ConPoints+RecourseFee+OpReserve,0)</f>
        <v/>
      </c>
      <c r="GW26" s="18">
        <f>'DevSpend'!GW$34+'DevSpend'!GW$35+'DevSpend'!GW$38+IF(202=MS_Initial_Closing_Start,ConOtherCosts+ConPoints+RecourseFee+OpReserve,0)</f>
        <v/>
      </c>
      <c r="GX26" s="18">
        <f>'DevSpend'!GX$34+'DevSpend'!GX$35+'DevSpend'!GX$38+IF(203=MS_Initial_Closing_Start,ConOtherCosts+ConPoints+RecourseFee+OpReserve,0)</f>
        <v/>
      </c>
      <c r="GY26" s="18">
        <f>'DevSpend'!GY$34+'DevSpend'!GY$35+'DevSpend'!GY$38+IF(204=MS_Initial_Closing_Start,ConOtherCosts+ConPoints+RecourseFee+OpReserve,0)</f>
        <v/>
      </c>
      <c r="GZ26" s="18">
        <f>'DevSpend'!GZ$34+'DevSpend'!GZ$35+'DevSpend'!GZ$38+IF(205=MS_Initial_Closing_Start,ConOtherCosts+ConPoints+RecourseFee+OpReserve,0)</f>
        <v/>
      </c>
      <c r="HA26" s="18">
        <f>'DevSpend'!HA$34+'DevSpend'!HA$35+'DevSpend'!HA$38+IF(206=MS_Initial_Closing_Start,ConOtherCosts+ConPoints+RecourseFee+OpReserve,0)</f>
        <v/>
      </c>
      <c r="HB26" s="18">
        <f>'DevSpend'!HB$34+'DevSpend'!HB$35+'DevSpend'!HB$38+IF(207=MS_Initial_Closing_Start,ConOtherCosts+ConPoints+RecourseFee+OpReserve,0)</f>
        <v/>
      </c>
      <c r="HC26" s="18">
        <f>'DevSpend'!HC$34+'DevSpend'!HC$35+'DevSpend'!HC$38+IF(208=MS_Initial_Closing_Start,ConOtherCosts+ConPoints+RecourseFee+OpReserve,0)</f>
        <v/>
      </c>
      <c r="HD26" s="18">
        <f>'DevSpend'!HD$34+'DevSpend'!HD$35+'DevSpend'!HD$38+IF(209=MS_Initial_Closing_Start,ConOtherCosts+ConPoints+RecourseFee+OpReserve,0)</f>
        <v/>
      </c>
      <c r="HE26" s="18">
        <f>'DevSpend'!HE$34+'DevSpend'!HE$35+'DevSpend'!HE$38+IF(210=MS_Initial_Closing_Start,ConOtherCosts+ConPoints+RecourseFee+OpReserve,0)</f>
        <v/>
      </c>
      <c r="HF26" s="18">
        <f>'DevSpend'!HF$34+'DevSpend'!HF$35+'DevSpend'!HF$38+IF(211=MS_Initial_Closing_Start,ConOtherCosts+ConPoints+RecourseFee+OpReserve,0)</f>
        <v/>
      </c>
      <c r="HG26" s="18">
        <f>'DevSpend'!HG$34+'DevSpend'!HG$35+'DevSpend'!HG$38+IF(212=MS_Initial_Closing_Start,ConOtherCosts+ConPoints+RecourseFee+OpReserve,0)</f>
        <v/>
      </c>
      <c r="HH26" s="18">
        <f>'DevSpend'!HH$34+'DevSpend'!HH$35+'DevSpend'!HH$38+IF(213=MS_Initial_Closing_Start,ConOtherCosts+ConPoints+RecourseFee+OpReserve,0)</f>
        <v/>
      </c>
      <c r="HI26" s="18">
        <f>'DevSpend'!HI$34+'DevSpend'!HI$35+'DevSpend'!HI$38+IF(214=MS_Initial_Closing_Start,ConOtherCosts+ConPoints+RecourseFee+OpReserve,0)</f>
        <v/>
      </c>
      <c r="HJ26" s="18">
        <f>'DevSpend'!HJ$34+'DevSpend'!HJ$35+'DevSpend'!HJ$38+IF(215=MS_Initial_Closing_Start,ConOtherCosts+ConPoints+RecourseFee+OpReserve,0)</f>
        <v/>
      </c>
      <c r="HK26" s="18">
        <f>'DevSpend'!HK$34+'DevSpend'!HK$35+'DevSpend'!HK$38+IF(216=MS_Initial_Closing_Start,ConOtherCosts+ConPoints+RecourseFee+OpReserve,0)</f>
        <v/>
      </c>
      <c r="HL26" s="18">
        <f>'DevSpend'!HL$34+'DevSpend'!HL$35+'DevSpend'!HL$38+IF(217=MS_Initial_Closing_Start,ConOtherCosts+ConPoints+RecourseFee+OpReserve,0)</f>
        <v/>
      </c>
      <c r="HM26" s="18">
        <f>'DevSpend'!HM$34+'DevSpend'!HM$35+'DevSpend'!HM$38+IF(218=MS_Initial_Closing_Start,ConOtherCosts+ConPoints+RecourseFee+OpReserve,0)</f>
        <v/>
      </c>
      <c r="HN26" s="18">
        <f>'DevSpend'!HN$34+'DevSpend'!HN$35+'DevSpend'!HN$38+IF(219=MS_Initial_Closing_Start,ConOtherCosts+ConPoints+RecourseFee+OpReserve,0)</f>
        <v/>
      </c>
      <c r="HO26" s="18">
        <f>'DevSpend'!HO$34+'DevSpend'!HO$35+'DevSpend'!HO$38+IF(220=MS_Initial_Closing_Start,ConOtherCosts+ConPoints+RecourseFee+OpReserve,0)</f>
        <v/>
      </c>
      <c r="HP26" s="18">
        <f>'DevSpend'!HP$34+'DevSpend'!HP$35+'DevSpend'!HP$38+IF(221=MS_Initial_Closing_Start,ConOtherCosts+ConPoints+RecourseFee+OpReserve,0)</f>
        <v/>
      </c>
      <c r="HQ26" s="18">
        <f>'DevSpend'!HQ$34+'DevSpend'!HQ$35+'DevSpend'!HQ$38+IF(222=MS_Initial_Closing_Start,ConOtherCosts+ConPoints+RecourseFee+OpReserve,0)</f>
        <v/>
      </c>
      <c r="HR26" s="18">
        <f>'DevSpend'!HR$34+'DevSpend'!HR$35+'DevSpend'!HR$38+IF(223=MS_Initial_Closing_Start,ConOtherCosts+ConPoints+RecourseFee+OpReserve,0)</f>
        <v/>
      </c>
      <c r="HS26" s="18">
        <f>'DevSpend'!HS$34+'DevSpend'!HS$35+'DevSpend'!HS$38+IF(224=MS_Initial_Closing_Start,ConOtherCosts+ConPoints+RecourseFee+OpReserve,0)</f>
        <v/>
      </c>
      <c r="HT26" s="18">
        <f>'DevSpend'!HT$34+'DevSpend'!HT$35+'DevSpend'!HT$38+IF(225=MS_Initial_Closing_Start,ConOtherCosts+ConPoints+RecourseFee+OpReserve,0)</f>
        <v/>
      </c>
      <c r="HU26" s="18">
        <f>'DevSpend'!HU$34+'DevSpend'!HU$35+'DevSpend'!HU$38+IF(226=MS_Initial_Closing_Start,ConOtherCosts+ConPoints+RecourseFee+OpReserve,0)</f>
        <v/>
      </c>
      <c r="HV26" s="18">
        <f>'DevSpend'!HV$34+'DevSpend'!HV$35+'DevSpend'!HV$38+IF(227=MS_Initial_Closing_Start,ConOtherCosts+ConPoints+RecourseFee+OpReserve,0)</f>
        <v/>
      </c>
      <c r="HW26" s="18">
        <f>'DevSpend'!HW$34+'DevSpend'!HW$35+'DevSpend'!HW$38+IF(228=MS_Initial_Closing_Start,ConOtherCosts+ConPoints+RecourseFee+OpReserve,0)</f>
        <v/>
      </c>
      <c r="HX26" s="18">
        <f>'DevSpend'!HX$34+'DevSpend'!HX$35+'DevSpend'!HX$38+IF(229=MS_Initial_Closing_Start,ConOtherCosts+ConPoints+RecourseFee+OpReserve,0)</f>
        <v/>
      </c>
      <c r="HY26" s="18">
        <f>'DevSpend'!HY$34+'DevSpend'!HY$35+'DevSpend'!HY$38+IF(230=MS_Initial_Closing_Start,ConOtherCosts+ConPoints+RecourseFee+OpReserve,0)</f>
        <v/>
      </c>
      <c r="HZ26" s="18">
        <f>'DevSpend'!HZ$34+'DevSpend'!HZ$35+'DevSpend'!HZ$38+IF(231=MS_Initial_Closing_Start,ConOtherCosts+ConPoints+RecourseFee+OpReserve,0)</f>
        <v/>
      </c>
      <c r="IA26" s="18">
        <f>'DevSpend'!IA$34+'DevSpend'!IA$35+'DevSpend'!IA$38+IF(232=MS_Initial_Closing_Start,ConOtherCosts+ConPoints+RecourseFee+OpReserve,0)</f>
        <v/>
      </c>
      <c r="IB26" s="18">
        <f>'DevSpend'!IB$34+'DevSpend'!IB$35+'DevSpend'!IB$38+IF(233=MS_Initial_Closing_Start,ConOtherCosts+ConPoints+RecourseFee+OpReserve,0)</f>
        <v/>
      </c>
      <c r="IC26" s="18">
        <f>'DevSpend'!IC$34+'DevSpend'!IC$35+'DevSpend'!IC$38+IF(234=MS_Initial_Closing_Start,ConOtherCosts+ConPoints+RecourseFee+OpReserve,0)</f>
        <v/>
      </c>
      <c r="ID26" s="18">
        <f>'DevSpend'!ID$34+'DevSpend'!ID$35+'DevSpend'!ID$38+IF(235=MS_Initial_Closing_Start,ConOtherCosts+ConPoints+RecourseFee+OpReserve,0)</f>
        <v/>
      </c>
      <c r="IE26" s="18">
        <f>'DevSpend'!IE$34+'DevSpend'!IE$35+'DevSpend'!IE$38+IF(236=MS_Initial_Closing_Start,ConOtherCosts+ConPoints+RecourseFee+OpReserve,0)</f>
        <v/>
      </c>
      <c r="IF26" s="18">
        <f>'DevSpend'!IF$34+'DevSpend'!IF$35+'DevSpend'!IF$38+IF(237=MS_Initial_Closing_Start,ConOtherCosts+ConPoints+RecourseFee+OpReserve,0)</f>
        <v/>
      </c>
      <c r="IG26" s="18">
        <f>'DevSpend'!IG$34+'DevSpend'!IG$35+'DevSpend'!IG$38+IF(238=MS_Initial_Closing_Start,ConOtherCosts+ConPoints+RecourseFee+OpReserve,0)</f>
        <v/>
      </c>
      <c r="IH26" s="18">
        <f>'DevSpend'!IH$34+'DevSpend'!IH$35+'DevSpend'!IH$38+IF(239=MS_Initial_Closing_Start,ConOtherCosts+ConPoints+RecourseFee+OpReserve,0)</f>
        <v/>
      </c>
      <c r="II26" s="18">
        <f>'DevSpend'!II$34+'DevSpend'!II$35+'DevSpend'!II$38+IF(240=MS_Initial_Closing_Start,ConOtherCosts+ConPoints+RecourseFee+OpReserve,0)</f>
        <v/>
      </c>
      <c r="IJ26" s="18">
        <f>'DevSpend'!IJ$34+'DevSpend'!IJ$35+'DevSpend'!IJ$38+IF(241=MS_Initial_Closing_Start,ConOtherCosts+ConPoints+RecourseFee+OpReserve,0)</f>
        <v/>
      </c>
      <c r="IK26" s="18">
        <f>'DevSpend'!IK$34+'DevSpend'!IK$35+'DevSpend'!IK$38+IF(242=MS_Initial_Closing_Start,ConOtherCosts+ConPoints+RecourseFee+OpReserve,0)</f>
        <v/>
      </c>
      <c r="IL26" s="18">
        <f>'DevSpend'!IL$34+'DevSpend'!IL$35+'DevSpend'!IL$38+IF(243=MS_Initial_Closing_Start,ConOtherCosts+ConPoints+RecourseFee+OpReserve,0)</f>
        <v/>
      </c>
      <c r="IM26" s="18">
        <f>'DevSpend'!IM$34+'DevSpend'!IM$35+'DevSpend'!IM$38+IF(244=MS_Initial_Closing_Start,ConOtherCosts+ConPoints+RecourseFee+OpReserve,0)</f>
        <v/>
      </c>
      <c r="IN26" s="18">
        <f>'DevSpend'!IN$34+'DevSpend'!IN$35+'DevSpend'!IN$38+IF(245=MS_Initial_Closing_Start,ConOtherCosts+ConPoints+RecourseFee+OpReserve,0)</f>
        <v/>
      </c>
      <c r="IO26" s="18">
        <f>'DevSpend'!IO$34+'DevSpend'!IO$35+'DevSpend'!IO$38+IF(246=MS_Initial_Closing_Start,ConOtherCosts+ConPoints+RecourseFee+OpReserve,0)</f>
        <v/>
      </c>
      <c r="IP26" s="18">
        <f>'DevSpend'!IP$34+'DevSpend'!IP$35+'DevSpend'!IP$38+IF(247=MS_Initial_Closing_Start,ConOtherCosts+ConPoints+RecourseFee+OpReserve,0)</f>
        <v/>
      </c>
      <c r="IQ26" s="18">
        <f>'DevSpend'!IQ$34+'DevSpend'!IQ$35+'DevSpend'!IQ$38+IF(248=MS_Initial_Closing_Start,ConOtherCosts+ConPoints+RecourseFee+OpReserve,0)</f>
        <v/>
      </c>
      <c r="IR26" s="18">
        <f>'DevSpend'!IR$34+'DevSpend'!IR$35+'DevSpend'!IR$38+IF(249=MS_Initial_Closing_Start,ConOtherCosts+ConPoints+RecourseFee+OpReserve,0)</f>
        <v/>
      </c>
      <c r="IS26" s="18">
        <f>'DevSpend'!IS$34+'DevSpend'!IS$35+'DevSpend'!IS$38+IF(250=MS_Initial_Closing_Start,ConOtherCosts+ConPoints+RecourseFee+OpReserve,0)</f>
        <v/>
      </c>
      <c r="IT26" s="18">
        <f>'DevSpend'!IT$34+'DevSpend'!IT$35+'DevSpend'!IT$38+IF(251=MS_Initial_Closing_Start,ConOtherCosts+ConPoints+RecourseFee+OpReserve,0)</f>
        <v/>
      </c>
      <c r="IU26" s="18">
        <f>'DevSpend'!IU$34+'DevSpend'!IU$35+'DevSpend'!IU$38+IF(252=MS_Initial_Closing_Start,ConOtherCosts+ConPoints+RecourseFee+OpReserve,0)</f>
        <v/>
      </c>
      <c r="IV26" s="18">
        <f>'DevSpend'!IV$34+'DevSpend'!IV$35+'DevSpend'!IV$38+IF(253=MS_Initial_Closing_Start,ConOtherCosts+ConPoints+RecourseFee+OpReserve,0)</f>
        <v/>
      </c>
      <c r="IW26" s="18">
        <f>'DevSpend'!IW$34+'DevSpend'!IW$35+'DevSpend'!IW$38+IF(254=MS_Initial_Closing_Start,ConOtherCosts+ConPoints+RecourseFee+OpReserve,0)</f>
        <v/>
      </c>
      <c r="IX26" s="18">
        <f>'DevSpend'!IX$34+'DevSpend'!IX$35+'DevSpend'!IX$38+IF(255=MS_Initial_Closing_Start,ConOtherCosts+ConPoints+RecourseFee+OpReserve,0)</f>
        <v/>
      </c>
      <c r="IY26" s="18">
        <f>'DevSpend'!IY$34+'DevSpend'!IY$35+'DevSpend'!IY$38+IF(256=MS_Initial_Closing_Start,ConOtherCosts+ConPoints+RecourseFee+OpReserve,0)</f>
        <v/>
      </c>
      <c r="IZ26" s="18">
        <f>'DevSpend'!IZ$34+'DevSpend'!IZ$35+'DevSpend'!IZ$38+IF(257=MS_Initial_Closing_Start,ConOtherCosts+ConPoints+RecourseFee+OpReserve,0)</f>
        <v/>
      </c>
      <c r="JA26" s="18">
        <f>'DevSpend'!JA$34+'DevSpend'!JA$35+'DevSpend'!JA$38+IF(258=MS_Initial_Closing_Start,ConOtherCosts+ConPoints+RecourseFee+OpReserve,0)</f>
        <v/>
      </c>
      <c r="JB26" s="18">
        <f>'DevSpend'!JB$34+'DevSpend'!JB$35+'DevSpend'!JB$38+IF(259=MS_Initial_Closing_Start,ConOtherCosts+ConPoints+RecourseFee+OpReserve,0)</f>
        <v/>
      </c>
      <c r="JC26" s="18">
        <f>'DevSpend'!JC$34+'DevSpend'!JC$35+'DevSpend'!JC$38+IF(260=MS_Initial_Closing_Start,ConOtherCosts+ConPoints+RecourseFee+OpReserve,0)</f>
        <v/>
      </c>
      <c r="JD26" s="18">
        <f>'DevSpend'!JD$34+'DevSpend'!JD$35+'DevSpend'!JD$38+IF(261=MS_Initial_Closing_Start,ConOtherCosts+ConPoints+RecourseFee+OpReserve,0)</f>
        <v/>
      </c>
      <c r="JE26" s="18">
        <f>'DevSpend'!JE$34+'DevSpend'!JE$35+'DevSpend'!JE$38+IF(262=MS_Initial_Closing_Start,ConOtherCosts+ConPoints+RecourseFee+OpReserve,0)</f>
        <v/>
      </c>
      <c r="JF26" s="18">
        <f>'DevSpend'!JF$34+'DevSpend'!JF$35+'DevSpend'!JF$38+IF(263=MS_Initial_Closing_Start,ConOtherCosts+ConPoints+RecourseFee+OpReserve,0)</f>
        <v/>
      </c>
      <c r="JG26" s="18">
        <f>'DevSpend'!JG$34+'DevSpend'!JG$35+'DevSpend'!JG$38+IF(264=MS_Initial_Closing_Start,ConOtherCosts+ConPoints+RecourseFee+OpReserve,0)</f>
        <v/>
      </c>
      <c r="JH26" s="18">
        <f>'DevSpend'!JH$34+'DevSpend'!JH$35+'DevSpend'!JH$38+IF(265=MS_Initial_Closing_Start,ConOtherCosts+ConPoints+RecourseFee+OpReserve,0)</f>
        <v/>
      </c>
      <c r="JI26" s="18">
        <f>'DevSpend'!JI$34+'DevSpend'!JI$35+'DevSpend'!JI$38+IF(266=MS_Initial_Closing_Start,ConOtherCosts+ConPoints+RecourseFee+OpReserve,0)</f>
        <v/>
      </c>
      <c r="JJ26" s="18">
        <f>'DevSpend'!JJ$34+'DevSpend'!JJ$35+'DevSpend'!JJ$38+IF(267=MS_Initial_Closing_Start,ConOtherCosts+ConPoints+RecourseFee+OpReserve,0)</f>
        <v/>
      </c>
      <c r="JK26" s="18">
        <f>'DevSpend'!JK$34+'DevSpend'!JK$35+'DevSpend'!JK$38+IF(268=MS_Initial_Closing_Start,ConOtherCosts+ConPoints+RecourseFee+OpReserve,0)</f>
        <v/>
      </c>
      <c r="JL26" s="18">
        <f>'DevSpend'!JL$34+'DevSpend'!JL$35+'DevSpend'!JL$38+IF(269=MS_Initial_Closing_Start,ConOtherCosts+ConPoints+RecourseFee+OpReserve,0)</f>
        <v/>
      </c>
      <c r="JM26" s="18">
        <f>'DevSpend'!JM$34+'DevSpend'!JM$35+'DevSpend'!JM$38+IF(270=MS_Initial_Closing_Start,ConOtherCosts+ConPoints+RecourseFee+OpReserve,0)</f>
        <v/>
      </c>
      <c r="JN26" s="18">
        <f>'DevSpend'!JN$34+'DevSpend'!JN$35+'DevSpend'!JN$38+IF(271=MS_Initial_Closing_Start,ConOtherCosts+ConPoints+RecourseFee+OpReserve,0)</f>
        <v/>
      </c>
      <c r="JO26" s="18">
        <f>'DevSpend'!JO$34+'DevSpend'!JO$35+'DevSpend'!JO$38+IF(272=MS_Initial_Closing_Start,ConOtherCosts+ConPoints+RecourseFee+OpReserve,0)</f>
        <v/>
      </c>
      <c r="JP26" s="18">
        <f>'DevSpend'!JP$34+'DevSpend'!JP$35+'DevSpend'!JP$38+IF(273=MS_Initial_Closing_Start,ConOtherCosts+ConPoints+RecourseFee+OpReserve,0)</f>
        <v/>
      </c>
      <c r="JQ26" s="18">
        <f>'DevSpend'!JQ$34+'DevSpend'!JQ$35+'DevSpend'!JQ$38+IF(274=MS_Initial_Closing_Start,ConOtherCosts+ConPoints+RecourseFee+OpReserve,0)</f>
        <v/>
      </c>
      <c r="JR26" s="18">
        <f>'DevSpend'!JR$34+'DevSpend'!JR$35+'DevSpend'!JR$38+IF(275=MS_Initial_Closing_Start,ConOtherCosts+ConPoints+RecourseFee+OpReserve,0)</f>
        <v/>
      </c>
      <c r="JS26" s="18">
        <f>'DevSpend'!JS$34+'DevSpend'!JS$35+'DevSpend'!JS$38+IF(276=MS_Initial_Closing_Start,ConOtherCosts+ConPoints+RecourseFee+OpReserve,0)</f>
        <v/>
      </c>
      <c r="JT26" s="18">
        <f>'DevSpend'!JT$34+'DevSpend'!JT$35+'DevSpend'!JT$38+IF(277=MS_Initial_Closing_Start,ConOtherCosts+ConPoints+RecourseFee+OpReserve,0)</f>
        <v/>
      </c>
      <c r="JU26" s="18">
        <f>'DevSpend'!JU$34+'DevSpend'!JU$35+'DevSpend'!JU$38+IF(278=MS_Initial_Closing_Start,ConOtherCosts+ConPoints+RecourseFee+OpReserve,0)</f>
        <v/>
      </c>
      <c r="JV26" s="18">
        <f>'DevSpend'!JV$34+'DevSpend'!JV$35+'DevSpend'!JV$38+IF(279=MS_Initial_Closing_Start,ConOtherCosts+ConPoints+RecourseFee+OpReserve,0)</f>
        <v/>
      </c>
      <c r="JW26" s="18">
        <f>'DevSpend'!JW$34+'DevSpend'!JW$35+'DevSpend'!JW$38+IF(280=MS_Initial_Closing_Start,ConOtherCosts+ConPoints+RecourseFee+OpReserve,0)</f>
        <v/>
      </c>
      <c r="JX26" s="18">
        <f>'DevSpend'!JX$34+'DevSpend'!JX$35+'DevSpend'!JX$38+IF(281=MS_Initial_Closing_Start,ConOtherCosts+ConPoints+RecourseFee+OpReserve,0)</f>
        <v/>
      </c>
      <c r="JY26" s="18">
        <f>'DevSpend'!JY$34+'DevSpend'!JY$35+'DevSpend'!JY$38+IF(282=MS_Initial_Closing_Start,ConOtherCosts+ConPoints+RecourseFee+OpReserve,0)</f>
        <v/>
      </c>
      <c r="JZ26" s="18">
        <f>'DevSpend'!JZ$34+'DevSpend'!JZ$35+'DevSpend'!JZ$38+IF(283=MS_Initial_Closing_Start,ConOtherCosts+ConPoints+RecourseFee+OpReserve,0)</f>
        <v/>
      </c>
      <c r="KA26" s="18">
        <f>'DevSpend'!KA$34+'DevSpend'!KA$35+'DevSpend'!KA$38+IF(284=MS_Initial_Closing_Start,ConOtherCosts+ConPoints+RecourseFee+OpReserve,0)</f>
        <v/>
      </c>
      <c r="KB26" s="18">
        <f>'DevSpend'!KB$34+'DevSpend'!KB$35+'DevSpend'!KB$38+IF(285=MS_Initial_Closing_Start,ConOtherCosts+ConPoints+RecourseFee+OpReserve,0)</f>
        <v/>
      </c>
      <c r="KC26" s="18">
        <f>'DevSpend'!KC$34+'DevSpend'!KC$35+'DevSpend'!KC$38+IF(286=MS_Initial_Closing_Start,ConOtherCosts+ConPoints+RecourseFee+OpReserve,0)</f>
        <v/>
      </c>
      <c r="KD26" s="18">
        <f>'DevSpend'!KD$34+'DevSpend'!KD$35+'DevSpend'!KD$38+IF(287=MS_Initial_Closing_Start,ConOtherCosts+ConPoints+RecourseFee+OpReserve,0)</f>
        <v/>
      </c>
      <c r="KE26" s="18">
        <f>'DevSpend'!KE$34+'DevSpend'!KE$35+'DevSpend'!KE$38+IF(288=MS_Initial_Closing_Start,ConOtherCosts+ConPoints+RecourseFee+OpReserve,0)</f>
        <v/>
      </c>
      <c r="KF26" s="18">
        <f>'DevSpend'!KF$34+'DevSpend'!KF$35+'DevSpend'!KF$38+IF(289=MS_Initial_Closing_Start,ConOtherCosts+ConPoints+RecourseFee+OpReserve,0)</f>
        <v/>
      </c>
      <c r="KG26" s="18">
        <f>'DevSpend'!KG$34+'DevSpend'!KG$35+'DevSpend'!KG$38+IF(290=MS_Initial_Closing_Start,ConOtherCosts+ConPoints+RecourseFee+OpReserve,0)</f>
        <v/>
      </c>
      <c r="KH26" s="18">
        <f>'DevSpend'!KH$34+'DevSpend'!KH$35+'DevSpend'!KH$38+IF(291=MS_Initial_Closing_Start,ConOtherCosts+ConPoints+RecourseFee+OpReserve,0)</f>
        <v/>
      </c>
      <c r="KI26" s="18">
        <f>'DevSpend'!KI$34+'DevSpend'!KI$35+'DevSpend'!KI$38+IF(292=MS_Initial_Closing_Start,ConOtherCosts+ConPoints+RecourseFee+OpReserve,0)</f>
        <v/>
      </c>
      <c r="KJ26" s="18">
        <f>'DevSpend'!KJ$34+'DevSpend'!KJ$35+'DevSpend'!KJ$38+IF(293=MS_Initial_Closing_Start,ConOtherCosts+ConPoints+RecourseFee+OpReserve,0)</f>
        <v/>
      </c>
      <c r="KK26" s="18">
        <f>'DevSpend'!KK$34+'DevSpend'!KK$35+'DevSpend'!KK$38+IF(294=MS_Initial_Closing_Start,ConOtherCosts+ConPoints+RecourseFee+OpReserve,0)</f>
        <v/>
      </c>
      <c r="KL26" s="18">
        <f>'DevSpend'!KL$34+'DevSpend'!KL$35+'DevSpend'!KL$38+IF(295=MS_Initial_Closing_Start,ConOtherCosts+ConPoints+RecourseFee+OpReserve,0)</f>
        <v/>
      </c>
      <c r="KM26" s="18">
        <f>'DevSpend'!KM$34+'DevSpend'!KM$35+'DevSpend'!KM$38+IF(296=MS_Initial_Closing_Start,ConOtherCosts+ConPoints+RecourseFee+OpReserve,0)</f>
        <v/>
      </c>
      <c r="KN26" s="18">
        <f>'DevSpend'!KN$34+'DevSpend'!KN$35+'DevSpend'!KN$38+IF(297=MS_Initial_Closing_Start,ConOtherCosts+ConPoints+RecourseFee+OpReserve,0)</f>
        <v/>
      </c>
      <c r="KO26" s="18">
        <f>'DevSpend'!KO$34+'DevSpend'!KO$35+'DevSpend'!KO$38+IF(298=MS_Initial_Closing_Start,ConOtherCosts+ConPoints+RecourseFee+OpReserve,0)</f>
        <v/>
      </c>
      <c r="KP26" s="18">
        <f>'DevSpend'!KP$34+'DevSpend'!KP$35+'DevSpend'!KP$38+IF(299=MS_Initial_Closing_Start,ConOtherCosts+ConPoints+RecourseFee+OpReserve,0)</f>
        <v/>
      </c>
      <c r="KQ26" s="18">
        <f>'DevSpend'!KQ$34+'DevSpend'!KQ$35+'DevSpend'!KQ$38+IF(300=MS_Initial_Closing_Start,ConOtherCosts+ConPoints+RecourseFee+OpReserve,0)</f>
        <v/>
      </c>
      <c r="KR26" s="18">
        <f>'DevSpend'!KR$34+'DevSpend'!KR$35+'DevSpend'!KR$38+IF(301=MS_Initial_Closing_Start,ConOtherCosts+ConPoints+RecourseFee+OpReserve,0)</f>
        <v/>
      </c>
      <c r="KS26" s="18">
        <f>'DevSpend'!KS$34+'DevSpend'!KS$35+'DevSpend'!KS$38+IF(302=MS_Initial_Closing_Start,ConOtherCosts+ConPoints+RecourseFee+OpReserve,0)</f>
        <v/>
      </c>
      <c r="KT26" s="18">
        <f>'DevSpend'!KT$34+'DevSpend'!KT$35+'DevSpend'!KT$38+IF(303=MS_Initial_Closing_Start,ConOtherCosts+ConPoints+RecourseFee+OpReserve,0)</f>
        <v/>
      </c>
      <c r="KU26" s="18">
        <f>'DevSpend'!KU$34+'DevSpend'!KU$35+'DevSpend'!KU$38+IF(304=MS_Initial_Closing_Start,ConOtherCosts+ConPoints+RecourseFee+OpReserve,0)</f>
        <v/>
      </c>
      <c r="KV26" s="18">
        <f>'DevSpend'!KV$34+'DevSpend'!KV$35+'DevSpend'!KV$38+IF(305=MS_Initial_Closing_Start,ConOtherCosts+ConPoints+RecourseFee+OpReserve,0)</f>
        <v/>
      </c>
      <c r="KW26" s="18">
        <f>'DevSpend'!KW$34+'DevSpend'!KW$35+'DevSpend'!KW$38+IF(306=MS_Initial_Closing_Start,ConOtherCosts+ConPoints+RecourseFee+OpReserve,0)</f>
        <v/>
      </c>
      <c r="KX26" s="18">
        <f>'DevSpend'!KX$34+'DevSpend'!KX$35+'DevSpend'!KX$38+IF(307=MS_Initial_Closing_Start,ConOtherCosts+ConPoints+RecourseFee+OpReserve,0)</f>
        <v/>
      </c>
      <c r="KY26" s="18">
        <f>'DevSpend'!KY$34+'DevSpend'!KY$35+'DevSpend'!KY$38+IF(308=MS_Initial_Closing_Start,ConOtherCosts+ConPoints+RecourseFee+OpReserve,0)</f>
        <v/>
      </c>
      <c r="KZ26" s="18">
        <f>'DevSpend'!KZ$34+'DevSpend'!KZ$35+'DevSpend'!KZ$38+IF(309=MS_Initial_Closing_Start,ConOtherCosts+ConPoints+RecourseFee+OpReserve,0)</f>
        <v/>
      </c>
      <c r="LA26" s="18">
        <f>'DevSpend'!LA$34+'DevSpend'!LA$35+'DevSpend'!LA$38+IF(310=MS_Initial_Closing_Start,ConOtherCosts+ConPoints+RecourseFee+OpReserve,0)</f>
        <v/>
      </c>
      <c r="LB26" s="18">
        <f>'DevSpend'!LB$34+'DevSpend'!LB$35+'DevSpend'!LB$38+IF(311=MS_Initial_Closing_Start,ConOtherCosts+ConPoints+RecourseFee+OpReserve,0)</f>
        <v/>
      </c>
      <c r="LC26" s="18">
        <f>'DevSpend'!LC$34+'DevSpend'!LC$35+'DevSpend'!LC$38+IF(312=MS_Initial_Closing_Start,ConOtherCosts+ConPoints+RecourseFee+OpReserve,0)</f>
        <v/>
      </c>
      <c r="LD26" s="18">
        <f>'DevSpend'!LD$34+'DevSpend'!LD$35+'DevSpend'!LD$38+IF(313=MS_Initial_Closing_Start,ConOtherCosts+ConPoints+RecourseFee+OpReserve,0)</f>
        <v/>
      </c>
      <c r="LE26" s="18">
        <f>'DevSpend'!LE$34+'DevSpend'!LE$35+'DevSpend'!LE$38+IF(314=MS_Initial_Closing_Start,ConOtherCosts+ConPoints+RecourseFee+OpReserve,0)</f>
        <v/>
      </c>
      <c r="LF26" s="18">
        <f>'DevSpend'!LF$34+'DevSpend'!LF$35+'DevSpend'!LF$38+IF(315=MS_Initial_Closing_Start,ConOtherCosts+ConPoints+RecourseFee+OpReserve,0)</f>
        <v/>
      </c>
      <c r="LG26" s="18">
        <f>'DevSpend'!LG$34+'DevSpend'!LG$35+'DevSpend'!LG$38+IF(316=MS_Initial_Closing_Start,ConOtherCosts+ConPoints+RecourseFee+OpReserve,0)</f>
        <v/>
      </c>
      <c r="LH26" s="18">
        <f>'DevSpend'!LH$34+'DevSpend'!LH$35+'DevSpend'!LH$38+IF(317=MS_Initial_Closing_Start,ConOtherCosts+ConPoints+RecourseFee+OpReserve,0)</f>
        <v/>
      </c>
      <c r="LI26" s="18">
        <f>'DevSpend'!LI$34+'DevSpend'!LI$35+'DevSpend'!LI$38+IF(318=MS_Initial_Closing_Start,ConOtherCosts+ConPoints+RecourseFee+OpReserve,0)</f>
        <v/>
      </c>
      <c r="LJ26" s="18">
        <f>'DevSpend'!LJ$34+'DevSpend'!LJ$35+'DevSpend'!LJ$38+IF(319=MS_Initial_Closing_Start,ConOtherCosts+ConPoints+RecourseFee+OpReserve,0)</f>
        <v/>
      </c>
      <c r="LK26" s="18">
        <f>'DevSpend'!LK$34+'DevSpend'!LK$35+'DevSpend'!LK$38+IF(320=MS_Initial_Closing_Start,ConOtherCosts+ConPoints+RecourseFee+OpReserve,0)</f>
        <v/>
      </c>
      <c r="LL26" s="18">
        <f>'DevSpend'!LL$34+'DevSpend'!LL$35+'DevSpend'!LL$38+IF(321=MS_Initial_Closing_Start,ConOtherCosts+ConPoints+RecourseFee+OpReserve,0)</f>
        <v/>
      </c>
      <c r="LM26" s="18">
        <f>'DevSpend'!LM$34+'DevSpend'!LM$35+'DevSpend'!LM$38+IF(322=MS_Initial_Closing_Start,ConOtherCosts+ConPoints+RecourseFee+OpReserve,0)</f>
        <v/>
      </c>
      <c r="LN26" s="18">
        <f>'DevSpend'!LN$34+'DevSpend'!LN$35+'DevSpend'!LN$38+IF(323=MS_Initial_Closing_Start,ConOtherCosts+ConPoints+RecourseFee+OpReserve,0)</f>
        <v/>
      </c>
      <c r="LO26" s="18">
        <f>'DevSpend'!LO$34+'DevSpend'!LO$35+'DevSpend'!LO$38+IF(324=MS_Initial_Closing_Start,ConOtherCosts+ConPoints+RecourseFee+OpReserve,0)</f>
        <v/>
      </c>
      <c r="LP26" s="18">
        <f>'DevSpend'!LP$34+'DevSpend'!LP$35+'DevSpend'!LP$38+IF(325=MS_Initial_Closing_Start,ConOtherCosts+ConPoints+RecourseFee+OpReserve,0)</f>
        <v/>
      </c>
      <c r="LQ26" s="18">
        <f>'DevSpend'!LQ$34+'DevSpend'!LQ$35+'DevSpend'!LQ$38+IF(326=MS_Initial_Closing_Start,ConOtherCosts+ConPoints+RecourseFee+OpReserve,0)</f>
        <v/>
      </c>
      <c r="LR26" s="18">
        <f>'DevSpend'!LR$34+'DevSpend'!LR$35+'DevSpend'!LR$38+IF(327=MS_Initial_Closing_Start,ConOtherCosts+ConPoints+RecourseFee+OpReserve,0)</f>
        <v/>
      </c>
      <c r="LS26" s="18">
        <f>'DevSpend'!LS$34+'DevSpend'!LS$35+'DevSpend'!LS$38+IF(328=MS_Initial_Closing_Start,ConOtherCosts+ConPoints+RecourseFee+OpReserve,0)</f>
        <v/>
      </c>
      <c r="LT26" s="18">
        <f>'DevSpend'!LT$34+'DevSpend'!LT$35+'DevSpend'!LT$38+IF(329=MS_Initial_Closing_Start,ConOtherCosts+ConPoints+RecourseFee+OpReserve,0)</f>
        <v/>
      </c>
      <c r="LU26" s="18">
        <f>'DevSpend'!LU$34+'DevSpend'!LU$35+'DevSpend'!LU$38+IF(330=MS_Initial_Closing_Start,ConOtherCosts+ConPoints+RecourseFee+OpReserve,0)</f>
        <v/>
      </c>
      <c r="LV26" s="18">
        <f>'DevSpend'!LV$34+'DevSpend'!LV$35+'DevSpend'!LV$38+IF(331=MS_Initial_Closing_Start,ConOtherCosts+ConPoints+RecourseFee+OpReserve,0)</f>
        <v/>
      </c>
      <c r="LW26" s="18">
        <f>'DevSpend'!LW$34+'DevSpend'!LW$35+'DevSpend'!LW$38+IF(332=MS_Initial_Closing_Start,ConOtherCosts+ConPoints+RecourseFee+OpReserve,0)</f>
        <v/>
      </c>
      <c r="LX26" s="18">
        <f>'DevSpend'!LX$34+'DevSpend'!LX$35+'DevSpend'!LX$38+IF(333=MS_Initial_Closing_Start,ConOtherCosts+ConPoints+RecourseFee+OpReserve,0)</f>
        <v/>
      </c>
      <c r="LY26" s="18">
        <f>'DevSpend'!LY$34+'DevSpend'!LY$35+'DevSpend'!LY$38+IF(334=MS_Initial_Closing_Start,ConOtherCosts+ConPoints+RecourseFee+OpReserve,0)</f>
        <v/>
      </c>
      <c r="LZ26" s="18">
        <f>'DevSpend'!LZ$34+'DevSpend'!LZ$35+'DevSpend'!LZ$38+IF(335=MS_Initial_Closing_Start,ConOtherCosts+ConPoints+RecourseFee+OpReserve,0)</f>
        <v/>
      </c>
      <c r="MA26" s="18">
        <f>'DevSpend'!MA$34+'DevSpend'!MA$35+'DevSpend'!MA$38+IF(336=MS_Initial_Closing_Start,ConOtherCosts+ConPoints+RecourseFee+OpReserve,0)</f>
        <v/>
      </c>
      <c r="MB26" s="18">
        <f>'DevSpend'!MB$34+'DevSpend'!MB$35+'DevSpend'!MB$38+IF(337=MS_Initial_Closing_Start,ConOtherCosts+ConPoints+RecourseFee+OpReserve,0)</f>
        <v/>
      </c>
      <c r="MC26" s="18">
        <f>'DevSpend'!MC$34+'DevSpend'!MC$35+'DevSpend'!MC$38+IF(338=MS_Initial_Closing_Start,ConOtherCosts+ConPoints+RecourseFee+OpReserve,0)</f>
        <v/>
      </c>
      <c r="MD26" s="18">
        <f>'DevSpend'!MD$34+'DevSpend'!MD$35+'DevSpend'!MD$38+IF(339=MS_Initial_Closing_Start,ConOtherCosts+ConPoints+RecourseFee+OpReserve,0)</f>
        <v/>
      </c>
      <c r="ME26" s="18">
        <f>'DevSpend'!ME$34+'DevSpend'!ME$35+'DevSpend'!ME$38+IF(340=MS_Initial_Closing_Start,ConOtherCosts+ConPoints+RecourseFee+OpReserve,0)</f>
        <v/>
      </c>
      <c r="MF26" s="18">
        <f>'DevSpend'!MF$34+'DevSpend'!MF$35+'DevSpend'!MF$38+IF(341=MS_Initial_Closing_Start,ConOtherCosts+ConPoints+RecourseFee+OpReserve,0)</f>
        <v/>
      </c>
      <c r="MG26" s="18">
        <f>'DevSpend'!MG$34+'DevSpend'!MG$35+'DevSpend'!MG$38+IF(342=MS_Initial_Closing_Start,ConOtherCosts+ConPoints+RecourseFee+OpReserve,0)</f>
        <v/>
      </c>
      <c r="MH26" s="18">
        <f>'DevSpend'!MH$34+'DevSpend'!MH$35+'DevSpend'!MH$38+IF(343=MS_Initial_Closing_Start,ConOtherCosts+ConPoints+RecourseFee+OpReserve,0)</f>
        <v/>
      </c>
      <c r="MI26" s="18">
        <f>'DevSpend'!MI$34+'DevSpend'!MI$35+'DevSpend'!MI$38+IF(344=MS_Initial_Closing_Start,ConOtherCosts+ConPoints+RecourseFee+OpReserve,0)</f>
        <v/>
      </c>
      <c r="MJ26" s="18">
        <f>'DevSpend'!MJ$34+'DevSpend'!MJ$35+'DevSpend'!MJ$38+IF(345=MS_Initial_Closing_Start,ConOtherCosts+ConPoints+RecourseFee+OpReserve,0)</f>
        <v/>
      </c>
      <c r="MK26" s="18">
        <f>'DevSpend'!MK$34+'DevSpend'!MK$35+'DevSpend'!MK$38+IF(346=MS_Initial_Closing_Start,ConOtherCosts+ConPoints+RecourseFee+OpReserve,0)</f>
        <v/>
      </c>
      <c r="ML26" s="18">
        <f>'DevSpend'!ML$34+'DevSpend'!ML$35+'DevSpend'!ML$38+IF(347=MS_Initial_Closing_Start,ConOtherCosts+ConPoints+RecourseFee+OpReserve,0)</f>
        <v/>
      </c>
      <c r="MM26" s="18">
        <f>'DevSpend'!MM$34+'DevSpend'!MM$35+'DevSpend'!MM$38+IF(348=MS_Initial_Closing_Start,ConOtherCosts+ConPoints+RecourseFee+OpReserve,0)</f>
        <v/>
      </c>
      <c r="MN26" s="18">
        <f>'DevSpend'!MN$34+'DevSpend'!MN$35+'DevSpend'!MN$38+IF(349=MS_Initial_Closing_Start,ConOtherCosts+ConPoints+RecourseFee+OpReserve,0)</f>
        <v/>
      </c>
      <c r="MO26" s="18">
        <f>'DevSpend'!MO$34+'DevSpend'!MO$35+'DevSpend'!MO$38+IF(350=MS_Initial_Closing_Start,ConOtherCosts+ConPoints+RecourseFee+OpReserve,0)</f>
        <v/>
      </c>
      <c r="MP26" s="18">
        <f>'DevSpend'!MP$34+'DevSpend'!MP$35+'DevSpend'!MP$38+IF(351=MS_Initial_Closing_Start,ConOtherCosts+ConPoints+RecourseFee+OpReserve,0)</f>
        <v/>
      </c>
      <c r="MQ26" s="18">
        <f>'DevSpend'!MQ$34+'DevSpend'!MQ$35+'DevSpend'!MQ$38+IF(352=MS_Initial_Closing_Start,ConOtherCosts+ConPoints+RecourseFee+OpReserve,0)</f>
        <v/>
      </c>
      <c r="MR26" s="18">
        <f>'DevSpend'!MR$34+'DevSpend'!MR$35+'DevSpend'!MR$38+IF(353=MS_Initial_Closing_Start,ConOtherCosts+ConPoints+RecourseFee+OpReserve,0)</f>
        <v/>
      </c>
      <c r="MS26" s="18">
        <f>'DevSpend'!MS$34+'DevSpend'!MS$35+'DevSpend'!MS$38+IF(354=MS_Initial_Closing_Start,ConOtherCosts+ConPoints+RecourseFee+OpReserve,0)</f>
        <v/>
      </c>
      <c r="MT26" s="18">
        <f>'DevSpend'!MT$34+'DevSpend'!MT$35+'DevSpend'!MT$38+IF(355=MS_Initial_Closing_Start,ConOtherCosts+ConPoints+RecourseFee+OpReserve,0)</f>
        <v/>
      </c>
      <c r="MU26" s="18">
        <f>'DevSpend'!MU$34+'DevSpend'!MU$35+'DevSpend'!MU$38+IF(356=MS_Initial_Closing_Start,ConOtherCosts+ConPoints+RecourseFee+OpReserve,0)</f>
        <v/>
      </c>
      <c r="MV26" s="18">
        <f>'DevSpend'!MV$34+'DevSpend'!MV$35+'DevSpend'!MV$38+IF(357=MS_Initial_Closing_Start,ConOtherCosts+ConPoints+RecourseFee+OpReserve,0)</f>
        <v/>
      </c>
      <c r="MW26" s="18">
        <f>'DevSpend'!MW$34+'DevSpend'!MW$35+'DevSpend'!MW$38+IF(358=MS_Initial_Closing_Start,ConOtherCosts+ConPoints+RecourseFee+OpReserve,0)</f>
        <v/>
      </c>
      <c r="MX26" s="18">
        <f>'DevSpend'!MX$34+'DevSpend'!MX$35+'DevSpend'!MX$38+IF(359=MS_Initial_Closing_Start,ConOtherCosts+ConPoints+RecourseFee+OpReserve,0)</f>
        <v/>
      </c>
      <c r="MY26" s="18">
        <f>'DevSpend'!MY$34+'DevSpend'!MY$35+'DevSpend'!MY$38+IF(360=MS_Initial_Closing_Start,ConOtherCosts+ConPoints+RecourseFee+OpReserve,0)</f>
        <v/>
      </c>
      <c r="MZ26" s="18">
        <f>'DevSpend'!MZ$34+'DevSpend'!MZ$35+'DevSpend'!MZ$38+IF(361=MS_Initial_Closing_Start,ConOtherCosts+ConPoints+RecourseFee+OpReserve,0)</f>
        <v/>
      </c>
      <c r="NA26" s="18">
        <f>'DevSpend'!NA$34+'DevSpend'!NA$35+'DevSpend'!NA$38+IF(362=MS_Initial_Closing_Start,ConOtherCosts+ConPoints+RecourseFee+OpReserve,0)</f>
        <v/>
      </c>
      <c r="NB26" s="18">
        <f>'DevSpend'!NB$34+'DevSpend'!NB$35+'DevSpend'!NB$38+IF(363=MS_Initial_Closing_Start,ConOtherCosts+ConPoints+RecourseFee+OpReserve,0)</f>
        <v/>
      </c>
      <c r="NC26" s="18">
        <f>'DevSpend'!NC$34+'DevSpend'!NC$35+'DevSpend'!NC$38+IF(364=MS_Initial_Closing_Start,ConOtherCosts+ConPoints+RecourseFee+OpReserve,0)</f>
        <v/>
      </c>
      <c r="ND26" s="18">
        <f>'DevSpend'!ND$34+'DevSpend'!ND$35+'DevSpend'!ND$38+IF(365=MS_Initial_Closing_Start,ConOtherCosts+ConPoints+RecourseFee+OpReserve,0)</f>
        <v/>
      </c>
      <c r="NE26" s="18">
        <f>'DevSpend'!NE$34+'DevSpend'!NE$35+'DevSpend'!NE$38+IF(366=MS_Initial_Closing_Start,ConOtherCosts+ConPoints+RecourseFee+OpReserve,0)</f>
        <v/>
      </c>
      <c r="NF26" s="18">
        <f>'DevSpend'!NF$34+'DevSpend'!NF$35+'DevSpend'!NF$38+IF(367=MS_Initial_Closing_Start,ConOtherCosts+ConPoints+RecourseFee+OpReserve,0)</f>
        <v/>
      </c>
      <c r="NG26" s="18">
        <f>'DevSpend'!NG$34+'DevSpend'!NG$35+'DevSpend'!NG$38+IF(368=MS_Initial_Closing_Start,ConOtherCosts+ConPoints+RecourseFee+OpReserve,0)</f>
        <v/>
      </c>
      <c r="NH26" s="18">
        <f>'DevSpend'!NH$34+'DevSpend'!NH$35+'DevSpend'!NH$38+IF(369=MS_Initial_Closing_Start,ConOtherCosts+ConPoints+RecourseFee+OpReserve,0)</f>
        <v/>
      </c>
      <c r="NI26" s="18">
        <f>'DevSpend'!NI$34+'DevSpend'!NI$35+'DevSpend'!NI$38+IF(370=MS_Initial_Closing_Start,ConOtherCosts+ConPoints+RecourseFee+OpReserve,0)</f>
        <v/>
      </c>
      <c r="NJ26" s="18">
        <f>'DevSpend'!NJ$34+'DevSpend'!NJ$35+'DevSpend'!NJ$38+IF(371=MS_Initial_Closing_Start,ConOtherCosts+ConPoints+RecourseFee+OpReserve,0)</f>
        <v/>
      </c>
      <c r="NK26" s="18">
        <f>'DevSpend'!NK$34+'DevSpend'!NK$35+'DevSpend'!NK$38+IF(372=MS_Initial_Closing_Start,ConOtherCosts+ConPoints+RecourseFee+OpReserve,0)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IF('Timeline'!D$42=1,IF(ConActual360=1,ConRate*D$25/360,ConRate/12),0)</f>
        <v/>
      </c>
      <c r="E30" s="49">
        <f>IF('Timeline'!E$42=1,IF(ConActual360=1,ConRate*E$25/360,ConRate/12),0)</f>
        <v/>
      </c>
      <c r="F30" s="49">
        <f>IF('Timeline'!F$42=1,IF(ConActual360=1,ConRate*F$25/360,ConRate/12),0)</f>
        <v/>
      </c>
      <c r="G30" s="49">
        <f>IF('Timeline'!G$42=1,IF(ConActual360=1,ConRate*G$25/360,ConRate/12),0)</f>
        <v/>
      </c>
      <c r="H30" s="49">
        <f>IF('Timeline'!H$42=1,IF(ConActual360=1,ConRate*H$25/360,ConRate/12),0)</f>
        <v/>
      </c>
      <c r="I30" s="49">
        <f>IF('Timeline'!I$42=1,IF(ConActual360=1,ConRate*I$25/360,ConRate/12),0)</f>
        <v/>
      </c>
      <c r="J30" s="49">
        <f>IF('Timeline'!J$42=1,IF(ConActual360=1,ConRate*J$25/360,ConRate/12),0)</f>
        <v/>
      </c>
      <c r="K30" s="49">
        <f>IF('Timeline'!K$42=1,IF(ConActual360=1,ConRate*K$25/360,ConRate/12),0)</f>
        <v/>
      </c>
      <c r="L30" s="49">
        <f>IF('Timeline'!L$42=1,IF(ConActual360=1,ConRate*L$25/360,ConRate/12),0)</f>
        <v/>
      </c>
      <c r="M30" s="49">
        <f>IF('Timeline'!M$42=1,IF(ConActual360=1,ConRate*M$25/360,ConRate/12),0)</f>
        <v/>
      </c>
      <c r="N30" s="49">
        <f>IF('Timeline'!N$42=1,IF(ConActual360=1,ConRate*N$25/360,ConRate/12),0)</f>
        <v/>
      </c>
      <c r="O30" s="49">
        <f>IF('Timeline'!O$42=1,IF(ConActual360=1,ConRate*O$25/360,ConRate/12),0)</f>
        <v/>
      </c>
      <c r="P30" s="49">
        <f>IF('Timeline'!P$42=1,IF(ConActual360=1,ConRate*P$25/360,ConRate/12),0)</f>
        <v/>
      </c>
      <c r="Q30" s="49">
        <f>IF('Timeline'!Q$42=1,IF(ConActual360=1,ConRate*Q$25/360,ConRate/12),0)</f>
        <v/>
      </c>
      <c r="R30" s="49">
        <f>IF('Timeline'!R$42=1,IF(ConActual360=1,ConRate*R$25/360,ConRate/12),0)</f>
        <v/>
      </c>
      <c r="S30" s="49">
        <f>IF('Timeline'!S$42=1,IF(ConActual360=1,ConRate*S$25/360,ConRate/12),0)</f>
        <v/>
      </c>
      <c r="T30" s="49">
        <f>IF('Timeline'!T$42=1,IF(ConActual360=1,ConRate*T$25/360,ConRate/12),0)</f>
        <v/>
      </c>
      <c r="U30" s="49">
        <f>IF('Timeline'!U$42=1,IF(ConActual360=1,ConRate*U$25/360,ConRate/12),0)</f>
        <v/>
      </c>
      <c r="V30" s="49">
        <f>IF('Timeline'!V$42=1,IF(ConActual360=1,ConRate*V$25/360,ConRate/12),0)</f>
        <v/>
      </c>
      <c r="W30" s="49">
        <f>IF('Timeline'!W$42=1,IF(ConActual360=1,ConRate*W$25/360,ConRate/12),0)</f>
        <v/>
      </c>
      <c r="X30" s="49">
        <f>IF('Timeline'!X$42=1,IF(ConActual360=1,ConRate*X$25/360,ConRate/12),0)</f>
        <v/>
      </c>
      <c r="Y30" s="49">
        <f>IF('Timeline'!Y$42=1,IF(ConActual360=1,ConRate*Y$25/360,ConRate/12),0)</f>
        <v/>
      </c>
      <c r="Z30" s="49">
        <f>IF('Timeline'!Z$42=1,IF(ConActual360=1,ConRate*Z$25/360,ConRate/12),0)</f>
        <v/>
      </c>
      <c r="AA30" s="49">
        <f>IF('Timeline'!AA$42=1,IF(ConActual360=1,ConRate*AA$25/360,ConRate/12),0)</f>
        <v/>
      </c>
      <c r="AB30" s="49">
        <f>IF('Timeline'!AB$42=1,IF(ConActual360=1,ConRate*AB$25/360,ConRate/12),0)</f>
        <v/>
      </c>
      <c r="AC30" s="49">
        <f>IF('Timeline'!AC$42=1,IF(ConActual360=1,ConRate*AC$25/360,ConRate/12),0)</f>
        <v/>
      </c>
      <c r="AD30" s="49">
        <f>IF('Timeline'!AD$42=1,IF(ConActual360=1,ConRate*AD$25/360,ConRate/12),0)</f>
        <v/>
      </c>
      <c r="AE30" s="49">
        <f>IF('Timeline'!AE$42=1,IF(ConActual360=1,ConRate*AE$25/360,ConRate/12),0)</f>
        <v/>
      </c>
      <c r="AF30" s="49">
        <f>IF('Timeline'!AF$42=1,IF(ConActual360=1,ConRate*AF$25/360,ConRate/12),0)</f>
        <v/>
      </c>
      <c r="AG30" s="49">
        <f>IF('Timeline'!AG$42=1,IF(ConActual360=1,ConRate*AG$25/360,ConRate/12),0)</f>
        <v/>
      </c>
      <c r="AH30" s="49">
        <f>IF('Timeline'!AH$42=1,IF(ConActual360=1,ConRate*AH$25/360,ConRate/12),0)</f>
        <v/>
      </c>
      <c r="AI30" s="49">
        <f>IF('Timeline'!AI$42=1,IF(ConActual360=1,ConRate*AI$25/360,ConRate/12),0)</f>
        <v/>
      </c>
      <c r="AJ30" s="49">
        <f>IF('Timeline'!AJ$42=1,IF(ConActual360=1,ConRate*AJ$25/360,ConRate/12),0)</f>
        <v/>
      </c>
      <c r="AK30" s="49">
        <f>IF('Timeline'!AK$42=1,IF(ConActual360=1,ConRate*AK$25/360,ConRate/12),0)</f>
        <v/>
      </c>
      <c r="AL30" s="49">
        <f>IF('Timeline'!AL$42=1,IF(ConActual360=1,ConRate*AL$25/360,ConRate/12),0)</f>
        <v/>
      </c>
      <c r="AM30" s="49">
        <f>IF('Timeline'!AM$42=1,IF(ConActual360=1,ConRate*AM$25/360,ConRate/12),0)</f>
        <v/>
      </c>
      <c r="AN30" s="49">
        <f>IF('Timeline'!AN$42=1,IF(ConActual360=1,ConRate*AN$25/360,ConRate/12),0)</f>
        <v/>
      </c>
      <c r="AO30" s="49">
        <f>IF('Timeline'!AO$42=1,IF(ConActual360=1,ConRate*AO$25/360,ConRate/12),0)</f>
        <v/>
      </c>
      <c r="AP30" s="49">
        <f>IF('Timeline'!AP$42=1,IF(ConActual360=1,ConRate*AP$25/360,ConRate/12),0)</f>
        <v/>
      </c>
      <c r="AQ30" s="49">
        <f>IF('Timeline'!AQ$42=1,IF(ConActual360=1,ConRate*AQ$25/360,ConRate/12),0)</f>
        <v/>
      </c>
      <c r="AR30" s="49">
        <f>IF('Timeline'!AR$42=1,IF(ConActual360=1,ConRate*AR$25/360,ConRate/12),0)</f>
        <v/>
      </c>
      <c r="AS30" s="49">
        <f>IF('Timeline'!AS$42=1,IF(ConActual360=1,ConRate*AS$25/360,ConRate/12),0)</f>
        <v/>
      </c>
      <c r="AT30" s="49">
        <f>IF('Timeline'!AT$42=1,IF(ConActual360=1,ConRate*AT$25/360,ConRate/12),0)</f>
        <v/>
      </c>
      <c r="AU30" s="49">
        <f>IF('Timeline'!AU$42=1,IF(ConActual360=1,ConRate*AU$25/360,ConRate/12),0)</f>
        <v/>
      </c>
      <c r="AV30" s="49">
        <f>IF('Timeline'!AV$42=1,IF(ConActual360=1,ConRate*AV$25/360,ConRate/12),0)</f>
        <v/>
      </c>
      <c r="AW30" s="49">
        <f>IF('Timeline'!AW$42=1,IF(ConActual360=1,ConRate*AW$25/360,ConRate/12),0)</f>
        <v/>
      </c>
      <c r="AX30" s="49">
        <f>IF('Timeline'!AX$42=1,IF(ConActual360=1,ConRate*AX$25/360,ConRate/12),0)</f>
        <v/>
      </c>
      <c r="AY30" s="49">
        <f>IF('Timeline'!AY$42=1,IF(ConActual360=1,ConRate*AY$25/360,ConRate/12),0)</f>
        <v/>
      </c>
      <c r="AZ30" s="49">
        <f>IF('Timeline'!AZ$42=1,IF(ConActual360=1,ConRate*AZ$25/360,ConRate/12),0)</f>
        <v/>
      </c>
      <c r="BA30" s="49">
        <f>IF('Timeline'!BA$42=1,IF(ConActual360=1,ConRate*BA$25/360,ConRate/12),0)</f>
        <v/>
      </c>
      <c r="BB30" s="49">
        <f>IF('Timeline'!BB$42=1,IF(ConActual360=1,ConRate*BB$25/360,ConRate/12),0)</f>
        <v/>
      </c>
      <c r="BC30" s="49">
        <f>IF('Timeline'!BC$42=1,IF(ConActual360=1,ConRate*BC$25/360,ConRate/12),0)</f>
        <v/>
      </c>
      <c r="BD30" s="49">
        <f>IF('Timeline'!BD$42=1,IF(ConActual360=1,ConRate*BD$25/360,ConRate/12),0)</f>
        <v/>
      </c>
      <c r="BE30" s="49">
        <f>IF('Timeline'!BE$42=1,IF(ConActual360=1,ConRate*BE$25/360,ConRate/12),0)</f>
        <v/>
      </c>
      <c r="BF30" s="49">
        <f>IF('Timeline'!BF$42=1,IF(ConActual360=1,ConRate*BF$25/360,ConRate/12),0)</f>
        <v/>
      </c>
      <c r="BG30" s="49">
        <f>IF('Timeline'!BG$42=1,IF(ConActual360=1,ConRate*BG$25/360,ConRate/12),0)</f>
        <v/>
      </c>
      <c r="BH30" s="49">
        <f>IF('Timeline'!BH$42=1,IF(ConActual360=1,ConRate*BH$25/360,ConRate/12),0)</f>
        <v/>
      </c>
      <c r="BI30" s="49">
        <f>IF('Timeline'!BI$42=1,IF(ConActual360=1,ConRate*BI$25/360,ConRate/12),0)</f>
        <v/>
      </c>
      <c r="BJ30" s="49">
        <f>IF('Timeline'!BJ$42=1,IF(ConActual360=1,ConRate*BJ$25/360,ConRate/12),0)</f>
        <v/>
      </c>
      <c r="BK30" s="49">
        <f>IF('Timeline'!BK$42=1,IF(ConActual360=1,ConRate*BK$25/360,ConRate/12),0)</f>
        <v/>
      </c>
      <c r="BL30" s="49">
        <f>IF('Timeline'!BL$42=1,IF(ConActual360=1,ConRate*BL$25/360,ConRate/12),0)</f>
        <v/>
      </c>
      <c r="BM30" s="49">
        <f>IF('Timeline'!BM$42=1,IF(ConActual360=1,ConRate*BM$25/360,ConRate/12),0)</f>
        <v/>
      </c>
      <c r="BN30" s="49">
        <f>IF('Timeline'!BN$42=1,IF(ConActual360=1,ConRate*BN$25/360,ConRate/12),0)</f>
        <v/>
      </c>
      <c r="BO30" s="49">
        <f>IF('Timeline'!BO$42=1,IF(ConActual360=1,ConRate*BO$25/360,ConRate/12),0)</f>
        <v/>
      </c>
      <c r="BP30" s="49">
        <f>IF('Timeline'!BP$42=1,IF(ConActual360=1,ConRate*BP$25/360,ConRate/12),0)</f>
        <v/>
      </c>
      <c r="BQ30" s="49">
        <f>IF('Timeline'!BQ$42=1,IF(ConActual360=1,ConRate*BQ$25/360,ConRate/12),0)</f>
        <v/>
      </c>
      <c r="BR30" s="49">
        <f>IF('Timeline'!BR$42=1,IF(ConActual360=1,ConRate*BR$25/360,ConRate/12),0)</f>
        <v/>
      </c>
      <c r="BS30" s="49">
        <f>IF('Timeline'!BS$42=1,IF(ConActual360=1,ConRate*BS$25/360,ConRate/12),0)</f>
        <v/>
      </c>
      <c r="BT30" s="49">
        <f>IF('Timeline'!BT$42=1,IF(ConActual360=1,ConRate*BT$25/360,ConRate/12),0)</f>
        <v/>
      </c>
      <c r="BU30" s="49">
        <f>IF('Timeline'!BU$42=1,IF(ConActual360=1,ConRate*BU$25/360,ConRate/12),0)</f>
        <v/>
      </c>
      <c r="BV30" s="49">
        <f>IF('Timeline'!BV$42=1,IF(ConActual360=1,ConRate*BV$25/360,ConRate/12),0)</f>
        <v/>
      </c>
      <c r="BW30" s="49">
        <f>IF('Timeline'!BW$42=1,IF(ConActual360=1,ConRate*BW$25/360,ConRate/12),0)</f>
        <v/>
      </c>
      <c r="BX30" s="49">
        <f>IF('Timeline'!BX$42=1,IF(ConActual360=1,ConRate*BX$25/360,ConRate/12),0)</f>
        <v/>
      </c>
      <c r="BY30" s="49">
        <f>IF('Timeline'!BY$42=1,IF(ConActual360=1,ConRate*BY$25/360,ConRate/12),0)</f>
        <v/>
      </c>
      <c r="BZ30" s="49">
        <f>IF('Timeline'!BZ$42=1,IF(ConActual360=1,ConRate*BZ$25/360,ConRate/12),0)</f>
        <v/>
      </c>
      <c r="CA30" s="49">
        <f>IF('Timeline'!CA$42=1,IF(ConActual360=1,ConRate*CA$25/360,ConRate/12),0)</f>
        <v/>
      </c>
      <c r="CB30" s="49">
        <f>IF('Timeline'!CB$42=1,IF(ConActual360=1,ConRate*CB$25/360,ConRate/12),0)</f>
        <v/>
      </c>
      <c r="CC30" s="49">
        <f>IF('Timeline'!CC$42=1,IF(ConActual360=1,ConRate*CC$25/360,ConRate/12),0)</f>
        <v/>
      </c>
      <c r="CD30" s="49">
        <f>IF('Timeline'!CD$42=1,IF(ConActual360=1,ConRate*CD$25/360,ConRate/12),0)</f>
        <v/>
      </c>
      <c r="CE30" s="49">
        <f>IF('Timeline'!CE$42=1,IF(ConActual360=1,ConRate*CE$25/360,ConRate/12),0)</f>
        <v/>
      </c>
      <c r="CF30" s="49">
        <f>IF('Timeline'!CF$42=1,IF(ConActual360=1,ConRate*CF$25/360,ConRate/12),0)</f>
        <v/>
      </c>
      <c r="CG30" s="49">
        <f>IF('Timeline'!CG$42=1,IF(ConActual360=1,ConRate*CG$25/360,ConRate/12),0)</f>
        <v/>
      </c>
      <c r="CH30" s="49">
        <f>IF('Timeline'!CH$42=1,IF(ConActual360=1,ConRate*CH$25/360,ConRate/12),0)</f>
        <v/>
      </c>
      <c r="CI30" s="49">
        <f>IF('Timeline'!CI$42=1,IF(ConActual360=1,ConRate*CI$25/360,ConRate/12),0)</f>
        <v/>
      </c>
      <c r="CJ30" s="49">
        <f>IF('Timeline'!CJ$42=1,IF(ConActual360=1,ConRate*CJ$25/360,ConRate/12),0)</f>
        <v/>
      </c>
      <c r="CK30" s="49">
        <f>IF('Timeline'!CK$42=1,IF(ConActual360=1,ConRate*CK$25/360,ConRate/12),0)</f>
        <v/>
      </c>
      <c r="CL30" s="49">
        <f>IF('Timeline'!CL$42=1,IF(ConActual360=1,ConRate*CL$25/360,ConRate/12),0)</f>
        <v/>
      </c>
      <c r="CM30" s="49">
        <f>IF('Timeline'!CM$42=1,IF(ConActual360=1,ConRate*CM$25/360,ConRate/12),0)</f>
        <v/>
      </c>
      <c r="CN30" s="49">
        <f>IF('Timeline'!CN$42=1,IF(ConActual360=1,ConRate*CN$25/360,ConRate/12),0)</f>
        <v/>
      </c>
      <c r="CO30" s="49">
        <f>IF('Timeline'!CO$42=1,IF(ConActual360=1,ConRate*CO$25/360,ConRate/12),0)</f>
        <v/>
      </c>
      <c r="CP30" s="49">
        <f>IF('Timeline'!CP$42=1,IF(ConActual360=1,ConRate*CP$25/360,ConRate/12),0)</f>
        <v/>
      </c>
      <c r="CQ30" s="49">
        <f>IF('Timeline'!CQ$42=1,IF(ConActual360=1,ConRate*CQ$25/360,ConRate/12),0)</f>
        <v/>
      </c>
      <c r="CR30" s="49">
        <f>IF('Timeline'!CR$42=1,IF(ConActual360=1,ConRate*CR$25/360,ConRate/12),0)</f>
        <v/>
      </c>
      <c r="CS30" s="49">
        <f>IF('Timeline'!CS$42=1,IF(ConActual360=1,ConRate*CS$25/360,ConRate/12),0)</f>
        <v/>
      </c>
      <c r="CT30" s="49">
        <f>IF('Timeline'!CT$42=1,IF(ConActual360=1,ConRate*CT$25/360,ConRate/12),0)</f>
        <v/>
      </c>
      <c r="CU30" s="49">
        <f>IF('Timeline'!CU$42=1,IF(ConActual360=1,ConRate*CU$25/360,ConRate/12),0)</f>
        <v/>
      </c>
      <c r="CV30" s="49">
        <f>IF('Timeline'!CV$42=1,IF(ConActual360=1,ConRate*CV$25/360,ConRate/12),0)</f>
        <v/>
      </c>
      <c r="CW30" s="49">
        <f>IF('Timeline'!CW$42=1,IF(ConActual360=1,ConRate*CW$25/360,ConRate/12),0)</f>
        <v/>
      </c>
      <c r="CX30" s="49">
        <f>IF('Timeline'!CX$42=1,IF(ConActual360=1,ConRate*CX$25/360,ConRate/12),0)</f>
        <v/>
      </c>
      <c r="CY30" s="49">
        <f>IF('Timeline'!CY$42=1,IF(ConActual360=1,ConRate*CY$25/360,ConRate/12),0)</f>
        <v/>
      </c>
      <c r="CZ30" s="49">
        <f>IF('Timeline'!CZ$42=1,IF(ConActual360=1,ConRate*CZ$25/360,ConRate/12),0)</f>
        <v/>
      </c>
      <c r="DA30" s="49">
        <f>IF('Timeline'!DA$42=1,IF(ConActual360=1,ConRate*DA$25/360,ConRate/12),0)</f>
        <v/>
      </c>
      <c r="DB30" s="49">
        <f>IF('Timeline'!DB$42=1,IF(ConActual360=1,ConRate*DB$25/360,ConRate/12),0)</f>
        <v/>
      </c>
      <c r="DC30" s="49">
        <f>IF('Timeline'!DC$42=1,IF(ConActual360=1,ConRate*DC$25/360,ConRate/12),0)</f>
        <v/>
      </c>
      <c r="DD30" s="49">
        <f>IF('Timeline'!DD$42=1,IF(ConActual360=1,ConRate*DD$25/360,ConRate/12),0)</f>
        <v/>
      </c>
      <c r="DE30" s="49">
        <f>IF('Timeline'!DE$42=1,IF(ConActual360=1,ConRate*DE$25/360,ConRate/12),0)</f>
        <v/>
      </c>
      <c r="DF30" s="49">
        <f>IF('Timeline'!DF$42=1,IF(ConActual360=1,ConRate*DF$25/360,ConRate/12),0)</f>
        <v/>
      </c>
      <c r="DG30" s="49">
        <f>IF('Timeline'!DG$42=1,IF(ConActual360=1,ConRate*DG$25/360,ConRate/12),0)</f>
        <v/>
      </c>
      <c r="DH30" s="49">
        <f>IF('Timeline'!DH$42=1,IF(ConActual360=1,ConRate*DH$25/360,ConRate/12),0)</f>
        <v/>
      </c>
      <c r="DI30" s="49">
        <f>IF('Timeline'!DI$42=1,IF(ConActual360=1,ConRate*DI$25/360,ConRate/12),0)</f>
        <v/>
      </c>
      <c r="DJ30" s="49">
        <f>IF('Timeline'!DJ$42=1,IF(ConActual360=1,ConRate*DJ$25/360,ConRate/12),0)</f>
        <v/>
      </c>
      <c r="DK30" s="49">
        <f>IF('Timeline'!DK$42=1,IF(ConActual360=1,ConRate*DK$25/360,ConRate/12),0)</f>
        <v/>
      </c>
      <c r="DL30" s="49">
        <f>IF('Timeline'!DL$42=1,IF(ConActual360=1,ConRate*DL$25/360,ConRate/12),0)</f>
        <v/>
      </c>
      <c r="DM30" s="49">
        <f>IF('Timeline'!DM$42=1,IF(ConActual360=1,ConRate*DM$25/360,ConRate/12),0)</f>
        <v/>
      </c>
      <c r="DN30" s="49">
        <f>IF('Timeline'!DN$42=1,IF(ConActual360=1,ConRate*DN$25/360,ConRate/12),0)</f>
        <v/>
      </c>
      <c r="DO30" s="49">
        <f>IF('Timeline'!DO$42=1,IF(ConActual360=1,ConRate*DO$25/360,ConRate/12),0)</f>
        <v/>
      </c>
      <c r="DP30" s="49">
        <f>IF('Timeline'!DP$42=1,IF(ConActual360=1,ConRate*DP$25/360,ConRate/12),0)</f>
        <v/>
      </c>
      <c r="DQ30" s="49">
        <f>IF('Timeline'!DQ$42=1,IF(ConActual360=1,ConRate*DQ$25/360,ConRate/12),0)</f>
        <v/>
      </c>
      <c r="DR30" s="49">
        <f>IF('Timeline'!DR$42=1,IF(ConActual360=1,ConRate*DR$25/360,ConRate/12),0)</f>
        <v/>
      </c>
      <c r="DS30" s="49">
        <f>IF('Timeline'!DS$42=1,IF(ConActual360=1,ConRate*DS$25/360,ConRate/12),0)</f>
        <v/>
      </c>
      <c r="DT30" s="49">
        <f>IF('Timeline'!DT$42=1,IF(ConActual360=1,ConRate*DT$25/360,ConRate/12),0)</f>
        <v/>
      </c>
      <c r="DU30" s="49">
        <f>IF('Timeline'!DU$42=1,IF(ConActual360=1,ConRate*DU$25/360,ConRate/12),0)</f>
        <v/>
      </c>
      <c r="DV30" s="49">
        <f>IF('Timeline'!DV$42=1,IF(ConActual360=1,ConRate*DV$25/360,ConRate/12),0)</f>
        <v/>
      </c>
      <c r="DW30" s="49">
        <f>IF('Timeline'!DW$42=1,IF(ConActual360=1,ConRate*DW$25/360,ConRate/12),0)</f>
        <v/>
      </c>
      <c r="DX30" s="49">
        <f>IF('Timeline'!DX$42=1,IF(ConActual360=1,ConRate*DX$25/360,ConRate/12),0)</f>
        <v/>
      </c>
      <c r="DY30" s="49">
        <f>IF('Timeline'!DY$42=1,IF(ConActual360=1,ConRate*DY$25/360,ConRate/12),0)</f>
        <v/>
      </c>
      <c r="DZ30" s="49">
        <f>IF('Timeline'!DZ$42=1,IF(ConActual360=1,ConRate*DZ$25/360,ConRate/12),0)</f>
        <v/>
      </c>
      <c r="EA30" s="49">
        <f>IF('Timeline'!EA$42=1,IF(ConActual360=1,ConRate*EA$25/360,ConRate/12),0)</f>
        <v/>
      </c>
      <c r="EB30" s="49">
        <f>IF('Timeline'!EB$42=1,IF(ConActual360=1,ConRate*EB$25/360,ConRate/12),0)</f>
        <v/>
      </c>
      <c r="EC30" s="49">
        <f>IF('Timeline'!EC$42=1,IF(ConActual360=1,ConRate*EC$25/360,ConRate/12),0)</f>
        <v/>
      </c>
      <c r="ED30" s="49">
        <f>IF('Timeline'!ED$42=1,IF(ConActual360=1,ConRate*ED$25/360,ConRate/12),0)</f>
        <v/>
      </c>
      <c r="EE30" s="49">
        <f>IF('Timeline'!EE$42=1,IF(ConActual360=1,ConRate*EE$25/360,ConRate/12),0)</f>
        <v/>
      </c>
      <c r="EF30" s="49">
        <f>IF('Timeline'!EF$42=1,IF(ConActual360=1,ConRate*EF$25/360,ConRate/12),0)</f>
        <v/>
      </c>
      <c r="EG30" s="49">
        <f>IF('Timeline'!EG$42=1,IF(ConActual360=1,ConRate*EG$25/360,ConRate/12),0)</f>
        <v/>
      </c>
      <c r="EH30" s="49">
        <f>IF('Timeline'!EH$42=1,IF(ConActual360=1,ConRate*EH$25/360,ConRate/12),0)</f>
        <v/>
      </c>
      <c r="EI30" s="49">
        <f>IF('Timeline'!EI$42=1,IF(ConActual360=1,ConRate*EI$25/360,ConRate/12),0)</f>
        <v/>
      </c>
      <c r="EJ30" s="49">
        <f>IF('Timeline'!EJ$42=1,IF(ConActual360=1,ConRate*EJ$25/360,ConRate/12),0)</f>
        <v/>
      </c>
      <c r="EK30" s="49">
        <f>IF('Timeline'!EK$42=1,IF(ConActual360=1,ConRate*EK$25/360,ConRate/12),0)</f>
        <v/>
      </c>
      <c r="EL30" s="49">
        <f>IF('Timeline'!EL$42=1,IF(ConActual360=1,ConRate*EL$25/360,ConRate/12),0)</f>
        <v/>
      </c>
      <c r="EM30" s="49">
        <f>IF('Timeline'!EM$42=1,IF(ConActual360=1,ConRate*EM$25/360,ConRate/12),0)</f>
        <v/>
      </c>
      <c r="EN30" s="49">
        <f>IF('Timeline'!EN$42=1,IF(ConActual360=1,ConRate*EN$25/360,ConRate/12),0)</f>
        <v/>
      </c>
      <c r="EO30" s="49">
        <f>IF('Timeline'!EO$42=1,IF(ConActual360=1,ConRate*EO$25/360,ConRate/12),0)</f>
        <v/>
      </c>
      <c r="EP30" s="49">
        <f>IF('Timeline'!EP$42=1,IF(ConActual360=1,ConRate*EP$25/360,ConRate/12),0)</f>
        <v/>
      </c>
      <c r="EQ30" s="49">
        <f>IF('Timeline'!EQ$42=1,IF(ConActual360=1,ConRate*EQ$25/360,ConRate/12),0)</f>
        <v/>
      </c>
      <c r="ER30" s="49">
        <f>IF('Timeline'!ER$42=1,IF(ConActual360=1,ConRate*ER$25/360,ConRate/12),0)</f>
        <v/>
      </c>
      <c r="ES30" s="49">
        <f>IF('Timeline'!ES$42=1,IF(ConActual360=1,ConRate*ES$25/360,ConRate/12),0)</f>
        <v/>
      </c>
      <c r="ET30" s="49">
        <f>IF('Timeline'!ET$42=1,IF(ConActual360=1,ConRate*ET$25/360,ConRate/12),0)</f>
        <v/>
      </c>
      <c r="EU30" s="49">
        <f>IF('Timeline'!EU$42=1,IF(ConActual360=1,ConRate*EU$25/360,ConRate/12),0)</f>
        <v/>
      </c>
      <c r="EV30" s="49">
        <f>IF('Timeline'!EV$42=1,IF(ConActual360=1,ConRate*EV$25/360,ConRate/12),0)</f>
        <v/>
      </c>
      <c r="EW30" s="49">
        <f>IF('Timeline'!EW$42=1,IF(ConActual360=1,ConRate*EW$25/360,ConRate/12),0)</f>
        <v/>
      </c>
      <c r="EX30" s="49">
        <f>IF('Timeline'!EX$42=1,IF(ConActual360=1,ConRate*EX$25/360,ConRate/12),0)</f>
        <v/>
      </c>
      <c r="EY30" s="49">
        <f>IF('Timeline'!EY$42=1,IF(ConActual360=1,ConRate*EY$25/360,ConRate/12),0)</f>
        <v/>
      </c>
      <c r="EZ30" s="49">
        <f>IF('Timeline'!EZ$42=1,IF(ConActual360=1,ConRate*EZ$25/360,ConRate/12),0)</f>
        <v/>
      </c>
      <c r="FA30" s="49">
        <f>IF('Timeline'!FA$42=1,IF(ConActual360=1,ConRate*FA$25/360,ConRate/12),0)</f>
        <v/>
      </c>
      <c r="FB30" s="49">
        <f>IF('Timeline'!FB$42=1,IF(ConActual360=1,ConRate*FB$25/360,ConRate/12),0)</f>
        <v/>
      </c>
      <c r="FC30" s="49">
        <f>IF('Timeline'!FC$42=1,IF(ConActual360=1,ConRate*FC$25/360,ConRate/12),0)</f>
        <v/>
      </c>
      <c r="FD30" s="49">
        <f>IF('Timeline'!FD$42=1,IF(ConActual360=1,ConRate*FD$25/360,ConRate/12),0)</f>
        <v/>
      </c>
      <c r="FE30" s="49">
        <f>IF('Timeline'!FE$42=1,IF(ConActual360=1,ConRate*FE$25/360,ConRate/12),0)</f>
        <v/>
      </c>
      <c r="FF30" s="49">
        <f>IF('Timeline'!FF$42=1,IF(ConActual360=1,ConRate*FF$25/360,ConRate/12),0)</f>
        <v/>
      </c>
      <c r="FG30" s="49">
        <f>IF('Timeline'!FG$42=1,IF(ConActual360=1,ConRate*FG$25/360,ConRate/12),0)</f>
        <v/>
      </c>
      <c r="FH30" s="49">
        <f>IF('Timeline'!FH$42=1,IF(ConActual360=1,ConRate*FH$25/360,ConRate/12),0)</f>
        <v/>
      </c>
      <c r="FI30" s="49">
        <f>IF('Timeline'!FI$42=1,IF(ConActual360=1,ConRate*FI$25/360,ConRate/12),0)</f>
        <v/>
      </c>
      <c r="FJ30" s="49">
        <f>IF('Timeline'!FJ$42=1,IF(ConActual360=1,ConRate*FJ$25/360,ConRate/12),0)</f>
        <v/>
      </c>
      <c r="FK30" s="49">
        <f>IF('Timeline'!FK$42=1,IF(ConActual360=1,ConRate*FK$25/360,ConRate/12),0)</f>
        <v/>
      </c>
      <c r="FL30" s="49">
        <f>IF('Timeline'!FL$42=1,IF(ConActual360=1,ConRate*FL$25/360,ConRate/12),0)</f>
        <v/>
      </c>
      <c r="FM30" s="49">
        <f>IF('Timeline'!FM$42=1,IF(ConActual360=1,ConRate*FM$25/360,ConRate/12),0)</f>
        <v/>
      </c>
      <c r="FN30" s="49">
        <f>IF('Timeline'!FN$42=1,IF(ConActual360=1,ConRate*FN$25/360,ConRate/12),0)</f>
        <v/>
      </c>
      <c r="FO30" s="49">
        <f>IF('Timeline'!FO$42=1,IF(ConActual360=1,ConRate*FO$25/360,ConRate/12),0)</f>
        <v/>
      </c>
      <c r="FP30" s="49">
        <f>IF('Timeline'!FP$42=1,IF(ConActual360=1,ConRate*FP$25/360,ConRate/12),0)</f>
        <v/>
      </c>
      <c r="FQ30" s="49">
        <f>IF('Timeline'!FQ$42=1,IF(ConActual360=1,ConRate*FQ$25/360,ConRate/12),0)</f>
        <v/>
      </c>
      <c r="FR30" s="49">
        <f>IF('Timeline'!FR$42=1,IF(ConActual360=1,ConRate*FR$25/360,ConRate/12),0)</f>
        <v/>
      </c>
      <c r="FS30" s="49">
        <f>IF('Timeline'!FS$42=1,IF(ConActual360=1,ConRate*FS$25/360,ConRate/12),0)</f>
        <v/>
      </c>
      <c r="FT30" s="49">
        <f>IF('Timeline'!FT$42=1,IF(ConActual360=1,ConRate*FT$25/360,ConRate/12),0)</f>
        <v/>
      </c>
      <c r="FU30" s="49">
        <f>IF('Timeline'!FU$42=1,IF(ConActual360=1,ConRate*FU$25/360,ConRate/12),0)</f>
        <v/>
      </c>
      <c r="FV30" s="49">
        <f>IF('Timeline'!FV$42=1,IF(ConActual360=1,ConRate*FV$25/360,ConRate/12),0)</f>
        <v/>
      </c>
      <c r="FW30" s="49">
        <f>IF('Timeline'!FW$42=1,IF(ConActual360=1,ConRate*FW$25/360,ConRate/12),0)</f>
        <v/>
      </c>
      <c r="FX30" s="49">
        <f>IF('Timeline'!FX$42=1,IF(ConActual360=1,ConRate*FX$25/360,ConRate/12),0)</f>
        <v/>
      </c>
      <c r="FY30" s="49">
        <f>IF('Timeline'!FY$42=1,IF(ConActual360=1,ConRate*FY$25/360,ConRate/12),0)</f>
        <v/>
      </c>
      <c r="FZ30" s="49">
        <f>IF('Timeline'!FZ$42=1,IF(ConActual360=1,ConRate*FZ$25/360,ConRate/12),0)</f>
        <v/>
      </c>
      <c r="GA30" s="49">
        <f>IF('Timeline'!GA$42=1,IF(ConActual360=1,ConRate*GA$25/360,ConRate/12),0)</f>
        <v/>
      </c>
      <c r="GB30" s="49">
        <f>IF('Timeline'!GB$42=1,IF(ConActual360=1,ConRate*GB$25/360,ConRate/12),0)</f>
        <v/>
      </c>
      <c r="GC30" s="49">
        <f>IF('Timeline'!GC$42=1,IF(ConActual360=1,ConRate*GC$25/360,ConRate/12),0)</f>
        <v/>
      </c>
      <c r="GD30" s="49">
        <f>IF('Timeline'!GD$42=1,IF(ConActual360=1,ConRate*GD$25/360,ConRate/12),0)</f>
        <v/>
      </c>
      <c r="GE30" s="49">
        <f>IF('Timeline'!GE$42=1,IF(ConActual360=1,ConRate*GE$25/360,ConRate/12),0)</f>
        <v/>
      </c>
      <c r="GF30" s="49">
        <f>IF('Timeline'!GF$42=1,IF(ConActual360=1,ConRate*GF$25/360,ConRate/12),0)</f>
        <v/>
      </c>
      <c r="GG30" s="49">
        <f>IF('Timeline'!GG$42=1,IF(ConActual360=1,ConRate*GG$25/360,ConRate/12),0)</f>
        <v/>
      </c>
      <c r="GH30" s="49">
        <f>IF('Timeline'!GH$42=1,IF(ConActual360=1,ConRate*GH$25/360,ConRate/12),0)</f>
        <v/>
      </c>
      <c r="GI30" s="49">
        <f>IF('Timeline'!GI$42=1,IF(ConActual360=1,ConRate*GI$25/360,ConRate/12),0)</f>
        <v/>
      </c>
      <c r="GJ30" s="49">
        <f>IF('Timeline'!GJ$42=1,IF(ConActual360=1,ConRate*GJ$25/360,ConRate/12),0)</f>
        <v/>
      </c>
      <c r="GK30" s="49">
        <f>IF('Timeline'!GK$42=1,IF(ConActual360=1,ConRate*GK$25/360,ConRate/12),0)</f>
        <v/>
      </c>
      <c r="GL30" s="49">
        <f>IF('Timeline'!GL$42=1,IF(ConActual360=1,ConRate*GL$25/360,ConRate/12),0)</f>
        <v/>
      </c>
      <c r="GM30" s="49">
        <f>IF('Timeline'!GM$42=1,IF(ConActual360=1,ConRate*GM$25/360,ConRate/12),0)</f>
        <v/>
      </c>
      <c r="GN30" s="49">
        <f>IF('Timeline'!GN$42=1,IF(ConActual360=1,ConRate*GN$25/360,ConRate/12),0)</f>
        <v/>
      </c>
      <c r="GO30" s="49">
        <f>IF('Timeline'!GO$42=1,IF(ConActual360=1,ConRate*GO$25/360,ConRate/12),0)</f>
        <v/>
      </c>
      <c r="GP30" s="49">
        <f>IF('Timeline'!GP$42=1,IF(ConActual360=1,ConRate*GP$25/360,ConRate/12),0)</f>
        <v/>
      </c>
      <c r="GQ30" s="49">
        <f>IF('Timeline'!GQ$42=1,IF(ConActual360=1,ConRate*GQ$25/360,ConRate/12),0)</f>
        <v/>
      </c>
      <c r="GR30" s="49">
        <f>IF('Timeline'!GR$42=1,IF(ConActual360=1,ConRate*GR$25/360,ConRate/12),0)</f>
        <v/>
      </c>
      <c r="GS30" s="49">
        <f>IF('Timeline'!GS$42=1,IF(ConActual360=1,ConRate*GS$25/360,ConRate/12),0)</f>
        <v/>
      </c>
      <c r="GT30" s="49">
        <f>IF('Timeline'!GT$42=1,IF(ConActual360=1,ConRate*GT$25/360,ConRate/12),0)</f>
        <v/>
      </c>
      <c r="GU30" s="49">
        <f>IF('Timeline'!GU$42=1,IF(ConActual360=1,ConRate*GU$25/360,ConRate/12),0)</f>
        <v/>
      </c>
      <c r="GV30" s="49">
        <f>IF('Timeline'!GV$42=1,IF(ConActual360=1,ConRate*GV$25/360,ConRate/12),0)</f>
        <v/>
      </c>
      <c r="GW30" s="49">
        <f>IF('Timeline'!GW$42=1,IF(ConActual360=1,ConRate*GW$25/360,ConRate/12),0)</f>
        <v/>
      </c>
      <c r="GX30" s="49">
        <f>IF('Timeline'!GX$42=1,IF(ConActual360=1,ConRate*GX$25/360,ConRate/12),0)</f>
        <v/>
      </c>
      <c r="GY30" s="49">
        <f>IF('Timeline'!GY$42=1,IF(ConActual360=1,ConRate*GY$25/360,ConRate/12),0)</f>
        <v/>
      </c>
      <c r="GZ30" s="49">
        <f>IF('Timeline'!GZ$42=1,IF(ConActual360=1,ConRate*GZ$25/360,ConRate/12),0)</f>
        <v/>
      </c>
      <c r="HA30" s="49">
        <f>IF('Timeline'!HA$42=1,IF(ConActual360=1,ConRate*HA$25/360,ConRate/12),0)</f>
        <v/>
      </c>
      <c r="HB30" s="49">
        <f>IF('Timeline'!HB$42=1,IF(ConActual360=1,ConRate*HB$25/360,ConRate/12),0)</f>
        <v/>
      </c>
      <c r="HC30" s="49">
        <f>IF('Timeline'!HC$42=1,IF(ConActual360=1,ConRate*HC$25/360,ConRate/12),0)</f>
        <v/>
      </c>
      <c r="HD30" s="49">
        <f>IF('Timeline'!HD$42=1,IF(ConActual360=1,ConRate*HD$25/360,ConRate/12),0)</f>
        <v/>
      </c>
      <c r="HE30" s="49">
        <f>IF('Timeline'!HE$42=1,IF(ConActual360=1,ConRate*HE$25/360,ConRate/12),0)</f>
        <v/>
      </c>
      <c r="HF30" s="49">
        <f>IF('Timeline'!HF$42=1,IF(ConActual360=1,ConRate*HF$25/360,ConRate/12),0)</f>
        <v/>
      </c>
      <c r="HG30" s="49">
        <f>IF('Timeline'!HG$42=1,IF(ConActual360=1,ConRate*HG$25/360,ConRate/12),0)</f>
        <v/>
      </c>
      <c r="HH30" s="49">
        <f>IF('Timeline'!HH$42=1,IF(ConActual360=1,ConRate*HH$25/360,ConRate/12),0)</f>
        <v/>
      </c>
      <c r="HI30" s="49">
        <f>IF('Timeline'!HI$42=1,IF(ConActual360=1,ConRate*HI$25/360,ConRate/12),0)</f>
        <v/>
      </c>
      <c r="HJ30" s="49">
        <f>IF('Timeline'!HJ$42=1,IF(ConActual360=1,ConRate*HJ$25/360,ConRate/12),0)</f>
        <v/>
      </c>
      <c r="HK30" s="49">
        <f>IF('Timeline'!HK$42=1,IF(ConActual360=1,ConRate*HK$25/360,ConRate/12),0)</f>
        <v/>
      </c>
      <c r="HL30" s="49">
        <f>IF('Timeline'!HL$42=1,IF(ConActual360=1,ConRate*HL$25/360,ConRate/12),0)</f>
        <v/>
      </c>
      <c r="HM30" s="49">
        <f>IF('Timeline'!HM$42=1,IF(ConActual360=1,ConRate*HM$25/360,ConRate/12),0)</f>
        <v/>
      </c>
      <c r="HN30" s="49">
        <f>IF('Timeline'!HN$42=1,IF(ConActual360=1,ConRate*HN$25/360,ConRate/12),0)</f>
        <v/>
      </c>
      <c r="HO30" s="49">
        <f>IF('Timeline'!HO$42=1,IF(ConActual360=1,ConRate*HO$25/360,ConRate/12),0)</f>
        <v/>
      </c>
      <c r="HP30" s="49">
        <f>IF('Timeline'!HP$42=1,IF(ConActual360=1,ConRate*HP$25/360,ConRate/12),0)</f>
        <v/>
      </c>
      <c r="HQ30" s="49">
        <f>IF('Timeline'!HQ$42=1,IF(ConActual360=1,ConRate*HQ$25/360,ConRate/12),0)</f>
        <v/>
      </c>
      <c r="HR30" s="49">
        <f>IF('Timeline'!HR$42=1,IF(ConActual360=1,ConRate*HR$25/360,ConRate/12),0)</f>
        <v/>
      </c>
      <c r="HS30" s="49">
        <f>IF('Timeline'!HS$42=1,IF(ConActual360=1,ConRate*HS$25/360,ConRate/12),0)</f>
        <v/>
      </c>
      <c r="HT30" s="49">
        <f>IF('Timeline'!HT$42=1,IF(ConActual360=1,ConRate*HT$25/360,ConRate/12),0)</f>
        <v/>
      </c>
      <c r="HU30" s="49">
        <f>IF('Timeline'!HU$42=1,IF(ConActual360=1,ConRate*HU$25/360,ConRate/12),0)</f>
        <v/>
      </c>
      <c r="HV30" s="49">
        <f>IF('Timeline'!HV$42=1,IF(ConActual360=1,ConRate*HV$25/360,ConRate/12),0)</f>
        <v/>
      </c>
      <c r="HW30" s="49">
        <f>IF('Timeline'!HW$42=1,IF(ConActual360=1,ConRate*HW$25/360,ConRate/12),0)</f>
        <v/>
      </c>
      <c r="HX30" s="49">
        <f>IF('Timeline'!HX$42=1,IF(ConActual360=1,ConRate*HX$25/360,ConRate/12),0)</f>
        <v/>
      </c>
      <c r="HY30" s="49">
        <f>IF('Timeline'!HY$42=1,IF(ConActual360=1,ConRate*HY$25/360,ConRate/12),0)</f>
        <v/>
      </c>
      <c r="HZ30" s="49">
        <f>IF('Timeline'!HZ$42=1,IF(ConActual360=1,ConRate*HZ$25/360,ConRate/12),0)</f>
        <v/>
      </c>
      <c r="IA30" s="49">
        <f>IF('Timeline'!IA$42=1,IF(ConActual360=1,ConRate*IA$25/360,ConRate/12),0)</f>
        <v/>
      </c>
      <c r="IB30" s="49">
        <f>IF('Timeline'!IB$42=1,IF(ConActual360=1,ConRate*IB$25/360,ConRate/12),0)</f>
        <v/>
      </c>
      <c r="IC30" s="49">
        <f>IF('Timeline'!IC$42=1,IF(ConActual360=1,ConRate*IC$25/360,ConRate/12),0)</f>
        <v/>
      </c>
      <c r="ID30" s="49">
        <f>IF('Timeline'!ID$42=1,IF(ConActual360=1,ConRate*ID$25/360,ConRate/12),0)</f>
        <v/>
      </c>
      <c r="IE30" s="49">
        <f>IF('Timeline'!IE$42=1,IF(ConActual360=1,ConRate*IE$25/360,ConRate/12),0)</f>
        <v/>
      </c>
      <c r="IF30" s="49">
        <f>IF('Timeline'!IF$42=1,IF(ConActual360=1,ConRate*IF$25/360,ConRate/12),0)</f>
        <v/>
      </c>
      <c r="IG30" s="49">
        <f>IF('Timeline'!IG$42=1,IF(ConActual360=1,ConRate*IG$25/360,ConRate/12),0)</f>
        <v/>
      </c>
      <c r="IH30" s="49">
        <f>IF('Timeline'!IH$42=1,IF(ConActual360=1,ConRate*IH$25/360,ConRate/12),0)</f>
        <v/>
      </c>
      <c r="II30" s="49">
        <f>IF('Timeline'!II$42=1,IF(ConActual360=1,ConRate*II$25/360,ConRate/12),0)</f>
        <v/>
      </c>
      <c r="IJ30" s="49">
        <f>IF('Timeline'!IJ$42=1,IF(ConActual360=1,ConRate*IJ$25/360,ConRate/12),0)</f>
        <v/>
      </c>
      <c r="IK30" s="49">
        <f>IF('Timeline'!IK$42=1,IF(ConActual360=1,ConRate*IK$25/360,ConRate/12),0)</f>
        <v/>
      </c>
      <c r="IL30" s="49">
        <f>IF('Timeline'!IL$42=1,IF(ConActual360=1,ConRate*IL$25/360,ConRate/12),0)</f>
        <v/>
      </c>
      <c r="IM30" s="49">
        <f>IF('Timeline'!IM$42=1,IF(ConActual360=1,ConRate*IM$25/360,ConRate/12),0)</f>
        <v/>
      </c>
      <c r="IN30" s="49">
        <f>IF('Timeline'!IN$42=1,IF(ConActual360=1,ConRate*IN$25/360,ConRate/12),0)</f>
        <v/>
      </c>
      <c r="IO30" s="49">
        <f>IF('Timeline'!IO$42=1,IF(ConActual360=1,ConRate*IO$25/360,ConRate/12),0)</f>
        <v/>
      </c>
      <c r="IP30" s="49">
        <f>IF('Timeline'!IP$42=1,IF(ConActual360=1,ConRate*IP$25/360,ConRate/12),0)</f>
        <v/>
      </c>
      <c r="IQ30" s="49">
        <f>IF('Timeline'!IQ$42=1,IF(ConActual360=1,ConRate*IQ$25/360,ConRate/12),0)</f>
        <v/>
      </c>
      <c r="IR30" s="49">
        <f>IF('Timeline'!IR$42=1,IF(ConActual360=1,ConRate*IR$25/360,ConRate/12),0)</f>
        <v/>
      </c>
      <c r="IS30" s="49">
        <f>IF('Timeline'!IS$42=1,IF(ConActual360=1,ConRate*IS$25/360,ConRate/12),0)</f>
        <v/>
      </c>
      <c r="IT30" s="49">
        <f>IF('Timeline'!IT$42=1,IF(ConActual360=1,ConRate*IT$25/360,ConRate/12),0)</f>
        <v/>
      </c>
      <c r="IU30" s="49">
        <f>IF('Timeline'!IU$42=1,IF(ConActual360=1,ConRate*IU$25/360,ConRate/12),0)</f>
        <v/>
      </c>
      <c r="IV30" s="49">
        <f>IF('Timeline'!IV$42=1,IF(ConActual360=1,ConRate*IV$25/360,ConRate/12),0)</f>
        <v/>
      </c>
      <c r="IW30" s="49">
        <f>IF('Timeline'!IW$42=1,IF(ConActual360=1,ConRate*IW$25/360,ConRate/12),0)</f>
        <v/>
      </c>
      <c r="IX30" s="49">
        <f>IF('Timeline'!IX$42=1,IF(ConActual360=1,ConRate*IX$25/360,ConRate/12),0)</f>
        <v/>
      </c>
      <c r="IY30" s="49">
        <f>IF('Timeline'!IY$42=1,IF(ConActual360=1,ConRate*IY$25/360,ConRate/12),0)</f>
        <v/>
      </c>
      <c r="IZ30" s="49">
        <f>IF('Timeline'!IZ$42=1,IF(ConActual360=1,ConRate*IZ$25/360,ConRate/12),0)</f>
        <v/>
      </c>
      <c r="JA30" s="49">
        <f>IF('Timeline'!JA$42=1,IF(ConActual360=1,ConRate*JA$25/360,ConRate/12),0)</f>
        <v/>
      </c>
      <c r="JB30" s="49">
        <f>IF('Timeline'!JB$42=1,IF(ConActual360=1,ConRate*JB$25/360,ConRate/12),0)</f>
        <v/>
      </c>
      <c r="JC30" s="49">
        <f>IF('Timeline'!JC$42=1,IF(ConActual360=1,ConRate*JC$25/360,ConRate/12),0)</f>
        <v/>
      </c>
      <c r="JD30" s="49">
        <f>IF('Timeline'!JD$42=1,IF(ConActual360=1,ConRate*JD$25/360,ConRate/12),0)</f>
        <v/>
      </c>
      <c r="JE30" s="49">
        <f>IF('Timeline'!JE$42=1,IF(ConActual360=1,ConRate*JE$25/360,ConRate/12),0)</f>
        <v/>
      </c>
      <c r="JF30" s="49">
        <f>IF('Timeline'!JF$42=1,IF(ConActual360=1,ConRate*JF$25/360,ConRate/12),0)</f>
        <v/>
      </c>
      <c r="JG30" s="49">
        <f>IF('Timeline'!JG$42=1,IF(ConActual360=1,ConRate*JG$25/360,ConRate/12),0)</f>
        <v/>
      </c>
      <c r="JH30" s="49">
        <f>IF('Timeline'!JH$42=1,IF(ConActual360=1,ConRate*JH$25/360,ConRate/12),0)</f>
        <v/>
      </c>
      <c r="JI30" s="49">
        <f>IF('Timeline'!JI$42=1,IF(ConActual360=1,ConRate*JI$25/360,ConRate/12),0)</f>
        <v/>
      </c>
      <c r="JJ30" s="49">
        <f>IF('Timeline'!JJ$42=1,IF(ConActual360=1,ConRate*JJ$25/360,ConRate/12),0)</f>
        <v/>
      </c>
      <c r="JK30" s="49">
        <f>IF('Timeline'!JK$42=1,IF(ConActual360=1,ConRate*JK$25/360,ConRate/12),0)</f>
        <v/>
      </c>
      <c r="JL30" s="49">
        <f>IF('Timeline'!JL$42=1,IF(ConActual360=1,ConRate*JL$25/360,ConRate/12),0)</f>
        <v/>
      </c>
      <c r="JM30" s="49">
        <f>IF('Timeline'!JM$42=1,IF(ConActual360=1,ConRate*JM$25/360,ConRate/12),0)</f>
        <v/>
      </c>
      <c r="JN30" s="49">
        <f>IF('Timeline'!JN$42=1,IF(ConActual360=1,ConRate*JN$25/360,ConRate/12),0)</f>
        <v/>
      </c>
      <c r="JO30" s="49">
        <f>IF('Timeline'!JO$42=1,IF(ConActual360=1,ConRate*JO$25/360,ConRate/12),0)</f>
        <v/>
      </c>
      <c r="JP30" s="49">
        <f>IF('Timeline'!JP$42=1,IF(ConActual360=1,ConRate*JP$25/360,ConRate/12),0)</f>
        <v/>
      </c>
      <c r="JQ30" s="49">
        <f>IF('Timeline'!JQ$42=1,IF(ConActual360=1,ConRate*JQ$25/360,ConRate/12),0)</f>
        <v/>
      </c>
      <c r="JR30" s="49">
        <f>IF('Timeline'!JR$42=1,IF(ConActual360=1,ConRate*JR$25/360,ConRate/12),0)</f>
        <v/>
      </c>
      <c r="JS30" s="49">
        <f>IF('Timeline'!JS$42=1,IF(ConActual360=1,ConRate*JS$25/360,ConRate/12),0)</f>
        <v/>
      </c>
      <c r="JT30" s="49">
        <f>IF('Timeline'!JT$42=1,IF(ConActual360=1,ConRate*JT$25/360,ConRate/12),0)</f>
        <v/>
      </c>
      <c r="JU30" s="49">
        <f>IF('Timeline'!JU$42=1,IF(ConActual360=1,ConRate*JU$25/360,ConRate/12),0)</f>
        <v/>
      </c>
      <c r="JV30" s="49">
        <f>IF('Timeline'!JV$42=1,IF(ConActual360=1,ConRate*JV$25/360,ConRate/12),0)</f>
        <v/>
      </c>
      <c r="JW30" s="49">
        <f>IF('Timeline'!JW$42=1,IF(ConActual360=1,ConRate*JW$25/360,ConRate/12),0)</f>
        <v/>
      </c>
      <c r="JX30" s="49">
        <f>IF('Timeline'!JX$42=1,IF(ConActual360=1,ConRate*JX$25/360,ConRate/12),0)</f>
        <v/>
      </c>
      <c r="JY30" s="49">
        <f>IF('Timeline'!JY$42=1,IF(ConActual360=1,ConRate*JY$25/360,ConRate/12),0)</f>
        <v/>
      </c>
      <c r="JZ30" s="49">
        <f>IF('Timeline'!JZ$42=1,IF(ConActual360=1,ConRate*JZ$25/360,ConRate/12),0)</f>
        <v/>
      </c>
      <c r="KA30" s="49">
        <f>IF('Timeline'!KA$42=1,IF(ConActual360=1,ConRate*KA$25/360,ConRate/12),0)</f>
        <v/>
      </c>
      <c r="KB30" s="49">
        <f>IF('Timeline'!KB$42=1,IF(ConActual360=1,ConRate*KB$25/360,ConRate/12),0)</f>
        <v/>
      </c>
      <c r="KC30" s="49">
        <f>IF('Timeline'!KC$42=1,IF(ConActual360=1,ConRate*KC$25/360,ConRate/12),0)</f>
        <v/>
      </c>
      <c r="KD30" s="49">
        <f>IF('Timeline'!KD$42=1,IF(ConActual360=1,ConRate*KD$25/360,ConRate/12),0)</f>
        <v/>
      </c>
      <c r="KE30" s="49">
        <f>IF('Timeline'!KE$42=1,IF(ConActual360=1,ConRate*KE$25/360,ConRate/12),0)</f>
        <v/>
      </c>
      <c r="KF30" s="49">
        <f>IF('Timeline'!KF$42=1,IF(ConActual360=1,ConRate*KF$25/360,ConRate/12),0)</f>
        <v/>
      </c>
      <c r="KG30" s="49">
        <f>IF('Timeline'!KG$42=1,IF(ConActual360=1,ConRate*KG$25/360,ConRate/12),0)</f>
        <v/>
      </c>
      <c r="KH30" s="49">
        <f>IF('Timeline'!KH$42=1,IF(ConActual360=1,ConRate*KH$25/360,ConRate/12),0)</f>
        <v/>
      </c>
      <c r="KI30" s="49">
        <f>IF('Timeline'!KI$42=1,IF(ConActual360=1,ConRate*KI$25/360,ConRate/12),0)</f>
        <v/>
      </c>
      <c r="KJ30" s="49">
        <f>IF('Timeline'!KJ$42=1,IF(ConActual360=1,ConRate*KJ$25/360,ConRate/12),0)</f>
        <v/>
      </c>
      <c r="KK30" s="49">
        <f>IF('Timeline'!KK$42=1,IF(ConActual360=1,ConRate*KK$25/360,ConRate/12),0)</f>
        <v/>
      </c>
      <c r="KL30" s="49">
        <f>IF('Timeline'!KL$42=1,IF(ConActual360=1,ConRate*KL$25/360,ConRate/12),0)</f>
        <v/>
      </c>
      <c r="KM30" s="49">
        <f>IF('Timeline'!KM$42=1,IF(ConActual360=1,ConRate*KM$25/360,ConRate/12),0)</f>
        <v/>
      </c>
      <c r="KN30" s="49">
        <f>IF('Timeline'!KN$42=1,IF(ConActual360=1,ConRate*KN$25/360,ConRate/12),0)</f>
        <v/>
      </c>
      <c r="KO30" s="49">
        <f>IF('Timeline'!KO$42=1,IF(ConActual360=1,ConRate*KO$25/360,ConRate/12),0)</f>
        <v/>
      </c>
      <c r="KP30" s="49">
        <f>IF('Timeline'!KP$42=1,IF(ConActual360=1,ConRate*KP$25/360,ConRate/12),0)</f>
        <v/>
      </c>
      <c r="KQ30" s="49">
        <f>IF('Timeline'!KQ$42=1,IF(ConActual360=1,ConRate*KQ$25/360,ConRate/12),0)</f>
        <v/>
      </c>
      <c r="KR30" s="49">
        <f>IF('Timeline'!KR$42=1,IF(ConActual360=1,ConRate*KR$25/360,ConRate/12),0)</f>
        <v/>
      </c>
      <c r="KS30" s="49">
        <f>IF('Timeline'!KS$42=1,IF(ConActual360=1,ConRate*KS$25/360,ConRate/12),0)</f>
        <v/>
      </c>
      <c r="KT30" s="49">
        <f>IF('Timeline'!KT$42=1,IF(ConActual360=1,ConRate*KT$25/360,ConRate/12),0)</f>
        <v/>
      </c>
      <c r="KU30" s="49">
        <f>IF('Timeline'!KU$42=1,IF(ConActual360=1,ConRate*KU$25/360,ConRate/12),0)</f>
        <v/>
      </c>
      <c r="KV30" s="49">
        <f>IF('Timeline'!KV$42=1,IF(ConActual360=1,ConRate*KV$25/360,ConRate/12),0)</f>
        <v/>
      </c>
      <c r="KW30" s="49">
        <f>IF('Timeline'!KW$42=1,IF(ConActual360=1,ConRate*KW$25/360,ConRate/12),0)</f>
        <v/>
      </c>
      <c r="KX30" s="49">
        <f>IF('Timeline'!KX$42=1,IF(ConActual360=1,ConRate*KX$25/360,ConRate/12),0)</f>
        <v/>
      </c>
      <c r="KY30" s="49">
        <f>IF('Timeline'!KY$42=1,IF(ConActual360=1,ConRate*KY$25/360,ConRate/12),0)</f>
        <v/>
      </c>
      <c r="KZ30" s="49">
        <f>IF('Timeline'!KZ$42=1,IF(ConActual360=1,ConRate*KZ$25/360,ConRate/12),0)</f>
        <v/>
      </c>
      <c r="LA30" s="49">
        <f>IF('Timeline'!LA$42=1,IF(ConActual360=1,ConRate*LA$25/360,ConRate/12),0)</f>
        <v/>
      </c>
      <c r="LB30" s="49">
        <f>IF('Timeline'!LB$42=1,IF(ConActual360=1,ConRate*LB$25/360,ConRate/12),0)</f>
        <v/>
      </c>
      <c r="LC30" s="49">
        <f>IF('Timeline'!LC$42=1,IF(ConActual360=1,ConRate*LC$25/360,ConRate/12),0)</f>
        <v/>
      </c>
      <c r="LD30" s="49">
        <f>IF('Timeline'!LD$42=1,IF(ConActual360=1,ConRate*LD$25/360,ConRate/12),0)</f>
        <v/>
      </c>
      <c r="LE30" s="49">
        <f>IF('Timeline'!LE$42=1,IF(ConActual360=1,ConRate*LE$25/360,ConRate/12),0)</f>
        <v/>
      </c>
      <c r="LF30" s="49">
        <f>IF('Timeline'!LF$42=1,IF(ConActual360=1,ConRate*LF$25/360,ConRate/12),0)</f>
        <v/>
      </c>
      <c r="LG30" s="49">
        <f>IF('Timeline'!LG$42=1,IF(ConActual360=1,ConRate*LG$25/360,ConRate/12),0)</f>
        <v/>
      </c>
      <c r="LH30" s="49">
        <f>IF('Timeline'!LH$42=1,IF(ConActual360=1,ConRate*LH$25/360,ConRate/12),0)</f>
        <v/>
      </c>
      <c r="LI30" s="49">
        <f>IF('Timeline'!LI$42=1,IF(ConActual360=1,ConRate*LI$25/360,ConRate/12),0)</f>
        <v/>
      </c>
      <c r="LJ30" s="49">
        <f>IF('Timeline'!LJ$42=1,IF(ConActual360=1,ConRate*LJ$25/360,ConRate/12),0)</f>
        <v/>
      </c>
      <c r="LK30" s="49">
        <f>IF('Timeline'!LK$42=1,IF(ConActual360=1,ConRate*LK$25/360,ConRate/12),0)</f>
        <v/>
      </c>
      <c r="LL30" s="49">
        <f>IF('Timeline'!LL$42=1,IF(ConActual360=1,ConRate*LL$25/360,ConRate/12),0)</f>
        <v/>
      </c>
      <c r="LM30" s="49">
        <f>IF('Timeline'!LM$42=1,IF(ConActual360=1,ConRate*LM$25/360,ConRate/12),0)</f>
        <v/>
      </c>
      <c r="LN30" s="49">
        <f>IF('Timeline'!LN$42=1,IF(ConActual360=1,ConRate*LN$25/360,ConRate/12),0)</f>
        <v/>
      </c>
      <c r="LO30" s="49">
        <f>IF('Timeline'!LO$42=1,IF(ConActual360=1,ConRate*LO$25/360,ConRate/12),0)</f>
        <v/>
      </c>
      <c r="LP30" s="49">
        <f>IF('Timeline'!LP$42=1,IF(ConActual360=1,ConRate*LP$25/360,ConRate/12),0)</f>
        <v/>
      </c>
      <c r="LQ30" s="49">
        <f>IF('Timeline'!LQ$42=1,IF(ConActual360=1,ConRate*LQ$25/360,ConRate/12),0)</f>
        <v/>
      </c>
      <c r="LR30" s="49">
        <f>IF('Timeline'!LR$42=1,IF(ConActual360=1,ConRate*LR$25/360,ConRate/12),0)</f>
        <v/>
      </c>
      <c r="LS30" s="49">
        <f>IF('Timeline'!LS$42=1,IF(ConActual360=1,ConRate*LS$25/360,ConRate/12),0)</f>
        <v/>
      </c>
      <c r="LT30" s="49">
        <f>IF('Timeline'!LT$42=1,IF(ConActual360=1,ConRate*LT$25/360,ConRate/12),0)</f>
        <v/>
      </c>
      <c r="LU30" s="49">
        <f>IF('Timeline'!LU$42=1,IF(ConActual360=1,ConRate*LU$25/360,ConRate/12),0)</f>
        <v/>
      </c>
      <c r="LV30" s="49">
        <f>IF('Timeline'!LV$42=1,IF(ConActual360=1,ConRate*LV$25/360,ConRate/12),0)</f>
        <v/>
      </c>
      <c r="LW30" s="49">
        <f>IF('Timeline'!LW$42=1,IF(ConActual360=1,ConRate*LW$25/360,ConRate/12),0)</f>
        <v/>
      </c>
      <c r="LX30" s="49">
        <f>IF('Timeline'!LX$42=1,IF(ConActual360=1,ConRate*LX$25/360,ConRate/12),0)</f>
        <v/>
      </c>
      <c r="LY30" s="49">
        <f>IF('Timeline'!LY$42=1,IF(ConActual360=1,ConRate*LY$25/360,ConRate/12),0)</f>
        <v/>
      </c>
      <c r="LZ30" s="49">
        <f>IF('Timeline'!LZ$42=1,IF(ConActual360=1,ConRate*LZ$25/360,ConRate/12),0)</f>
        <v/>
      </c>
      <c r="MA30" s="49">
        <f>IF('Timeline'!MA$42=1,IF(ConActual360=1,ConRate*MA$25/360,ConRate/12),0)</f>
        <v/>
      </c>
      <c r="MB30" s="49">
        <f>IF('Timeline'!MB$42=1,IF(ConActual360=1,ConRate*MB$25/360,ConRate/12),0)</f>
        <v/>
      </c>
      <c r="MC30" s="49">
        <f>IF('Timeline'!MC$42=1,IF(ConActual360=1,ConRate*MC$25/360,ConRate/12),0)</f>
        <v/>
      </c>
      <c r="MD30" s="49">
        <f>IF('Timeline'!MD$42=1,IF(ConActual360=1,ConRate*MD$25/360,ConRate/12),0)</f>
        <v/>
      </c>
      <c r="ME30" s="49">
        <f>IF('Timeline'!ME$42=1,IF(ConActual360=1,ConRate*ME$25/360,ConRate/12),0)</f>
        <v/>
      </c>
      <c r="MF30" s="49">
        <f>IF('Timeline'!MF$42=1,IF(ConActual360=1,ConRate*MF$25/360,ConRate/12),0)</f>
        <v/>
      </c>
      <c r="MG30" s="49">
        <f>IF('Timeline'!MG$42=1,IF(ConActual360=1,ConRate*MG$25/360,ConRate/12),0)</f>
        <v/>
      </c>
      <c r="MH30" s="49">
        <f>IF('Timeline'!MH$42=1,IF(ConActual360=1,ConRate*MH$25/360,ConRate/12),0)</f>
        <v/>
      </c>
      <c r="MI30" s="49">
        <f>IF('Timeline'!MI$42=1,IF(ConActual360=1,ConRate*MI$25/360,ConRate/12),0)</f>
        <v/>
      </c>
      <c r="MJ30" s="49">
        <f>IF('Timeline'!MJ$42=1,IF(ConActual360=1,ConRate*MJ$25/360,ConRate/12),0)</f>
        <v/>
      </c>
      <c r="MK30" s="49">
        <f>IF('Timeline'!MK$42=1,IF(ConActual360=1,ConRate*MK$25/360,ConRate/12),0)</f>
        <v/>
      </c>
      <c r="ML30" s="49">
        <f>IF('Timeline'!ML$42=1,IF(ConActual360=1,ConRate*ML$25/360,ConRate/12),0)</f>
        <v/>
      </c>
      <c r="MM30" s="49">
        <f>IF('Timeline'!MM$42=1,IF(ConActual360=1,ConRate*MM$25/360,ConRate/12),0)</f>
        <v/>
      </c>
      <c r="MN30" s="49">
        <f>IF('Timeline'!MN$42=1,IF(ConActual360=1,ConRate*MN$25/360,ConRate/12),0)</f>
        <v/>
      </c>
      <c r="MO30" s="49">
        <f>IF('Timeline'!MO$42=1,IF(ConActual360=1,ConRate*MO$25/360,ConRate/12),0)</f>
        <v/>
      </c>
      <c r="MP30" s="49">
        <f>IF('Timeline'!MP$42=1,IF(ConActual360=1,ConRate*MP$25/360,ConRate/12),0)</f>
        <v/>
      </c>
      <c r="MQ30" s="49">
        <f>IF('Timeline'!MQ$42=1,IF(ConActual360=1,ConRate*MQ$25/360,ConRate/12),0)</f>
        <v/>
      </c>
      <c r="MR30" s="49">
        <f>IF('Timeline'!MR$42=1,IF(ConActual360=1,ConRate*MR$25/360,ConRate/12),0)</f>
        <v/>
      </c>
      <c r="MS30" s="49">
        <f>IF('Timeline'!MS$42=1,IF(ConActual360=1,ConRate*MS$25/360,ConRate/12),0)</f>
        <v/>
      </c>
      <c r="MT30" s="49">
        <f>IF('Timeline'!MT$42=1,IF(ConActual360=1,ConRate*MT$25/360,ConRate/12),0)</f>
        <v/>
      </c>
      <c r="MU30" s="49">
        <f>IF('Timeline'!MU$42=1,IF(ConActual360=1,ConRate*MU$25/360,ConRate/12),0)</f>
        <v/>
      </c>
      <c r="MV30" s="49">
        <f>IF('Timeline'!MV$42=1,IF(ConActual360=1,ConRate*MV$25/360,ConRate/12),0)</f>
        <v/>
      </c>
      <c r="MW30" s="49">
        <f>IF('Timeline'!MW$42=1,IF(ConActual360=1,ConRate*MW$25/360,ConRate/12),0)</f>
        <v/>
      </c>
      <c r="MX30" s="49">
        <f>IF('Timeline'!MX$42=1,IF(ConActual360=1,ConRate*MX$25/360,ConRate/12),0)</f>
        <v/>
      </c>
      <c r="MY30" s="49">
        <f>IF('Timeline'!MY$42=1,IF(ConActual360=1,ConRate*MY$25/360,ConRate/12),0)</f>
        <v/>
      </c>
      <c r="MZ30" s="49">
        <f>IF('Timeline'!MZ$42=1,IF(ConActual360=1,ConRate*MZ$25/360,ConRate/12),0)</f>
        <v/>
      </c>
      <c r="NA30" s="49">
        <f>IF('Timeline'!NA$42=1,IF(ConActual360=1,ConRate*NA$25/360,ConRate/12),0)</f>
        <v/>
      </c>
      <c r="NB30" s="49">
        <f>IF('Timeline'!NB$42=1,IF(ConActual360=1,ConRate*NB$25/360,ConRate/12),0)</f>
        <v/>
      </c>
      <c r="NC30" s="49">
        <f>IF('Timeline'!NC$42=1,IF(ConActual360=1,ConRate*NC$25/360,ConRate/12),0)</f>
        <v/>
      </c>
      <c r="ND30" s="49">
        <f>IF('Timeline'!ND$42=1,IF(ConActual360=1,ConRate*ND$25/360,ConRate/12),0)</f>
        <v/>
      </c>
      <c r="NE30" s="49">
        <f>IF('Timeline'!NE$42=1,IF(ConActual360=1,ConRate*NE$25/360,ConRate/12),0)</f>
        <v/>
      </c>
      <c r="NF30" s="49">
        <f>IF('Timeline'!NF$42=1,IF(ConActual360=1,ConRate*NF$25/360,ConRate/12),0)</f>
        <v/>
      </c>
      <c r="NG30" s="49">
        <f>IF('Timeline'!NG$42=1,IF(ConActual360=1,ConRate*NG$25/360,ConRate/12),0)</f>
        <v/>
      </c>
      <c r="NH30" s="49">
        <f>IF('Timeline'!NH$42=1,IF(ConActual360=1,ConRate*NH$25/360,ConRate/12),0)</f>
        <v/>
      </c>
      <c r="NI30" s="49">
        <f>IF('Timeline'!NI$42=1,IF(ConActual360=1,ConRate*NI$25/360,ConRate/12),0)</f>
        <v/>
      </c>
      <c r="NJ30" s="49">
        <f>IF('Timeline'!NJ$42=1,IF(ConActual360=1,ConRate*NJ$25/360,ConRate/12),0)</f>
        <v/>
      </c>
      <c r="NK30" s="49">
        <f>IF('Timeline'!NK$42=1,IF(ConActual360=1,ConRate*NK$25/360,ConRate/12),0)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2026-07-02T18:20:04Z</dcterms:modified>
</cp:coreProperties>
</file>